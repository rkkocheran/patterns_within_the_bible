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MIKE.MK-DESKTOP\Documents\Career\Data_Analytics\Projects\patterns_within_the_bible\data\acts_and_miracles\"/>
    </mc:Choice>
  </mc:AlternateContent>
  <xr:revisionPtr revIDLastSave="0" documentId="13_ncr:1_{BB7AC48C-3258-4E87-8CD8-AA5B7AA02236}" xr6:coauthVersionLast="47" xr6:coauthVersionMax="47" xr10:uidLastSave="{00000000-0000-0000-0000-000000000000}"/>
  <bookViews>
    <workbookView xWindow="2230" yWindow="530" windowWidth="18860" windowHeight="12570" tabRatio="898" firstSheet="4" activeTab="4" xr2:uid="{00000000-000D-0000-FFFF-FFFF00000000}"/>
  </bookViews>
  <sheets>
    <sheet name="acts_and_miracles" sheetId="24" r:id="rId1"/>
    <sheet name="essene_calendar" sheetId="30" r:id="rId2"/>
    <sheet name="messenger fixes" sheetId="26" r:id="rId3"/>
    <sheet name="category_breakdown" sheetId="38" r:id="rId4"/>
    <sheet name="transpose_categories" sheetId="34" r:id="rId5"/>
    <sheet name="distinct_categories" sheetId="33" r:id="rId6"/>
    <sheet name="category_consolidation" sheetId="36" r:id="rId7"/>
    <sheet name="category_consolidation_result" sheetId="37" r:id="rId8"/>
    <sheet name="Sheet1" sheetId="22" r:id="rId9"/>
    <sheet name="Sheet2" sheetId="23" r:id="rId10"/>
    <sheet name="locations" sheetId="20" r:id="rId11"/>
    <sheet name="locations_prompt" sheetId="21" r:id="rId12"/>
    <sheet name="nt_acts_and_miracles" sheetId="16" r:id="rId13"/>
    <sheet name="book_notes" sheetId="2" r:id="rId14"/>
    <sheet name="claude_prompt" sheetId="12" r:id="rId15"/>
    <sheet name="next_steps" sheetId="14" r:id="rId16"/>
  </sheets>
  <definedNames>
    <definedName name="acts">4</definedName>
    <definedName name="acts_table">#REF!</definedName>
    <definedName name="HighlightRow">245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79" i="34" l="1" a="1"/>
  <c r="C679" i="34" s="1"/>
  <c r="C678" i="34" a="1"/>
  <c r="C678" i="34" s="1"/>
  <c r="C677" i="34" a="1"/>
  <c r="C677" i="34" s="1"/>
  <c r="C676" i="34" a="1"/>
  <c r="C676" i="34" s="1"/>
  <c r="C675" i="34" a="1"/>
  <c r="C675" i="34" s="1"/>
  <c r="C674" i="34" a="1"/>
  <c r="C674" i="34" s="1"/>
  <c r="C673" i="34" a="1"/>
  <c r="C673" i="34" s="1"/>
  <c r="C672" i="34" a="1"/>
  <c r="C672" i="34" s="1"/>
  <c r="C671" i="34" a="1"/>
  <c r="C671" i="34" s="1"/>
  <c r="C670" i="34" a="1"/>
  <c r="C670" i="34" s="1"/>
  <c r="C669" i="34" a="1"/>
  <c r="C669" i="34" s="1"/>
  <c r="C668" i="34" a="1"/>
  <c r="C668" i="34" s="1"/>
  <c r="C667" i="34" a="1"/>
  <c r="C667" i="34" s="1"/>
  <c r="C666" i="34" a="1"/>
  <c r="C666" i="34" s="1"/>
  <c r="C665" i="34" a="1"/>
  <c r="C665" i="34" s="1"/>
  <c r="C664" i="34" a="1"/>
  <c r="C664" i="34" s="1"/>
  <c r="C663" i="34" a="1"/>
  <c r="C663" i="34" s="1"/>
  <c r="C662" i="34" a="1"/>
  <c r="C662" i="34" s="1"/>
  <c r="C661" i="34" a="1"/>
  <c r="C661" i="34" s="1"/>
  <c r="C660" i="34" a="1"/>
  <c r="C660" i="34" s="1"/>
  <c r="C659" i="34" a="1"/>
  <c r="C659" i="34" s="1"/>
  <c r="C658" i="34" a="1"/>
  <c r="C658" i="34" s="1"/>
  <c r="C657" i="34" a="1"/>
  <c r="C657" i="34" s="1"/>
  <c r="C656" i="34" a="1"/>
  <c r="C656" i="34" s="1"/>
  <c r="C655" i="34" a="1"/>
  <c r="C655" i="34" s="1"/>
  <c r="C654" i="34" a="1"/>
  <c r="C654" i="34" s="1"/>
  <c r="C653" i="34" a="1"/>
  <c r="C653" i="34" s="1"/>
  <c r="C652" i="34" a="1"/>
  <c r="C652" i="34" s="1"/>
  <c r="C651" i="34" a="1"/>
  <c r="C651" i="34" s="1"/>
  <c r="C650" i="34" a="1"/>
  <c r="C650" i="34" s="1"/>
  <c r="C649" i="34" a="1"/>
  <c r="C649" i="34" s="1"/>
  <c r="C648" i="34" a="1"/>
  <c r="C648" i="34" s="1"/>
  <c r="C647" i="34" a="1"/>
  <c r="C647" i="34" s="1"/>
  <c r="C646" i="34" a="1"/>
  <c r="C646" i="34" s="1"/>
  <c r="C645" i="34" a="1"/>
  <c r="C645" i="34" s="1"/>
  <c r="C644" i="34" a="1"/>
  <c r="C644" i="34" s="1"/>
  <c r="C643" i="34" a="1"/>
  <c r="C643" i="34" s="1"/>
  <c r="C642" i="34" a="1"/>
  <c r="C642" i="34" s="1"/>
  <c r="C641" i="34" a="1"/>
  <c r="C641" i="34" s="1"/>
  <c r="C640" i="34" a="1"/>
  <c r="C640" i="34" s="1"/>
  <c r="C639" i="34" a="1"/>
  <c r="C639" i="34" s="1"/>
  <c r="C638" i="34" a="1"/>
  <c r="C638" i="34" s="1"/>
  <c r="C637" i="34" a="1"/>
  <c r="C637" i="34" s="1"/>
  <c r="C636" i="34" a="1"/>
  <c r="C636" i="34" s="1"/>
  <c r="C635" i="34" a="1"/>
  <c r="C635" i="34" s="1"/>
  <c r="C634" i="34" a="1"/>
  <c r="C634" i="34" s="1"/>
  <c r="C633" i="34" a="1"/>
  <c r="C633" i="34" s="1"/>
  <c r="C632" i="34" a="1"/>
  <c r="C632" i="34" s="1"/>
  <c r="C631" i="34" a="1"/>
  <c r="C631" i="34" s="1"/>
  <c r="C630" i="34" a="1"/>
  <c r="C630" i="34" s="1"/>
  <c r="C629" i="34"/>
  <c r="C629" i="34" a="1"/>
  <c r="C628" i="34" a="1"/>
  <c r="C628" i="34" s="1"/>
  <c r="C627" i="34" a="1"/>
  <c r="C627" i="34" s="1"/>
  <c r="C626" i="34" a="1"/>
  <c r="C626" i="34" s="1"/>
  <c r="C625" i="34" a="1"/>
  <c r="C625" i="34" s="1"/>
  <c r="C624" i="34" a="1"/>
  <c r="C624" i="34" s="1"/>
  <c r="C623" i="34" a="1"/>
  <c r="C623" i="34" s="1"/>
  <c r="C622" i="34" a="1"/>
  <c r="C622" i="34" s="1"/>
  <c r="C621" i="34" a="1"/>
  <c r="C621" i="34" s="1"/>
  <c r="C620" i="34" a="1"/>
  <c r="C620" i="34" s="1"/>
  <c r="C619" i="34" a="1"/>
  <c r="C619" i="34" s="1"/>
  <c r="C618" i="34" a="1"/>
  <c r="C618" i="34" s="1"/>
  <c r="C617" i="34" a="1"/>
  <c r="C617" i="34" s="1"/>
  <c r="C616" i="34" a="1"/>
  <c r="C616" i="34" s="1"/>
  <c r="C615" i="34" a="1"/>
  <c r="C615" i="34" s="1"/>
  <c r="C614" i="34" a="1"/>
  <c r="C614" i="34" s="1"/>
  <c r="C613" i="34" a="1"/>
  <c r="C613" i="34" s="1"/>
  <c r="C612" i="34" a="1"/>
  <c r="C612" i="34" s="1"/>
  <c r="C611" i="34" a="1"/>
  <c r="C611" i="34" s="1"/>
  <c r="C610" i="34" a="1"/>
  <c r="C610" i="34" s="1"/>
  <c r="C609" i="34"/>
  <c r="C609" i="34" a="1"/>
  <c r="C608" i="34" a="1"/>
  <c r="C608" i="34" s="1"/>
  <c r="C607" i="34" a="1"/>
  <c r="C607" i="34" s="1"/>
  <c r="C606" i="34" a="1"/>
  <c r="C606" i="34" s="1"/>
  <c r="C605" i="34" a="1"/>
  <c r="C605" i="34" s="1"/>
  <c r="C604" i="34" a="1"/>
  <c r="C604" i="34" s="1"/>
  <c r="C603" i="34" a="1"/>
  <c r="C603" i="34" s="1"/>
  <c r="C602" i="34" a="1"/>
  <c r="C602" i="34" s="1"/>
  <c r="C601" i="34" a="1"/>
  <c r="C601" i="34" s="1"/>
  <c r="C600" i="34" a="1"/>
  <c r="C600" i="34" s="1"/>
  <c r="C599" i="34" a="1"/>
  <c r="C599" i="34" s="1"/>
  <c r="C598" i="34" a="1"/>
  <c r="C598" i="34" s="1"/>
  <c r="C597" i="34" a="1"/>
  <c r="C597" i="34" s="1"/>
  <c r="C596" i="34" a="1"/>
  <c r="C596" i="34" s="1"/>
  <c r="C595" i="34" a="1"/>
  <c r="C595" i="34" s="1"/>
  <c r="C594" i="34" a="1"/>
  <c r="C594" i="34" s="1"/>
  <c r="C593" i="34" a="1"/>
  <c r="C593" i="34" s="1"/>
  <c r="C592" i="34" a="1"/>
  <c r="C592" i="34" s="1"/>
  <c r="C591" i="34" a="1"/>
  <c r="C591" i="34" s="1"/>
  <c r="C590" i="34" a="1"/>
  <c r="C590" i="34" s="1"/>
  <c r="C589" i="34" a="1"/>
  <c r="C589" i="34" s="1"/>
  <c r="C588" i="34" a="1"/>
  <c r="C588" i="34" s="1"/>
  <c r="C587" i="34" a="1"/>
  <c r="C587" i="34" s="1"/>
  <c r="C586" i="34" a="1"/>
  <c r="C586" i="34" s="1"/>
  <c r="C585" i="34" a="1"/>
  <c r="C585" i="34" s="1"/>
  <c r="C584" i="34" a="1"/>
  <c r="C584" i="34" s="1"/>
  <c r="C583" i="34" a="1"/>
  <c r="C583" i="34" s="1"/>
  <c r="C582" i="34" a="1"/>
  <c r="C582" i="34" s="1"/>
  <c r="C581" i="34" a="1"/>
  <c r="C581" i="34" s="1"/>
  <c r="C580" i="34"/>
  <c r="C580" i="34" a="1"/>
  <c r="C579" i="34" a="1"/>
  <c r="C579" i="34" s="1"/>
  <c r="C578" i="34" a="1"/>
  <c r="C578" i="34" s="1"/>
  <c r="C577" i="34" a="1"/>
  <c r="C577" i="34" s="1"/>
  <c r="C576" i="34" a="1"/>
  <c r="C576" i="34" s="1"/>
  <c r="C575" i="34" a="1"/>
  <c r="C575" i="34" s="1"/>
  <c r="C574" i="34" a="1"/>
  <c r="C574" i="34" s="1"/>
  <c r="C573" i="34" a="1"/>
  <c r="C573" i="34" s="1"/>
  <c r="C572" i="34" a="1"/>
  <c r="C572" i="34" s="1"/>
  <c r="C571" i="34" a="1"/>
  <c r="C571" i="34" s="1"/>
  <c r="C570" i="34" a="1"/>
  <c r="C570" i="34" s="1"/>
  <c r="C569" i="34" a="1"/>
  <c r="C569" i="34" s="1"/>
  <c r="C568" i="34" a="1"/>
  <c r="C568" i="34" s="1"/>
  <c r="C567" i="34" a="1"/>
  <c r="C567" i="34" s="1"/>
  <c r="C566" i="34" a="1"/>
  <c r="C566" i="34" s="1"/>
  <c r="C565" i="34" a="1"/>
  <c r="C565" i="34" s="1"/>
  <c r="C564" i="34" a="1"/>
  <c r="C564" i="34" s="1"/>
  <c r="C563" i="34" a="1"/>
  <c r="C563" i="34" s="1"/>
  <c r="C562" i="34" a="1"/>
  <c r="C562" i="34" s="1"/>
  <c r="C561" i="34" a="1"/>
  <c r="C561" i="34" s="1"/>
  <c r="C560" i="34" a="1"/>
  <c r="C560" i="34" s="1"/>
  <c r="C559" i="34" a="1"/>
  <c r="C559" i="34" s="1"/>
  <c r="C558" i="34" a="1"/>
  <c r="C558" i="34" s="1"/>
  <c r="C557" i="34" a="1"/>
  <c r="C557" i="34" s="1"/>
  <c r="C556" i="34" a="1"/>
  <c r="C556" i="34" s="1"/>
  <c r="C555" i="34" a="1"/>
  <c r="C555" i="34" s="1"/>
  <c r="C554" i="34" a="1"/>
  <c r="C554" i="34" s="1"/>
  <c r="C553" i="34" a="1"/>
  <c r="C553" i="34" s="1"/>
  <c r="C552" i="34" a="1"/>
  <c r="C552" i="34" s="1"/>
  <c r="C551" i="34" a="1"/>
  <c r="C551" i="34" s="1"/>
  <c r="C550" i="34"/>
  <c r="C550" i="34" a="1"/>
  <c r="C549" i="34" a="1"/>
  <c r="C549" i="34" s="1"/>
  <c r="C548" i="34" a="1"/>
  <c r="C548" i="34" s="1"/>
  <c r="C547" i="34" a="1"/>
  <c r="C547" i="34" s="1"/>
  <c r="C546" i="34" a="1"/>
  <c r="C546" i="34" s="1"/>
  <c r="C545" i="34" a="1"/>
  <c r="C545" i="34" s="1"/>
  <c r="C544" i="34" a="1"/>
  <c r="C544" i="34" s="1"/>
  <c r="C543" i="34" a="1"/>
  <c r="C543" i="34" s="1"/>
  <c r="C542" i="34" a="1"/>
  <c r="C542" i="34" s="1"/>
  <c r="C541" i="34" a="1"/>
  <c r="C541" i="34" s="1"/>
  <c r="C540" i="34" a="1"/>
  <c r="C540" i="34" s="1"/>
  <c r="C539" i="34" a="1"/>
  <c r="C539" i="34" s="1"/>
  <c r="C538" i="34" a="1"/>
  <c r="C538" i="34" s="1"/>
  <c r="C537" i="34" a="1"/>
  <c r="C537" i="34" s="1"/>
  <c r="C536" i="34" a="1"/>
  <c r="C536" i="34" s="1"/>
  <c r="C535" i="34" a="1"/>
  <c r="C535" i="34" s="1"/>
  <c r="C534" i="34" a="1"/>
  <c r="C534" i="34" s="1"/>
  <c r="C533" i="34" a="1"/>
  <c r="C533" i="34" s="1"/>
  <c r="C532" i="34" a="1"/>
  <c r="C532" i="34" s="1"/>
  <c r="C531" i="34" a="1"/>
  <c r="C531" i="34" s="1"/>
  <c r="C530" i="34"/>
  <c r="C530" i="34" a="1"/>
  <c r="C529" i="34" a="1"/>
  <c r="C529" i="34" s="1"/>
  <c r="C528" i="34" a="1"/>
  <c r="C528" i="34" s="1"/>
  <c r="C527" i="34" a="1"/>
  <c r="C527" i="34" s="1"/>
  <c r="C526" i="34" a="1"/>
  <c r="C526" i="34" s="1"/>
  <c r="C525" i="34" a="1"/>
  <c r="C525" i="34" s="1"/>
  <c r="C524" i="34" a="1"/>
  <c r="C524" i="34" s="1"/>
  <c r="C523" i="34" a="1"/>
  <c r="C523" i="34" s="1"/>
  <c r="C522" i="34" a="1"/>
  <c r="C522" i="34" s="1"/>
  <c r="C521" i="34"/>
  <c r="C521" i="34" a="1"/>
  <c r="C520" i="34" a="1"/>
  <c r="C520" i="34" s="1"/>
  <c r="C519" i="34" a="1"/>
  <c r="C519" i="34" s="1"/>
  <c r="C518" i="34" a="1"/>
  <c r="C518" i="34" s="1"/>
  <c r="C517" i="34" a="1"/>
  <c r="C517" i="34" s="1"/>
  <c r="C516" i="34" a="1"/>
  <c r="C516" i="34" s="1"/>
  <c r="C515" i="34" a="1"/>
  <c r="C515" i="34" s="1"/>
  <c r="C514" i="34" a="1"/>
  <c r="C514" i="34" s="1"/>
  <c r="C513" i="34" a="1"/>
  <c r="C513" i="34" s="1"/>
  <c r="C512" i="34" a="1"/>
  <c r="C512" i="34" s="1"/>
  <c r="C511" i="34" a="1"/>
  <c r="C511" i="34" s="1"/>
  <c r="C510" i="34" a="1"/>
  <c r="C510" i="34" s="1"/>
  <c r="C509" i="34" a="1"/>
  <c r="C509" i="34" s="1"/>
  <c r="C508" i="34" a="1"/>
  <c r="C508" i="34" s="1"/>
  <c r="C507" i="34" a="1"/>
  <c r="C507" i="34" s="1"/>
  <c r="C506" i="34" a="1"/>
  <c r="C506" i="34" s="1"/>
  <c r="C505" i="34" a="1"/>
  <c r="C505" i="34" s="1"/>
  <c r="C504" i="34" a="1"/>
  <c r="C504" i="34" s="1"/>
  <c r="C503" i="34" a="1"/>
  <c r="C503" i="34" s="1"/>
  <c r="C502" i="34" a="1"/>
  <c r="C502" i="34" s="1"/>
  <c r="C501" i="34"/>
  <c r="C501" i="34" a="1"/>
  <c r="C500" i="34" a="1"/>
  <c r="C500" i="34" s="1"/>
  <c r="C499" i="34" a="1"/>
  <c r="C499" i="34" s="1"/>
  <c r="C498" i="34" a="1"/>
  <c r="C498" i="34" s="1"/>
  <c r="C497" i="34" a="1"/>
  <c r="C497" i="34" s="1"/>
  <c r="C496" i="34" a="1"/>
  <c r="C496" i="34" s="1"/>
  <c r="C495" i="34" a="1"/>
  <c r="C495" i="34" s="1"/>
  <c r="C494" i="34" a="1"/>
  <c r="C494" i="34" s="1"/>
  <c r="C493" i="34" a="1"/>
  <c r="C493" i="34" s="1"/>
  <c r="C492" i="34" a="1"/>
  <c r="C492" i="34" s="1"/>
  <c r="C491" i="34" a="1"/>
  <c r="C491" i="34" s="1"/>
  <c r="C490" i="34" a="1"/>
  <c r="C490" i="34" s="1"/>
  <c r="C489" i="34" a="1"/>
  <c r="C489" i="34" s="1"/>
  <c r="C488" i="34" a="1"/>
  <c r="C488" i="34" s="1"/>
  <c r="C487" i="34" a="1"/>
  <c r="C487" i="34" s="1"/>
  <c r="C486" i="34" a="1"/>
  <c r="C486" i="34" s="1"/>
  <c r="C485" i="34" a="1"/>
  <c r="C485" i="34" s="1"/>
  <c r="C484" i="34" a="1"/>
  <c r="C484" i="34" s="1"/>
  <c r="C483" i="34" a="1"/>
  <c r="C483" i="34" s="1"/>
  <c r="C482" i="34" a="1"/>
  <c r="C482" i="34" s="1"/>
  <c r="C481" i="34" a="1"/>
  <c r="C481" i="34" s="1"/>
  <c r="C480" i="34" a="1"/>
  <c r="C480" i="34" s="1"/>
  <c r="C479" i="34" a="1"/>
  <c r="C479" i="34" s="1"/>
  <c r="C478" i="34" a="1"/>
  <c r="C478" i="34" s="1"/>
  <c r="C477" i="34" a="1"/>
  <c r="C477" i="34" s="1"/>
  <c r="C476" i="34" a="1"/>
  <c r="C476" i="34" s="1"/>
  <c r="C475" i="34" a="1"/>
  <c r="C475" i="34" s="1"/>
  <c r="C474" i="34" a="1"/>
  <c r="C474" i="34" s="1"/>
  <c r="C473" i="34" a="1"/>
  <c r="C473" i="34" s="1"/>
  <c r="C472" i="34"/>
  <c r="C472" i="34" a="1"/>
  <c r="C471" i="34"/>
  <c r="C471" i="34" a="1"/>
  <c r="C470" i="34" a="1"/>
  <c r="C470" i="34" s="1"/>
  <c r="C469" i="34" a="1"/>
  <c r="C469" i="34" s="1"/>
  <c r="C468" i="34" a="1"/>
  <c r="C468" i="34" s="1"/>
  <c r="C467" i="34" a="1"/>
  <c r="C467" i="34" s="1"/>
  <c r="C466" i="34" a="1"/>
  <c r="C466" i="34" s="1"/>
  <c r="C465" i="34" a="1"/>
  <c r="C465" i="34" s="1"/>
  <c r="C464" i="34" a="1"/>
  <c r="C464" i="34" s="1"/>
  <c r="C463" i="34" a="1"/>
  <c r="C463" i="34" s="1"/>
  <c r="C462" i="34" a="1"/>
  <c r="C462" i="34" s="1"/>
  <c r="C461" i="34" a="1"/>
  <c r="C461" i="34" s="1"/>
  <c r="C460" i="34" a="1"/>
  <c r="C460" i="34" s="1"/>
  <c r="C459" i="34" a="1"/>
  <c r="C459" i="34" s="1"/>
  <c r="C458" i="34" a="1"/>
  <c r="C458" i="34" s="1"/>
  <c r="C457" i="34" a="1"/>
  <c r="C457" i="34" s="1"/>
  <c r="C456" i="34" a="1"/>
  <c r="C456" i="34" s="1"/>
  <c r="C455" i="34" a="1"/>
  <c r="C455" i="34" s="1"/>
  <c r="C454" i="34" a="1"/>
  <c r="C454" i="34" s="1"/>
  <c r="C453" i="34" a="1"/>
  <c r="C453" i="34" s="1"/>
  <c r="C452" i="34" a="1"/>
  <c r="C452" i="34" s="1"/>
  <c r="C451" i="34" a="1"/>
  <c r="C451" i="34" s="1"/>
  <c r="C450" i="34" a="1"/>
  <c r="C450" i="34" s="1"/>
  <c r="C449" i="34" a="1"/>
  <c r="C449" i="34" s="1"/>
  <c r="C448" i="34" a="1"/>
  <c r="C448" i="34" s="1"/>
  <c r="C447" i="34" a="1"/>
  <c r="C447" i="34" s="1"/>
  <c r="C446" i="34" a="1"/>
  <c r="C446" i="34" s="1"/>
  <c r="C445" i="34" a="1"/>
  <c r="C445" i="34" s="1"/>
  <c r="C444" i="34" a="1"/>
  <c r="C444" i="34" s="1"/>
  <c r="C443" i="34" a="1"/>
  <c r="C443" i="34" s="1"/>
  <c r="C442" i="34"/>
  <c r="C442" i="34" a="1"/>
  <c r="C441" i="34" a="1"/>
  <c r="C441" i="34" s="1"/>
  <c r="C440" i="34" a="1"/>
  <c r="C440" i="34" s="1"/>
  <c r="C439" i="34" a="1"/>
  <c r="C439" i="34" s="1"/>
  <c r="C438" i="34" a="1"/>
  <c r="C438" i="34" s="1"/>
  <c r="C437" i="34" a="1"/>
  <c r="C437" i="34" s="1"/>
  <c r="C436" i="34" a="1"/>
  <c r="C436" i="34" s="1"/>
  <c r="C435" i="34" a="1"/>
  <c r="C435" i="34" s="1"/>
  <c r="C434" i="34" a="1"/>
  <c r="C434" i="34" s="1"/>
  <c r="C433" i="34" a="1"/>
  <c r="C433" i="34" s="1"/>
  <c r="C432" i="34" a="1"/>
  <c r="C432" i="34" s="1"/>
  <c r="C431" i="34" a="1"/>
  <c r="C431" i="34" s="1"/>
  <c r="C430" i="34" a="1"/>
  <c r="C430" i="34" s="1"/>
  <c r="C429" i="34" a="1"/>
  <c r="C429" i="34" s="1"/>
  <c r="C428" i="34" a="1"/>
  <c r="C428" i="34" s="1"/>
  <c r="C427" i="34" a="1"/>
  <c r="C427" i="34" s="1"/>
  <c r="C426" i="34" a="1"/>
  <c r="C426" i="34" s="1"/>
  <c r="C425" i="34" a="1"/>
  <c r="C425" i="34" s="1"/>
  <c r="C424" i="34" a="1"/>
  <c r="C424" i="34" s="1"/>
  <c r="C423" i="34" a="1"/>
  <c r="C423" i="34" s="1"/>
  <c r="C422" i="34"/>
  <c r="C422" i="34" a="1"/>
  <c r="C421" i="34" a="1"/>
  <c r="C421" i="34" s="1"/>
  <c r="C420" i="34" a="1"/>
  <c r="C420" i="34" s="1"/>
  <c r="C419" i="34" a="1"/>
  <c r="C419" i="34" s="1"/>
  <c r="C418" i="34" a="1"/>
  <c r="C418" i="34" s="1"/>
  <c r="C417" i="34" a="1"/>
  <c r="C417" i="34" s="1"/>
  <c r="C416" i="34" a="1"/>
  <c r="C416" i="34" s="1"/>
  <c r="C415" i="34" a="1"/>
  <c r="C415" i="34" s="1"/>
  <c r="C414" i="34" a="1"/>
  <c r="C414" i="34" s="1"/>
  <c r="C413" i="34"/>
  <c r="C413" i="34" a="1"/>
  <c r="C412" i="34" a="1"/>
  <c r="C412" i="34" s="1"/>
  <c r="C411" i="34" a="1"/>
  <c r="C411" i="34" s="1"/>
  <c r="C410" i="34" a="1"/>
  <c r="C410" i="34" s="1"/>
  <c r="C409" i="34" a="1"/>
  <c r="C409" i="34" s="1"/>
  <c r="C408" i="34" a="1"/>
  <c r="C408" i="34" s="1"/>
  <c r="C407" i="34" a="1"/>
  <c r="C407" i="34" s="1"/>
  <c r="C406" i="34" a="1"/>
  <c r="C406" i="34" s="1"/>
  <c r="C405" i="34" a="1"/>
  <c r="C405" i="34" s="1"/>
  <c r="C404" i="34" a="1"/>
  <c r="C404" i="34" s="1"/>
  <c r="C403" i="34" a="1"/>
  <c r="C403" i="34" s="1"/>
  <c r="C402" i="34" a="1"/>
  <c r="C402" i="34" s="1"/>
  <c r="C401" i="34" a="1"/>
  <c r="C401" i="34" s="1"/>
  <c r="C400" i="34" a="1"/>
  <c r="C400" i="34" s="1"/>
  <c r="C399" i="34" a="1"/>
  <c r="C399" i="34" s="1"/>
  <c r="C398" i="34" a="1"/>
  <c r="C398" i="34" s="1"/>
  <c r="C397" i="34" a="1"/>
  <c r="C397" i="34" s="1"/>
  <c r="C396" i="34" a="1"/>
  <c r="C396" i="34" s="1"/>
  <c r="C395" i="34" a="1"/>
  <c r="C395" i="34" s="1"/>
  <c r="C394" i="34" a="1"/>
  <c r="C394" i="34" s="1"/>
  <c r="C393" i="34"/>
  <c r="C393" i="34" a="1"/>
  <c r="C392" i="34" a="1"/>
  <c r="C392" i="34" s="1"/>
  <c r="C391" i="34" a="1"/>
  <c r="C391" i="34" s="1"/>
  <c r="C390" i="34" a="1"/>
  <c r="C390" i="34" s="1"/>
  <c r="C389" i="34" a="1"/>
  <c r="C389" i="34" s="1"/>
  <c r="C388" i="34" a="1"/>
  <c r="C388" i="34" s="1"/>
  <c r="C387" i="34" a="1"/>
  <c r="C387" i="34" s="1"/>
  <c r="C386" i="34" a="1"/>
  <c r="C386" i="34" s="1"/>
  <c r="C385" i="34" a="1"/>
  <c r="C385" i="34" s="1"/>
  <c r="C384" i="34" a="1"/>
  <c r="C384" i="34" s="1"/>
  <c r="C383" i="34" a="1"/>
  <c r="C383" i="34" s="1"/>
  <c r="C382" i="34" a="1"/>
  <c r="C382" i="34" s="1"/>
  <c r="C381" i="34" a="1"/>
  <c r="C381" i="34" s="1"/>
  <c r="C380" i="34" a="1"/>
  <c r="C380" i="34" s="1"/>
  <c r="C379" i="34" a="1"/>
  <c r="C379" i="34" s="1"/>
  <c r="C378" i="34" a="1"/>
  <c r="C378" i="34" s="1"/>
  <c r="C377" i="34" a="1"/>
  <c r="C377" i="34" s="1"/>
  <c r="C376" i="34" a="1"/>
  <c r="C376" i="34" s="1"/>
  <c r="C375" i="34" a="1"/>
  <c r="C375" i="34" s="1"/>
  <c r="C374" i="34" a="1"/>
  <c r="C374" i="34" s="1"/>
  <c r="C373" i="34" a="1"/>
  <c r="C373" i="34" s="1"/>
  <c r="C372" i="34" a="1"/>
  <c r="C372" i="34" s="1"/>
  <c r="C371" i="34" a="1"/>
  <c r="C371" i="34" s="1"/>
  <c r="C370" i="34" a="1"/>
  <c r="C370" i="34" s="1"/>
  <c r="C369" i="34" a="1"/>
  <c r="C369" i="34" s="1"/>
  <c r="C368" i="34" a="1"/>
  <c r="C368" i="34" s="1"/>
  <c r="C367" i="34" a="1"/>
  <c r="C367" i="34" s="1"/>
  <c r="C366" i="34" a="1"/>
  <c r="C366" i="34" s="1"/>
  <c r="C365" i="34" a="1"/>
  <c r="C365" i="34" s="1"/>
  <c r="C364" i="34"/>
  <c r="C364" i="34" a="1"/>
  <c r="C363" i="34"/>
  <c r="C363" i="34" a="1"/>
  <c r="C362" i="34" a="1"/>
  <c r="C362" i="34" s="1"/>
  <c r="C361" i="34" a="1"/>
  <c r="C361" i="34" s="1"/>
  <c r="C360" i="34" a="1"/>
  <c r="C360" i="34" s="1"/>
  <c r="C359" i="34" a="1"/>
  <c r="C359" i="34" s="1"/>
  <c r="C358" i="34" a="1"/>
  <c r="C358" i="34" s="1"/>
  <c r="C357" i="34" a="1"/>
  <c r="C357" i="34" s="1"/>
  <c r="C356" i="34" a="1"/>
  <c r="C356" i="34" s="1"/>
  <c r="C355" i="34" a="1"/>
  <c r="C355" i="34" s="1"/>
  <c r="C354" i="34" a="1"/>
  <c r="C354" i="34" s="1"/>
  <c r="C353" i="34" a="1"/>
  <c r="C353" i="34" s="1"/>
  <c r="C352" i="34" a="1"/>
  <c r="C352" i="34" s="1"/>
  <c r="C351" i="34" a="1"/>
  <c r="C351" i="34" s="1"/>
  <c r="C350" i="34" a="1"/>
  <c r="C350" i="34" s="1"/>
  <c r="C349" i="34" a="1"/>
  <c r="C349" i="34" s="1"/>
  <c r="C348" i="34" a="1"/>
  <c r="C348" i="34" s="1"/>
  <c r="C347" i="34" a="1"/>
  <c r="C347" i="34" s="1"/>
  <c r="C346" i="34" a="1"/>
  <c r="C346" i="34" s="1"/>
  <c r="C345" i="34" a="1"/>
  <c r="C345" i="34" s="1"/>
  <c r="C344" i="34" a="1"/>
  <c r="C344" i="34" s="1"/>
  <c r="C343" i="34" a="1"/>
  <c r="C343" i="34" s="1"/>
  <c r="C342" i="34" a="1"/>
  <c r="C342" i="34" s="1"/>
  <c r="C341" i="34" a="1"/>
  <c r="C341" i="34" s="1"/>
  <c r="C340" i="34" a="1"/>
  <c r="C340" i="34" s="1"/>
  <c r="C339" i="34" a="1"/>
  <c r="C339" i="34" s="1"/>
  <c r="C338" i="34" a="1"/>
  <c r="C338" i="34" s="1"/>
  <c r="C337" i="34" a="1"/>
  <c r="C337" i="34" s="1"/>
  <c r="C336" i="34" a="1"/>
  <c r="C336" i="34" s="1"/>
  <c r="C335" i="34" a="1"/>
  <c r="C335" i="34" s="1"/>
  <c r="C334" i="34"/>
  <c r="C334" i="34" a="1"/>
  <c r="C333" i="34" a="1"/>
  <c r="C333" i="34" s="1"/>
  <c r="C332" i="34" a="1"/>
  <c r="C332" i="34" s="1"/>
  <c r="C331" i="34" a="1"/>
  <c r="C331" i="34" s="1"/>
  <c r="C330" i="34" a="1"/>
  <c r="C330" i="34" s="1"/>
  <c r="C329" i="34" a="1"/>
  <c r="C329" i="34" s="1"/>
  <c r="C328" i="34" a="1"/>
  <c r="C328" i="34" s="1"/>
  <c r="C327" i="34" a="1"/>
  <c r="C327" i="34" s="1"/>
  <c r="C326" i="34" a="1"/>
  <c r="C326" i="34" s="1"/>
  <c r="C325" i="34" a="1"/>
  <c r="C325" i="34" s="1"/>
  <c r="C324" i="34" a="1"/>
  <c r="C324" i="34" s="1"/>
  <c r="C323" i="34" a="1"/>
  <c r="C323" i="34" s="1"/>
  <c r="C322" i="34" a="1"/>
  <c r="C322" i="34" s="1"/>
  <c r="C321" i="34" a="1"/>
  <c r="C321" i="34" s="1"/>
  <c r="C320" i="34" a="1"/>
  <c r="C320" i="34" s="1"/>
  <c r="C319" i="34" a="1"/>
  <c r="C319" i="34" s="1"/>
  <c r="C318" i="34" a="1"/>
  <c r="C318" i="34" s="1"/>
  <c r="C317" i="34" a="1"/>
  <c r="C317" i="34" s="1"/>
  <c r="C316" i="34" a="1"/>
  <c r="C316" i="34" s="1"/>
  <c r="C315" i="34" a="1"/>
  <c r="C315" i="34" s="1"/>
  <c r="C314" i="34"/>
  <c r="C314" i="34" a="1"/>
  <c r="C313" i="34" a="1"/>
  <c r="C313" i="34" s="1"/>
  <c r="C312" i="34" a="1"/>
  <c r="C312" i="34" s="1"/>
  <c r="C311" i="34" a="1"/>
  <c r="C311" i="34" s="1"/>
  <c r="C310" i="34" a="1"/>
  <c r="C310" i="34" s="1"/>
  <c r="C309" i="34" a="1"/>
  <c r="C309" i="34" s="1"/>
  <c r="C308" i="34" a="1"/>
  <c r="C308" i="34" s="1"/>
  <c r="C307" i="34" a="1"/>
  <c r="C307" i="34" s="1"/>
  <c r="C306" i="34" a="1"/>
  <c r="C306" i="34" s="1"/>
  <c r="C305" i="34"/>
  <c r="C305" i="34" a="1"/>
  <c r="C304" i="34" a="1"/>
  <c r="C304" i="34" s="1"/>
  <c r="C303" i="34" a="1"/>
  <c r="C303" i="34" s="1"/>
  <c r="C302" i="34" a="1"/>
  <c r="C302" i="34" s="1"/>
  <c r="C301" i="34" a="1"/>
  <c r="C301" i="34" s="1"/>
  <c r="C300" i="34" a="1"/>
  <c r="C300" i="34" s="1"/>
  <c r="C299" i="34" a="1"/>
  <c r="C299" i="34" s="1"/>
  <c r="C298" i="34" a="1"/>
  <c r="C298" i="34" s="1"/>
  <c r="C297" i="34" a="1"/>
  <c r="C297" i="34" s="1"/>
  <c r="C296" i="34" a="1"/>
  <c r="C296" i="34" s="1"/>
  <c r="C295" i="34" a="1"/>
  <c r="C295" i="34" s="1"/>
  <c r="C294" i="34" a="1"/>
  <c r="C294" i="34" s="1"/>
  <c r="C293" i="34" a="1"/>
  <c r="C293" i="34" s="1"/>
  <c r="C292" i="34" a="1"/>
  <c r="C292" i="34" s="1"/>
  <c r="C291" i="34" a="1"/>
  <c r="C291" i="34" s="1"/>
  <c r="C290" i="34" a="1"/>
  <c r="C290" i="34" s="1"/>
  <c r="C289" i="34" a="1"/>
  <c r="C289" i="34" s="1"/>
  <c r="C288" i="34" a="1"/>
  <c r="C288" i="34" s="1"/>
  <c r="C287" i="34" a="1"/>
  <c r="C287" i="34" s="1"/>
  <c r="C286" i="34" a="1"/>
  <c r="C286" i="34" s="1"/>
  <c r="C285" i="34"/>
  <c r="C285" i="34" a="1"/>
  <c r="C284" i="34" a="1"/>
  <c r="C284" i="34" s="1"/>
  <c r="C283" i="34" a="1"/>
  <c r="C283" i="34" s="1"/>
  <c r="C282" i="34" a="1"/>
  <c r="C282" i="34" s="1"/>
  <c r="C281" i="34" a="1"/>
  <c r="C281" i="34" s="1"/>
  <c r="C280" i="34" a="1"/>
  <c r="C280" i="34" s="1"/>
  <c r="C279" i="34" a="1"/>
  <c r="C279" i="34" s="1"/>
  <c r="C278" i="34" a="1"/>
  <c r="C278" i="34" s="1"/>
  <c r="C277" i="34" a="1"/>
  <c r="C277" i="34" s="1"/>
  <c r="C276" i="34" a="1"/>
  <c r="C276" i="34" s="1"/>
  <c r="C275" i="34" a="1"/>
  <c r="C275" i="34" s="1"/>
  <c r="C274" i="34" a="1"/>
  <c r="C274" i="34" s="1"/>
  <c r="C273" i="34" a="1"/>
  <c r="C273" i="34" s="1"/>
  <c r="C272" i="34" a="1"/>
  <c r="C272" i="34" s="1"/>
  <c r="C271" i="34" a="1"/>
  <c r="C271" i="34" s="1"/>
  <c r="C270" i="34" a="1"/>
  <c r="C270" i="34" s="1"/>
  <c r="C269" i="34" a="1"/>
  <c r="C269" i="34" s="1"/>
  <c r="C268" i="34" a="1"/>
  <c r="C268" i="34" s="1"/>
  <c r="C267" i="34" a="1"/>
  <c r="C267" i="34" s="1"/>
  <c r="C266" i="34" a="1"/>
  <c r="C266" i="34" s="1"/>
  <c r="C265" i="34" a="1"/>
  <c r="C265" i="34" s="1"/>
  <c r="C264" i="34" a="1"/>
  <c r="C264" i="34" s="1"/>
  <c r="C263" i="34" a="1"/>
  <c r="C263" i="34" s="1"/>
  <c r="C262" i="34" a="1"/>
  <c r="C262" i="34" s="1"/>
  <c r="C261" i="34" a="1"/>
  <c r="C261" i="34" s="1"/>
  <c r="C260" i="34" a="1"/>
  <c r="C260" i="34" s="1"/>
  <c r="C259" i="34" a="1"/>
  <c r="C259" i="34" s="1"/>
  <c r="C258" i="34" a="1"/>
  <c r="C258" i="34" s="1"/>
  <c r="C257" i="34" a="1"/>
  <c r="C257" i="34" s="1"/>
  <c r="C256" i="34"/>
  <c r="C256" i="34" a="1"/>
  <c r="C255" i="34"/>
  <c r="C255" i="34" a="1"/>
  <c r="C254" i="34" a="1"/>
  <c r="C254" i="34" s="1"/>
  <c r="C253" i="34" a="1"/>
  <c r="C253" i="34" s="1"/>
  <c r="C252" i="34" a="1"/>
  <c r="C252" i="34" s="1"/>
  <c r="C251" i="34" a="1"/>
  <c r="C251" i="34" s="1"/>
  <c r="C250" i="34" a="1"/>
  <c r="C250" i="34" s="1"/>
  <c r="C249" i="34" a="1"/>
  <c r="C249" i="34" s="1"/>
  <c r="C248" i="34" a="1"/>
  <c r="C248" i="34" s="1"/>
  <c r="C247" i="34" a="1"/>
  <c r="C247" i="34" s="1"/>
  <c r="C246" i="34" a="1"/>
  <c r="C246" i="34" s="1"/>
  <c r="C245" i="34" a="1"/>
  <c r="C245" i="34" s="1"/>
  <c r="C244" i="34" a="1"/>
  <c r="C244" i="34" s="1"/>
  <c r="C243" i="34" a="1"/>
  <c r="C243" i="34" s="1"/>
  <c r="C242" i="34" a="1"/>
  <c r="C242" i="34" s="1"/>
  <c r="C241" i="34" a="1"/>
  <c r="C241" i="34" s="1"/>
  <c r="C240" i="34" a="1"/>
  <c r="C240" i="34" s="1"/>
  <c r="C239" i="34" a="1"/>
  <c r="C239" i="34" s="1"/>
  <c r="C238" i="34" a="1"/>
  <c r="C238" i="34" s="1"/>
  <c r="C237" i="34" a="1"/>
  <c r="C237" i="34" s="1"/>
  <c r="C236" i="34" a="1"/>
  <c r="C236" i="34" s="1"/>
  <c r="C235" i="34" a="1"/>
  <c r="C235" i="34" s="1"/>
  <c r="C234" i="34" a="1"/>
  <c r="C234" i="34" s="1"/>
  <c r="C233" i="34" a="1"/>
  <c r="C233" i="34" s="1"/>
  <c r="C232" i="34" a="1"/>
  <c r="C232" i="34" s="1"/>
  <c r="C231" i="34" a="1"/>
  <c r="C231" i="34" s="1"/>
  <c r="C230" i="34" a="1"/>
  <c r="C230" i="34" s="1"/>
  <c r="C229" i="34" a="1"/>
  <c r="C229" i="34" s="1"/>
  <c r="C228" i="34" a="1"/>
  <c r="C228" i="34" s="1"/>
  <c r="C227" i="34" a="1"/>
  <c r="C227" i="34" s="1"/>
  <c r="C226" i="34" a="1"/>
  <c r="C226" i="34" s="1"/>
  <c r="C225" i="34" a="1"/>
  <c r="C225" i="34" s="1"/>
  <c r="C224" i="34" a="1"/>
  <c r="C224" i="34" s="1"/>
  <c r="C223" i="34" a="1"/>
  <c r="C223" i="34" s="1"/>
  <c r="C222" i="34" a="1"/>
  <c r="C222" i="34" s="1"/>
  <c r="C221" i="34" a="1"/>
  <c r="C221" i="34" s="1"/>
  <c r="C220" i="34" a="1"/>
  <c r="C220" i="34" s="1"/>
  <c r="C219" i="34" a="1"/>
  <c r="C219" i="34" s="1"/>
  <c r="C218" i="34" a="1"/>
  <c r="C218" i="34" s="1"/>
  <c r="C217" i="34" a="1"/>
  <c r="C217" i="34" s="1"/>
  <c r="C216" i="34" a="1"/>
  <c r="C216" i="34" s="1"/>
  <c r="C215" i="34" a="1"/>
  <c r="C215" i="34" s="1"/>
  <c r="C214" i="34" a="1"/>
  <c r="C214" i="34" s="1"/>
  <c r="C213" i="34" a="1"/>
  <c r="C213" i="34" s="1"/>
  <c r="C212" i="34" a="1"/>
  <c r="C212" i="34" s="1"/>
  <c r="C211" i="34" a="1"/>
  <c r="C211" i="34" s="1"/>
  <c r="C210" i="34" a="1"/>
  <c r="C210" i="34" s="1"/>
  <c r="C209" i="34" a="1"/>
  <c r="C209" i="34" s="1"/>
  <c r="C208" i="34" a="1"/>
  <c r="C208" i="34" s="1"/>
  <c r="C207" i="34" a="1"/>
  <c r="C207" i="34" s="1"/>
  <c r="C206" i="34"/>
  <c r="C206" i="34" a="1"/>
  <c r="C205" i="34" a="1"/>
  <c r="C205" i="34" s="1"/>
  <c r="C204" i="34" a="1"/>
  <c r="C204" i="34" s="1"/>
  <c r="C203" i="34" a="1"/>
  <c r="C203" i="34" s="1"/>
  <c r="C202" i="34" a="1"/>
  <c r="C202" i="34" s="1"/>
  <c r="C201" i="34" a="1"/>
  <c r="C201" i="34" s="1"/>
  <c r="C200" i="34" a="1"/>
  <c r="C200" i="34" s="1"/>
  <c r="C199" i="34" a="1"/>
  <c r="C199" i="34" s="1"/>
  <c r="C198" i="34" a="1"/>
  <c r="C198" i="34" s="1"/>
  <c r="C197" i="34"/>
  <c r="C197" i="34" a="1"/>
  <c r="C196" i="34" a="1"/>
  <c r="C196" i="34" s="1"/>
  <c r="C195" i="34" a="1"/>
  <c r="C195" i="34" s="1"/>
  <c r="C194" i="34" a="1"/>
  <c r="C194" i="34" s="1"/>
  <c r="C193" i="34" a="1"/>
  <c r="C193" i="34" s="1"/>
  <c r="C192" i="34" a="1"/>
  <c r="C192" i="34" s="1"/>
  <c r="C191" i="34" a="1"/>
  <c r="C191" i="34" s="1"/>
  <c r="C190" i="34" a="1"/>
  <c r="C190" i="34" s="1"/>
  <c r="C189" i="34" a="1"/>
  <c r="C189" i="34" s="1"/>
  <c r="C188" i="34" a="1"/>
  <c r="C188" i="34" s="1"/>
  <c r="C187" i="34" a="1"/>
  <c r="C187" i="34" s="1"/>
  <c r="C186" i="34" a="1"/>
  <c r="C186" i="34" s="1"/>
  <c r="C185" i="34" a="1"/>
  <c r="C185" i="34" s="1"/>
  <c r="C184" i="34" a="1"/>
  <c r="C184" i="34" s="1"/>
  <c r="C183" i="34" a="1"/>
  <c r="C183" i="34" s="1"/>
  <c r="C182" i="34" a="1"/>
  <c r="C182" i="34" s="1"/>
  <c r="C181" i="34" a="1"/>
  <c r="C181" i="34" s="1"/>
  <c r="C180" i="34" a="1"/>
  <c r="C180" i="34" s="1"/>
  <c r="C179" i="34" a="1"/>
  <c r="C179" i="34" s="1"/>
  <c r="C178" i="34" a="1"/>
  <c r="C178" i="34" s="1"/>
  <c r="C177" i="34"/>
  <c r="C177" i="34" a="1"/>
  <c r="C176" i="34" a="1"/>
  <c r="C176" i="34" s="1"/>
  <c r="C175" i="34" a="1"/>
  <c r="C175" i="34" s="1"/>
  <c r="C174" i="34" a="1"/>
  <c r="C174" i="34" s="1"/>
  <c r="C173" i="34" a="1"/>
  <c r="C173" i="34" s="1"/>
  <c r="C172" i="34" a="1"/>
  <c r="C172" i="34" s="1"/>
  <c r="C171" i="34" a="1"/>
  <c r="C171" i="34" s="1"/>
  <c r="C170" i="34" a="1"/>
  <c r="C170" i="34" s="1"/>
  <c r="C169" i="34"/>
  <c r="C169" i="34" a="1"/>
  <c r="C168" i="34" a="1"/>
  <c r="C168" i="34" s="1"/>
  <c r="C167" i="34" a="1"/>
  <c r="C167" i="34" s="1"/>
  <c r="C166" i="34" a="1"/>
  <c r="C166" i="34" s="1"/>
  <c r="C165" i="34" a="1"/>
  <c r="C165" i="34" s="1"/>
  <c r="C164" i="34" a="1"/>
  <c r="C164" i="34" s="1"/>
  <c r="C163" i="34" a="1"/>
  <c r="C163" i="34" s="1"/>
  <c r="C162" i="34" a="1"/>
  <c r="C162" i="34" s="1"/>
  <c r="C161" i="34" a="1"/>
  <c r="C161" i="34" s="1"/>
  <c r="C160" i="34" a="1"/>
  <c r="C160" i="34" s="1"/>
  <c r="C159" i="34" a="1"/>
  <c r="C159" i="34" s="1"/>
  <c r="C158" i="34"/>
  <c r="C158" i="34" a="1"/>
  <c r="C157" i="34" a="1"/>
  <c r="C157" i="34" s="1"/>
  <c r="C156" i="34" a="1"/>
  <c r="C156" i="34" s="1"/>
  <c r="C155" i="34" a="1"/>
  <c r="C155" i="34" s="1"/>
  <c r="C154" i="34" a="1"/>
  <c r="C154" i="34" s="1"/>
  <c r="C153" i="34" a="1"/>
  <c r="C153" i="34" s="1"/>
  <c r="C152" i="34" a="1"/>
  <c r="C152" i="34" s="1"/>
  <c r="C151" i="34"/>
  <c r="C151" i="34" a="1"/>
  <c r="C150" i="34" a="1"/>
  <c r="C150" i="34" s="1"/>
  <c r="C149" i="34" a="1"/>
  <c r="C149" i="34" s="1"/>
  <c r="C148" i="34" a="1"/>
  <c r="C148" i="34" s="1"/>
  <c r="C147" i="34" a="1"/>
  <c r="C147" i="34" s="1"/>
  <c r="C146" i="34" a="1"/>
  <c r="C146" i="34" s="1"/>
  <c r="C145" i="34" a="1"/>
  <c r="C145" i="34" s="1"/>
  <c r="C144" i="34" a="1"/>
  <c r="C144" i="34" s="1"/>
  <c r="C143" i="34" a="1"/>
  <c r="C143" i="34" s="1"/>
  <c r="C142" i="34" a="1"/>
  <c r="C142" i="34" s="1"/>
  <c r="C141" i="34" a="1"/>
  <c r="C141" i="34" s="1"/>
  <c r="C140" i="34"/>
  <c r="C140" i="34" a="1"/>
  <c r="C139" i="34" a="1"/>
  <c r="C139" i="34" s="1"/>
  <c r="C138" i="34" a="1"/>
  <c r="C138" i="34" s="1"/>
  <c r="C137" i="34" a="1"/>
  <c r="C137" i="34" s="1"/>
  <c r="C136" i="34" a="1"/>
  <c r="C136" i="34" s="1"/>
  <c r="C135" i="34" a="1"/>
  <c r="C135" i="34" s="1"/>
  <c r="C134" i="34" a="1"/>
  <c r="C134" i="34" s="1"/>
  <c r="C133" i="34"/>
  <c r="C133" i="34" a="1"/>
  <c r="C132" i="34" a="1"/>
  <c r="C132" i="34" s="1"/>
  <c r="C131" i="34" a="1"/>
  <c r="C131" i="34" s="1"/>
  <c r="C130" i="34" a="1"/>
  <c r="C130" i="34" s="1"/>
  <c r="C129" i="34" a="1"/>
  <c r="C129" i="34" s="1"/>
  <c r="C128" i="34" a="1"/>
  <c r="C128" i="34" s="1"/>
  <c r="C127" i="34" a="1"/>
  <c r="C127" i="34" s="1"/>
  <c r="C126" i="34" a="1"/>
  <c r="C126" i="34" s="1"/>
  <c r="C125" i="34" a="1"/>
  <c r="C125" i="34" s="1"/>
  <c r="C124" i="34" a="1"/>
  <c r="C124" i="34" s="1"/>
  <c r="C123" i="34" a="1"/>
  <c r="C123" i="34" s="1"/>
  <c r="C122" i="34"/>
  <c r="C122" i="34" a="1"/>
  <c r="C121" i="34" a="1"/>
  <c r="C121" i="34" s="1"/>
  <c r="C120" i="34" a="1"/>
  <c r="C120" i="34" s="1"/>
  <c r="C119" i="34" a="1"/>
  <c r="C119" i="34" s="1"/>
  <c r="C118" i="34" a="1"/>
  <c r="C118" i="34" s="1"/>
  <c r="C117" i="34" a="1"/>
  <c r="C117" i="34" s="1"/>
  <c r="C116" i="34" a="1"/>
  <c r="C116" i="34" s="1"/>
  <c r="C115" i="34"/>
  <c r="C115" i="34" a="1"/>
  <c r="C114" i="34" a="1"/>
  <c r="C114" i="34" s="1"/>
  <c r="C113" i="34" a="1"/>
  <c r="C113" i="34" s="1"/>
  <c r="C112" i="34" a="1"/>
  <c r="C112" i="34" s="1"/>
  <c r="C111" i="34" a="1"/>
  <c r="C111" i="34" s="1"/>
  <c r="C110" i="34" a="1"/>
  <c r="C110" i="34" s="1"/>
  <c r="C109" i="34" a="1"/>
  <c r="C109" i="34" s="1"/>
  <c r="C108" i="34" a="1"/>
  <c r="C108" i="34" s="1"/>
  <c r="C107" i="34" a="1"/>
  <c r="C107" i="34" s="1"/>
  <c r="C106" i="34" a="1"/>
  <c r="C106" i="34" s="1"/>
  <c r="C105" i="34" a="1"/>
  <c r="C105" i="34" s="1"/>
  <c r="C104" i="34"/>
  <c r="C104" i="34" a="1"/>
  <c r="C103" i="34" a="1"/>
  <c r="C103" i="34" s="1"/>
  <c r="C102" i="34" a="1"/>
  <c r="C102" i="34" s="1"/>
  <c r="C101" i="34" a="1"/>
  <c r="C101" i="34" s="1"/>
  <c r="C100" i="34" a="1"/>
  <c r="C100" i="34" s="1"/>
  <c r="C99" i="34" a="1"/>
  <c r="C99" i="34" s="1"/>
  <c r="C98" i="34" a="1"/>
  <c r="C98" i="34" s="1"/>
  <c r="C97" i="34"/>
  <c r="C97" i="34" a="1"/>
  <c r="C96" i="34" a="1"/>
  <c r="C96" i="34" s="1"/>
  <c r="C95" i="34" a="1"/>
  <c r="C95" i="34" s="1"/>
  <c r="C94" i="34" a="1"/>
  <c r="C94" i="34" s="1"/>
  <c r="C93" i="34" a="1"/>
  <c r="C93" i="34" s="1"/>
  <c r="C92" i="34" a="1"/>
  <c r="C92" i="34" s="1"/>
  <c r="C91" i="34" a="1"/>
  <c r="C91" i="34" s="1"/>
  <c r="C90" i="34" a="1"/>
  <c r="C90" i="34" s="1"/>
  <c r="C89" i="34" a="1"/>
  <c r="C89" i="34" s="1"/>
  <c r="C88" i="34" a="1"/>
  <c r="C88" i="34" s="1"/>
  <c r="C87" i="34"/>
  <c r="C87" i="34" a="1"/>
  <c r="C86" i="34"/>
  <c r="C86" i="34" a="1"/>
  <c r="C85" i="34" a="1"/>
  <c r="C85" i="34" s="1"/>
  <c r="C84" i="34" a="1"/>
  <c r="C84" i="34" s="1"/>
  <c r="C83" i="34" a="1"/>
  <c r="C83" i="34" s="1"/>
  <c r="C82" i="34" a="1"/>
  <c r="C82" i="34" s="1"/>
  <c r="C81" i="34" a="1"/>
  <c r="C81" i="34" s="1"/>
  <c r="C80" i="34"/>
  <c r="C80" i="34" a="1"/>
  <c r="C79" i="34"/>
  <c r="C79" i="34" a="1"/>
  <c r="C78" i="34" a="1"/>
  <c r="C78" i="34" s="1"/>
  <c r="C77" i="34" a="1"/>
  <c r="C77" i="34" s="1"/>
  <c r="C76" i="34" a="1"/>
  <c r="C76" i="34" s="1"/>
  <c r="C75" i="34" a="1"/>
  <c r="C75" i="34" s="1"/>
  <c r="C74" i="34" a="1"/>
  <c r="C74" i="34" s="1"/>
  <c r="C73" i="34" a="1"/>
  <c r="C73" i="34" s="1"/>
  <c r="C72" i="34" a="1"/>
  <c r="C72" i="34" s="1"/>
  <c r="C71" i="34" a="1"/>
  <c r="C71" i="34" s="1"/>
  <c r="C70" i="34" a="1"/>
  <c r="C70" i="34" s="1"/>
  <c r="C69" i="34" a="1"/>
  <c r="C69" i="34" s="1"/>
  <c r="C68" i="34" a="1"/>
  <c r="C68" i="34" s="1"/>
  <c r="C67" i="34" a="1"/>
  <c r="C67" i="34" s="1"/>
  <c r="C66" i="34" a="1"/>
  <c r="C66" i="34" s="1"/>
  <c r="C65" i="34" a="1"/>
  <c r="C65" i="34" s="1"/>
  <c r="C64" i="34" a="1"/>
  <c r="C64" i="34" s="1"/>
  <c r="C63" i="34"/>
  <c r="C63" i="34" a="1"/>
  <c r="C62" i="34"/>
  <c r="C62" i="34" a="1"/>
  <c r="C61" i="34" a="1"/>
  <c r="C61" i="34" s="1"/>
  <c r="C60" i="34" a="1"/>
  <c r="C60" i="34" s="1"/>
  <c r="C59" i="34" a="1"/>
  <c r="C59" i="34" s="1"/>
  <c r="C58" i="34" a="1"/>
  <c r="C58" i="34" s="1"/>
  <c r="C57" i="34" a="1"/>
  <c r="C57" i="34" s="1"/>
  <c r="C56" i="34"/>
  <c r="C56" i="34" a="1"/>
  <c r="C55" i="34"/>
  <c r="C55" i="34" a="1"/>
  <c r="C54" i="34" a="1"/>
  <c r="C54" i="34" s="1"/>
  <c r="C53" i="34" a="1"/>
  <c r="C53" i="34" s="1"/>
  <c r="C52" i="34" a="1"/>
  <c r="C52" i="34" s="1"/>
  <c r="C51" i="34" a="1"/>
  <c r="C51" i="34" s="1"/>
  <c r="C50" i="34" a="1"/>
  <c r="C50" i="34" s="1"/>
  <c r="C49" i="34" a="1"/>
  <c r="C49" i="34" s="1"/>
  <c r="C48" i="34" a="1"/>
  <c r="C48" i="34" s="1"/>
  <c r="C47" i="34" a="1"/>
  <c r="C47" i="34" s="1"/>
  <c r="C46" i="34" a="1"/>
  <c r="C46" i="34" s="1"/>
  <c r="C45" i="34" a="1"/>
  <c r="C45" i="34" s="1"/>
  <c r="C44" i="34" a="1"/>
  <c r="C44" i="34" s="1"/>
  <c r="C43" i="34" a="1"/>
  <c r="C43" i="34" s="1"/>
  <c r="C42" i="34" a="1"/>
  <c r="C42" i="34" s="1"/>
  <c r="C41" i="34" a="1"/>
  <c r="C41" i="34" s="1"/>
  <c r="C40" i="34" a="1"/>
  <c r="C40" i="34" s="1"/>
  <c r="C39" i="34"/>
  <c r="C39" i="34" a="1"/>
  <c r="C38" i="34"/>
  <c r="C38" i="34" a="1"/>
  <c r="C37" i="34" a="1"/>
  <c r="C37" i="34" s="1"/>
  <c r="C36" i="34" a="1"/>
  <c r="C36" i="34" s="1"/>
  <c r="C35" i="34" a="1"/>
  <c r="C35" i="34" s="1"/>
  <c r="C34" i="34" a="1"/>
  <c r="C34" i="34" s="1"/>
  <c r="C33" i="34" a="1"/>
  <c r="C33" i="34" s="1"/>
  <c r="C32" i="34"/>
  <c r="C32" i="34" a="1"/>
  <c r="C31" i="34"/>
  <c r="C31" i="34" a="1"/>
  <c r="C30" i="34" a="1"/>
  <c r="C30" i="34" s="1"/>
  <c r="C29" i="34" a="1"/>
  <c r="C29" i="34" s="1"/>
  <c r="C28" i="34" a="1"/>
  <c r="C28" i="34" s="1"/>
  <c r="C27" i="34" a="1"/>
  <c r="C27" i="34" s="1"/>
  <c r="C26" i="34" a="1"/>
  <c r="C26" i="34" s="1"/>
  <c r="C25" i="34" a="1"/>
  <c r="C25" i="34" s="1"/>
  <c r="C24" i="34" a="1"/>
  <c r="C24" i="34" s="1"/>
  <c r="C23" i="34" a="1"/>
  <c r="C23" i="34" s="1"/>
  <c r="C22" i="34" a="1"/>
  <c r="C22" i="34" s="1"/>
  <c r="C21" i="34" a="1"/>
  <c r="C21" i="34" s="1"/>
  <c r="C20" i="34" a="1"/>
  <c r="C20" i="34" s="1"/>
  <c r="C19" i="34" a="1"/>
  <c r="C19" i="34" s="1"/>
  <c r="C18" i="34" a="1"/>
  <c r="C18" i="34" s="1"/>
  <c r="C17" i="34" a="1"/>
  <c r="C17" i="34" s="1"/>
  <c r="C16" i="34" a="1"/>
  <c r="C16" i="34" s="1"/>
  <c r="C15" i="34"/>
  <c r="C15" i="34" a="1"/>
  <c r="C14" i="34"/>
  <c r="C14" i="34" a="1"/>
  <c r="C13" i="34" a="1"/>
  <c r="C13" i="34" s="1"/>
  <c r="C12" i="34" a="1"/>
  <c r="C12" i="34" s="1"/>
  <c r="C11" i="34" a="1"/>
  <c r="C11" i="34" s="1"/>
  <c r="C10" i="34" a="1"/>
  <c r="C10" i="34" s="1"/>
  <c r="C9" i="34" a="1"/>
  <c r="C9" i="34" s="1"/>
  <c r="C8" i="34"/>
  <c r="C8" i="34" a="1"/>
  <c r="C7" i="34"/>
  <c r="C7" i="34" a="1"/>
  <c r="C6" i="34" a="1"/>
  <c r="C6" i="34" s="1"/>
  <c r="C5" i="34" a="1"/>
  <c r="C5" i="34" s="1"/>
  <c r="C4" i="34" a="1"/>
  <c r="C4" i="34" s="1"/>
  <c r="C3" i="34" a="1"/>
  <c r="C3" i="34" s="1"/>
  <c r="C2" i="34" a="1"/>
  <c r="C2" i="34" s="1"/>
  <c r="A2" i="33" a="1"/>
  <c r="A2" i="33" s="1"/>
  <c r="Y1" i="38" a="1"/>
  <c r="Y1" i="38" s="1"/>
  <c r="C3" i="38" a="1"/>
  <c r="C3" i="38" s="1"/>
  <c r="C4" i="38" a="1"/>
  <c r="C4" i="38" s="1"/>
  <c r="C5" i="38" a="1"/>
  <c r="C5" i="38"/>
  <c r="C6" i="38" a="1"/>
  <c r="C6" i="38" s="1"/>
  <c r="C7" i="38" a="1"/>
  <c r="C7" i="38" s="1"/>
  <c r="C8" i="38" a="1"/>
  <c r="C8" i="38" s="1"/>
  <c r="C9" i="38" a="1"/>
  <c r="C9" i="38" s="1"/>
  <c r="C10" i="38" a="1"/>
  <c r="C10" i="38" s="1"/>
  <c r="C11" i="38" a="1"/>
  <c r="C11" i="38"/>
  <c r="C12" i="38" a="1"/>
  <c r="C12" i="38" s="1"/>
  <c r="C13" i="38" a="1"/>
  <c r="C13" i="38" s="1"/>
  <c r="C14" i="38" a="1"/>
  <c r="C14" i="38" s="1"/>
  <c r="C15" i="38" a="1"/>
  <c r="C15" i="38" s="1"/>
  <c r="C16" i="38" a="1"/>
  <c r="C16" i="38" s="1"/>
  <c r="C17" i="38" a="1"/>
  <c r="C17" i="38"/>
  <c r="C18" i="38" a="1"/>
  <c r="C18" i="38" s="1"/>
  <c r="C19" i="38" a="1"/>
  <c r="C19" i="38" s="1"/>
  <c r="C20" i="38" a="1"/>
  <c r="C20" i="38"/>
  <c r="C21" i="38" a="1"/>
  <c r="C21" i="38" s="1"/>
  <c r="C22" i="38" a="1"/>
  <c r="C22" i="38" s="1"/>
  <c r="C23" i="38" a="1"/>
  <c r="C23" i="38" s="1"/>
  <c r="C24" i="38" a="1"/>
  <c r="C24" i="38" s="1"/>
  <c r="C25" i="38" a="1"/>
  <c r="C25" i="38" s="1"/>
  <c r="C26" i="38" a="1"/>
  <c r="C26" i="38" s="1"/>
  <c r="C27" i="38" a="1"/>
  <c r="C27" i="38" s="1"/>
  <c r="C28" i="38" a="1"/>
  <c r="C28" i="38" s="1"/>
  <c r="C29" i="38" a="1"/>
  <c r="C29" i="38" s="1"/>
  <c r="C30" i="38" a="1"/>
  <c r="C30" i="38" s="1"/>
  <c r="C31" i="38" a="1"/>
  <c r="C31" i="38" s="1"/>
  <c r="C32" i="38" a="1"/>
  <c r="C32" i="38" s="1"/>
  <c r="C33" i="38" a="1"/>
  <c r="C33" i="38" s="1"/>
  <c r="C34" i="38" a="1"/>
  <c r="C34" i="38" s="1"/>
  <c r="C35" i="38" a="1"/>
  <c r="C35" i="38" s="1"/>
  <c r="C36" i="38" a="1"/>
  <c r="C36" i="38" s="1"/>
  <c r="C37" i="38" a="1"/>
  <c r="C37" i="38" s="1"/>
  <c r="C38" i="38" a="1"/>
  <c r="C38" i="38" s="1"/>
  <c r="C39" i="38" a="1"/>
  <c r="C39" i="38" s="1"/>
  <c r="C40" i="38" a="1"/>
  <c r="C40" i="38" s="1"/>
  <c r="C41" i="38" a="1"/>
  <c r="C41" i="38" s="1"/>
  <c r="C42" i="38" a="1"/>
  <c r="C42" i="38" s="1"/>
  <c r="C43" i="38" a="1"/>
  <c r="C43" i="38" s="1"/>
  <c r="C44" i="38" a="1"/>
  <c r="C44" i="38" s="1"/>
  <c r="C45" i="38" a="1"/>
  <c r="C45" i="38" s="1"/>
  <c r="C46" i="38" a="1"/>
  <c r="C46" i="38" s="1"/>
  <c r="C47" i="38" a="1"/>
  <c r="C47" i="38" s="1"/>
  <c r="C48" i="38" a="1"/>
  <c r="C48" i="38" s="1"/>
  <c r="C49" i="38" a="1"/>
  <c r="C49" i="38" s="1"/>
  <c r="C50" i="38" a="1"/>
  <c r="C50" i="38" s="1"/>
  <c r="C51" i="38" a="1"/>
  <c r="C51" i="38" s="1"/>
  <c r="C52" i="38" a="1"/>
  <c r="C52" i="38" s="1"/>
  <c r="C53" i="38" a="1"/>
  <c r="C53" i="38" s="1"/>
  <c r="C54" i="38" a="1"/>
  <c r="C54" i="38" s="1"/>
  <c r="C55" i="38" a="1"/>
  <c r="C55" i="38" s="1"/>
  <c r="C56" i="38" a="1"/>
  <c r="C56" i="38" s="1"/>
  <c r="C57" i="38" a="1"/>
  <c r="C57" i="38" s="1"/>
  <c r="C58" i="38" a="1"/>
  <c r="C58" i="38" s="1"/>
  <c r="C59" i="38" a="1"/>
  <c r="C59" i="38" s="1"/>
  <c r="C60" i="38" a="1"/>
  <c r="C60" i="38" s="1"/>
  <c r="C61" i="38" a="1"/>
  <c r="C61" i="38" s="1"/>
  <c r="C62" i="38" a="1"/>
  <c r="C62" i="38" s="1"/>
  <c r="C63" i="38" a="1"/>
  <c r="C63" i="38" s="1"/>
  <c r="C64" i="38" a="1"/>
  <c r="C64" i="38" s="1"/>
  <c r="C65" i="38" a="1"/>
  <c r="C65" i="38" s="1"/>
  <c r="C66" i="38" a="1"/>
  <c r="C66" i="38" s="1"/>
  <c r="C67" i="38" a="1"/>
  <c r="C67" i="38" s="1"/>
  <c r="C68" i="38" a="1"/>
  <c r="C68" i="38" s="1"/>
  <c r="C69" i="38" a="1"/>
  <c r="C69" i="38" s="1"/>
  <c r="C70" i="38" a="1"/>
  <c r="C70" i="38" s="1"/>
  <c r="C71" i="38" a="1"/>
  <c r="C71" i="38" s="1"/>
  <c r="C72" i="38" a="1"/>
  <c r="C72" i="38" s="1"/>
  <c r="C73" i="38" a="1"/>
  <c r="C73" i="38" s="1"/>
  <c r="C74" i="38" a="1"/>
  <c r="C74" i="38" s="1"/>
  <c r="C75" i="38" a="1"/>
  <c r="C75" i="38" s="1"/>
  <c r="C76" i="38" a="1"/>
  <c r="C76" i="38" s="1"/>
  <c r="C77" i="38" a="1"/>
  <c r="C77" i="38" s="1"/>
  <c r="C78" i="38" a="1"/>
  <c r="C78" i="38" s="1"/>
  <c r="C79" i="38" a="1"/>
  <c r="C79" i="38" s="1"/>
  <c r="C80" i="38" a="1"/>
  <c r="C80" i="38"/>
  <c r="C81" i="38" a="1"/>
  <c r="C81" i="38" s="1"/>
  <c r="C82" i="38" a="1"/>
  <c r="C82" i="38" s="1"/>
  <c r="C83" i="38" a="1"/>
  <c r="C83" i="38" s="1"/>
  <c r="C84" i="38" a="1"/>
  <c r="C84" i="38" s="1"/>
  <c r="C85" i="38" a="1"/>
  <c r="C85" i="38" s="1"/>
  <c r="C86" i="38" a="1"/>
  <c r="C86" i="38" s="1"/>
  <c r="C87" i="38" a="1"/>
  <c r="C87" i="38" s="1"/>
  <c r="C88" i="38" a="1"/>
  <c r="C88" i="38" s="1"/>
  <c r="C89" i="38" a="1"/>
  <c r="C89" i="38" s="1"/>
  <c r="C90" i="38" a="1"/>
  <c r="C90" i="38" s="1"/>
  <c r="C91" i="38" a="1"/>
  <c r="C91" i="38" s="1"/>
  <c r="C92" i="38" a="1"/>
  <c r="C92" i="38" s="1"/>
  <c r="C93" i="38" a="1"/>
  <c r="C93" i="38" s="1"/>
  <c r="C94" i="38" a="1"/>
  <c r="C94" i="38" s="1"/>
  <c r="C95" i="38" a="1"/>
  <c r="C95" i="38" s="1"/>
  <c r="C96" i="38" a="1"/>
  <c r="C96" i="38" s="1"/>
  <c r="C97" i="38" a="1"/>
  <c r="C97" i="38" s="1"/>
  <c r="C98" i="38" a="1"/>
  <c r="C98" i="38" s="1"/>
  <c r="C99" i="38" a="1"/>
  <c r="C99" i="38" s="1"/>
  <c r="C100" i="38" a="1"/>
  <c r="C100" i="38" s="1"/>
  <c r="C101" i="38" a="1"/>
  <c r="C101" i="38" s="1"/>
  <c r="C102" i="38" a="1"/>
  <c r="C102" i="38" s="1"/>
  <c r="C103" i="38" a="1"/>
  <c r="C103" i="38" s="1"/>
  <c r="C104" i="38" a="1"/>
  <c r="C104" i="38" s="1"/>
  <c r="C105" i="38" a="1"/>
  <c r="C105" i="38" s="1"/>
  <c r="C106" i="38" a="1"/>
  <c r="C106" i="38" s="1"/>
  <c r="C107" i="38" a="1"/>
  <c r="C107" i="38" s="1"/>
  <c r="C108" i="38" a="1"/>
  <c r="C108" i="38"/>
  <c r="C109" i="38" a="1"/>
  <c r="C109" i="38" s="1"/>
  <c r="C110" i="38" a="1"/>
  <c r="C110" i="38" s="1"/>
  <c r="C111" i="38" a="1"/>
  <c r="C111" i="38" s="1"/>
  <c r="C112" i="38" a="1"/>
  <c r="C112" i="38" s="1"/>
  <c r="C113" i="38" a="1"/>
  <c r="C113" i="38" s="1"/>
  <c r="C114" i="38" a="1"/>
  <c r="C114" i="38" s="1"/>
  <c r="C115" i="38" a="1"/>
  <c r="C115" i="38" s="1"/>
  <c r="C116" i="38" a="1"/>
  <c r="C116" i="38" s="1"/>
  <c r="C117" i="38" a="1"/>
  <c r="C117" i="38" s="1"/>
  <c r="C118" i="38" a="1"/>
  <c r="C118" i="38" s="1"/>
  <c r="C119" i="38" a="1"/>
  <c r="C119" i="38" s="1"/>
  <c r="C120" i="38" a="1"/>
  <c r="C120" i="38" s="1"/>
  <c r="C121" i="38" a="1"/>
  <c r="C121" i="38" s="1"/>
  <c r="C122" i="38" a="1"/>
  <c r="C122" i="38" s="1"/>
  <c r="C123" i="38" a="1"/>
  <c r="C123" i="38" s="1"/>
  <c r="C124" i="38" a="1"/>
  <c r="C124" i="38" s="1"/>
  <c r="C125" i="38" a="1"/>
  <c r="C125" i="38" s="1"/>
  <c r="C126" i="38" a="1"/>
  <c r="C126" i="38" s="1"/>
  <c r="C127" i="38" a="1"/>
  <c r="C127" i="38" s="1"/>
  <c r="C128" i="38" a="1"/>
  <c r="C128" i="38" s="1"/>
  <c r="C129" i="38" a="1"/>
  <c r="C129" i="38" s="1"/>
  <c r="C130" i="38" a="1"/>
  <c r="C130" i="38" s="1"/>
  <c r="C131" i="38" a="1"/>
  <c r="C131" i="38" s="1"/>
  <c r="C132" i="38" a="1"/>
  <c r="C132" i="38" s="1"/>
  <c r="C133" i="38" a="1"/>
  <c r="C133" i="38" s="1"/>
  <c r="C134" i="38" a="1"/>
  <c r="C134" i="38" s="1"/>
  <c r="C135" i="38" a="1"/>
  <c r="C135" i="38" s="1"/>
  <c r="C136" i="38" a="1"/>
  <c r="C136" i="38" s="1"/>
  <c r="C137" i="38" a="1"/>
  <c r="C137" i="38" s="1"/>
  <c r="C138" i="38" a="1"/>
  <c r="C138" i="38" s="1"/>
  <c r="C139" i="38" a="1"/>
  <c r="C139" i="38" s="1"/>
  <c r="C140" i="38" a="1"/>
  <c r="C140" i="38" s="1"/>
  <c r="C141" i="38" a="1"/>
  <c r="C141" i="38" s="1"/>
  <c r="C142" i="38" a="1"/>
  <c r="C142" i="38" s="1"/>
  <c r="C143" i="38" a="1"/>
  <c r="C143" i="38" s="1"/>
  <c r="C144" i="38" a="1"/>
  <c r="C144" i="38" s="1"/>
  <c r="C145" i="38" a="1"/>
  <c r="C145" i="38" s="1"/>
  <c r="C146" i="38" a="1"/>
  <c r="C146" i="38" s="1"/>
  <c r="C147" i="38" a="1"/>
  <c r="C147" i="38" s="1"/>
  <c r="C148" i="38" a="1"/>
  <c r="C148" i="38" s="1"/>
  <c r="C149" i="38" a="1"/>
  <c r="C149" i="38" s="1"/>
  <c r="C150" i="38" a="1"/>
  <c r="C150" i="38" s="1"/>
  <c r="C151" i="38" a="1"/>
  <c r="C151" i="38" s="1"/>
  <c r="C152" i="38" a="1"/>
  <c r="C152" i="38" s="1"/>
  <c r="C153" i="38" a="1"/>
  <c r="C153" i="38" s="1"/>
  <c r="C154" i="38" a="1"/>
  <c r="C154" i="38" s="1"/>
  <c r="C155" i="38" a="1"/>
  <c r="C155" i="38" s="1"/>
  <c r="C156" i="38" a="1"/>
  <c r="C156" i="38" s="1"/>
  <c r="C157" i="38" a="1"/>
  <c r="C157" i="38" s="1"/>
  <c r="C158" i="38" a="1"/>
  <c r="C158" i="38" s="1"/>
  <c r="C159" i="38" a="1"/>
  <c r="C159" i="38" s="1"/>
  <c r="C160" i="38" a="1"/>
  <c r="C160" i="38" s="1"/>
  <c r="C161" i="38" a="1"/>
  <c r="C161" i="38" s="1"/>
  <c r="C162" i="38" a="1"/>
  <c r="C162" i="38" s="1"/>
  <c r="C163" i="38" a="1"/>
  <c r="C163" i="38" s="1"/>
  <c r="C164" i="38" a="1"/>
  <c r="C164" i="38" s="1"/>
  <c r="C165" i="38" a="1"/>
  <c r="C165" i="38" s="1"/>
  <c r="C166" i="38" a="1"/>
  <c r="C166" i="38" s="1"/>
  <c r="C167" i="38" a="1"/>
  <c r="C167" i="38" s="1"/>
  <c r="C168" i="38" a="1"/>
  <c r="C168" i="38" s="1"/>
  <c r="C169" i="38" a="1"/>
  <c r="C169" i="38" s="1"/>
  <c r="C170" i="38" a="1"/>
  <c r="C170" i="38" s="1"/>
  <c r="C171" i="38" a="1"/>
  <c r="C171" i="38" s="1"/>
  <c r="C172" i="38" a="1"/>
  <c r="C172" i="38" s="1"/>
  <c r="C173" i="38" a="1"/>
  <c r="C173" i="38" s="1"/>
  <c r="C174" i="38" a="1"/>
  <c r="C174" i="38" s="1"/>
  <c r="C175" i="38" a="1"/>
  <c r="C175" i="38" s="1"/>
  <c r="C176" i="38" a="1"/>
  <c r="C176" i="38" s="1"/>
  <c r="C177" i="38" a="1"/>
  <c r="C177" i="38" s="1"/>
  <c r="C178" i="38" a="1"/>
  <c r="C178" i="38" s="1"/>
  <c r="C179" i="38" a="1"/>
  <c r="C179" i="38" s="1"/>
  <c r="C180" i="38" a="1"/>
  <c r="C180" i="38" s="1"/>
  <c r="C181" i="38" a="1"/>
  <c r="C181" i="38" s="1"/>
  <c r="C182" i="38" a="1"/>
  <c r="C182" i="38" s="1"/>
  <c r="C183" i="38" a="1"/>
  <c r="C183" i="38" s="1"/>
  <c r="C184" i="38" a="1"/>
  <c r="C184" i="38" s="1"/>
  <c r="C185" i="38" a="1"/>
  <c r="C185" i="38" s="1"/>
  <c r="C186" i="38" a="1"/>
  <c r="C186" i="38" s="1"/>
  <c r="C187" i="38" a="1"/>
  <c r="C187" i="38" s="1"/>
  <c r="C188" i="38" a="1"/>
  <c r="C188" i="38" s="1"/>
  <c r="C189" i="38" a="1"/>
  <c r="C189" i="38" s="1"/>
  <c r="C190" i="38" a="1"/>
  <c r="C190" i="38" s="1"/>
  <c r="C191" i="38" a="1"/>
  <c r="C191" i="38" s="1"/>
  <c r="C192" i="38" a="1"/>
  <c r="C192" i="38" s="1"/>
  <c r="C193" i="38" a="1"/>
  <c r="C193" i="38" s="1"/>
  <c r="C194" i="38" a="1"/>
  <c r="C194" i="38" s="1"/>
  <c r="C195" i="38" a="1"/>
  <c r="C195" i="38" s="1"/>
  <c r="C196" i="38" a="1"/>
  <c r="C196" i="38" s="1"/>
  <c r="C197" i="38" a="1"/>
  <c r="C197" i="38" s="1"/>
  <c r="C198" i="38" a="1"/>
  <c r="C198" i="38" s="1"/>
  <c r="C199" i="38" a="1"/>
  <c r="C199" i="38" s="1"/>
  <c r="C200" i="38" a="1"/>
  <c r="C200" i="38" s="1"/>
  <c r="C201" i="38" a="1"/>
  <c r="C201" i="38" s="1"/>
  <c r="C202" i="38" a="1"/>
  <c r="C202" i="38" s="1"/>
  <c r="C203" i="38" a="1"/>
  <c r="C203" i="38" s="1"/>
  <c r="C204" i="38" a="1"/>
  <c r="C204" i="38" s="1"/>
  <c r="C205" i="38" a="1"/>
  <c r="C205" i="38" s="1"/>
  <c r="C206" i="38" a="1"/>
  <c r="C206" i="38" s="1"/>
  <c r="C207" i="38" a="1"/>
  <c r="C207" i="38" s="1"/>
  <c r="C208" i="38" a="1"/>
  <c r="C208" i="38" s="1"/>
  <c r="C209" i="38" a="1"/>
  <c r="C209" i="38" s="1"/>
  <c r="C210" i="38" a="1"/>
  <c r="C210" i="38" s="1"/>
  <c r="C211" i="38" a="1"/>
  <c r="C211" i="38" s="1"/>
  <c r="C212" i="38" a="1"/>
  <c r="C212" i="38" s="1"/>
  <c r="C213" i="38" a="1"/>
  <c r="C213" i="38" s="1"/>
  <c r="C214" i="38" a="1"/>
  <c r="C214" i="38" s="1"/>
  <c r="C215" i="38" a="1"/>
  <c r="C215" i="38" s="1"/>
  <c r="C216" i="38" a="1"/>
  <c r="C216" i="38" s="1"/>
  <c r="C217" i="38" a="1"/>
  <c r="C217" i="38" s="1"/>
  <c r="C218" i="38" a="1"/>
  <c r="C218" i="38" s="1"/>
  <c r="C219" i="38" a="1"/>
  <c r="C219" i="38" s="1"/>
  <c r="C220" i="38" a="1"/>
  <c r="C220" i="38" s="1"/>
  <c r="C221" i="38" a="1"/>
  <c r="C221" i="38" s="1"/>
  <c r="C222" i="38" a="1"/>
  <c r="C222" i="38" s="1"/>
  <c r="C223" i="38" a="1"/>
  <c r="C223" i="38" s="1"/>
  <c r="C224" i="38" a="1"/>
  <c r="C224" i="38" s="1"/>
  <c r="C225" i="38" a="1"/>
  <c r="C225" i="38" s="1"/>
  <c r="C226" i="38" a="1"/>
  <c r="C226" i="38" s="1"/>
  <c r="C227" i="38" a="1"/>
  <c r="C227" i="38" s="1"/>
  <c r="C228" i="38" a="1"/>
  <c r="C228" i="38" s="1"/>
  <c r="C229" i="38" a="1"/>
  <c r="C229" i="38" s="1"/>
  <c r="C230" i="38" a="1"/>
  <c r="C230" i="38" s="1"/>
  <c r="C231" i="38" a="1"/>
  <c r="C231" i="38" s="1"/>
  <c r="C232" i="38" a="1"/>
  <c r="C232" i="38" s="1"/>
  <c r="C233" i="38" a="1"/>
  <c r="C233" i="38" s="1"/>
  <c r="C234" i="38" a="1"/>
  <c r="C234" i="38" s="1"/>
  <c r="C235" i="38" a="1"/>
  <c r="C235" i="38" s="1"/>
  <c r="C236" i="38" a="1"/>
  <c r="C236" i="38" s="1"/>
  <c r="C237" i="38" a="1"/>
  <c r="C237" i="38" s="1"/>
  <c r="C238" i="38" a="1"/>
  <c r="C238" i="38" s="1"/>
  <c r="C239" i="38" a="1"/>
  <c r="C239" i="38" s="1"/>
  <c r="C240" i="38" a="1"/>
  <c r="C240" i="38" s="1"/>
  <c r="C241" i="38" a="1"/>
  <c r="C241" i="38" s="1"/>
  <c r="C242" i="38" a="1"/>
  <c r="C242" i="38" s="1"/>
  <c r="C243" i="38" a="1"/>
  <c r="C243" i="38" s="1"/>
  <c r="C244" i="38" a="1"/>
  <c r="C244" i="38" s="1"/>
  <c r="C245" i="38" a="1"/>
  <c r="C245" i="38" s="1"/>
  <c r="C246" i="38" a="1"/>
  <c r="C246" i="38" s="1"/>
  <c r="C247" i="38" a="1"/>
  <c r="C247" i="38" s="1"/>
  <c r="C248" i="38" a="1"/>
  <c r="C248" i="38" s="1"/>
  <c r="C249" i="38" a="1"/>
  <c r="C249" i="38" s="1"/>
  <c r="C250" i="38" a="1"/>
  <c r="C250" i="38" s="1"/>
  <c r="C251" i="38" a="1"/>
  <c r="C251" i="38" s="1"/>
  <c r="C252" i="38" a="1"/>
  <c r="C252" i="38" s="1"/>
  <c r="C253" i="38" a="1"/>
  <c r="C253" i="38" s="1"/>
  <c r="C254" i="38" a="1"/>
  <c r="C254" i="38" s="1"/>
  <c r="C255" i="38" a="1"/>
  <c r="C255" i="38" s="1"/>
  <c r="C256" i="38" a="1"/>
  <c r="C256" i="38" s="1"/>
  <c r="C257" i="38" a="1"/>
  <c r="C257" i="38" s="1"/>
  <c r="C258" i="38" a="1"/>
  <c r="C258" i="38" s="1"/>
  <c r="C259" i="38" a="1"/>
  <c r="C259" i="38" s="1"/>
  <c r="C260" i="38" a="1"/>
  <c r="C260" i="38" s="1"/>
  <c r="C261" i="38" a="1"/>
  <c r="C261" i="38" s="1"/>
  <c r="C262" i="38" a="1"/>
  <c r="C262" i="38" s="1"/>
  <c r="C263" i="38" a="1"/>
  <c r="C263" i="38" s="1"/>
  <c r="C264" i="38" a="1"/>
  <c r="C264" i="38" s="1"/>
  <c r="C265" i="38" a="1"/>
  <c r="C265" i="38" s="1"/>
  <c r="C266" i="38" a="1"/>
  <c r="C266" i="38" s="1"/>
  <c r="C267" i="38" a="1"/>
  <c r="C267" i="38" s="1"/>
  <c r="C268" i="38" a="1"/>
  <c r="C268" i="38" s="1"/>
  <c r="C269" i="38" a="1"/>
  <c r="C269" i="38" s="1"/>
  <c r="C270" i="38" a="1"/>
  <c r="C270" i="38" s="1"/>
  <c r="C271" i="38" a="1"/>
  <c r="C271" i="38" s="1"/>
  <c r="C272" i="38" a="1"/>
  <c r="C272" i="38" s="1"/>
  <c r="C273" i="38" a="1"/>
  <c r="C273" i="38" s="1"/>
  <c r="C274" i="38" a="1"/>
  <c r="C274" i="38" s="1"/>
  <c r="C275" i="38" a="1"/>
  <c r="C275" i="38" s="1"/>
  <c r="C276" i="38" a="1"/>
  <c r="C276" i="38" s="1"/>
  <c r="C277" i="38" a="1"/>
  <c r="C277" i="38" s="1"/>
  <c r="C278" i="38" a="1"/>
  <c r="C278" i="38" s="1"/>
  <c r="C279" i="38" a="1"/>
  <c r="C279" i="38" s="1"/>
  <c r="C280" i="38" a="1"/>
  <c r="C280" i="38" s="1"/>
  <c r="C281" i="38" a="1"/>
  <c r="C281" i="38" s="1"/>
  <c r="C282" i="38" a="1"/>
  <c r="C282" i="38" s="1"/>
  <c r="C283" i="38" a="1"/>
  <c r="C283" i="38" s="1"/>
  <c r="C284" i="38" a="1"/>
  <c r="C284" i="38" s="1"/>
  <c r="C285" i="38" a="1"/>
  <c r="C285" i="38" s="1"/>
  <c r="C286" i="38" a="1"/>
  <c r="C286" i="38" s="1"/>
  <c r="C287" i="38" a="1"/>
  <c r="C287" i="38" s="1"/>
  <c r="C288" i="38" a="1"/>
  <c r="C288" i="38" s="1"/>
  <c r="C289" i="38" a="1"/>
  <c r="C289" i="38" s="1"/>
  <c r="C290" i="38" a="1"/>
  <c r="C290" i="38" s="1"/>
  <c r="C291" i="38" a="1"/>
  <c r="C291" i="38" s="1"/>
  <c r="C292" i="38" a="1"/>
  <c r="C292" i="38" s="1"/>
  <c r="C293" i="38" a="1"/>
  <c r="C293" i="38" s="1"/>
  <c r="C294" i="38" a="1"/>
  <c r="C294" i="38" s="1"/>
  <c r="C295" i="38" a="1"/>
  <c r="C295" i="38" s="1"/>
  <c r="C296" i="38" a="1"/>
  <c r="C296" i="38" s="1"/>
  <c r="C297" i="38" a="1"/>
  <c r="C297" i="38" s="1"/>
  <c r="C298" i="38" a="1"/>
  <c r="C298" i="38" s="1"/>
  <c r="C299" i="38" a="1"/>
  <c r="C299" i="38" s="1"/>
  <c r="C300" i="38" a="1"/>
  <c r="C300" i="38" s="1"/>
  <c r="C301" i="38" a="1"/>
  <c r="C301" i="38" s="1"/>
  <c r="C302" i="38" a="1"/>
  <c r="C302" i="38" s="1"/>
  <c r="C303" i="38" a="1"/>
  <c r="C303" i="38" s="1"/>
  <c r="C304" i="38" a="1"/>
  <c r="C304" i="38" s="1"/>
  <c r="C305" i="38" a="1"/>
  <c r="C305" i="38" s="1"/>
  <c r="C306" i="38" a="1"/>
  <c r="C306" i="38" s="1"/>
  <c r="C307" i="38" a="1"/>
  <c r="C307" i="38" s="1"/>
  <c r="C308" i="38" a="1"/>
  <c r="C308" i="38" s="1"/>
  <c r="C309" i="38" a="1"/>
  <c r="C309" i="38" s="1"/>
  <c r="C310" i="38" a="1"/>
  <c r="C310" i="38" s="1"/>
  <c r="C311" i="38" a="1"/>
  <c r="C311" i="38" s="1"/>
  <c r="C312" i="38" a="1"/>
  <c r="C312" i="38"/>
  <c r="C313" i="38" a="1"/>
  <c r="C313" i="38" s="1"/>
  <c r="C314" i="38" a="1"/>
  <c r="C314" i="38" s="1"/>
  <c r="C315" i="38" a="1"/>
  <c r="C315" i="38" s="1"/>
  <c r="C316" i="38" a="1"/>
  <c r="C316" i="38" s="1"/>
  <c r="C317" i="38" a="1"/>
  <c r="C317" i="38" s="1"/>
  <c r="C318" i="38" a="1"/>
  <c r="C318" i="38" s="1"/>
  <c r="C319" i="38" a="1"/>
  <c r="C319" i="38" s="1"/>
  <c r="C320" i="38" a="1"/>
  <c r="C320" i="38" s="1"/>
  <c r="C321" i="38" a="1"/>
  <c r="C321" i="38" s="1"/>
  <c r="C322" i="38" a="1"/>
  <c r="C322" i="38" s="1"/>
  <c r="C323" i="38" a="1"/>
  <c r="C323" i="38" s="1"/>
  <c r="C324" i="38" a="1"/>
  <c r="C324" i="38" s="1"/>
  <c r="C325" i="38" a="1"/>
  <c r="C325" i="38" s="1"/>
  <c r="C326" i="38" a="1"/>
  <c r="C326" i="38" s="1"/>
  <c r="C327" i="38" a="1"/>
  <c r="C327" i="38" s="1"/>
  <c r="C328" i="38" a="1"/>
  <c r="C328" i="38" s="1"/>
  <c r="C329" i="38" a="1"/>
  <c r="C329" i="38" s="1"/>
  <c r="C330" i="38" a="1"/>
  <c r="C330" i="38" s="1"/>
  <c r="C331" i="38" a="1"/>
  <c r="C331" i="38" s="1"/>
  <c r="C332" i="38" a="1"/>
  <c r="C332" i="38" s="1"/>
  <c r="C333" i="38" a="1"/>
  <c r="C333" i="38" s="1"/>
  <c r="C334" i="38" a="1"/>
  <c r="C334" i="38" s="1"/>
  <c r="C335" i="38" a="1"/>
  <c r="C335" i="38" s="1"/>
  <c r="C336" i="38" a="1"/>
  <c r="C336" i="38" s="1"/>
  <c r="C337" i="38" a="1"/>
  <c r="C337" i="38" s="1"/>
  <c r="C338" i="38" a="1"/>
  <c r="C338" i="38"/>
  <c r="C339" i="38" a="1"/>
  <c r="C339" i="38" s="1"/>
  <c r="C340" i="38" a="1"/>
  <c r="C340" i="38" s="1"/>
  <c r="C341" i="38" a="1"/>
  <c r="C341" i="38" s="1"/>
  <c r="C342" i="38" a="1"/>
  <c r="C342" i="38" s="1"/>
  <c r="C343" i="38" a="1"/>
  <c r="C343" i="38" s="1"/>
  <c r="C344" i="38" a="1"/>
  <c r="C344" i="38" s="1"/>
  <c r="C345" i="38" a="1"/>
  <c r="C345" i="38" s="1"/>
  <c r="C346" i="38" a="1"/>
  <c r="C346" i="38" s="1"/>
  <c r="C347" i="38" a="1"/>
  <c r="C347" i="38" s="1"/>
  <c r="C348" i="38" a="1"/>
  <c r="C348" i="38"/>
  <c r="C349" i="38" a="1"/>
  <c r="C349" i="38" s="1"/>
  <c r="C350" i="38" a="1"/>
  <c r="C350" i="38" s="1"/>
  <c r="C351" i="38" a="1"/>
  <c r="C351" i="38" s="1"/>
  <c r="C352" i="38" a="1"/>
  <c r="C352" i="38" s="1"/>
  <c r="C353" i="38" a="1"/>
  <c r="C353" i="38" s="1"/>
  <c r="C354" i="38" a="1"/>
  <c r="C354" i="38" s="1"/>
  <c r="C355" i="38" a="1"/>
  <c r="C355" i="38" s="1"/>
  <c r="C356" i="38" a="1"/>
  <c r="C356" i="38" s="1"/>
  <c r="C357" i="38" a="1"/>
  <c r="C357" i="38" s="1"/>
  <c r="C358" i="38" a="1"/>
  <c r="C358" i="38" s="1"/>
  <c r="C359" i="38" a="1"/>
  <c r="C359" i="38" s="1"/>
  <c r="C360" i="38" a="1"/>
  <c r="C360" i="38"/>
  <c r="C361" i="38" a="1"/>
  <c r="C361" i="38" s="1"/>
  <c r="C362" i="38" a="1"/>
  <c r="C362" i="38" s="1"/>
  <c r="C363" i="38" a="1"/>
  <c r="C363" i="38" s="1"/>
  <c r="C364" i="38" a="1"/>
  <c r="C364" i="38" s="1"/>
  <c r="C365" i="38" a="1"/>
  <c r="C365" i="38" s="1"/>
  <c r="C366" i="38" a="1"/>
  <c r="C366" i="38" s="1"/>
  <c r="C367" i="38" a="1"/>
  <c r="C367" i="38" s="1"/>
  <c r="C368" i="38" a="1"/>
  <c r="C368" i="38"/>
  <c r="C369" i="38" a="1"/>
  <c r="C369" i="38" s="1"/>
  <c r="C370" i="38" a="1"/>
  <c r="C370" i="38" s="1"/>
  <c r="C371" i="38" a="1"/>
  <c r="C371" i="38" s="1"/>
  <c r="C372" i="38" a="1"/>
  <c r="C372" i="38" s="1"/>
  <c r="C373" i="38" a="1"/>
  <c r="C373" i="38" s="1"/>
  <c r="C374" i="38" a="1"/>
  <c r="C374" i="38" s="1"/>
  <c r="C375" i="38" a="1"/>
  <c r="C375" i="38" s="1"/>
  <c r="C376" i="38" a="1"/>
  <c r="C376" i="38" s="1"/>
  <c r="C377" i="38" a="1"/>
  <c r="C377" i="38" s="1"/>
  <c r="C378" i="38" a="1"/>
  <c r="C378" i="38" s="1"/>
  <c r="C379" i="38" a="1"/>
  <c r="C379" i="38" s="1"/>
  <c r="C380" i="38" a="1"/>
  <c r="C380" i="38" s="1"/>
  <c r="C381" i="38" a="1"/>
  <c r="C381" i="38" s="1"/>
  <c r="C382" i="38" a="1"/>
  <c r="C382" i="38" s="1"/>
  <c r="C383" i="38" a="1"/>
  <c r="C383" i="38" s="1"/>
  <c r="C384" i="38" a="1"/>
  <c r="C384" i="38" s="1"/>
  <c r="C385" i="38" a="1"/>
  <c r="C385" i="38" s="1"/>
  <c r="C386" i="38" a="1"/>
  <c r="C386" i="38" s="1"/>
  <c r="C387" i="38" a="1"/>
  <c r="C387" i="38" s="1"/>
  <c r="C388" i="38" a="1"/>
  <c r="C388" i="38" s="1"/>
  <c r="C389" i="38" a="1"/>
  <c r="C389" i="38" s="1"/>
  <c r="C390" i="38" a="1"/>
  <c r="C390" i="38" s="1"/>
  <c r="C391" i="38" a="1"/>
  <c r="C391" i="38" s="1"/>
  <c r="C392" i="38" a="1"/>
  <c r="C392" i="38" s="1"/>
  <c r="C393" i="38" a="1"/>
  <c r="C393" i="38" s="1"/>
  <c r="C394" i="38" a="1"/>
  <c r="C394" i="38" s="1"/>
  <c r="C395" i="38" a="1"/>
  <c r="C395" i="38" s="1"/>
  <c r="C396" i="38" a="1"/>
  <c r="C396" i="38" s="1"/>
  <c r="C397" i="38" a="1"/>
  <c r="C397" i="38" s="1"/>
  <c r="C398" i="38" a="1"/>
  <c r="C398" i="38" s="1"/>
  <c r="C399" i="38" a="1"/>
  <c r="C399" i="38" s="1"/>
  <c r="C400" i="38" a="1"/>
  <c r="C400" i="38" s="1"/>
  <c r="C401" i="38" a="1"/>
  <c r="C401" i="38" s="1"/>
  <c r="C402" i="38" a="1"/>
  <c r="C402" i="38" s="1"/>
  <c r="C403" i="38" a="1"/>
  <c r="C403" i="38" s="1"/>
  <c r="C404" i="38" a="1"/>
  <c r="C404" i="38" s="1"/>
  <c r="C405" i="38" a="1"/>
  <c r="C405" i="38" s="1"/>
  <c r="C406" i="38" a="1"/>
  <c r="C406" i="38" s="1"/>
  <c r="C407" i="38" a="1"/>
  <c r="C407" i="38" s="1"/>
  <c r="C408" i="38" a="1"/>
  <c r="C408" i="38" s="1"/>
  <c r="C409" i="38" a="1"/>
  <c r="C409" i="38" s="1"/>
  <c r="C410" i="38" a="1"/>
  <c r="C410" i="38" s="1"/>
  <c r="C411" i="38" a="1"/>
  <c r="C411" i="38" s="1"/>
  <c r="C412" i="38" a="1"/>
  <c r="C412" i="38" s="1"/>
  <c r="C413" i="38" a="1"/>
  <c r="C413" i="38" s="1"/>
  <c r="C414" i="38" a="1"/>
  <c r="C414" i="38" s="1"/>
  <c r="C415" i="38" a="1"/>
  <c r="C415" i="38" s="1"/>
  <c r="C416" i="38" a="1"/>
  <c r="C416" i="38" s="1"/>
  <c r="C417" i="38" a="1"/>
  <c r="C417" i="38" s="1"/>
  <c r="C418" i="38" a="1"/>
  <c r="C418" i="38" s="1"/>
  <c r="C419" i="38" a="1"/>
  <c r="C419" i="38" s="1"/>
  <c r="C420" i="38" a="1"/>
  <c r="C420" i="38"/>
  <c r="C421" i="38" a="1"/>
  <c r="C421" i="38" s="1"/>
  <c r="C422" i="38" a="1"/>
  <c r="C422" i="38" s="1"/>
  <c r="C423" i="38" a="1"/>
  <c r="C423" i="38" s="1"/>
  <c r="C424" i="38" a="1"/>
  <c r="C424" i="38" s="1"/>
  <c r="C425" i="38" a="1"/>
  <c r="C425" i="38" s="1"/>
  <c r="C426" i="38" a="1"/>
  <c r="C426" i="38" s="1"/>
  <c r="C427" i="38" a="1"/>
  <c r="C427" i="38" s="1"/>
  <c r="C428" i="38" a="1"/>
  <c r="C428" i="38" s="1"/>
  <c r="C429" i="38" a="1"/>
  <c r="C429" i="38" s="1"/>
  <c r="C430" i="38" a="1"/>
  <c r="C430" i="38" s="1"/>
  <c r="C431" i="38" a="1"/>
  <c r="C431" i="38" s="1"/>
  <c r="C432" i="38" a="1"/>
  <c r="C432" i="38"/>
  <c r="C433" i="38" a="1"/>
  <c r="C433" i="38" s="1"/>
  <c r="C434" i="38" a="1"/>
  <c r="C434" i="38" s="1"/>
  <c r="C435" i="38" a="1"/>
  <c r="C435" i="38" s="1"/>
  <c r="C436" i="38" a="1"/>
  <c r="C436" i="38" s="1"/>
  <c r="C437" i="38" a="1"/>
  <c r="C437" i="38" s="1"/>
  <c r="C438" i="38" a="1"/>
  <c r="C438" i="38" s="1"/>
  <c r="C439" i="38" a="1"/>
  <c r="C439" i="38" s="1"/>
  <c r="C440" i="38" a="1"/>
  <c r="C440" i="38" s="1"/>
  <c r="C441" i="38" a="1"/>
  <c r="C441" i="38" s="1"/>
  <c r="C442" i="38" a="1"/>
  <c r="C442" i="38" s="1"/>
  <c r="C443" i="38" a="1"/>
  <c r="C443" i="38" s="1"/>
  <c r="C444" i="38" a="1"/>
  <c r="C444" i="38" s="1"/>
  <c r="C445" i="38" a="1"/>
  <c r="C445" i="38" s="1"/>
  <c r="C446" i="38" a="1"/>
  <c r="C446" i="38" s="1"/>
  <c r="C447" i="38" a="1"/>
  <c r="C447" i="38" s="1"/>
  <c r="C448" i="38" a="1"/>
  <c r="C448" i="38" s="1"/>
  <c r="C449" i="38" a="1"/>
  <c r="C449" i="38" s="1"/>
  <c r="C450" i="38" a="1"/>
  <c r="C450" i="38" s="1"/>
  <c r="C451" i="38" a="1"/>
  <c r="C451" i="38" s="1"/>
  <c r="C452" i="38" a="1"/>
  <c r="C452" i="38" s="1"/>
  <c r="C453" i="38" a="1"/>
  <c r="C453" i="38" s="1"/>
  <c r="C454" i="38" a="1"/>
  <c r="C454" i="38" s="1"/>
  <c r="C455" i="38" a="1"/>
  <c r="C455" i="38" s="1"/>
  <c r="C456" i="38" a="1"/>
  <c r="C456" i="38" s="1"/>
  <c r="C457" i="38" a="1"/>
  <c r="C457" i="38" s="1"/>
  <c r="C458" i="38" a="1"/>
  <c r="C458" i="38" s="1"/>
  <c r="C459" i="38" a="1"/>
  <c r="C459" i="38" s="1"/>
  <c r="C460" i="38" a="1"/>
  <c r="C460" i="38" s="1"/>
  <c r="C461" i="38" a="1"/>
  <c r="C461" i="38" s="1"/>
  <c r="C462" i="38" a="1"/>
  <c r="C462" i="38" s="1"/>
  <c r="C463" i="38" a="1"/>
  <c r="C463" i="38" s="1"/>
  <c r="C464" i="38" a="1"/>
  <c r="C464" i="38" s="1"/>
  <c r="C465" i="38" a="1"/>
  <c r="C465" i="38" s="1"/>
  <c r="C466" i="38" a="1"/>
  <c r="C466" i="38" s="1"/>
  <c r="C467" i="38" a="1"/>
  <c r="C467" i="38" s="1"/>
  <c r="C468" i="38" a="1"/>
  <c r="C468" i="38" s="1"/>
  <c r="C469" i="38" a="1"/>
  <c r="C469" i="38" s="1"/>
  <c r="C470" i="38" a="1"/>
  <c r="C470" i="38" s="1"/>
  <c r="C471" i="38" a="1"/>
  <c r="C471" i="38" s="1"/>
  <c r="C472" i="38" a="1"/>
  <c r="C472" i="38" s="1"/>
  <c r="C473" i="38" a="1"/>
  <c r="C473" i="38" s="1"/>
  <c r="C474" i="38" a="1"/>
  <c r="C474" i="38" s="1"/>
  <c r="C475" i="38" a="1"/>
  <c r="C475" i="38" s="1"/>
  <c r="C476" i="38" a="1"/>
  <c r="C476" i="38" s="1"/>
  <c r="C477" i="38" a="1"/>
  <c r="C477" i="38" s="1"/>
  <c r="C478" i="38" a="1"/>
  <c r="C478" i="38" s="1"/>
  <c r="C479" i="38" a="1"/>
  <c r="C479" i="38" s="1"/>
  <c r="C480" i="38" a="1"/>
  <c r="C480" i="38" s="1"/>
  <c r="C481" i="38" a="1"/>
  <c r="C481" i="38" s="1"/>
  <c r="C482" i="38" a="1"/>
  <c r="C482" i="38"/>
  <c r="C483" i="38" a="1"/>
  <c r="C483" i="38" s="1"/>
  <c r="C484" i="38" a="1"/>
  <c r="C484" i="38" s="1"/>
  <c r="C485" i="38" a="1"/>
  <c r="C485" i="38" s="1"/>
  <c r="C486" i="38" a="1"/>
  <c r="C486" i="38" s="1"/>
  <c r="C487" i="38" a="1"/>
  <c r="C487" i="38" s="1"/>
  <c r="C488" i="38" a="1"/>
  <c r="C488" i="38" s="1"/>
  <c r="C489" i="38" a="1"/>
  <c r="C489" i="38" s="1"/>
  <c r="C490" i="38" a="1"/>
  <c r="C490" i="38" s="1"/>
  <c r="C491" i="38" a="1"/>
  <c r="C491" i="38" s="1"/>
  <c r="C492" i="38" a="1"/>
  <c r="C492" i="38" s="1"/>
  <c r="C493" i="38" a="1"/>
  <c r="C493" i="38" s="1"/>
  <c r="C494" i="38" a="1"/>
  <c r="C494" i="38" s="1"/>
  <c r="C495" i="38" a="1"/>
  <c r="C495" i="38" s="1"/>
  <c r="C496" i="38" a="1"/>
  <c r="C496" i="38" s="1"/>
  <c r="C497" i="38" a="1"/>
  <c r="C497" i="38" s="1"/>
  <c r="C498" i="38" a="1"/>
  <c r="C498" i="38" s="1"/>
  <c r="C499" i="38" a="1"/>
  <c r="C499" i="38" s="1"/>
  <c r="C500" i="38" a="1"/>
  <c r="C500" i="38" s="1"/>
  <c r="C501" i="38" a="1"/>
  <c r="C501" i="38" s="1"/>
  <c r="C502" i="38" a="1"/>
  <c r="C502" i="38" s="1"/>
  <c r="C503" i="38" a="1"/>
  <c r="C503" i="38" s="1"/>
  <c r="C504" i="38" a="1"/>
  <c r="C504" i="38" s="1"/>
  <c r="C505" i="38" a="1"/>
  <c r="C505" i="38" s="1"/>
  <c r="C506" i="38" a="1"/>
  <c r="C506" i="38" s="1"/>
  <c r="C507" i="38" a="1"/>
  <c r="C507" i="38" s="1"/>
  <c r="C508" i="38" a="1"/>
  <c r="C508" i="38" s="1"/>
  <c r="C509" i="38" a="1"/>
  <c r="C509" i="38" s="1"/>
  <c r="C510" i="38" a="1"/>
  <c r="C510" i="38" s="1"/>
  <c r="C511" i="38" a="1"/>
  <c r="C511" i="38" s="1"/>
  <c r="C512" i="38" a="1"/>
  <c r="C512" i="38" s="1"/>
  <c r="C513" i="38" a="1"/>
  <c r="C513" i="38" s="1"/>
  <c r="C514" i="38" a="1"/>
  <c r="C514" i="38" s="1"/>
  <c r="C515" i="38" a="1"/>
  <c r="C515" i="38" s="1"/>
  <c r="C516" i="38" a="1"/>
  <c r="C516" i="38" s="1"/>
  <c r="C517" i="38" a="1"/>
  <c r="C517" i="38"/>
  <c r="C518" i="38" a="1"/>
  <c r="C518" i="38"/>
  <c r="C519" i="38" a="1"/>
  <c r="C519" i="38" s="1"/>
  <c r="C520" i="38" a="1"/>
  <c r="C520" i="38" s="1"/>
  <c r="C521" i="38" a="1"/>
  <c r="C521" i="38" s="1"/>
  <c r="C522" i="38" a="1"/>
  <c r="C522" i="38" s="1"/>
  <c r="C523" i="38" a="1"/>
  <c r="C523" i="38" s="1"/>
  <c r="C524" i="38" a="1"/>
  <c r="C524" i="38" s="1"/>
  <c r="C525" i="38" a="1"/>
  <c r="C525" i="38" s="1"/>
  <c r="C526" i="38" a="1"/>
  <c r="C526" i="38" s="1"/>
  <c r="C527" i="38" a="1"/>
  <c r="C527" i="38" s="1"/>
  <c r="C528" i="38" a="1"/>
  <c r="C528" i="38" s="1"/>
  <c r="C529" i="38" a="1"/>
  <c r="C529" i="38"/>
  <c r="C530" i="38" a="1"/>
  <c r="C530" i="38" s="1"/>
  <c r="C531" i="38" a="1"/>
  <c r="C531" i="38" s="1"/>
  <c r="C532" i="38" a="1"/>
  <c r="C532" i="38" s="1"/>
  <c r="C533" i="38" a="1"/>
  <c r="C533" i="38" s="1"/>
  <c r="C534" i="38" a="1"/>
  <c r="C534" i="38" s="1"/>
  <c r="C535" i="38" a="1"/>
  <c r="C535" i="38" s="1"/>
  <c r="C536" i="38" a="1"/>
  <c r="C536" i="38" s="1"/>
  <c r="C537" i="38" a="1"/>
  <c r="C537" i="38" s="1"/>
  <c r="C538" i="38" a="1"/>
  <c r="C538" i="38" s="1"/>
  <c r="C539" i="38" a="1"/>
  <c r="C539" i="38" s="1"/>
  <c r="C540" i="38" a="1"/>
  <c r="C540" i="38" s="1"/>
  <c r="C541" i="38" a="1"/>
  <c r="C541" i="38" s="1"/>
  <c r="C542" i="38" a="1"/>
  <c r="C542" i="38"/>
  <c r="C543" i="38" a="1"/>
  <c r="C543" i="38" s="1"/>
  <c r="C544" i="38" a="1"/>
  <c r="C544" i="38" s="1"/>
  <c r="C545" i="38" a="1"/>
  <c r="C545" i="38" s="1"/>
  <c r="C546" i="38" a="1"/>
  <c r="C546" i="38" s="1"/>
  <c r="C547" i="38" a="1"/>
  <c r="C547" i="38" s="1"/>
  <c r="C548" i="38" a="1"/>
  <c r="C548" i="38" s="1"/>
  <c r="C549" i="38" a="1"/>
  <c r="C549" i="38" s="1"/>
  <c r="C550" i="38" a="1"/>
  <c r="C550" i="38" s="1"/>
  <c r="C551" i="38" a="1"/>
  <c r="C551" i="38" s="1"/>
  <c r="C552" i="38" a="1"/>
  <c r="C552" i="38" s="1"/>
  <c r="C553" i="38" a="1"/>
  <c r="C553" i="38"/>
  <c r="C554" i="38" a="1"/>
  <c r="C554" i="38" s="1"/>
  <c r="C555" i="38" a="1"/>
  <c r="C555" i="38"/>
  <c r="C556" i="38" a="1"/>
  <c r="C556" i="38" s="1"/>
  <c r="C557" i="38" a="1"/>
  <c r="C557" i="38" s="1"/>
  <c r="C558" i="38" a="1"/>
  <c r="C558" i="38" s="1"/>
  <c r="C559" i="38" a="1"/>
  <c r="C559" i="38" s="1"/>
  <c r="C560" i="38" a="1"/>
  <c r="C560" i="38" s="1"/>
  <c r="C561" i="38" a="1"/>
  <c r="C561" i="38" s="1"/>
  <c r="C562" i="38" a="1"/>
  <c r="C562" i="38" s="1"/>
  <c r="C563" i="38" a="1"/>
  <c r="C563" i="38" s="1"/>
  <c r="C564" i="38" a="1"/>
  <c r="C564" i="38" s="1"/>
  <c r="C565" i="38" a="1"/>
  <c r="C565" i="38" s="1"/>
  <c r="C566" i="38" a="1"/>
  <c r="C566" i="38"/>
  <c r="C567" i="38" a="1"/>
  <c r="C567" i="38" s="1"/>
  <c r="C568" i="38" a="1"/>
  <c r="C568" i="38" s="1"/>
  <c r="C569" i="38" a="1"/>
  <c r="C569" i="38" s="1"/>
  <c r="C570" i="38" a="1"/>
  <c r="C570" i="38" s="1"/>
  <c r="C571" i="38" a="1"/>
  <c r="C571" i="38" s="1"/>
  <c r="C572" i="38" a="1"/>
  <c r="C572" i="38" s="1"/>
  <c r="C573" i="38" a="1"/>
  <c r="C573" i="38"/>
  <c r="C574" i="38" a="1"/>
  <c r="C574" i="38" s="1"/>
  <c r="C575" i="38" a="1"/>
  <c r="C575" i="38" s="1"/>
  <c r="C576" i="38" a="1"/>
  <c r="C576" i="38" s="1"/>
  <c r="C577" i="38" a="1"/>
  <c r="C577" i="38"/>
  <c r="C578" i="38" a="1"/>
  <c r="C578" i="38" s="1"/>
  <c r="C579" i="38" a="1"/>
  <c r="C579" i="38" s="1"/>
  <c r="C580" i="38" a="1"/>
  <c r="C580" i="38" s="1"/>
  <c r="C581" i="38" a="1"/>
  <c r="C581" i="38" s="1"/>
  <c r="C582" i="38" a="1"/>
  <c r="C582" i="38" s="1"/>
  <c r="C583" i="38" a="1"/>
  <c r="C583" i="38" s="1"/>
  <c r="C584" i="38" a="1"/>
  <c r="C584" i="38" s="1"/>
  <c r="C585" i="38" a="1"/>
  <c r="C585" i="38" s="1"/>
  <c r="C586" i="38" a="1"/>
  <c r="C586" i="38" s="1"/>
  <c r="C587" i="38" a="1"/>
  <c r="C587" i="38" s="1"/>
  <c r="C588" i="38" a="1"/>
  <c r="C588" i="38" s="1"/>
  <c r="C589" i="38" a="1"/>
  <c r="C589" i="38" s="1"/>
  <c r="C590" i="38" a="1"/>
  <c r="C590" i="38"/>
  <c r="C591" i="38" a="1"/>
  <c r="C591" i="38" s="1"/>
  <c r="C592" i="38" a="1"/>
  <c r="C592" i="38" s="1"/>
  <c r="C593" i="38" a="1"/>
  <c r="C593" i="38" s="1"/>
  <c r="C594" i="38" a="1"/>
  <c r="C594" i="38" s="1"/>
  <c r="C595" i="38" a="1"/>
  <c r="C595" i="38" s="1"/>
  <c r="C596" i="38" a="1"/>
  <c r="C596" i="38" s="1"/>
  <c r="C597" i="38" a="1"/>
  <c r="C597" i="38" s="1"/>
  <c r="C598" i="38" a="1"/>
  <c r="C598" i="38" s="1"/>
  <c r="C599" i="38" a="1"/>
  <c r="C599" i="38" s="1"/>
  <c r="C600" i="38" a="1"/>
  <c r="C600" i="38" s="1"/>
  <c r="C601" i="38" a="1"/>
  <c r="C601" i="38"/>
  <c r="C602" i="38" a="1"/>
  <c r="C602" i="38" s="1"/>
  <c r="C603" i="38" a="1"/>
  <c r="C603" i="38" s="1"/>
  <c r="C604" i="38" a="1"/>
  <c r="C604" i="38" s="1"/>
  <c r="C605" i="38" a="1"/>
  <c r="C605" i="38" s="1"/>
  <c r="C606" i="38" a="1"/>
  <c r="C606" i="38" s="1"/>
  <c r="C607" i="38" a="1"/>
  <c r="C607" i="38" s="1"/>
  <c r="C608" i="38" a="1"/>
  <c r="C608" i="38" s="1"/>
  <c r="C609" i="38" a="1"/>
  <c r="C609" i="38" s="1"/>
  <c r="C610" i="38" a="1"/>
  <c r="C610" i="38" s="1"/>
  <c r="C611" i="38" a="1"/>
  <c r="C611" i="38" s="1"/>
  <c r="C612" i="38" a="1"/>
  <c r="C612" i="38" s="1"/>
  <c r="C613" i="38" a="1"/>
  <c r="C613" i="38" s="1"/>
  <c r="C614" i="38" a="1"/>
  <c r="C614" i="38"/>
  <c r="C615" i="38" a="1"/>
  <c r="C615" i="38" s="1"/>
  <c r="C616" i="38" a="1"/>
  <c r="C616" i="38" s="1"/>
  <c r="C617" i="38" a="1"/>
  <c r="C617" i="38" s="1"/>
  <c r="C618" i="38" a="1"/>
  <c r="C618" i="38" s="1"/>
  <c r="C619" i="38" a="1"/>
  <c r="C619" i="38" s="1"/>
  <c r="C620" i="38" a="1"/>
  <c r="C620" i="38" s="1"/>
  <c r="C621" i="38" a="1"/>
  <c r="C621" i="38" s="1"/>
  <c r="C622" i="38" a="1"/>
  <c r="C622" i="38" s="1"/>
  <c r="C623" i="38" a="1"/>
  <c r="C623" i="38" s="1"/>
  <c r="C624" i="38" a="1"/>
  <c r="C624" i="38" s="1"/>
  <c r="C625" i="38" a="1"/>
  <c r="C625" i="38"/>
  <c r="C626" i="38" a="1"/>
  <c r="C626" i="38" s="1"/>
  <c r="C627" i="38" a="1"/>
  <c r="C627" i="38" s="1"/>
  <c r="C628" i="38" a="1"/>
  <c r="C628" i="38" s="1"/>
  <c r="C629" i="38" a="1"/>
  <c r="C629" i="38" s="1"/>
  <c r="C630" i="38" a="1"/>
  <c r="C630" i="38" s="1"/>
  <c r="C631" i="38" a="1"/>
  <c r="C631" i="38" s="1"/>
  <c r="C632" i="38" a="1"/>
  <c r="C632" i="38" s="1"/>
  <c r="C633" i="38" a="1"/>
  <c r="C633" i="38" s="1"/>
  <c r="C634" i="38" a="1"/>
  <c r="C634" i="38" s="1"/>
  <c r="C635" i="38" a="1"/>
  <c r="C635" i="38" s="1"/>
  <c r="C636" i="38" a="1"/>
  <c r="C636" i="38" s="1"/>
  <c r="C637" i="38" a="1"/>
  <c r="C637" i="38" s="1"/>
  <c r="C638" i="38" a="1"/>
  <c r="C638" i="38"/>
  <c r="C639" i="38" a="1"/>
  <c r="C639" i="38" s="1"/>
  <c r="C640" i="38" a="1"/>
  <c r="C640" i="38" s="1"/>
  <c r="C641" i="38" a="1"/>
  <c r="C641" i="38" s="1"/>
  <c r="C642" i="38" a="1"/>
  <c r="C642" i="38" s="1"/>
  <c r="C643" i="38" a="1"/>
  <c r="C643" i="38" s="1"/>
  <c r="C644" i="38" a="1"/>
  <c r="C644" i="38" s="1"/>
  <c r="C645" i="38" a="1"/>
  <c r="C645" i="38" s="1"/>
  <c r="C646" i="38" a="1"/>
  <c r="C646" i="38" s="1"/>
  <c r="C647" i="38" a="1"/>
  <c r="C647" i="38" s="1"/>
  <c r="C648" i="38" a="1"/>
  <c r="C648" i="38" s="1"/>
  <c r="C649" i="38" a="1"/>
  <c r="C649" i="38"/>
  <c r="C650" i="38" a="1"/>
  <c r="C650" i="38" s="1"/>
  <c r="C651" i="38" a="1"/>
  <c r="C651" i="38" s="1"/>
  <c r="C652" i="38" a="1"/>
  <c r="C652" i="38" s="1"/>
  <c r="C653" i="38" a="1"/>
  <c r="C653" i="38" s="1"/>
  <c r="C654" i="38" a="1"/>
  <c r="C654" i="38" s="1"/>
  <c r="C655" i="38" a="1"/>
  <c r="C655" i="38" s="1"/>
  <c r="C656" i="38" a="1"/>
  <c r="C656" i="38" s="1"/>
  <c r="C657" i="38" a="1"/>
  <c r="C657" i="38" s="1"/>
  <c r="C658" i="38" a="1"/>
  <c r="C658" i="38" s="1"/>
  <c r="C659" i="38" a="1"/>
  <c r="C659" i="38" s="1"/>
  <c r="C660" i="38" a="1"/>
  <c r="C660" i="38" s="1"/>
  <c r="C661" i="38" a="1"/>
  <c r="C661" i="38" s="1"/>
  <c r="C662" i="38" a="1"/>
  <c r="C662" i="38"/>
  <c r="C663" i="38" a="1"/>
  <c r="C663" i="38" s="1"/>
  <c r="C664" i="38" a="1"/>
  <c r="C664" i="38" s="1"/>
  <c r="C665" i="38" a="1"/>
  <c r="C665" i="38" s="1"/>
  <c r="C666" i="38" a="1"/>
  <c r="C666" i="38" s="1"/>
  <c r="C667" i="38" a="1"/>
  <c r="C667" i="38" s="1"/>
  <c r="C668" i="38" a="1"/>
  <c r="C668" i="38" s="1"/>
  <c r="C669" i="38" a="1"/>
  <c r="C669" i="38" s="1"/>
  <c r="C670" i="38" a="1"/>
  <c r="C670" i="38" s="1"/>
  <c r="C671" i="38" a="1"/>
  <c r="C671" i="38" s="1"/>
  <c r="C672" i="38" a="1"/>
  <c r="C672" i="38" s="1"/>
  <c r="C673" i="38" a="1"/>
  <c r="C673" i="38" s="1"/>
  <c r="C674" i="38" a="1"/>
  <c r="C674" i="38" s="1"/>
  <c r="C675" i="38" a="1"/>
  <c r="C675" i="38" s="1"/>
  <c r="C676" i="38" a="1"/>
  <c r="C676" i="38" s="1"/>
  <c r="C677" i="38" a="1"/>
  <c r="C677" i="38" s="1"/>
  <c r="C678" i="38" a="1"/>
  <c r="C678" i="38" s="1"/>
  <c r="C679" i="38" a="1"/>
  <c r="C679" i="38" s="1"/>
  <c r="C2" i="38" a="1"/>
  <c r="C2" i="38" s="1"/>
  <c r="O1" i="38" a="1"/>
  <c r="O1" i="38" s="1"/>
  <c r="W1" i="38" a="1"/>
  <c r="W1" i="38" s="1"/>
  <c r="V1" i="38" a="1"/>
  <c r="V1" i="38" s="1"/>
  <c r="U1" i="38" a="1"/>
  <c r="U1" i="38" s="1"/>
  <c r="T1" i="38" a="1"/>
  <c r="T1" i="38" s="1"/>
  <c r="S1" i="38" a="1"/>
  <c r="S1" i="38" s="1"/>
  <c r="R1" i="38" a="1"/>
  <c r="R1" i="38" s="1"/>
  <c r="Q1" i="38" a="1"/>
  <c r="Q1" i="38" s="1"/>
  <c r="P1" i="38" a="1"/>
  <c r="P1" i="38" s="1"/>
  <c r="A1" i="26" a="1"/>
  <c r="A1" i="26" s="1"/>
  <c r="I3" i="24"/>
  <c r="I4" i="24"/>
  <c r="I5" i="24"/>
  <c r="I6" i="24"/>
  <c r="I7" i="24"/>
  <c r="I8" i="24"/>
  <c r="I9" i="24"/>
  <c r="I10" i="24"/>
  <c r="I11" i="24"/>
  <c r="I12" i="24"/>
  <c r="I13" i="24"/>
  <c r="I14" i="24"/>
  <c r="I15" i="24"/>
  <c r="I16" i="24"/>
  <c r="I17" i="24"/>
  <c r="I18" i="24"/>
  <c r="I19" i="24"/>
  <c r="I20" i="24"/>
  <c r="I21" i="24"/>
  <c r="I22" i="24"/>
  <c r="I23" i="24"/>
  <c r="I24" i="24"/>
  <c r="I25" i="24"/>
  <c r="I26" i="24"/>
  <c r="I27" i="24"/>
  <c r="I28" i="24"/>
  <c r="I29" i="24"/>
  <c r="I30" i="24"/>
  <c r="I31" i="24"/>
  <c r="I32" i="24"/>
  <c r="I33" i="24"/>
  <c r="I34" i="24"/>
  <c r="I35" i="24"/>
  <c r="I36" i="24"/>
  <c r="I37" i="24"/>
  <c r="I38" i="24"/>
  <c r="I39" i="24"/>
  <c r="I40" i="24"/>
  <c r="I41" i="24"/>
  <c r="I42" i="24"/>
  <c r="I43" i="24"/>
  <c r="I44" i="24"/>
  <c r="I45" i="24"/>
  <c r="I46" i="24"/>
  <c r="I47" i="24"/>
  <c r="I48" i="24"/>
  <c r="I49" i="24"/>
  <c r="I50" i="24"/>
  <c r="I51" i="24"/>
  <c r="I52" i="24"/>
  <c r="I53" i="24"/>
  <c r="I54" i="24"/>
  <c r="I55" i="24"/>
  <c r="I56" i="24"/>
  <c r="I57" i="24"/>
  <c r="I58" i="24"/>
  <c r="I59" i="24"/>
  <c r="I60" i="24"/>
  <c r="I61" i="24"/>
  <c r="I62" i="24"/>
  <c r="I63" i="24"/>
  <c r="I64" i="24"/>
  <c r="I65" i="24"/>
  <c r="I66" i="24"/>
  <c r="I67" i="24"/>
  <c r="I68" i="24"/>
  <c r="I69" i="24"/>
  <c r="I70" i="24"/>
  <c r="I71" i="24"/>
  <c r="I72" i="24"/>
  <c r="I73" i="24"/>
  <c r="I74" i="24"/>
  <c r="I75" i="24"/>
  <c r="I76" i="24"/>
  <c r="I77" i="24"/>
  <c r="I78" i="24"/>
  <c r="I79" i="24"/>
  <c r="I80" i="24"/>
  <c r="I81" i="24"/>
  <c r="I82" i="24"/>
  <c r="I83" i="24"/>
  <c r="I84" i="24"/>
  <c r="I85" i="24"/>
  <c r="I86" i="24"/>
  <c r="I87" i="24"/>
  <c r="I88" i="24"/>
  <c r="I89" i="24"/>
  <c r="I90" i="24"/>
  <c r="I91" i="24"/>
  <c r="I92" i="24"/>
  <c r="I93" i="24"/>
  <c r="I94" i="24"/>
  <c r="I95" i="24"/>
  <c r="I96" i="24"/>
  <c r="I97" i="24"/>
  <c r="I98" i="24"/>
  <c r="I99" i="24"/>
  <c r="I100" i="24"/>
  <c r="I101" i="24"/>
  <c r="I102" i="24"/>
  <c r="I103" i="24"/>
  <c r="I104" i="24"/>
  <c r="I105" i="24"/>
  <c r="I106" i="24"/>
  <c r="I107" i="24"/>
  <c r="I108" i="24"/>
  <c r="I109" i="24"/>
  <c r="I110" i="24"/>
  <c r="I111" i="24"/>
  <c r="I112" i="24"/>
  <c r="I113" i="24"/>
  <c r="I114" i="24"/>
  <c r="I115" i="24"/>
  <c r="I116" i="24"/>
  <c r="I117" i="24"/>
  <c r="I118" i="24"/>
  <c r="I119" i="24"/>
  <c r="I120" i="24"/>
  <c r="I121" i="24"/>
  <c r="I122" i="24"/>
  <c r="I123" i="24"/>
  <c r="I124" i="24"/>
  <c r="I125" i="24"/>
  <c r="I126" i="24"/>
  <c r="I127" i="24"/>
  <c r="I128" i="24"/>
  <c r="I129" i="24"/>
  <c r="I130" i="24"/>
  <c r="I131" i="24"/>
  <c r="I132" i="24"/>
  <c r="I133" i="24"/>
  <c r="I134" i="24"/>
  <c r="I135" i="24"/>
  <c r="I136" i="24"/>
  <c r="I137" i="24"/>
  <c r="I138" i="24"/>
  <c r="I139" i="24"/>
  <c r="I140" i="24"/>
  <c r="I141" i="24"/>
  <c r="I142" i="24"/>
  <c r="I143" i="24"/>
  <c r="I144" i="24"/>
  <c r="I145" i="24"/>
  <c r="I146" i="24"/>
  <c r="I147" i="24"/>
  <c r="I148" i="24"/>
  <c r="I149" i="24"/>
  <c r="I150" i="24"/>
  <c r="I151" i="24"/>
  <c r="I152" i="24"/>
  <c r="I153" i="24"/>
  <c r="I154" i="24"/>
  <c r="I155" i="24"/>
  <c r="I156" i="24"/>
  <c r="I157" i="24"/>
  <c r="I158" i="24"/>
  <c r="I159" i="24"/>
  <c r="I160" i="24"/>
  <c r="I161" i="24"/>
  <c r="I162" i="24"/>
  <c r="I163" i="24"/>
  <c r="I164" i="24"/>
  <c r="I165" i="24"/>
  <c r="I166" i="24"/>
  <c r="I167" i="24"/>
  <c r="I168" i="24"/>
  <c r="I169" i="24"/>
  <c r="I170" i="24"/>
  <c r="I171" i="24"/>
  <c r="I172" i="24"/>
  <c r="I173" i="24"/>
  <c r="I174" i="24"/>
  <c r="I175" i="24"/>
  <c r="I176" i="24"/>
  <c r="I177" i="24"/>
  <c r="I178" i="24"/>
  <c r="I179" i="24"/>
  <c r="I180" i="24"/>
  <c r="I181" i="24"/>
  <c r="I182" i="24"/>
  <c r="I183" i="24"/>
  <c r="I184" i="24"/>
  <c r="I185" i="24"/>
  <c r="I186" i="24"/>
  <c r="I187" i="24"/>
  <c r="I188" i="24"/>
  <c r="I189" i="24"/>
  <c r="I190" i="24"/>
  <c r="I191" i="24"/>
  <c r="I192" i="24"/>
  <c r="I193" i="24"/>
  <c r="I194" i="24"/>
  <c r="I195" i="24"/>
  <c r="I196" i="24"/>
  <c r="I197" i="24"/>
  <c r="I198" i="24"/>
  <c r="I199" i="24"/>
  <c r="I200" i="24"/>
  <c r="I201" i="24"/>
  <c r="I202" i="24"/>
  <c r="I203" i="24"/>
  <c r="I204" i="24"/>
  <c r="I205" i="24"/>
  <c r="I206" i="24"/>
  <c r="I207" i="24"/>
  <c r="I208" i="24"/>
  <c r="I209" i="24"/>
  <c r="I210" i="24"/>
  <c r="I211" i="24"/>
  <c r="I212" i="24"/>
  <c r="I213" i="24"/>
  <c r="I214" i="24"/>
  <c r="I215" i="24"/>
  <c r="I216" i="24"/>
  <c r="I217" i="24"/>
  <c r="I218" i="24"/>
  <c r="I219" i="24"/>
  <c r="I220" i="24"/>
  <c r="I221" i="24"/>
  <c r="I222" i="24"/>
  <c r="I223" i="24"/>
  <c r="I224" i="24"/>
  <c r="I225" i="24"/>
  <c r="I226" i="24"/>
  <c r="I227" i="24"/>
  <c r="I228" i="24"/>
  <c r="I229" i="24"/>
  <c r="I230" i="24"/>
  <c r="I231" i="24"/>
  <c r="I232" i="24"/>
  <c r="I233" i="24"/>
  <c r="I234" i="24"/>
  <c r="I235" i="24"/>
  <c r="I236" i="24"/>
  <c r="I237" i="24"/>
  <c r="I238" i="24"/>
  <c r="I239" i="24"/>
  <c r="I240" i="24"/>
  <c r="I241" i="24"/>
  <c r="I242" i="24"/>
  <c r="I243" i="24"/>
  <c r="I244" i="24"/>
  <c r="I245" i="24"/>
  <c r="I246" i="24"/>
  <c r="I247" i="24"/>
  <c r="I248" i="24"/>
  <c r="I249" i="24"/>
  <c r="I250" i="24"/>
  <c r="I251" i="24"/>
  <c r="I252" i="24"/>
  <c r="I253" i="24"/>
  <c r="I254" i="24"/>
  <c r="I255" i="24"/>
  <c r="I256" i="24"/>
  <c r="I257" i="24"/>
  <c r="I258" i="24"/>
  <c r="I259" i="24"/>
  <c r="I260" i="24"/>
  <c r="I261" i="24"/>
  <c r="I262" i="24"/>
  <c r="I263" i="24"/>
  <c r="I264" i="24"/>
  <c r="I265" i="24"/>
  <c r="I266" i="24"/>
  <c r="I267" i="24"/>
  <c r="I268" i="24"/>
  <c r="I269" i="24"/>
  <c r="I270" i="24"/>
  <c r="I271" i="24"/>
  <c r="I272" i="24"/>
  <c r="I273" i="24"/>
  <c r="I274" i="24"/>
  <c r="I275" i="24"/>
  <c r="I276" i="24"/>
  <c r="I277" i="24"/>
  <c r="I278" i="24"/>
  <c r="I279" i="24"/>
  <c r="I280" i="24"/>
  <c r="I281" i="24"/>
  <c r="I282" i="24"/>
  <c r="I283" i="24"/>
  <c r="I284" i="24"/>
  <c r="I285" i="24"/>
  <c r="I286" i="24"/>
  <c r="I287" i="24"/>
  <c r="I288" i="24"/>
  <c r="I289" i="24"/>
  <c r="I290" i="24"/>
  <c r="I291" i="24"/>
  <c r="I292" i="24"/>
  <c r="I293" i="24"/>
  <c r="I294" i="24"/>
  <c r="I295" i="24"/>
  <c r="I296" i="24"/>
  <c r="I297" i="24"/>
  <c r="I298" i="24"/>
  <c r="I299" i="24"/>
  <c r="I300" i="24"/>
  <c r="I301" i="24"/>
  <c r="I302" i="24"/>
  <c r="I303" i="24"/>
  <c r="I304" i="24"/>
  <c r="I305" i="24"/>
  <c r="I306" i="24"/>
  <c r="I307" i="24"/>
  <c r="I308" i="24"/>
  <c r="I309" i="24"/>
  <c r="I310" i="24"/>
  <c r="I311" i="24"/>
  <c r="I312" i="24"/>
  <c r="I313" i="24"/>
  <c r="I314" i="24"/>
  <c r="I315" i="24"/>
  <c r="I316" i="24"/>
  <c r="I317" i="24"/>
  <c r="I318" i="24"/>
  <c r="I319" i="24"/>
  <c r="I320" i="24"/>
  <c r="I321" i="24"/>
  <c r="I322" i="24"/>
  <c r="I323" i="24"/>
  <c r="I324" i="24"/>
  <c r="I325" i="24"/>
  <c r="I326" i="24"/>
  <c r="I327" i="24"/>
  <c r="I328" i="24"/>
  <c r="I329" i="24"/>
  <c r="I330" i="24"/>
  <c r="I331" i="24"/>
  <c r="I332" i="24"/>
  <c r="I333" i="24"/>
  <c r="I334" i="24"/>
  <c r="I335" i="24"/>
  <c r="I336" i="24"/>
  <c r="I337" i="24"/>
  <c r="I338" i="24"/>
  <c r="I339" i="24"/>
  <c r="I340" i="24"/>
  <c r="I341" i="24"/>
  <c r="I342" i="24"/>
  <c r="I343" i="24"/>
  <c r="I344" i="24"/>
  <c r="I345" i="24"/>
  <c r="I346" i="24"/>
  <c r="I347" i="24"/>
  <c r="I348" i="24"/>
  <c r="I349" i="24"/>
  <c r="I350" i="24"/>
  <c r="I351" i="24"/>
  <c r="I352" i="24"/>
  <c r="I353" i="24"/>
  <c r="I354" i="24"/>
  <c r="I355" i="24"/>
  <c r="I356" i="24"/>
  <c r="I357" i="24"/>
  <c r="I358" i="24"/>
  <c r="I359" i="24"/>
  <c r="I360" i="24"/>
  <c r="I361" i="24"/>
  <c r="I362" i="24"/>
  <c r="I363" i="24"/>
  <c r="I364" i="24"/>
  <c r="I365" i="24"/>
  <c r="I366" i="24"/>
  <c r="I367" i="24"/>
  <c r="I368" i="24"/>
  <c r="I369" i="24"/>
  <c r="I370" i="24"/>
  <c r="I371" i="24"/>
  <c r="I372" i="24"/>
  <c r="I373" i="24"/>
  <c r="I374" i="24"/>
  <c r="I375" i="24"/>
  <c r="I376" i="24"/>
  <c r="I377" i="24"/>
  <c r="I378" i="24"/>
  <c r="I379" i="24"/>
  <c r="I380" i="24"/>
  <c r="I381" i="24"/>
  <c r="I382" i="24"/>
  <c r="I383" i="24"/>
  <c r="I384" i="24"/>
  <c r="I385" i="24"/>
  <c r="I386" i="24"/>
  <c r="I387" i="24"/>
  <c r="I388" i="24"/>
  <c r="I389" i="24"/>
  <c r="I390" i="24"/>
  <c r="I391" i="24"/>
  <c r="I392" i="24"/>
  <c r="I393" i="24"/>
  <c r="I394" i="24"/>
  <c r="I395" i="24"/>
  <c r="I396" i="24"/>
  <c r="I397" i="24"/>
  <c r="I398" i="24"/>
  <c r="I399" i="24"/>
  <c r="I400" i="24"/>
  <c r="I401" i="24"/>
  <c r="I402" i="24"/>
  <c r="I403" i="24"/>
  <c r="I404" i="24"/>
  <c r="I405" i="24"/>
  <c r="I406" i="24"/>
  <c r="I407" i="24"/>
  <c r="I408" i="24"/>
  <c r="I409" i="24"/>
  <c r="I410" i="24"/>
  <c r="I411" i="24"/>
  <c r="I412" i="24"/>
  <c r="I413" i="24"/>
  <c r="I414" i="24"/>
  <c r="I415" i="24"/>
  <c r="I416" i="24"/>
  <c r="I417" i="24"/>
  <c r="I418" i="24"/>
  <c r="I419" i="24"/>
  <c r="I420" i="24"/>
  <c r="I421" i="24"/>
  <c r="I422" i="24"/>
  <c r="I423" i="24"/>
  <c r="I424" i="24"/>
  <c r="I425" i="24"/>
  <c r="I426" i="24"/>
  <c r="I427" i="24"/>
  <c r="I428" i="24"/>
  <c r="I429" i="24"/>
  <c r="I430" i="24"/>
  <c r="I431" i="24"/>
  <c r="I432" i="24"/>
  <c r="I433" i="24"/>
  <c r="I434" i="24"/>
  <c r="I435" i="24"/>
  <c r="I436" i="24"/>
  <c r="I437" i="24"/>
  <c r="I438" i="24"/>
  <c r="I439" i="24"/>
  <c r="I440" i="24"/>
  <c r="I441" i="24"/>
  <c r="I442" i="24"/>
  <c r="I443" i="24"/>
  <c r="I444" i="24"/>
  <c r="I445" i="24"/>
  <c r="I446" i="24"/>
  <c r="I447" i="24"/>
  <c r="I448" i="24"/>
  <c r="I449" i="24"/>
  <c r="I450" i="24"/>
  <c r="I451" i="24"/>
  <c r="I452" i="24"/>
  <c r="I453" i="24"/>
  <c r="I454" i="24"/>
  <c r="I455" i="24"/>
  <c r="I456" i="24"/>
  <c r="I457" i="24"/>
  <c r="I458" i="24"/>
  <c r="I459" i="24"/>
  <c r="I460" i="24"/>
  <c r="I461" i="24"/>
  <c r="I462" i="24"/>
  <c r="I463" i="24"/>
  <c r="I464" i="24"/>
  <c r="I465" i="24"/>
  <c r="I466" i="24"/>
  <c r="I467" i="24"/>
  <c r="I468" i="24"/>
  <c r="I469" i="24"/>
  <c r="I470" i="24"/>
  <c r="I471" i="24"/>
  <c r="I472" i="24"/>
  <c r="I473" i="24"/>
  <c r="I474" i="24"/>
  <c r="I475" i="24"/>
  <c r="I476" i="24"/>
  <c r="I477" i="24"/>
  <c r="I478" i="24"/>
  <c r="I479" i="24"/>
  <c r="I480" i="24"/>
  <c r="I481" i="24"/>
  <c r="I482" i="24"/>
  <c r="I483" i="24"/>
  <c r="I484" i="24"/>
  <c r="I485" i="24"/>
  <c r="I486" i="24"/>
  <c r="I487" i="24"/>
  <c r="I488" i="24"/>
  <c r="I489" i="24"/>
  <c r="I490" i="24"/>
  <c r="I491" i="24"/>
  <c r="I492" i="24"/>
  <c r="I493" i="24"/>
  <c r="I494" i="24"/>
  <c r="I495" i="24"/>
  <c r="I496" i="24"/>
  <c r="I497" i="24"/>
  <c r="I498" i="24"/>
  <c r="I499" i="24"/>
  <c r="I500" i="24"/>
  <c r="I501" i="24"/>
  <c r="I502" i="24"/>
  <c r="I503" i="24"/>
  <c r="I504" i="24"/>
  <c r="I505" i="24"/>
  <c r="I506" i="24"/>
  <c r="I507" i="24"/>
  <c r="I508" i="24"/>
  <c r="I509" i="24"/>
  <c r="I510" i="24"/>
  <c r="I511" i="24"/>
  <c r="I512" i="24"/>
  <c r="I513" i="24"/>
  <c r="I514" i="24"/>
  <c r="I515" i="24"/>
  <c r="I516" i="24"/>
  <c r="I517" i="24"/>
  <c r="I518" i="24"/>
  <c r="I519" i="24"/>
  <c r="I520" i="24"/>
  <c r="I521" i="24"/>
  <c r="I522" i="24"/>
  <c r="I523" i="24"/>
  <c r="I524" i="24"/>
  <c r="I525" i="24"/>
  <c r="I526" i="24"/>
  <c r="I527" i="24"/>
  <c r="I528" i="24"/>
  <c r="I529" i="24"/>
  <c r="I530" i="24"/>
  <c r="I531" i="24"/>
  <c r="I532" i="24"/>
  <c r="I533" i="24"/>
  <c r="I534" i="24"/>
  <c r="I535" i="24"/>
  <c r="I536" i="24"/>
  <c r="I537" i="24"/>
  <c r="I538" i="24"/>
  <c r="I539" i="24"/>
  <c r="I540" i="24"/>
  <c r="I541" i="24"/>
  <c r="I542" i="24"/>
  <c r="I543" i="24"/>
  <c r="I544" i="24"/>
  <c r="I545" i="24"/>
  <c r="I546" i="24"/>
  <c r="I547" i="24"/>
  <c r="I548" i="24"/>
  <c r="I549" i="24"/>
  <c r="I550" i="24"/>
  <c r="I551" i="24"/>
  <c r="I552" i="24"/>
  <c r="I553" i="24"/>
  <c r="I554" i="24"/>
  <c r="I555" i="24"/>
  <c r="I556" i="24"/>
  <c r="I557" i="24"/>
  <c r="I558" i="24"/>
  <c r="I559" i="24"/>
  <c r="I560" i="24"/>
  <c r="I561" i="24"/>
  <c r="I562" i="24"/>
  <c r="I563" i="24"/>
  <c r="I564" i="24"/>
  <c r="I565" i="24"/>
  <c r="I566" i="24"/>
  <c r="I567" i="24"/>
  <c r="I568" i="24"/>
  <c r="I569" i="24"/>
  <c r="I570" i="24"/>
  <c r="I571" i="24"/>
  <c r="I572" i="24"/>
  <c r="I573" i="24"/>
  <c r="I574" i="24"/>
  <c r="I575" i="24"/>
  <c r="I576" i="24"/>
  <c r="I577" i="24"/>
  <c r="I578" i="24"/>
  <c r="I579" i="24"/>
  <c r="I580" i="24"/>
  <c r="I581" i="24"/>
  <c r="I582" i="24"/>
  <c r="I583" i="24"/>
  <c r="I584" i="24"/>
  <c r="I585" i="24"/>
  <c r="I586" i="24"/>
  <c r="I587" i="24"/>
  <c r="I588" i="24"/>
  <c r="I589" i="24"/>
  <c r="I590" i="24"/>
  <c r="I591" i="24"/>
  <c r="I592" i="24"/>
  <c r="I593" i="24"/>
  <c r="I594" i="24"/>
  <c r="I595" i="24"/>
  <c r="I596" i="24"/>
  <c r="I597" i="24"/>
  <c r="I598" i="24"/>
  <c r="I599" i="24"/>
  <c r="I600" i="24"/>
  <c r="I601" i="24"/>
  <c r="I602" i="24"/>
  <c r="I603" i="24"/>
  <c r="I604" i="24"/>
  <c r="I605" i="24"/>
  <c r="I606" i="24"/>
  <c r="I607" i="24"/>
  <c r="I608" i="24"/>
  <c r="I609" i="24"/>
  <c r="I610" i="24"/>
  <c r="I611" i="24"/>
  <c r="I612" i="24"/>
  <c r="I613" i="24"/>
  <c r="I614" i="24"/>
  <c r="I615" i="24"/>
  <c r="I616" i="24"/>
  <c r="I617" i="24"/>
  <c r="I618" i="24"/>
  <c r="I619" i="24"/>
  <c r="I620" i="24"/>
  <c r="I621" i="24"/>
  <c r="I622" i="24"/>
  <c r="I623" i="24"/>
  <c r="I624" i="24"/>
  <c r="I625" i="24"/>
  <c r="I626" i="24"/>
  <c r="I627" i="24"/>
  <c r="I628" i="24"/>
  <c r="I629" i="24"/>
  <c r="I630" i="24"/>
  <c r="I631" i="24"/>
  <c r="I632" i="24"/>
  <c r="I633" i="24"/>
  <c r="I634" i="24"/>
  <c r="I635" i="24"/>
  <c r="I636" i="24"/>
  <c r="I637" i="24"/>
  <c r="I638" i="24"/>
  <c r="I639" i="24"/>
  <c r="I640" i="24"/>
  <c r="I641" i="24"/>
  <c r="I642" i="24"/>
  <c r="I643" i="24"/>
  <c r="I644" i="24"/>
  <c r="I645" i="24"/>
  <c r="I646" i="24"/>
  <c r="I647" i="24"/>
  <c r="I648" i="24"/>
  <c r="I649" i="24"/>
  <c r="I650" i="24"/>
  <c r="I651" i="24"/>
  <c r="I652" i="24"/>
  <c r="I653" i="24"/>
  <c r="I654" i="24"/>
  <c r="I655" i="24"/>
  <c r="I656" i="24"/>
  <c r="I657" i="24"/>
  <c r="I658" i="24"/>
  <c r="I659" i="24"/>
  <c r="I660" i="24"/>
  <c r="I661" i="24"/>
  <c r="I662" i="24"/>
  <c r="I663" i="24"/>
  <c r="I664" i="24"/>
  <c r="I665" i="24"/>
  <c r="I666" i="24"/>
  <c r="I667" i="24"/>
  <c r="I668" i="24"/>
  <c r="I669" i="24"/>
  <c r="I670" i="24"/>
  <c r="I671" i="24"/>
  <c r="I672" i="24"/>
  <c r="I673" i="24"/>
  <c r="I674" i="24"/>
  <c r="I675" i="24"/>
  <c r="I676" i="24"/>
  <c r="I677" i="24"/>
  <c r="I678" i="24"/>
  <c r="I679" i="24"/>
  <c r="I680" i="24"/>
  <c r="I681" i="24"/>
  <c r="I682" i="24"/>
  <c r="I683" i="24"/>
  <c r="I684" i="24"/>
  <c r="I685" i="24"/>
  <c r="I686" i="24"/>
  <c r="I687" i="24"/>
  <c r="I688" i="24"/>
  <c r="I689" i="24"/>
  <c r="I690" i="24"/>
  <c r="I691" i="24"/>
  <c r="I692" i="24"/>
  <c r="I693" i="24"/>
  <c r="I694" i="24"/>
  <c r="I695" i="24"/>
  <c r="I696" i="24"/>
  <c r="I697" i="24"/>
  <c r="I698" i="24"/>
  <c r="I699" i="24"/>
  <c r="I700" i="24"/>
  <c r="I701" i="24"/>
  <c r="I702" i="24"/>
  <c r="I703" i="24"/>
  <c r="I704" i="24"/>
  <c r="I705" i="24"/>
  <c r="I706" i="24"/>
  <c r="I707" i="24"/>
  <c r="I708" i="24"/>
  <c r="I709" i="24"/>
  <c r="I710" i="24"/>
  <c r="I711" i="24"/>
  <c r="I712" i="24"/>
  <c r="I713" i="24"/>
  <c r="I714" i="24"/>
  <c r="I715" i="24"/>
  <c r="I716" i="24"/>
  <c r="I717" i="24"/>
  <c r="I718" i="24"/>
  <c r="I719" i="24"/>
  <c r="I720" i="24"/>
  <c r="I721" i="24"/>
  <c r="I722" i="24"/>
  <c r="I723" i="24"/>
  <c r="I724" i="24"/>
  <c r="I725" i="24"/>
  <c r="I726" i="24"/>
  <c r="I727" i="24"/>
  <c r="I728" i="24"/>
  <c r="I729" i="24"/>
  <c r="I730" i="24"/>
  <c r="I731" i="24"/>
  <c r="I732" i="24"/>
  <c r="I733" i="24"/>
  <c r="I734" i="24"/>
  <c r="I735" i="24"/>
  <c r="I736" i="24"/>
  <c r="I737" i="24"/>
  <c r="I738" i="24"/>
  <c r="I739" i="24"/>
  <c r="I740" i="24"/>
  <c r="I741" i="24"/>
  <c r="I742" i="24"/>
  <c r="I743" i="24"/>
  <c r="I744" i="24"/>
  <c r="I745" i="24"/>
  <c r="I746" i="24"/>
  <c r="I747" i="24"/>
  <c r="I748" i="24"/>
  <c r="I749" i="24"/>
  <c r="I750" i="24"/>
  <c r="I751" i="24"/>
  <c r="I752" i="24"/>
  <c r="I753" i="24"/>
  <c r="I754" i="24"/>
  <c r="I755" i="24"/>
  <c r="I756" i="24"/>
  <c r="I757" i="24"/>
  <c r="I758" i="24"/>
  <c r="I759" i="24"/>
  <c r="I760" i="24"/>
  <c r="I761" i="24"/>
  <c r="I762" i="24"/>
  <c r="I763" i="24"/>
  <c r="I764" i="24"/>
  <c r="I765" i="24"/>
  <c r="I766" i="24"/>
  <c r="I767" i="24"/>
  <c r="I768" i="24"/>
  <c r="I769" i="24"/>
  <c r="I770" i="24"/>
  <c r="I771" i="24"/>
  <c r="I772" i="24"/>
  <c r="I773" i="24"/>
  <c r="I774" i="24"/>
  <c r="I775" i="24"/>
  <c r="I776" i="24"/>
  <c r="I777" i="24"/>
  <c r="I778" i="24"/>
  <c r="I779" i="24"/>
  <c r="I780" i="24"/>
  <c r="I781" i="24"/>
  <c r="I782" i="24"/>
  <c r="I783" i="24"/>
  <c r="I784" i="24"/>
  <c r="I785" i="24"/>
  <c r="I786" i="24"/>
  <c r="I787" i="24"/>
  <c r="I788" i="24"/>
  <c r="I789" i="24"/>
  <c r="I790" i="24"/>
  <c r="I791" i="24"/>
  <c r="I792" i="24"/>
  <c r="I793" i="24"/>
  <c r="I794" i="24"/>
  <c r="I795" i="24"/>
  <c r="I796" i="24"/>
  <c r="I797" i="24"/>
  <c r="I798" i="24"/>
  <c r="I799" i="24"/>
  <c r="I800" i="24"/>
  <c r="I801" i="24"/>
  <c r="I802" i="24"/>
  <c r="I803" i="24"/>
  <c r="I804" i="24"/>
  <c r="I805" i="24"/>
  <c r="I806" i="24"/>
  <c r="I807" i="24"/>
  <c r="I808" i="24"/>
  <c r="I809" i="24"/>
  <c r="I810" i="24"/>
  <c r="I811" i="24"/>
  <c r="I812" i="24"/>
  <c r="I813" i="24"/>
  <c r="I814" i="24"/>
  <c r="I815" i="24"/>
  <c r="I816" i="24"/>
  <c r="I817" i="24"/>
  <c r="I818" i="24"/>
  <c r="I819" i="24"/>
  <c r="I820" i="24"/>
  <c r="I821" i="24"/>
  <c r="I822" i="24"/>
  <c r="I823" i="24"/>
  <c r="I824" i="24"/>
  <c r="I825" i="24"/>
  <c r="I826" i="24"/>
  <c r="I827" i="24"/>
  <c r="I828" i="24"/>
  <c r="I829" i="24"/>
  <c r="I830" i="24"/>
  <c r="I831" i="24"/>
  <c r="I832" i="24"/>
  <c r="I833" i="24"/>
  <c r="I834" i="24"/>
  <c r="I835" i="24"/>
  <c r="I836" i="24"/>
  <c r="I837" i="24"/>
  <c r="I838" i="24"/>
  <c r="I839" i="24"/>
  <c r="I840" i="24"/>
  <c r="I841" i="24"/>
  <c r="I842" i="24"/>
  <c r="I843" i="24"/>
  <c r="I844" i="24"/>
  <c r="I845" i="24"/>
  <c r="I846" i="24"/>
  <c r="I847" i="24"/>
  <c r="I848" i="24"/>
  <c r="I849" i="24"/>
  <c r="I850" i="24"/>
  <c r="I851" i="24"/>
  <c r="I852" i="24"/>
  <c r="I853" i="24"/>
  <c r="I854" i="24"/>
  <c r="I855" i="24"/>
  <c r="I856" i="24"/>
  <c r="I857" i="24"/>
  <c r="I858" i="24"/>
  <c r="I859" i="24"/>
  <c r="I860" i="24"/>
  <c r="I861" i="24"/>
  <c r="I862" i="24"/>
  <c r="I863" i="24"/>
  <c r="I864" i="24"/>
  <c r="I865" i="24"/>
  <c r="I866" i="24"/>
  <c r="I867" i="24"/>
  <c r="I868" i="24"/>
  <c r="I869" i="24"/>
  <c r="I870" i="24"/>
  <c r="I871" i="24"/>
  <c r="I872" i="24"/>
  <c r="I873" i="24"/>
  <c r="I874" i="24"/>
  <c r="I875" i="24"/>
  <c r="I876" i="24"/>
  <c r="I877" i="24"/>
  <c r="I878" i="24"/>
  <c r="I879" i="24"/>
  <c r="I880" i="24"/>
  <c r="I881" i="24"/>
  <c r="I882" i="24"/>
  <c r="I883" i="24"/>
  <c r="I884" i="24"/>
  <c r="I885" i="24"/>
  <c r="I886" i="24"/>
  <c r="I887" i="24"/>
  <c r="I888" i="24"/>
  <c r="I889" i="24"/>
  <c r="I890" i="24"/>
  <c r="I891" i="24"/>
  <c r="I892" i="24"/>
  <c r="I893" i="24"/>
  <c r="I894" i="24"/>
  <c r="I895" i="24"/>
  <c r="I896" i="24"/>
  <c r="I897" i="24"/>
  <c r="I898" i="24"/>
  <c r="I899" i="24"/>
  <c r="I900" i="24"/>
  <c r="I901" i="24"/>
  <c r="I902" i="24"/>
  <c r="I903" i="24"/>
  <c r="I904" i="24"/>
  <c r="I905" i="24"/>
  <c r="I906" i="24"/>
  <c r="I907" i="24"/>
  <c r="I908" i="24"/>
  <c r="I909" i="24"/>
  <c r="I910" i="24"/>
  <c r="I911" i="24"/>
  <c r="I912" i="24"/>
  <c r="I913" i="24"/>
  <c r="I914" i="24"/>
  <c r="I915" i="24"/>
  <c r="I916" i="24"/>
  <c r="I917" i="24"/>
  <c r="I918" i="24"/>
  <c r="I919" i="24"/>
  <c r="I920" i="24"/>
  <c r="I921" i="24"/>
  <c r="I922" i="24"/>
  <c r="I923" i="24"/>
  <c r="I924" i="24"/>
  <c r="I925" i="24"/>
  <c r="I926" i="24"/>
  <c r="I927" i="24"/>
  <c r="I928" i="24"/>
  <c r="I929" i="24"/>
  <c r="I930" i="24"/>
  <c r="I931" i="24"/>
  <c r="I932" i="24"/>
  <c r="I933" i="24"/>
  <c r="I934" i="24"/>
  <c r="I935" i="24"/>
  <c r="I936" i="24"/>
  <c r="I937" i="24"/>
  <c r="I938" i="24"/>
  <c r="I939" i="24"/>
  <c r="I940" i="24"/>
  <c r="I941" i="24"/>
  <c r="I942" i="24"/>
  <c r="I943" i="24"/>
  <c r="I944" i="24"/>
  <c r="I945" i="24"/>
  <c r="I946" i="24"/>
  <c r="I947" i="24"/>
  <c r="I948" i="24"/>
  <c r="I949" i="24"/>
  <c r="I950" i="24"/>
  <c r="I951" i="24"/>
  <c r="I952" i="24"/>
  <c r="I953" i="24"/>
  <c r="I954" i="24"/>
  <c r="I955" i="24"/>
  <c r="I956" i="24"/>
  <c r="I957" i="24"/>
  <c r="I958" i="24"/>
  <c r="I959" i="24"/>
  <c r="I960" i="24"/>
  <c r="I961" i="24"/>
  <c r="I962" i="24"/>
  <c r="I963" i="24"/>
  <c r="I964" i="24"/>
  <c r="I965" i="24"/>
  <c r="I966" i="24"/>
  <c r="I967" i="24"/>
  <c r="I968" i="24"/>
  <c r="I969" i="24"/>
  <c r="I970" i="24"/>
  <c r="I971" i="24"/>
  <c r="I972" i="24"/>
  <c r="I973" i="24"/>
  <c r="I974" i="24"/>
  <c r="I975" i="24"/>
  <c r="I976" i="24"/>
  <c r="I977" i="24"/>
  <c r="I978" i="24"/>
  <c r="I979" i="24"/>
  <c r="I980" i="24"/>
  <c r="I981" i="24"/>
  <c r="I982" i="24"/>
  <c r="I983" i="24"/>
  <c r="I984" i="24"/>
  <c r="I985" i="24"/>
  <c r="I986" i="24"/>
  <c r="I987" i="24"/>
  <c r="I988" i="24"/>
  <c r="I989" i="24"/>
  <c r="I990" i="24"/>
  <c r="I991" i="24"/>
  <c r="I992" i="24"/>
  <c r="I993" i="24"/>
  <c r="I994" i="24"/>
  <c r="I995" i="24"/>
  <c r="I996" i="24"/>
  <c r="I997" i="24"/>
  <c r="I998" i="24"/>
  <c r="I999" i="24"/>
  <c r="I1000" i="24"/>
  <c r="I1001" i="24"/>
  <c r="I1002" i="24"/>
  <c r="I1003" i="24"/>
  <c r="I1004" i="24"/>
  <c r="I1005" i="24"/>
  <c r="I1006" i="24"/>
  <c r="I1007" i="24"/>
  <c r="I1008" i="24"/>
  <c r="I1009" i="24"/>
  <c r="I1010" i="24"/>
  <c r="I1011" i="24"/>
  <c r="I1012" i="24"/>
  <c r="I1013" i="24"/>
  <c r="I1014" i="24"/>
  <c r="I1015" i="24"/>
  <c r="I1016" i="24"/>
  <c r="I1017" i="24"/>
  <c r="I1018" i="24"/>
  <c r="I1019" i="24"/>
  <c r="I1020" i="24"/>
  <c r="I1021" i="24"/>
  <c r="I1022" i="24"/>
  <c r="I1023" i="24"/>
  <c r="I1024" i="24"/>
  <c r="I1025" i="24"/>
  <c r="I1026" i="24"/>
  <c r="I1027" i="24"/>
  <c r="I1028" i="24"/>
  <c r="I1029" i="24"/>
  <c r="I1030" i="24"/>
  <c r="I1031" i="24"/>
  <c r="I1032" i="24"/>
  <c r="I1033" i="24"/>
  <c r="I1034" i="24"/>
  <c r="I1035" i="24"/>
  <c r="I1036" i="24"/>
  <c r="I1037" i="24"/>
  <c r="I1038" i="24"/>
  <c r="I1039" i="24"/>
  <c r="I1040" i="24"/>
  <c r="I1041" i="24"/>
  <c r="I1042" i="24"/>
  <c r="I1043" i="24"/>
  <c r="I1044" i="24"/>
  <c r="I1045" i="24"/>
  <c r="I1046" i="24"/>
  <c r="I1047" i="24"/>
  <c r="I1048" i="24"/>
  <c r="I1049" i="24"/>
  <c r="I1050" i="24"/>
  <c r="I1051" i="24"/>
  <c r="I1052" i="24"/>
  <c r="I1053" i="24"/>
  <c r="I1054" i="24"/>
  <c r="I1055" i="24"/>
  <c r="I1056" i="24"/>
  <c r="I1057" i="24"/>
  <c r="I1058" i="24"/>
  <c r="I1059" i="24"/>
  <c r="I1060" i="24"/>
  <c r="I1061" i="24"/>
  <c r="I1062" i="24"/>
  <c r="I1063" i="24"/>
  <c r="I1064" i="24"/>
  <c r="I1065" i="24"/>
  <c r="I1066" i="24"/>
  <c r="I1067" i="24"/>
  <c r="I1068" i="24"/>
  <c r="I1069" i="24"/>
  <c r="I1070" i="24"/>
  <c r="I1071" i="24"/>
  <c r="I1072" i="24"/>
  <c r="I1073" i="24"/>
  <c r="I1074" i="24"/>
  <c r="I1075" i="24"/>
  <c r="I1076" i="24"/>
  <c r="I1077" i="24"/>
  <c r="I1078" i="24"/>
  <c r="I1079" i="24"/>
  <c r="I1080" i="24"/>
  <c r="I1081" i="24"/>
  <c r="I1082" i="24"/>
  <c r="I1083" i="24"/>
  <c r="I1084" i="24"/>
  <c r="I1085" i="24"/>
  <c r="I1086" i="24"/>
  <c r="I1087" i="24"/>
  <c r="I1088" i="24"/>
  <c r="I1089" i="24"/>
  <c r="I1090" i="24"/>
  <c r="I1091" i="24"/>
  <c r="I1092" i="24"/>
  <c r="I1093" i="24"/>
  <c r="I1094" i="24"/>
  <c r="I1095" i="24"/>
  <c r="I1096" i="24"/>
  <c r="I1097" i="24"/>
  <c r="I1098" i="24"/>
  <c r="I1099" i="24"/>
  <c r="I1100" i="24"/>
  <c r="I1101" i="24"/>
  <c r="I1102" i="24"/>
  <c r="I1103" i="24"/>
  <c r="I1104" i="24"/>
  <c r="I1105" i="24"/>
  <c r="I1106" i="24"/>
  <c r="I1107" i="24"/>
  <c r="I1108" i="24"/>
  <c r="I1109" i="24"/>
  <c r="I1110" i="24"/>
  <c r="I1111" i="24"/>
  <c r="I1112" i="24"/>
  <c r="I1113" i="24"/>
  <c r="I1114" i="24"/>
  <c r="I1115" i="24"/>
  <c r="I1116" i="24"/>
  <c r="I1117" i="24"/>
  <c r="I1118" i="24"/>
  <c r="I1119" i="24"/>
  <c r="I1120" i="24"/>
  <c r="I1121" i="24"/>
  <c r="I1122" i="24"/>
  <c r="I1123" i="24"/>
  <c r="I1124" i="24"/>
  <c r="I1125" i="24"/>
  <c r="I1126" i="24"/>
  <c r="I1127" i="24"/>
  <c r="I1128" i="24"/>
  <c r="I1129" i="24"/>
  <c r="I1130" i="24"/>
  <c r="I1131" i="24"/>
  <c r="I1132" i="24"/>
  <c r="I1133" i="24"/>
  <c r="I1134" i="24"/>
  <c r="I1135" i="24"/>
  <c r="I1136" i="24"/>
  <c r="I1137" i="24"/>
  <c r="I1138" i="24"/>
  <c r="I1139" i="24"/>
  <c r="I1140" i="24"/>
  <c r="I1141" i="24"/>
  <c r="I1142" i="24"/>
  <c r="I1143" i="24"/>
  <c r="I1144" i="24"/>
  <c r="I1145" i="24"/>
  <c r="I1146" i="24"/>
  <c r="I1147" i="24"/>
  <c r="I1148" i="24"/>
  <c r="I1149" i="24"/>
  <c r="I1150" i="24"/>
  <c r="I1151" i="24"/>
  <c r="I1152" i="24"/>
  <c r="I1153" i="24"/>
  <c r="I1154" i="24"/>
  <c r="I1155" i="24"/>
  <c r="I1156" i="24"/>
  <c r="I1157" i="24"/>
  <c r="I1158" i="24"/>
  <c r="I1159" i="24"/>
  <c r="I1160" i="24"/>
  <c r="I1161" i="24"/>
  <c r="I1162" i="24"/>
  <c r="I1163" i="24"/>
  <c r="I1164" i="24"/>
  <c r="I1165" i="24"/>
  <c r="I1166" i="24"/>
  <c r="I1167" i="24"/>
  <c r="I1168" i="24"/>
  <c r="I1169" i="24"/>
  <c r="I1170" i="24"/>
  <c r="I1171" i="24"/>
  <c r="I1172" i="24"/>
  <c r="I1173" i="24"/>
  <c r="I1174" i="24"/>
  <c r="I1175" i="24"/>
  <c r="I1176" i="24"/>
  <c r="I1177" i="24"/>
  <c r="I1178" i="24"/>
  <c r="I1179" i="24"/>
  <c r="I1180" i="24"/>
  <c r="I1181" i="24"/>
  <c r="I1182" i="24"/>
  <c r="I1183" i="24"/>
  <c r="I1184" i="24"/>
  <c r="I1185" i="24"/>
  <c r="I1186" i="24"/>
  <c r="I1187" i="24"/>
  <c r="I1188" i="24"/>
  <c r="I1189" i="24"/>
  <c r="I1190" i="24"/>
  <c r="I1191" i="24"/>
  <c r="I1192" i="24"/>
  <c r="I1193" i="24"/>
  <c r="I1194" i="24"/>
  <c r="I1195" i="24"/>
  <c r="I1196" i="24"/>
  <c r="I1197" i="24"/>
  <c r="I1198" i="24"/>
  <c r="I1199" i="24"/>
  <c r="I1200" i="24"/>
  <c r="I1201" i="24"/>
  <c r="I1202" i="24"/>
  <c r="I1203" i="24"/>
  <c r="I1204" i="24"/>
  <c r="I1205" i="24"/>
  <c r="I1206" i="24"/>
  <c r="I1207" i="24"/>
  <c r="I1208" i="24"/>
  <c r="I1209" i="24"/>
  <c r="I1210" i="24"/>
  <c r="I1211" i="24"/>
  <c r="I1212" i="24"/>
  <c r="I1213" i="24"/>
  <c r="I1214" i="24"/>
  <c r="I1215" i="24"/>
  <c r="I1216" i="24"/>
  <c r="I1217" i="24"/>
  <c r="I1218" i="24"/>
  <c r="I1219" i="24"/>
  <c r="I1220" i="24"/>
  <c r="I1221" i="24"/>
  <c r="I1222" i="24"/>
  <c r="I1223" i="24"/>
  <c r="I1224" i="24"/>
  <c r="I1225" i="24"/>
  <c r="I1226" i="24"/>
  <c r="I1227" i="24"/>
  <c r="I1228" i="24"/>
  <c r="I1229" i="24"/>
  <c r="I1230" i="24"/>
  <c r="I1231" i="24"/>
  <c r="I1232" i="24"/>
  <c r="I1233" i="24"/>
  <c r="I1234" i="24"/>
  <c r="I1235" i="24"/>
  <c r="I1236" i="24"/>
  <c r="I1237" i="24"/>
  <c r="I1238" i="24"/>
  <c r="I1239" i="24"/>
  <c r="I1240" i="24"/>
  <c r="I1241" i="24"/>
  <c r="I1242" i="24"/>
  <c r="I1243" i="24"/>
  <c r="I1244" i="24"/>
  <c r="I1245" i="24"/>
  <c r="I1246" i="24"/>
  <c r="I1247" i="24"/>
  <c r="I1248" i="24"/>
  <c r="I1249" i="24"/>
  <c r="I1250" i="24"/>
  <c r="I1251" i="24"/>
  <c r="I1252" i="24"/>
  <c r="I1253" i="24"/>
  <c r="I1254" i="24"/>
  <c r="I1255" i="24"/>
  <c r="I1256" i="24"/>
  <c r="I1257" i="24"/>
  <c r="I1258" i="24"/>
  <c r="I1259" i="24"/>
  <c r="I1260" i="24"/>
  <c r="I1261" i="24"/>
  <c r="I1262" i="24"/>
  <c r="I1263" i="24"/>
  <c r="I1264" i="24"/>
  <c r="I1265" i="24"/>
  <c r="I1266" i="24"/>
  <c r="I1267" i="24"/>
  <c r="I1268" i="24"/>
  <c r="I1269" i="24"/>
  <c r="I1270" i="24"/>
  <c r="I1271" i="24"/>
  <c r="I1272" i="24"/>
  <c r="I1273" i="24"/>
  <c r="I1274" i="24"/>
  <c r="I1275" i="24"/>
  <c r="I1276" i="24"/>
  <c r="I1277" i="24"/>
  <c r="I1278" i="24"/>
  <c r="I1279" i="24"/>
  <c r="I1280" i="24"/>
  <c r="I1281" i="24"/>
  <c r="I1282" i="24"/>
  <c r="I1283" i="24"/>
  <c r="I1284" i="24"/>
  <c r="I1285" i="24"/>
  <c r="I1286" i="24"/>
  <c r="I1287" i="24"/>
  <c r="I1288" i="24"/>
  <c r="I1289" i="24"/>
  <c r="I1290" i="24"/>
  <c r="I1291" i="24"/>
  <c r="I1292" i="24"/>
  <c r="I1293" i="24"/>
  <c r="I1294" i="24"/>
  <c r="I1295" i="24"/>
  <c r="I1296" i="24"/>
  <c r="I1297" i="24"/>
  <c r="I1298" i="24"/>
  <c r="I1299" i="24"/>
  <c r="I1300" i="24"/>
  <c r="I1301" i="24"/>
  <c r="I1302" i="24"/>
  <c r="I1303" i="24"/>
  <c r="I1304" i="24"/>
  <c r="I1305" i="24"/>
  <c r="I1306" i="24"/>
  <c r="I1307" i="24"/>
  <c r="I1308" i="24"/>
  <c r="I1309" i="24"/>
  <c r="I1310" i="24"/>
  <c r="I1311" i="24"/>
  <c r="I1312" i="24"/>
  <c r="I1313" i="24"/>
  <c r="I1314" i="24"/>
  <c r="I1315" i="24"/>
  <c r="I1316" i="24"/>
  <c r="I1317" i="24"/>
  <c r="I1318" i="24"/>
  <c r="I1319" i="24"/>
  <c r="I1320" i="24"/>
  <c r="I1321" i="24"/>
  <c r="I1322" i="24"/>
  <c r="I1323" i="24"/>
  <c r="I1324" i="24"/>
  <c r="I1325" i="24"/>
  <c r="I1326" i="24"/>
  <c r="I1327" i="24"/>
  <c r="I1328" i="24"/>
  <c r="I1329" i="24"/>
  <c r="I1330" i="24"/>
  <c r="I1331" i="24"/>
  <c r="I1332" i="24"/>
  <c r="I1333" i="24"/>
  <c r="I1334" i="24"/>
  <c r="I1335" i="24"/>
  <c r="I1336" i="24"/>
  <c r="I1337" i="24"/>
  <c r="I1338" i="24"/>
  <c r="I1339" i="24"/>
  <c r="I1340" i="24"/>
  <c r="I1341" i="24"/>
  <c r="I1342" i="24"/>
  <c r="I1343" i="24"/>
  <c r="I1344" i="24"/>
  <c r="I1345" i="24"/>
  <c r="I1346" i="24"/>
  <c r="I1347" i="24"/>
  <c r="I1348" i="24"/>
  <c r="I1349" i="24"/>
  <c r="I1350" i="24"/>
  <c r="I1351" i="24"/>
  <c r="I1352" i="24"/>
  <c r="I1353" i="24"/>
  <c r="I1354" i="24"/>
  <c r="I1355" i="24"/>
  <c r="I1356" i="24"/>
  <c r="I1357" i="24"/>
  <c r="I1358" i="24"/>
  <c r="I1359" i="24"/>
  <c r="I1360" i="24"/>
  <c r="I1361" i="24"/>
  <c r="I1362" i="24"/>
  <c r="I1363" i="24"/>
  <c r="I1364" i="24"/>
  <c r="I1365" i="24"/>
  <c r="I1366" i="24"/>
  <c r="I1367" i="24"/>
  <c r="I1368" i="24"/>
  <c r="I1369" i="24"/>
  <c r="I1370" i="24"/>
  <c r="I1371" i="24"/>
  <c r="I1372" i="24"/>
  <c r="I1373" i="24"/>
  <c r="I1374" i="24"/>
  <c r="I1375" i="24"/>
  <c r="I1376" i="24"/>
  <c r="I1377" i="24"/>
  <c r="I1378" i="24"/>
  <c r="I1379" i="24"/>
  <c r="I1380" i="24"/>
  <c r="I1381" i="24"/>
  <c r="I1382" i="24"/>
  <c r="I1383" i="24"/>
  <c r="I1384" i="24"/>
  <c r="I1385" i="24"/>
  <c r="I1386" i="24"/>
  <c r="I1387" i="24"/>
  <c r="I1388" i="24"/>
  <c r="I1389" i="24"/>
  <c r="I1390" i="24"/>
  <c r="I1391" i="24"/>
  <c r="I1392" i="24"/>
  <c r="I1393" i="24"/>
  <c r="I1394" i="24"/>
  <c r="I1395" i="24"/>
  <c r="I1396" i="24"/>
  <c r="I1397" i="24"/>
  <c r="I1398" i="24"/>
  <c r="I1399" i="24"/>
  <c r="I1400" i="24"/>
  <c r="I1401" i="24"/>
  <c r="I1402" i="24"/>
  <c r="I1403" i="24"/>
  <c r="I1404" i="24"/>
  <c r="I1405" i="24"/>
  <c r="I1406" i="24"/>
  <c r="I1407" i="24"/>
  <c r="I1408" i="24"/>
  <c r="I1409" i="24"/>
  <c r="I1410" i="24"/>
  <c r="I1411" i="24"/>
  <c r="I1412" i="24"/>
  <c r="I1413" i="24"/>
  <c r="I1414" i="24"/>
  <c r="I1415" i="24"/>
  <c r="I1416" i="24"/>
  <c r="I1417" i="24"/>
  <c r="I1418" i="24"/>
  <c r="I1419" i="24"/>
  <c r="I1420" i="24"/>
  <c r="I1421" i="24"/>
  <c r="I1422" i="24"/>
  <c r="I1423" i="24"/>
  <c r="I1424" i="24"/>
  <c r="I1425" i="24"/>
  <c r="I1426" i="24"/>
  <c r="I1427" i="24"/>
  <c r="I1428" i="24"/>
  <c r="I1429" i="24"/>
  <c r="I1430" i="24"/>
  <c r="I1431" i="24"/>
  <c r="I1432" i="24"/>
  <c r="I1433" i="24"/>
  <c r="I1434" i="24"/>
  <c r="I1435" i="24"/>
  <c r="I1436" i="24"/>
  <c r="I1437" i="24"/>
  <c r="I1438" i="24"/>
  <c r="I1439" i="24"/>
  <c r="I1440" i="24"/>
  <c r="I1441" i="24"/>
  <c r="I1442" i="24"/>
  <c r="I1443" i="24"/>
  <c r="I1444" i="24"/>
  <c r="I1445" i="24"/>
  <c r="I1446" i="24"/>
  <c r="I1447" i="24"/>
  <c r="I1448" i="24"/>
  <c r="I1449" i="24"/>
  <c r="I1450" i="24"/>
  <c r="I1451" i="24"/>
  <c r="I1452" i="24"/>
  <c r="I1453" i="24"/>
  <c r="I1454" i="24"/>
  <c r="I1455" i="24"/>
  <c r="I1456" i="24"/>
  <c r="I1457" i="24"/>
  <c r="I1458" i="24"/>
  <c r="I1459" i="24"/>
  <c r="I1460" i="24"/>
  <c r="I1461" i="24"/>
  <c r="I1462" i="24"/>
  <c r="I1463" i="24"/>
  <c r="I1464" i="24"/>
  <c r="I1465" i="24"/>
  <c r="I1466" i="24"/>
  <c r="I1467" i="24"/>
  <c r="I1468" i="24"/>
  <c r="I1469" i="24"/>
  <c r="I1470" i="24"/>
  <c r="I1471" i="24"/>
  <c r="I1472" i="24"/>
  <c r="I1473" i="24"/>
  <c r="I1474" i="24"/>
  <c r="I1475" i="24"/>
  <c r="I1476" i="24"/>
  <c r="I1477" i="24"/>
  <c r="I1478" i="24"/>
  <c r="I1479" i="24"/>
  <c r="I1480" i="24"/>
  <c r="I1481" i="24"/>
  <c r="I1482" i="24"/>
  <c r="I1483" i="24"/>
  <c r="I1484" i="24"/>
  <c r="I1485" i="24"/>
  <c r="I1486" i="24"/>
  <c r="I1487" i="24"/>
  <c r="I1488" i="24"/>
  <c r="I1489" i="24"/>
  <c r="I1490" i="24"/>
  <c r="I1491" i="24"/>
  <c r="I1492" i="24"/>
  <c r="I1493" i="24"/>
  <c r="I1494" i="24"/>
  <c r="I1495" i="24"/>
  <c r="I1496" i="24"/>
  <c r="I1497" i="24"/>
  <c r="I1498" i="24"/>
  <c r="I1499" i="24"/>
  <c r="I1500" i="24"/>
  <c r="I1501" i="24"/>
  <c r="I1502" i="24"/>
  <c r="I1503" i="24"/>
  <c r="I1504" i="24"/>
  <c r="I1505" i="24"/>
  <c r="I1506" i="24"/>
  <c r="I1507" i="24"/>
  <c r="I1508" i="24"/>
  <c r="I1509" i="24"/>
  <c r="I1510" i="24"/>
  <c r="I1511" i="24"/>
  <c r="I1512" i="24"/>
  <c r="I1513" i="24"/>
  <c r="I1514" i="24"/>
  <c r="I1515" i="24"/>
  <c r="I1516" i="24"/>
  <c r="I1517" i="24"/>
  <c r="I1518" i="24"/>
  <c r="I1519" i="24"/>
  <c r="I1520" i="24"/>
  <c r="I1521" i="24"/>
  <c r="I1522" i="24"/>
  <c r="I1523" i="24"/>
  <c r="I1524" i="24"/>
  <c r="I1525" i="24"/>
  <c r="I1526" i="24"/>
  <c r="I1527" i="24"/>
  <c r="I1528" i="24"/>
  <c r="I1529" i="24"/>
  <c r="I1530" i="24"/>
  <c r="I1531" i="24"/>
  <c r="I1532" i="24"/>
  <c r="I1533" i="24"/>
  <c r="I1534" i="24"/>
  <c r="I1535" i="24"/>
  <c r="I1536" i="24"/>
  <c r="I1537" i="24"/>
  <c r="I1538" i="24"/>
  <c r="I1539" i="24"/>
  <c r="I1540" i="24"/>
  <c r="I1541" i="24"/>
  <c r="I1542" i="24"/>
  <c r="I1543" i="24"/>
  <c r="I1544" i="24"/>
  <c r="I1545" i="24"/>
  <c r="I1546" i="24"/>
  <c r="I1547" i="24"/>
  <c r="I1548" i="24"/>
  <c r="I1549" i="24"/>
  <c r="I1550" i="24"/>
  <c r="I1551" i="24"/>
  <c r="I1552" i="24"/>
  <c r="I1553" i="24"/>
  <c r="I1554" i="24"/>
  <c r="I1555" i="24"/>
  <c r="I1556" i="24"/>
  <c r="I1557" i="24"/>
  <c r="I1558" i="24"/>
  <c r="I1559" i="24"/>
  <c r="I1560" i="24"/>
  <c r="I1561" i="24"/>
  <c r="I1562" i="24"/>
  <c r="I1563" i="24"/>
  <c r="I1564" i="24"/>
  <c r="I1565" i="24"/>
  <c r="I1566" i="24"/>
  <c r="I1567" i="24"/>
  <c r="I1568" i="24"/>
  <c r="I1569" i="24"/>
  <c r="I1570" i="24"/>
  <c r="I1571" i="24"/>
  <c r="I1572" i="24"/>
  <c r="I1573" i="24"/>
  <c r="I1574" i="24"/>
  <c r="I1575" i="24"/>
  <c r="I1576" i="24"/>
  <c r="I1577" i="24"/>
  <c r="I1578" i="24"/>
  <c r="I1579" i="24"/>
  <c r="I1580" i="24"/>
  <c r="I1581" i="24"/>
  <c r="I1582" i="24"/>
  <c r="I1583" i="24"/>
  <c r="I1584" i="24"/>
  <c r="I1585" i="24"/>
  <c r="I1586" i="24"/>
  <c r="I1587" i="24"/>
  <c r="I1588" i="24"/>
  <c r="I1589" i="24"/>
  <c r="I1590" i="24"/>
  <c r="I1591" i="24"/>
  <c r="I1592" i="24"/>
  <c r="I1593" i="24"/>
  <c r="I1594" i="24"/>
  <c r="I1595" i="24"/>
  <c r="I1596" i="24"/>
  <c r="I1597" i="24"/>
  <c r="I1598" i="24"/>
  <c r="I1599" i="24"/>
  <c r="I1600" i="24"/>
  <c r="I1601" i="24"/>
  <c r="I1602" i="24"/>
  <c r="I1603" i="24"/>
  <c r="I1604" i="24"/>
  <c r="I1605" i="24"/>
  <c r="I1606" i="24"/>
  <c r="I1607" i="24"/>
  <c r="I1608" i="24"/>
  <c r="I1609" i="24"/>
  <c r="I1610" i="24"/>
  <c r="I1611" i="24"/>
  <c r="I1612" i="24"/>
  <c r="I1613" i="24"/>
  <c r="I1614" i="24"/>
  <c r="I1615" i="24"/>
  <c r="I1616" i="24"/>
  <c r="I1617" i="24"/>
  <c r="I1618" i="24"/>
  <c r="I1619" i="24"/>
  <c r="I1620" i="24"/>
  <c r="I1621" i="24"/>
  <c r="I1622" i="24"/>
  <c r="I1623" i="24"/>
  <c r="I1624" i="24"/>
  <c r="I1625" i="24"/>
  <c r="I1626" i="24"/>
  <c r="I1627" i="24"/>
  <c r="I1628" i="24"/>
  <c r="I1629" i="24"/>
  <c r="I1630" i="24"/>
  <c r="I1631" i="24"/>
  <c r="I1632" i="24"/>
  <c r="I1633" i="24"/>
  <c r="I1634" i="24"/>
  <c r="I1635" i="24"/>
  <c r="I1636" i="24"/>
  <c r="I1637" i="24"/>
  <c r="I1638" i="24"/>
  <c r="I1639" i="24"/>
  <c r="I1640" i="24"/>
  <c r="I1641" i="24"/>
  <c r="I1642" i="24"/>
  <c r="I1643" i="24"/>
  <c r="I1644" i="24"/>
  <c r="I1645" i="24"/>
  <c r="I1646" i="24"/>
  <c r="I1647" i="24"/>
  <c r="I1648" i="24"/>
  <c r="I1649" i="24"/>
  <c r="I1650" i="24"/>
  <c r="I1651" i="24"/>
  <c r="I1652" i="24"/>
  <c r="I1653" i="24"/>
  <c r="I1654" i="24"/>
  <c r="I1655" i="24"/>
  <c r="I1656" i="24"/>
  <c r="I1657" i="24"/>
  <c r="I1658" i="24"/>
  <c r="I1659" i="24"/>
  <c r="I1660" i="24"/>
  <c r="I1661" i="24"/>
  <c r="I1662" i="24"/>
  <c r="I1663" i="24"/>
  <c r="I1664" i="24"/>
  <c r="I1665" i="24"/>
  <c r="I1666" i="24"/>
  <c r="I1667" i="24"/>
  <c r="I1668" i="24"/>
  <c r="I1669" i="24"/>
  <c r="I1670" i="24"/>
  <c r="I1671" i="24"/>
  <c r="I1672" i="24"/>
  <c r="I1673" i="24"/>
  <c r="I1674" i="24"/>
  <c r="I1675" i="24"/>
  <c r="I1676" i="24"/>
  <c r="I1677" i="24"/>
  <c r="I1678" i="24"/>
  <c r="I1679" i="24"/>
  <c r="I1680" i="24"/>
  <c r="I1681" i="24"/>
  <c r="I1682" i="24"/>
  <c r="I1683" i="24"/>
  <c r="I1684" i="24"/>
  <c r="I1685" i="24"/>
  <c r="I1686" i="24"/>
  <c r="I1687" i="24"/>
  <c r="I1688" i="24"/>
  <c r="I1689" i="24"/>
  <c r="I1690" i="24"/>
  <c r="I1691" i="24"/>
  <c r="I1692" i="24"/>
  <c r="I1693" i="24"/>
  <c r="I1694" i="24"/>
  <c r="I1695" i="24"/>
  <c r="I1696" i="24"/>
  <c r="I1697" i="24"/>
  <c r="I1698" i="24"/>
  <c r="I1699" i="24"/>
  <c r="I1700" i="24"/>
  <c r="I1701" i="24"/>
  <c r="I1702" i="24"/>
  <c r="I1703" i="24"/>
  <c r="I1704" i="24"/>
  <c r="I1705" i="24"/>
  <c r="I1706" i="24"/>
  <c r="I1707" i="24"/>
  <c r="I1708" i="24"/>
  <c r="I1709" i="24"/>
  <c r="I1710" i="24"/>
  <c r="I1711" i="24"/>
  <c r="I1712" i="24"/>
  <c r="I1713" i="24"/>
  <c r="I1714" i="24"/>
  <c r="I1715" i="24"/>
  <c r="I1716" i="24"/>
  <c r="I1717" i="24"/>
  <c r="I1718" i="24"/>
  <c r="I1719" i="24"/>
  <c r="I1720" i="24"/>
  <c r="I1721" i="24"/>
  <c r="I1722" i="24"/>
  <c r="I1723" i="24"/>
  <c r="I1724" i="24"/>
  <c r="I1725" i="24"/>
  <c r="I1726" i="24"/>
  <c r="I1727" i="24"/>
  <c r="I1728" i="24"/>
  <c r="I1729" i="24"/>
  <c r="I1730" i="24"/>
  <c r="I1731" i="24"/>
  <c r="I1732" i="24"/>
  <c r="I1733" i="24"/>
  <c r="I1734" i="24"/>
  <c r="I1735" i="24"/>
  <c r="I1736" i="24"/>
  <c r="I1737" i="24"/>
  <c r="I1738" i="24"/>
  <c r="I1739" i="24"/>
  <c r="I1740" i="24"/>
  <c r="I1741" i="24"/>
  <c r="I1742" i="24"/>
  <c r="I1743" i="24"/>
  <c r="I1744" i="24"/>
  <c r="I1745" i="24"/>
  <c r="I1746" i="24"/>
  <c r="I1747" i="24"/>
  <c r="I1748" i="24"/>
  <c r="I1749" i="24"/>
  <c r="I1750" i="24"/>
  <c r="I1751" i="24"/>
  <c r="I1752" i="24"/>
  <c r="I1753" i="24"/>
  <c r="I1754" i="24"/>
  <c r="I1755" i="24"/>
  <c r="I1756" i="24"/>
  <c r="I1757" i="24"/>
  <c r="I1758" i="24"/>
  <c r="I1759" i="24"/>
  <c r="I1760" i="24"/>
  <c r="I1761" i="24"/>
  <c r="I1762" i="24"/>
  <c r="I1763" i="24"/>
  <c r="I1764" i="24"/>
  <c r="I1765" i="24"/>
  <c r="I1766" i="24"/>
  <c r="I1767" i="24"/>
  <c r="I1768" i="24"/>
  <c r="I1769" i="24"/>
  <c r="I1770" i="24"/>
  <c r="I1771" i="24"/>
  <c r="I1772" i="24"/>
  <c r="I1773" i="24"/>
  <c r="I1774" i="24"/>
  <c r="I1775" i="24"/>
  <c r="I1776" i="24"/>
  <c r="I1777" i="24"/>
  <c r="I1778" i="24"/>
  <c r="I1779" i="24"/>
  <c r="I1780" i="24"/>
  <c r="I1781" i="24"/>
  <c r="I1782" i="24"/>
  <c r="I1783" i="24"/>
  <c r="I1784" i="24"/>
  <c r="I1785" i="24"/>
  <c r="I1786" i="24"/>
  <c r="I1787" i="24"/>
  <c r="I1788" i="24"/>
  <c r="I1789" i="24"/>
  <c r="I1790" i="24"/>
  <c r="I1791" i="24"/>
  <c r="I1792" i="24"/>
  <c r="I1793" i="24"/>
  <c r="I1794" i="24"/>
  <c r="I1795" i="24"/>
  <c r="I1796" i="24"/>
  <c r="I1797" i="24"/>
  <c r="I1798" i="24"/>
  <c r="I1799" i="24"/>
  <c r="I1800" i="24"/>
  <c r="I1801" i="24"/>
  <c r="I1802" i="24"/>
  <c r="I1803" i="24"/>
  <c r="I1804" i="24"/>
  <c r="I1805" i="24"/>
  <c r="I1806" i="24"/>
  <c r="I1807" i="24"/>
  <c r="I1808" i="24"/>
  <c r="I1809" i="24"/>
  <c r="I1810" i="24"/>
  <c r="I1811" i="24"/>
  <c r="I1812" i="24"/>
  <c r="I1813" i="24"/>
  <c r="I1814" i="24"/>
  <c r="I1815" i="24"/>
  <c r="I1816" i="24"/>
  <c r="I1817" i="24"/>
  <c r="I1818" i="24"/>
  <c r="I1819" i="24"/>
  <c r="I1820" i="24"/>
  <c r="I1821" i="24"/>
  <c r="I1822" i="24"/>
  <c r="I1823" i="24"/>
  <c r="I1824" i="24"/>
  <c r="I1825" i="24"/>
  <c r="I1826" i="24"/>
  <c r="I1827" i="24"/>
  <c r="I1828" i="24"/>
  <c r="I1829" i="24"/>
  <c r="I1830" i="24"/>
  <c r="I1831" i="24"/>
  <c r="I1832" i="24"/>
  <c r="I1833" i="24"/>
  <c r="I1834" i="24"/>
  <c r="I1835" i="24"/>
  <c r="I1836" i="24"/>
  <c r="I1837" i="24"/>
  <c r="I1838" i="24"/>
  <c r="I1839" i="24"/>
  <c r="I1840" i="24"/>
  <c r="I1841" i="24"/>
  <c r="I1842" i="24"/>
  <c r="I1843" i="24"/>
  <c r="I1844" i="24"/>
  <c r="I1845" i="24"/>
  <c r="I1846" i="24"/>
  <c r="I1847" i="24"/>
  <c r="I1848" i="24"/>
  <c r="I1849" i="24"/>
  <c r="I1850" i="24"/>
  <c r="I1851" i="24"/>
  <c r="I1852" i="24"/>
  <c r="I1853" i="24"/>
  <c r="I1854" i="24"/>
  <c r="I1855" i="24"/>
  <c r="I1856" i="24"/>
  <c r="I1857" i="24"/>
  <c r="I1858" i="24"/>
  <c r="I1859" i="24"/>
  <c r="I1860" i="24"/>
  <c r="I1861" i="24"/>
  <c r="I1862" i="24"/>
  <c r="I1863" i="24"/>
  <c r="I1864" i="24"/>
  <c r="I1865" i="24"/>
  <c r="I1866" i="24"/>
  <c r="I1867" i="24"/>
  <c r="I1868" i="24"/>
  <c r="I1869" i="24"/>
  <c r="I1870" i="24"/>
  <c r="I1871" i="24"/>
  <c r="I1872" i="24"/>
  <c r="I1873" i="24"/>
  <c r="I1874" i="24"/>
  <c r="I1875" i="24"/>
  <c r="I1876" i="24"/>
  <c r="I1877" i="24"/>
  <c r="I1878" i="24"/>
  <c r="I1879" i="24"/>
  <c r="I1880" i="24"/>
  <c r="I1881" i="24"/>
  <c r="I1882" i="24"/>
  <c r="I1883" i="24"/>
  <c r="I1884" i="24"/>
  <c r="I1885" i="24"/>
  <c r="I1886" i="24"/>
  <c r="I1887" i="24"/>
  <c r="I1888" i="24"/>
  <c r="I1889" i="24"/>
  <c r="I1890" i="24"/>
  <c r="I1891" i="24"/>
  <c r="I1892" i="24"/>
  <c r="I1893" i="24"/>
  <c r="I1894" i="24"/>
  <c r="I1895" i="24"/>
  <c r="I1896" i="24"/>
  <c r="I1897" i="24"/>
  <c r="I1898" i="24"/>
  <c r="I1899" i="24"/>
  <c r="I1900" i="24"/>
  <c r="I1901" i="24"/>
  <c r="I1902" i="24"/>
  <c r="I1903" i="24"/>
  <c r="I1904" i="24"/>
  <c r="I1905" i="24"/>
  <c r="I1906" i="24"/>
  <c r="I1907" i="24"/>
  <c r="I1908" i="24"/>
  <c r="I1909" i="24"/>
  <c r="I1910" i="24"/>
  <c r="I1911" i="24"/>
  <c r="I1912" i="24"/>
  <c r="I1913" i="24"/>
  <c r="I1914" i="24"/>
  <c r="I1915" i="24"/>
  <c r="I1916" i="24"/>
  <c r="I1917" i="24"/>
  <c r="I1918" i="24"/>
  <c r="I1919" i="24"/>
  <c r="I1920" i="24"/>
  <c r="I1921" i="24"/>
  <c r="I1922" i="24"/>
  <c r="I1923" i="24"/>
  <c r="I1924" i="24"/>
  <c r="I1925" i="24"/>
  <c r="I1926" i="24"/>
  <c r="I1927" i="24"/>
  <c r="I1928" i="24"/>
  <c r="I1929" i="24"/>
  <c r="I1930" i="24"/>
  <c r="I1931" i="24"/>
  <c r="I1932" i="24"/>
  <c r="I1933" i="24"/>
  <c r="I1934" i="24"/>
  <c r="I1935" i="24"/>
  <c r="I1936" i="24"/>
  <c r="I1937" i="24"/>
  <c r="I1938" i="24"/>
  <c r="I1939" i="24"/>
  <c r="I1940" i="24"/>
  <c r="I1941" i="24"/>
  <c r="I1942" i="24"/>
  <c r="I1943" i="24"/>
  <c r="I1944" i="24"/>
  <c r="I1945" i="24"/>
  <c r="I1946" i="24"/>
  <c r="I1947" i="24"/>
  <c r="I1948" i="24"/>
  <c r="I1949" i="24"/>
  <c r="I1950" i="24"/>
  <c r="I1951" i="24"/>
  <c r="I1952" i="24"/>
  <c r="I1953" i="24"/>
  <c r="I1954" i="24"/>
  <c r="I1955" i="24"/>
  <c r="I1956" i="24"/>
  <c r="I1957" i="24"/>
  <c r="I1958" i="24"/>
  <c r="I1959" i="24"/>
  <c r="I1960" i="24"/>
  <c r="I1961" i="24"/>
  <c r="I1962" i="24"/>
  <c r="I1963" i="24"/>
  <c r="I1964" i="24"/>
  <c r="I1965" i="24"/>
  <c r="I1966" i="24"/>
  <c r="I1967" i="24"/>
  <c r="I1968" i="24"/>
  <c r="I1969" i="24"/>
  <c r="I1970" i="24"/>
  <c r="I1971" i="24"/>
  <c r="I1972" i="24"/>
  <c r="I1973" i="24"/>
  <c r="I1974" i="24"/>
  <c r="I1975" i="24"/>
  <c r="I1976" i="24"/>
  <c r="I1977" i="24"/>
  <c r="I1978" i="24"/>
  <c r="I1979" i="24"/>
  <c r="I1980" i="24"/>
  <c r="I1981" i="24"/>
  <c r="I1982" i="24"/>
  <c r="I1983" i="24"/>
  <c r="I1984" i="24"/>
  <c r="I1985" i="24"/>
  <c r="I1986" i="24"/>
  <c r="I1987" i="24"/>
  <c r="I1988" i="24"/>
  <c r="I1989" i="24"/>
  <c r="I1990" i="24"/>
  <c r="I1991" i="24"/>
  <c r="I1992" i="24"/>
  <c r="I1993" i="24"/>
  <c r="I1994" i="24"/>
  <c r="I1995" i="24"/>
  <c r="I1996" i="24"/>
  <c r="I1997" i="24"/>
  <c r="I1998" i="24"/>
  <c r="I1999" i="24"/>
  <c r="I2000" i="24"/>
  <c r="I2001" i="24"/>
  <c r="I2002" i="24"/>
  <c r="I2003" i="24"/>
  <c r="I2004" i="24"/>
  <c r="I2005" i="24"/>
  <c r="I2006" i="24"/>
  <c r="I2007" i="24"/>
  <c r="I2008" i="24"/>
  <c r="I2009" i="24"/>
  <c r="I2010" i="24"/>
  <c r="I2011" i="24"/>
  <c r="I2012" i="24"/>
  <c r="I2013" i="24"/>
  <c r="I2014" i="24"/>
  <c r="I2015" i="24"/>
  <c r="I2016" i="24"/>
  <c r="I2017" i="24"/>
  <c r="I2018" i="24"/>
  <c r="I2019" i="24"/>
  <c r="I2020" i="24"/>
  <c r="I2021" i="24"/>
  <c r="I2022" i="24"/>
  <c r="I2023" i="24"/>
  <c r="I2024" i="24"/>
  <c r="I2025" i="24"/>
  <c r="I2026" i="24"/>
  <c r="I2027" i="24"/>
  <c r="I2028" i="24"/>
  <c r="I2029" i="24"/>
  <c r="I2030" i="24"/>
  <c r="I2031" i="24"/>
  <c r="I2032" i="24"/>
  <c r="I2033" i="24"/>
  <c r="I2034" i="24"/>
  <c r="I2035" i="24"/>
  <c r="I2036" i="24"/>
  <c r="I2037" i="24"/>
  <c r="I2038" i="24"/>
  <c r="I2039" i="24"/>
  <c r="I2040" i="24"/>
  <c r="I2041" i="24"/>
  <c r="I2042" i="24"/>
  <c r="I2043" i="24"/>
  <c r="I2044" i="24"/>
  <c r="I2045" i="24"/>
  <c r="I2046" i="24"/>
  <c r="I2047" i="24"/>
  <c r="I2048" i="24"/>
  <c r="I2049" i="24"/>
  <c r="I2050" i="24"/>
  <c r="I2051" i="24"/>
  <c r="I2052" i="24"/>
  <c r="I2053" i="24"/>
  <c r="I2054" i="24"/>
  <c r="I2055" i="24"/>
  <c r="I2056" i="24"/>
  <c r="I2057" i="24"/>
  <c r="I2058" i="24"/>
  <c r="I2059" i="24"/>
  <c r="I2060" i="24"/>
  <c r="I2061" i="24"/>
  <c r="I2062" i="24"/>
  <c r="I2063" i="24"/>
  <c r="I2064" i="24"/>
  <c r="I2065" i="24"/>
  <c r="I2066" i="24"/>
  <c r="I2067" i="24"/>
  <c r="I2068" i="24"/>
  <c r="I2069" i="24"/>
  <c r="I2070" i="24"/>
  <c r="I2071" i="24"/>
  <c r="I2072" i="24"/>
  <c r="I2073" i="24"/>
  <c r="I2074" i="24"/>
  <c r="I2075" i="24"/>
  <c r="I2076" i="24"/>
  <c r="I2077" i="24"/>
  <c r="I2078" i="24"/>
  <c r="I2079" i="24"/>
  <c r="I2080" i="24"/>
  <c r="I2081" i="24"/>
  <c r="I2082" i="24"/>
  <c r="I2083" i="24"/>
  <c r="I2084" i="24"/>
  <c r="I2085" i="24"/>
  <c r="I2086" i="24"/>
  <c r="I2087" i="24"/>
  <c r="I2088" i="24"/>
  <c r="I2089" i="24"/>
  <c r="I2090" i="24"/>
  <c r="I2091" i="24"/>
  <c r="I2092" i="24"/>
  <c r="I2093" i="24"/>
  <c r="I2094" i="24"/>
  <c r="I2095" i="24"/>
  <c r="I2096" i="24"/>
  <c r="I2097" i="24"/>
  <c r="I2098" i="24"/>
  <c r="I2099" i="24"/>
  <c r="I2100" i="24"/>
  <c r="I2101" i="24"/>
  <c r="I2102" i="24"/>
  <c r="I2103" i="24"/>
  <c r="I2104" i="24"/>
  <c r="I2105" i="24"/>
  <c r="I2106" i="24"/>
  <c r="I2107" i="24"/>
  <c r="I2108" i="24"/>
  <c r="I2109" i="24"/>
  <c r="I2110" i="24"/>
  <c r="I2111" i="24"/>
  <c r="I2112" i="24"/>
  <c r="I2113" i="24"/>
  <c r="I2114" i="24"/>
  <c r="I2115" i="24"/>
  <c r="I2116" i="24"/>
  <c r="I2117" i="24"/>
  <c r="I2118" i="24"/>
  <c r="I2119" i="24"/>
  <c r="I2120" i="24"/>
  <c r="I2121" i="24"/>
  <c r="I2122" i="24"/>
  <c r="I2123" i="24"/>
  <c r="I2124" i="24"/>
  <c r="I2125" i="24"/>
  <c r="I2126" i="24"/>
  <c r="I2127" i="24"/>
  <c r="I2128" i="24"/>
  <c r="I2129" i="24"/>
  <c r="I2130" i="24"/>
  <c r="I2131" i="24"/>
  <c r="I2132" i="24"/>
  <c r="I2133" i="24"/>
  <c r="I2134" i="24"/>
  <c r="I2135" i="24"/>
  <c r="I2136" i="24"/>
  <c r="I2137" i="24"/>
  <c r="I2138" i="24"/>
  <c r="I2139" i="24"/>
  <c r="I2140" i="24"/>
  <c r="I2141" i="24"/>
  <c r="I2142" i="24"/>
  <c r="I2143" i="24"/>
  <c r="I2144" i="24"/>
  <c r="I2145" i="24"/>
  <c r="I2146" i="24"/>
  <c r="I2147" i="24"/>
  <c r="I2148" i="24"/>
  <c r="I2149" i="24"/>
  <c r="I2150" i="24"/>
  <c r="I2151" i="24"/>
  <c r="I2152" i="24"/>
  <c r="I2153" i="24"/>
  <c r="I2154" i="24"/>
  <c r="I2155" i="24"/>
  <c r="I2156" i="24"/>
  <c r="I2157" i="24"/>
  <c r="I2158" i="24"/>
  <c r="I2159" i="24"/>
  <c r="I2160" i="24"/>
  <c r="I2161" i="24"/>
  <c r="I2162" i="24"/>
  <c r="I2163" i="24"/>
  <c r="I2164" i="24"/>
  <c r="I2165" i="24"/>
  <c r="I2166" i="24"/>
  <c r="I2167" i="24"/>
  <c r="I2168" i="24"/>
  <c r="I2169" i="24"/>
  <c r="I2170" i="24"/>
  <c r="I2171" i="24"/>
  <c r="I2172" i="24"/>
  <c r="I2173" i="24"/>
  <c r="I2174" i="24"/>
  <c r="I2175" i="24"/>
  <c r="I2176" i="24"/>
  <c r="I2177" i="24"/>
  <c r="I2178" i="24"/>
  <c r="I2179" i="24"/>
  <c r="I2180" i="24"/>
  <c r="I2181" i="24"/>
  <c r="I2182" i="24"/>
  <c r="I2183" i="24"/>
  <c r="I2184" i="24"/>
  <c r="I2185" i="24"/>
  <c r="I2186" i="24"/>
  <c r="I2187" i="24"/>
  <c r="I2188" i="24"/>
  <c r="I2189" i="24"/>
  <c r="I2190" i="24"/>
  <c r="I2191" i="24"/>
  <c r="I2192" i="24"/>
  <c r="I2193" i="24"/>
  <c r="I2194" i="24"/>
  <c r="I2195" i="24"/>
  <c r="I2196" i="24"/>
  <c r="I2197" i="24"/>
  <c r="I2198" i="24"/>
  <c r="I2199" i="24"/>
  <c r="I2200" i="24"/>
  <c r="I2201" i="24"/>
  <c r="I2202" i="24"/>
  <c r="I2203" i="24"/>
  <c r="I2204" i="24"/>
  <c r="I2205" i="24"/>
  <c r="I2206" i="24"/>
  <c r="I2207" i="24"/>
  <c r="I2208" i="24"/>
  <c r="I2209" i="24"/>
  <c r="I2210" i="24"/>
  <c r="I2211" i="24"/>
  <c r="I2212" i="24"/>
  <c r="I2213" i="24"/>
  <c r="I2214" i="24"/>
  <c r="I2215" i="24"/>
  <c r="I2216" i="24"/>
  <c r="I2217" i="24"/>
  <c r="I2218" i="24"/>
  <c r="I2219" i="24"/>
  <c r="I2220" i="24"/>
  <c r="I2221" i="24"/>
  <c r="I2222" i="24"/>
  <c r="I2223" i="24"/>
  <c r="I2224" i="24"/>
  <c r="I2225" i="24"/>
  <c r="I2226" i="24"/>
  <c r="I2227" i="24"/>
  <c r="I2228" i="24"/>
  <c r="I2229" i="24"/>
  <c r="I2230" i="24"/>
  <c r="I2231" i="24"/>
  <c r="I2232" i="24"/>
  <c r="I2233" i="24"/>
  <c r="I2234" i="24"/>
  <c r="I2235" i="24"/>
  <c r="I2236" i="24"/>
  <c r="I2237" i="24"/>
  <c r="I2238" i="24"/>
  <c r="I2239" i="24"/>
  <c r="I2240" i="24"/>
  <c r="I2241" i="24"/>
  <c r="I2242" i="24"/>
  <c r="I2243" i="24"/>
  <c r="I2244" i="24"/>
  <c r="I2245" i="24"/>
  <c r="I2246" i="24"/>
  <c r="I2247" i="24"/>
  <c r="I2248" i="24"/>
  <c r="I2249" i="24"/>
  <c r="I2250" i="24"/>
  <c r="I2251" i="24"/>
  <c r="I2252" i="24"/>
  <c r="I2253" i="24"/>
  <c r="I2254" i="24"/>
  <c r="I2255" i="24"/>
  <c r="I2256" i="24"/>
  <c r="I2257" i="24"/>
  <c r="I2258" i="24"/>
  <c r="I2259" i="24"/>
  <c r="I2260" i="24"/>
  <c r="I2261" i="24"/>
  <c r="I2262" i="24"/>
  <c r="I2263" i="24"/>
  <c r="I2264" i="24"/>
  <c r="I2265" i="24"/>
  <c r="I2266" i="24"/>
  <c r="I2267" i="24"/>
  <c r="I2268" i="24"/>
  <c r="I2269" i="24"/>
  <c r="I2270" i="24"/>
  <c r="I2271" i="24"/>
  <c r="I2272" i="24"/>
  <c r="I2273" i="24"/>
  <c r="I2274" i="24"/>
  <c r="I2275" i="24"/>
  <c r="I2276" i="24"/>
  <c r="I2277" i="24"/>
  <c r="I2278" i="24"/>
  <c r="I2279" i="24"/>
  <c r="I2280" i="24"/>
  <c r="I2281" i="24"/>
  <c r="I2282" i="24"/>
  <c r="I2283" i="24"/>
  <c r="I2284" i="24"/>
  <c r="I2285" i="24"/>
  <c r="I2286" i="24"/>
  <c r="I2287" i="24"/>
  <c r="I2288" i="24"/>
  <c r="I2289" i="24"/>
  <c r="I2290" i="24"/>
  <c r="I2291" i="24"/>
  <c r="I2292" i="24"/>
  <c r="I2293" i="24"/>
  <c r="I2294" i="24"/>
  <c r="I2295" i="24"/>
  <c r="I2296" i="24"/>
  <c r="I2297" i="24"/>
  <c r="I2298" i="24"/>
  <c r="I2299" i="24"/>
  <c r="I2300" i="24"/>
  <c r="I2301" i="24"/>
  <c r="I2302" i="24"/>
  <c r="I2303" i="24"/>
  <c r="I2304" i="24"/>
  <c r="I2305" i="24"/>
  <c r="I2306" i="24"/>
  <c r="I2307" i="24"/>
  <c r="I2308" i="24"/>
  <c r="I2309" i="24"/>
  <c r="I2310" i="24"/>
  <c r="I2311" i="24"/>
  <c r="I2312" i="24"/>
  <c r="I2313" i="24"/>
  <c r="I2314" i="24"/>
  <c r="I2315" i="24"/>
  <c r="I2316" i="24"/>
  <c r="I2317" i="24"/>
  <c r="I2318" i="24"/>
  <c r="I2319" i="24"/>
  <c r="I2320" i="24"/>
  <c r="I2321" i="24"/>
  <c r="I2322" i="24"/>
  <c r="I2323" i="24"/>
  <c r="I2324" i="24"/>
  <c r="I2325" i="24"/>
  <c r="I2326" i="24"/>
  <c r="I2327" i="24"/>
  <c r="I2328" i="24"/>
  <c r="I2329" i="24"/>
  <c r="I2330" i="24"/>
  <c r="I2331" i="24"/>
  <c r="I2332" i="24"/>
  <c r="I2333" i="24"/>
  <c r="I2334" i="24"/>
  <c r="I2335" i="24"/>
  <c r="I2336" i="24"/>
  <c r="I2337" i="24"/>
  <c r="I2338" i="24"/>
  <c r="I2339" i="24"/>
  <c r="I2340" i="24"/>
  <c r="I2341" i="24"/>
  <c r="I2342" i="24"/>
  <c r="I2343" i="24"/>
  <c r="I2344" i="24"/>
  <c r="I2345" i="24"/>
  <c r="I2346" i="24"/>
  <c r="I2347" i="24"/>
  <c r="I2348" i="24"/>
  <c r="I2349" i="24"/>
  <c r="I2350" i="24"/>
  <c r="I2351" i="24"/>
  <c r="I2352" i="24"/>
  <c r="I2353" i="24"/>
  <c r="I2354" i="24"/>
  <c r="I2355" i="24"/>
  <c r="I2356" i="24"/>
  <c r="I2357" i="24"/>
  <c r="I2358" i="24"/>
  <c r="I2359" i="24"/>
  <c r="I2360" i="24"/>
  <c r="I2361" i="24"/>
  <c r="I2362" i="24"/>
  <c r="I2363" i="24"/>
  <c r="I2364" i="24"/>
  <c r="I2365" i="24"/>
  <c r="I2366" i="24"/>
  <c r="I2367" i="24"/>
  <c r="I2368" i="24"/>
  <c r="I2369" i="24"/>
  <c r="I2370" i="24"/>
  <c r="I2371" i="24"/>
  <c r="I2372" i="24"/>
  <c r="I2373" i="24"/>
  <c r="I2374" i="24"/>
  <c r="I2375" i="24"/>
  <c r="I2376" i="24"/>
  <c r="I2377" i="24"/>
  <c r="I2378" i="24"/>
  <c r="I2379" i="24"/>
  <c r="I2380" i="24"/>
  <c r="I2381" i="24"/>
  <c r="I2382" i="24"/>
  <c r="I2383" i="24"/>
  <c r="I2384" i="24"/>
  <c r="I2385" i="24"/>
  <c r="I2386" i="24"/>
  <c r="I2387" i="24"/>
  <c r="I2388" i="24"/>
  <c r="I2389" i="24"/>
  <c r="I2390" i="24"/>
  <c r="I2391" i="24"/>
  <c r="I2392" i="24"/>
  <c r="I2393" i="24"/>
  <c r="I2394" i="24"/>
  <c r="I2395" i="24"/>
  <c r="I2396" i="24"/>
  <c r="I2397" i="24"/>
  <c r="I2398" i="24"/>
  <c r="I2399" i="24"/>
  <c r="I2400" i="24"/>
  <c r="I2401" i="24"/>
  <c r="I2402" i="24"/>
  <c r="I2403" i="24"/>
  <c r="I2404" i="24"/>
  <c r="I2405" i="24"/>
  <c r="I2406" i="24"/>
  <c r="I2407" i="24"/>
  <c r="I2408" i="24"/>
  <c r="I2409" i="24"/>
  <c r="I2410" i="24"/>
  <c r="I2411" i="24"/>
  <c r="I2412" i="24"/>
  <c r="I2413" i="24"/>
  <c r="I2414" i="24"/>
  <c r="I2415" i="24"/>
  <c r="I2416" i="24"/>
  <c r="I2417" i="24"/>
  <c r="I2418" i="24"/>
  <c r="I2419" i="24"/>
  <c r="I2420" i="24"/>
  <c r="I2421" i="24"/>
  <c r="I2422" i="24"/>
  <c r="I2423" i="24"/>
  <c r="I2424" i="24"/>
  <c r="I2425" i="24"/>
  <c r="I2426" i="24"/>
  <c r="I2427" i="24"/>
  <c r="I2428" i="24"/>
  <c r="I2429" i="24"/>
  <c r="I2430" i="24"/>
  <c r="I2431" i="24"/>
  <c r="I2432" i="24"/>
  <c r="I2433" i="24"/>
  <c r="I2434" i="24"/>
  <c r="I2435" i="24"/>
  <c r="I2436" i="24"/>
  <c r="I2437" i="24"/>
  <c r="I2438" i="24"/>
  <c r="I2439" i="24"/>
  <c r="I2440" i="24"/>
  <c r="I2441" i="24"/>
  <c r="I2442" i="24"/>
  <c r="I2443" i="24"/>
  <c r="I2444" i="24"/>
  <c r="I2445" i="24"/>
  <c r="I2446" i="24"/>
  <c r="I2447" i="24"/>
  <c r="I2448" i="24"/>
  <c r="I2449" i="24"/>
  <c r="I2450" i="24"/>
  <c r="I2451" i="24"/>
  <c r="I2452" i="24"/>
  <c r="I2453" i="24"/>
  <c r="I2454" i="24"/>
  <c r="I2455" i="24"/>
  <c r="I2456" i="24"/>
  <c r="I2457" i="24"/>
  <c r="I2458" i="24"/>
  <c r="I2459" i="24"/>
  <c r="I2460" i="24"/>
  <c r="I2461" i="24"/>
  <c r="I2462" i="24"/>
  <c r="I2463" i="24"/>
  <c r="I2464" i="24"/>
  <c r="I2465" i="24"/>
  <c r="I2466" i="24"/>
  <c r="I2467" i="24"/>
  <c r="I2468" i="24"/>
  <c r="I2469" i="24"/>
  <c r="I2470" i="24"/>
  <c r="I2471" i="24"/>
  <c r="I2472" i="24"/>
  <c r="I2473" i="24"/>
  <c r="I2474" i="24"/>
  <c r="I2475" i="24"/>
  <c r="I2476" i="24"/>
  <c r="I2477" i="24"/>
  <c r="I2478" i="24"/>
  <c r="I2479" i="24"/>
  <c r="I2480" i="24"/>
  <c r="I2481" i="24"/>
  <c r="I2482" i="24"/>
  <c r="I2483" i="24"/>
  <c r="I2484" i="24"/>
  <c r="I2485" i="24"/>
  <c r="I2486" i="24"/>
  <c r="I2487" i="24"/>
  <c r="I2488" i="24"/>
  <c r="I2489" i="24"/>
  <c r="I2490" i="24"/>
  <c r="I2491" i="24"/>
  <c r="I2492" i="24"/>
  <c r="I2493" i="24"/>
  <c r="I2494" i="24"/>
  <c r="I2495" i="24"/>
  <c r="I2496" i="24"/>
  <c r="I2497" i="24"/>
  <c r="I2498" i="24"/>
  <c r="I2499" i="24"/>
  <c r="I2500" i="24"/>
  <c r="I2501" i="24"/>
  <c r="I2502" i="24"/>
  <c r="I2503" i="24"/>
  <c r="I2504" i="24"/>
  <c r="I2505" i="24"/>
  <c r="I2506" i="24"/>
  <c r="I2507" i="24"/>
  <c r="I2508" i="24"/>
  <c r="I2509" i="24"/>
  <c r="I2510" i="24"/>
  <c r="I2511" i="24"/>
  <c r="I2512" i="24"/>
  <c r="I2513" i="24"/>
  <c r="I2514" i="24"/>
  <c r="I2515" i="24"/>
  <c r="I2516" i="24"/>
  <c r="I2517" i="24"/>
  <c r="I2518" i="24"/>
  <c r="I2519" i="24"/>
  <c r="I2520" i="24"/>
  <c r="I2521" i="24"/>
  <c r="I2522" i="24"/>
  <c r="I2523" i="24"/>
  <c r="I2524" i="24"/>
  <c r="I2525" i="24"/>
  <c r="I2526" i="24"/>
  <c r="I2527" i="24"/>
  <c r="I2528" i="24"/>
  <c r="I2529" i="24"/>
  <c r="I2530" i="24"/>
  <c r="I2531" i="24"/>
  <c r="I2532" i="24"/>
  <c r="I2533" i="24"/>
  <c r="I2534" i="24"/>
  <c r="I2535" i="24"/>
  <c r="I2536" i="24"/>
  <c r="I2537" i="24"/>
  <c r="I2538" i="24"/>
  <c r="I2539" i="24"/>
  <c r="I2540" i="24"/>
  <c r="I2541" i="24"/>
  <c r="I2542" i="24"/>
  <c r="I2543" i="24"/>
  <c r="I2544" i="24"/>
  <c r="I2545" i="24"/>
  <c r="I2546" i="24"/>
  <c r="I2547" i="24"/>
  <c r="I2548" i="24"/>
  <c r="I2549" i="24"/>
  <c r="I2550" i="24"/>
  <c r="I2551" i="24"/>
  <c r="I2552" i="24"/>
  <c r="I2553" i="24"/>
  <c r="I2554" i="24"/>
  <c r="I2555" i="24"/>
  <c r="I2556" i="24"/>
  <c r="I2557" i="24"/>
  <c r="I2558" i="24"/>
  <c r="I2559" i="24"/>
  <c r="I2560" i="24"/>
  <c r="I2561" i="24"/>
  <c r="I2562" i="24"/>
  <c r="I2563" i="24"/>
  <c r="I2564" i="24"/>
  <c r="I2565" i="24"/>
  <c r="I2566" i="24"/>
  <c r="I2567" i="24"/>
  <c r="I2568" i="24"/>
  <c r="I2569" i="24"/>
  <c r="I2570" i="24"/>
  <c r="I2571" i="24"/>
  <c r="I2572" i="24"/>
  <c r="I2573" i="24"/>
  <c r="I2574" i="24"/>
  <c r="I2575" i="24"/>
  <c r="I2576" i="24"/>
  <c r="I2577" i="24"/>
  <c r="I2578" i="24"/>
  <c r="I2579" i="24"/>
  <c r="I2580" i="24"/>
  <c r="I2581" i="24"/>
  <c r="I2582" i="24"/>
  <c r="I2583" i="24"/>
  <c r="I2584" i="24"/>
  <c r="I2585" i="24"/>
  <c r="I2586" i="24"/>
  <c r="I2587" i="24"/>
  <c r="I2588" i="24"/>
  <c r="I2589" i="24"/>
  <c r="I2590" i="24"/>
  <c r="I2591" i="24"/>
  <c r="I2592" i="24"/>
  <c r="I2593" i="24"/>
  <c r="I2594" i="24"/>
  <c r="I2595" i="24"/>
  <c r="I2596" i="24"/>
  <c r="I2597" i="24"/>
  <c r="I2598" i="24"/>
  <c r="I2599" i="24"/>
  <c r="I2600" i="24"/>
  <c r="I2601" i="24"/>
  <c r="I2602" i="24"/>
  <c r="I2603" i="24"/>
  <c r="I2604" i="24"/>
  <c r="I2605" i="24"/>
  <c r="I2606" i="24"/>
  <c r="I2607" i="24"/>
  <c r="I2608" i="24"/>
  <c r="I2609" i="24"/>
  <c r="I2610" i="24"/>
  <c r="I2611" i="24"/>
  <c r="I2612" i="24"/>
  <c r="I2613" i="24"/>
  <c r="I2614" i="24"/>
  <c r="I2615" i="24"/>
  <c r="I2616" i="24"/>
  <c r="I2617" i="24"/>
  <c r="I2618" i="24"/>
  <c r="I2619" i="24"/>
  <c r="I2620" i="24"/>
  <c r="I2621" i="24"/>
  <c r="I2622" i="24"/>
  <c r="I2623" i="24"/>
  <c r="I2624" i="24"/>
  <c r="I2625" i="24"/>
  <c r="I2626" i="24"/>
  <c r="I2627" i="24"/>
  <c r="I2628" i="24"/>
  <c r="I2629" i="24"/>
  <c r="I2630" i="24"/>
  <c r="I2631" i="24"/>
  <c r="I2632" i="24"/>
  <c r="I2633" i="24"/>
  <c r="I2634" i="24"/>
  <c r="I2635" i="24"/>
  <c r="I2636" i="24"/>
  <c r="I2637" i="24"/>
  <c r="I2638" i="24"/>
  <c r="I2639" i="24"/>
  <c r="I2640" i="24"/>
  <c r="I2641" i="24"/>
  <c r="I2642" i="24"/>
  <c r="I2643" i="24"/>
  <c r="I2644" i="24"/>
  <c r="I2645" i="24"/>
  <c r="I2646" i="24"/>
  <c r="I2647" i="24"/>
  <c r="I2648" i="24"/>
  <c r="I2649" i="24"/>
  <c r="I2650" i="24"/>
  <c r="I2651" i="24"/>
  <c r="I2652" i="24"/>
  <c r="I2653" i="24"/>
  <c r="I2654" i="24"/>
  <c r="I2655" i="24"/>
  <c r="I2656" i="24"/>
  <c r="I2657" i="24"/>
  <c r="I2658" i="24"/>
  <c r="I2659" i="24"/>
  <c r="I2660" i="24"/>
  <c r="I2661" i="24"/>
  <c r="I2662" i="24"/>
  <c r="I2663" i="24"/>
  <c r="I2664" i="24"/>
  <c r="I2665" i="24"/>
  <c r="I2666" i="24"/>
  <c r="I2667" i="24"/>
  <c r="I2668" i="24"/>
  <c r="I2669" i="24"/>
  <c r="I2670" i="24"/>
  <c r="I2671" i="24"/>
  <c r="I2672" i="24"/>
  <c r="I2673" i="24"/>
  <c r="I2674" i="24"/>
  <c r="I2675" i="24"/>
  <c r="I2676" i="24"/>
  <c r="I2677" i="24"/>
  <c r="I2678" i="24"/>
  <c r="I2679" i="24"/>
  <c r="I2680" i="24"/>
  <c r="I2681" i="24"/>
  <c r="I2682" i="24"/>
  <c r="I2683" i="24"/>
  <c r="I2684" i="24"/>
  <c r="I2685" i="24"/>
  <c r="I2686" i="24"/>
  <c r="I2687" i="24"/>
  <c r="I2688" i="24"/>
  <c r="I2689" i="24"/>
  <c r="I2690" i="24"/>
  <c r="I2691" i="24"/>
  <c r="I2692" i="24"/>
  <c r="I2693" i="24"/>
  <c r="I2694" i="24"/>
  <c r="I2695" i="24"/>
  <c r="I2696" i="24"/>
  <c r="I2697" i="24"/>
  <c r="I2698" i="24"/>
  <c r="I2699" i="24"/>
  <c r="I2700" i="24"/>
  <c r="I2701" i="24"/>
  <c r="I2702" i="24"/>
  <c r="I2703" i="24"/>
  <c r="I2704" i="24"/>
  <c r="I2705" i="24"/>
  <c r="I2706" i="24"/>
  <c r="I2707" i="24"/>
  <c r="I2708" i="24"/>
  <c r="I2709" i="24"/>
  <c r="I2710" i="24"/>
  <c r="I2711" i="24"/>
  <c r="I2712" i="24"/>
  <c r="I2713" i="24"/>
  <c r="I2714" i="24"/>
  <c r="I2715" i="24"/>
  <c r="I2716" i="24"/>
  <c r="I2717" i="24"/>
  <c r="I2718" i="24"/>
  <c r="I2719" i="24"/>
  <c r="I2720" i="24"/>
  <c r="I2721" i="24"/>
  <c r="I2722" i="24"/>
  <c r="I2723" i="24"/>
  <c r="I2724" i="24"/>
  <c r="I2725" i="24"/>
  <c r="I2726" i="24"/>
  <c r="I2727" i="24"/>
  <c r="I2728" i="24"/>
  <c r="I2729" i="24"/>
  <c r="I2730" i="24"/>
  <c r="I2731" i="24"/>
  <c r="I2732" i="24"/>
  <c r="I2733" i="24"/>
  <c r="I2734" i="24"/>
  <c r="I2735" i="24"/>
  <c r="I2736" i="24"/>
  <c r="I2737" i="24"/>
  <c r="I2738" i="24"/>
  <c r="I2739" i="24"/>
  <c r="I2740" i="24"/>
  <c r="I2741" i="24"/>
  <c r="I2742" i="24"/>
  <c r="I2743" i="24"/>
  <c r="I2744" i="24"/>
  <c r="I2745" i="24"/>
  <c r="I2746" i="24"/>
  <c r="I2747" i="24"/>
  <c r="I2748" i="24"/>
  <c r="I2749" i="24"/>
  <c r="I2750" i="24"/>
  <c r="I2751" i="24"/>
  <c r="I2752" i="24"/>
  <c r="I2753" i="24"/>
  <c r="I2754" i="24"/>
  <c r="I2755" i="24"/>
  <c r="I2756" i="24"/>
  <c r="I2757" i="24"/>
  <c r="I2758" i="24"/>
  <c r="I2759" i="24"/>
  <c r="I2760" i="24"/>
  <c r="I2761" i="24"/>
  <c r="I2762" i="24"/>
  <c r="I2763" i="24"/>
  <c r="I2764" i="24"/>
  <c r="I2765" i="24"/>
  <c r="I2766" i="24"/>
  <c r="I2767" i="24"/>
  <c r="I2768" i="24"/>
  <c r="I2769" i="24"/>
  <c r="I2770" i="24"/>
  <c r="I2771" i="24"/>
  <c r="I2772" i="24"/>
  <c r="I2773" i="24"/>
  <c r="I2774" i="24"/>
  <c r="I2775" i="24"/>
  <c r="I2776" i="24"/>
  <c r="I2777" i="24"/>
  <c r="I2778" i="24"/>
  <c r="I2779" i="24"/>
  <c r="I2780" i="24"/>
  <c r="I2781" i="24"/>
  <c r="I2782" i="24"/>
  <c r="I2783" i="24"/>
  <c r="I2784" i="24"/>
  <c r="I2785" i="24"/>
  <c r="I2786" i="24"/>
  <c r="I2787" i="24"/>
  <c r="I2788" i="24"/>
  <c r="I2789" i="24"/>
  <c r="I2790" i="24"/>
  <c r="I2791" i="24"/>
  <c r="I2792" i="24"/>
  <c r="I2793" i="24"/>
  <c r="I2794" i="24"/>
  <c r="I2795" i="24"/>
  <c r="I2796" i="24"/>
  <c r="I2797" i="24"/>
  <c r="I2798" i="24"/>
  <c r="I2799" i="24"/>
  <c r="I2800" i="24"/>
  <c r="I2801" i="24"/>
  <c r="I2802" i="24"/>
  <c r="I2803" i="24"/>
  <c r="I2804" i="24"/>
  <c r="I2805" i="24"/>
  <c r="I2806" i="24"/>
  <c r="I2807" i="24"/>
  <c r="I2808" i="24"/>
  <c r="I2809" i="24"/>
  <c r="I2810" i="24"/>
  <c r="I2811" i="24"/>
  <c r="I2812" i="24"/>
  <c r="I2813" i="24"/>
  <c r="I2814" i="24"/>
  <c r="I2815" i="24"/>
  <c r="I2816" i="24"/>
  <c r="I2817" i="24"/>
  <c r="I2818" i="24"/>
  <c r="I2819" i="24"/>
  <c r="I2820" i="24"/>
  <c r="I2821" i="24"/>
  <c r="I2822" i="24"/>
  <c r="I2823" i="24"/>
  <c r="I2824" i="24"/>
  <c r="I2825" i="24"/>
  <c r="I2826" i="24"/>
  <c r="I2827" i="24"/>
  <c r="I2828" i="24"/>
  <c r="I2829" i="24"/>
  <c r="I2830" i="24"/>
  <c r="I2831" i="24"/>
  <c r="I2832" i="24"/>
  <c r="I2833" i="24"/>
  <c r="I2834" i="24"/>
  <c r="I2835" i="24"/>
  <c r="I2836" i="24"/>
  <c r="I2837" i="24"/>
  <c r="I2838" i="24"/>
  <c r="I2839" i="24"/>
  <c r="I2840" i="24"/>
  <c r="I2841" i="24"/>
  <c r="I2842" i="24"/>
  <c r="I2843" i="24"/>
  <c r="I2844" i="24"/>
  <c r="I2845" i="24"/>
  <c r="I2846" i="24"/>
  <c r="I2847" i="24"/>
  <c r="I2848" i="24"/>
  <c r="I2849" i="24"/>
  <c r="I2850" i="24"/>
  <c r="I2851" i="24"/>
  <c r="I2852" i="24"/>
  <c r="I2853" i="24"/>
  <c r="I2854" i="24"/>
  <c r="I2855" i="24"/>
  <c r="I2856" i="24"/>
  <c r="I2857" i="24"/>
  <c r="I2858" i="24"/>
  <c r="I2859" i="24"/>
  <c r="I2860" i="24"/>
  <c r="I2861" i="24"/>
  <c r="I2862" i="24"/>
  <c r="I2863" i="24"/>
  <c r="I2864" i="24"/>
  <c r="I2865" i="24"/>
  <c r="I2866" i="24"/>
  <c r="I2867" i="24"/>
  <c r="I2868" i="24"/>
  <c r="I2869" i="24"/>
  <c r="I2870" i="24"/>
  <c r="I2871" i="24"/>
  <c r="I2872" i="24"/>
  <c r="I2873" i="24"/>
  <c r="I2874" i="24"/>
  <c r="I2875" i="24"/>
  <c r="I2876" i="24"/>
  <c r="I2877" i="24"/>
  <c r="I2878" i="24"/>
  <c r="I2879" i="24"/>
  <c r="I2880" i="24"/>
  <c r="I2881" i="24"/>
  <c r="I2882" i="24"/>
  <c r="I2883" i="24"/>
  <c r="I2884" i="24"/>
  <c r="I2885" i="24"/>
  <c r="I2886" i="24"/>
  <c r="I2887" i="24"/>
  <c r="I2888" i="24"/>
  <c r="I2889" i="24"/>
  <c r="I2890" i="24"/>
  <c r="I2891" i="24"/>
  <c r="I2892" i="24"/>
  <c r="I2893" i="24"/>
  <c r="I2894" i="24"/>
  <c r="I2895" i="24"/>
  <c r="I2896" i="24"/>
  <c r="I2897" i="24"/>
  <c r="I2898" i="24"/>
  <c r="I2899" i="24"/>
  <c r="I2900" i="24"/>
  <c r="I2901" i="24"/>
  <c r="I2902" i="24"/>
  <c r="I2903" i="24"/>
  <c r="I2904" i="24"/>
  <c r="I2905" i="24"/>
  <c r="I2906" i="24"/>
  <c r="I2907" i="24"/>
  <c r="I2908" i="24"/>
  <c r="I2909" i="24"/>
  <c r="I2910" i="24"/>
  <c r="I2911" i="24"/>
  <c r="I2912" i="24"/>
  <c r="I2913" i="24"/>
  <c r="I2" i="24"/>
  <c r="J2913" i="24"/>
  <c r="J2912" i="24"/>
  <c r="J2911" i="24"/>
  <c r="J2910" i="24"/>
  <c r="J2909" i="24"/>
  <c r="J2908" i="24"/>
  <c r="J2907" i="24"/>
  <c r="J2906" i="24"/>
  <c r="J2905" i="24"/>
  <c r="J2904" i="24"/>
  <c r="J2903" i="24"/>
  <c r="J2902" i="24"/>
  <c r="J2901" i="24"/>
  <c r="J2900" i="24"/>
  <c r="J2899" i="24"/>
  <c r="J2898" i="24"/>
  <c r="J2897" i="24"/>
  <c r="J2896" i="24"/>
  <c r="J2895" i="24"/>
  <c r="J2894" i="24"/>
  <c r="J2893" i="24"/>
  <c r="J2892" i="24"/>
  <c r="J2891" i="24"/>
  <c r="J2890" i="24"/>
  <c r="J2889" i="24"/>
  <c r="J2888" i="24"/>
  <c r="J2887" i="24"/>
  <c r="J2886" i="24"/>
  <c r="J2885" i="24"/>
  <c r="J2884" i="24"/>
  <c r="J2883" i="24"/>
  <c r="J2882" i="24"/>
  <c r="J2881" i="24"/>
  <c r="J2880" i="24"/>
  <c r="J2879" i="24"/>
  <c r="J2878" i="24"/>
  <c r="J2877" i="24"/>
  <c r="J2876" i="24"/>
  <c r="J2875" i="24"/>
  <c r="J2874" i="24"/>
  <c r="J2873" i="24"/>
  <c r="J2872" i="24"/>
  <c r="J2871" i="24"/>
  <c r="J2870" i="24"/>
  <c r="J2869" i="24"/>
  <c r="J2868" i="24"/>
  <c r="J2867" i="24"/>
  <c r="J2866" i="24"/>
  <c r="J2865" i="24"/>
  <c r="J2864" i="24"/>
  <c r="J2863" i="24"/>
  <c r="J2862" i="24"/>
  <c r="J2861" i="24"/>
  <c r="J2860" i="24"/>
  <c r="J2859" i="24"/>
  <c r="J2858" i="24"/>
  <c r="J2857" i="24"/>
  <c r="J2856" i="24"/>
  <c r="J2855" i="24"/>
  <c r="J2854" i="24"/>
  <c r="J2853" i="24"/>
  <c r="J2852" i="24"/>
  <c r="J2851" i="24"/>
  <c r="J2850" i="24"/>
  <c r="J2849" i="24"/>
  <c r="J2848" i="24"/>
  <c r="J2847" i="24"/>
  <c r="J2846" i="24"/>
  <c r="J2845" i="24"/>
  <c r="J2844" i="24"/>
  <c r="J2843" i="24"/>
  <c r="J2842" i="24"/>
  <c r="J2841" i="24"/>
  <c r="J2840" i="24"/>
  <c r="J2839" i="24"/>
  <c r="J2838" i="24"/>
  <c r="J2837" i="24"/>
  <c r="J2836" i="24"/>
  <c r="J2835" i="24"/>
  <c r="J2834" i="24"/>
  <c r="J2833" i="24"/>
  <c r="J2832" i="24"/>
  <c r="J2831" i="24"/>
  <c r="J2830" i="24"/>
  <c r="J2829" i="24"/>
  <c r="J2828" i="24"/>
  <c r="J2827" i="24"/>
  <c r="J2826" i="24"/>
  <c r="J2825" i="24"/>
  <c r="J2824" i="24"/>
  <c r="J2823" i="24"/>
  <c r="J2822" i="24"/>
  <c r="J2821" i="24"/>
  <c r="J2820" i="24"/>
  <c r="J2819" i="24"/>
  <c r="J2818" i="24"/>
  <c r="J2817" i="24"/>
  <c r="J2816" i="24"/>
  <c r="J2815" i="24"/>
  <c r="J2814" i="24"/>
  <c r="J2813" i="24"/>
  <c r="J2812" i="24"/>
  <c r="J2811" i="24"/>
  <c r="J2810" i="24"/>
  <c r="J2809" i="24"/>
  <c r="J2808" i="24"/>
  <c r="J2807" i="24"/>
  <c r="J2806" i="24"/>
  <c r="J2805" i="24"/>
  <c r="J2804" i="24"/>
  <c r="J2803" i="24"/>
  <c r="J2802" i="24"/>
  <c r="J2801" i="24"/>
  <c r="J2800" i="24"/>
  <c r="J2799" i="24"/>
  <c r="J2798" i="24"/>
  <c r="J2797" i="24"/>
  <c r="J2796" i="24"/>
  <c r="J2795" i="24"/>
  <c r="J2794" i="24"/>
  <c r="J2793" i="24"/>
  <c r="J2792" i="24"/>
  <c r="J2791" i="24"/>
  <c r="J2790" i="24"/>
  <c r="J2789" i="24"/>
  <c r="J2788" i="24"/>
  <c r="J2787" i="24"/>
  <c r="J2786" i="24"/>
  <c r="J2785" i="24"/>
  <c r="J2784" i="24"/>
  <c r="J2783" i="24"/>
  <c r="J2782" i="24"/>
  <c r="J2781" i="24"/>
  <c r="J2780" i="24"/>
  <c r="J2779" i="24"/>
  <c r="J2778" i="24"/>
  <c r="J2777" i="24"/>
  <c r="J2776" i="24"/>
  <c r="J2775" i="24"/>
  <c r="J2774" i="24"/>
  <c r="J2773" i="24"/>
  <c r="J2772" i="24"/>
  <c r="J2771" i="24"/>
  <c r="J2770" i="24"/>
  <c r="J2769" i="24"/>
  <c r="J2768" i="24"/>
  <c r="J2767" i="24"/>
  <c r="J2766" i="24"/>
  <c r="J2765" i="24"/>
  <c r="J2764" i="24"/>
  <c r="J2763" i="24"/>
  <c r="J2762" i="24"/>
  <c r="J2761" i="24"/>
  <c r="J2760" i="24"/>
  <c r="J2759" i="24"/>
  <c r="J2758" i="24"/>
  <c r="J2757" i="24"/>
  <c r="J2756" i="24"/>
  <c r="J2755" i="24"/>
  <c r="J2754" i="24"/>
  <c r="J2753" i="24"/>
  <c r="J2752" i="24"/>
  <c r="J2751" i="24"/>
  <c r="J2750" i="24"/>
  <c r="J2749" i="24"/>
  <c r="J2748" i="24"/>
  <c r="J2747" i="24"/>
  <c r="J2746" i="24"/>
  <c r="J2745" i="24"/>
  <c r="J2744" i="24"/>
  <c r="J2743" i="24"/>
  <c r="J2742" i="24"/>
  <c r="J2741" i="24"/>
  <c r="J2740" i="24"/>
  <c r="J2739" i="24"/>
  <c r="J2738" i="24"/>
  <c r="J2737" i="24"/>
  <c r="J2736" i="24"/>
  <c r="J2735" i="24"/>
  <c r="J2734" i="24"/>
  <c r="J2733" i="24"/>
  <c r="J2732" i="24"/>
  <c r="J2731" i="24"/>
  <c r="J2730" i="24"/>
  <c r="J2729" i="24"/>
  <c r="J2728" i="24"/>
  <c r="J2727" i="24"/>
  <c r="J2726" i="24"/>
  <c r="J2725" i="24"/>
  <c r="J2724" i="24"/>
  <c r="J2723" i="24"/>
  <c r="J2722" i="24"/>
  <c r="J2721" i="24"/>
  <c r="J2720" i="24"/>
  <c r="J2719" i="24"/>
  <c r="J2718" i="24"/>
  <c r="J2717" i="24"/>
  <c r="J2716" i="24"/>
  <c r="J2715" i="24"/>
  <c r="J2714" i="24"/>
  <c r="J2713" i="24"/>
  <c r="J2712" i="24"/>
  <c r="J2711" i="24"/>
  <c r="J2710" i="24"/>
  <c r="J2709" i="24"/>
  <c r="J2708" i="24"/>
  <c r="J2707" i="24"/>
  <c r="J2706" i="24"/>
  <c r="J2705" i="24"/>
  <c r="J2704" i="24"/>
  <c r="J2703" i="24"/>
  <c r="J2702" i="24"/>
  <c r="J2701" i="24"/>
  <c r="J2700" i="24"/>
  <c r="J2699" i="24"/>
  <c r="J2698" i="24"/>
  <c r="J2697" i="24"/>
  <c r="J2696" i="24"/>
  <c r="J2695" i="24"/>
  <c r="J2694" i="24"/>
  <c r="J2693" i="24"/>
  <c r="J2692" i="24"/>
  <c r="J2691" i="24"/>
  <c r="J2690" i="24"/>
  <c r="J2689" i="24"/>
  <c r="J2688" i="24"/>
  <c r="J2687" i="24"/>
  <c r="J2686" i="24"/>
  <c r="J2685" i="24"/>
  <c r="J2684" i="24"/>
  <c r="J2683" i="24"/>
  <c r="J2682" i="24"/>
  <c r="J2681" i="24"/>
  <c r="J2680" i="24"/>
  <c r="J2679" i="24"/>
  <c r="J2678" i="24"/>
  <c r="J2677" i="24"/>
  <c r="J2676" i="24"/>
  <c r="J2675" i="24"/>
  <c r="J2674" i="24"/>
  <c r="J2673" i="24"/>
  <c r="J2672" i="24"/>
  <c r="J2671" i="24"/>
  <c r="J2670" i="24"/>
  <c r="J2669" i="24"/>
  <c r="J2668" i="24"/>
  <c r="J2667" i="24"/>
  <c r="J2666" i="24"/>
  <c r="J2665" i="24"/>
  <c r="J2664" i="24"/>
  <c r="J2663" i="24"/>
  <c r="J2662" i="24"/>
  <c r="J2661" i="24"/>
  <c r="J2660" i="24"/>
  <c r="J2659" i="24"/>
  <c r="J2658" i="24"/>
  <c r="J2657" i="24"/>
  <c r="J2656" i="24"/>
  <c r="K2656" i="24" s="1"/>
  <c r="J2655" i="24"/>
  <c r="J2654" i="24"/>
  <c r="J2653" i="24"/>
  <c r="J2652" i="24"/>
  <c r="J2651" i="24"/>
  <c r="J2650" i="24"/>
  <c r="J2649" i="24"/>
  <c r="J2648" i="24"/>
  <c r="J2647" i="24"/>
  <c r="J2646" i="24"/>
  <c r="J2645" i="24"/>
  <c r="J2644" i="24"/>
  <c r="J2643" i="24"/>
  <c r="J2642" i="24"/>
  <c r="J2641" i="24"/>
  <c r="J2640" i="24"/>
  <c r="J2639" i="24"/>
  <c r="J2638" i="24"/>
  <c r="J2637" i="24"/>
  <c r="J2636" i="24"/>
  <c r="J2635" i="24"/>
  <c r="J2634" i="24"/>
  <c r="J2633" i="24"/>
  <c r="J2632" i="24"/>
  <c r="J2631" i="24"/>
  <c r="J2630" i="24"/>
  <c r="J2629" i="24"/>
  <c r="J2628" i="24"/>
  <c r="J2627" i="24"/>
  <c r="J2626" i="24"/>
  <c r="J2625" i="24"/>
  <c r="J2624" i="24"/>
  <c r="J2623" i="24"/>
  <c r="J2622" i="24"/>
  <c r="J2621" i="24"/>
  <c r="J2620" i="24"/>
  <c r="J2619" i="24"/>
  <c r="J2618" i="24"/>
  <c r="J2617" i="24"/>
  <c r="J2616" i="24"/>
  <c r="J2615" i="24"/>
  <c r="J2614" i="24"/>
  <c r="J2613" i="24"/>
  <c r="J2612" i="24"/>
  <c r="J2611" i="24"/>
  <c r="J2610" i="24"/>
  <c r="J2609" i="24"/>
  <c r="J2608" i="24"/>
  <c r="J2607" i="24"/>
  <c r="J2606" i="24"/>
  <c r="J2605" i="24"/>
  <c r="J2604" i="24"/>
  <c r="J2603" i="24"/>
  <c r="J2602" i="24"/>
  <c r="J2601" i="24"/>
  <c r="J2600" i="24"/>
  <c r="J2599" i="24"/>
  <c r="J2598" i="24"/>
  <c r="J2597" i="24"/>
  <c r="J2596" i="24"/>
  <c r="J2595" i="24"/>
  <c r="J2594" i="24"/>
  <c r="J2593" i="24"/>
  <c r="J2592" i="24"/>
  <c r="J2591" i="24"/>
  <c r="J2590" i="24"/>
  <c r="J2589" i="24"/>
  <c r="J2588" i="24"/>
  <c r="J2587" i="24"/>
  <c r="J2586" i="24"/>
  <c r="J2585" i="24"/>
  <c r="J2584" i="24"/>
  <c r="J2583" i="24"/>
  <c r="J2582" i="24"/>
  <c r="J2581" i="24"/>
  <c r="J2580" i="24"/>
  <c r="J2579" i="24"/>
  <c r="J2578" i="24"/>
  <c r="J2577" i="24"/>
  <c r="J2576" i="24"/>
  <c r="J2575" i="24"/>
  <c r="J2574" i="24"/>
  <c r="J2573" i="24"/>
  <c r="J2572" i="24"/>
  <c r="J2571" i="24"/>
  <c r="J2570" i="24"/>
  <c r="J2569" i="24"/>
  <c r="J2568" i="24"/>
  <c r="J2567" i="24"/>
  <c r="J2566" i="24"/>
  <c r="J2565" i="24"/>
  <c r="J2564" i="24"/>
  <c r="J2563" i="24"/>
  <c r="J2562" i="24"/>
  <c r="J2561" i="24"/>
  <c r="J2560" i="24"/>
  <c r="J2559" i="24"/>
  <c r="J2558" i="24"/>
  <c r="J2557" i="24"/>
  <c r="J2556" i="24"/>
  <c r="J2555" i="24"/>
  <c r="J2554" i="24"/>
  <c r="J2553" i="24"/>
  <c r="J2552" i="24"/>
  <c r="J2551" i="24"/>
  <c r="J2550" i="24"/>
  <c r="J2549" i="24"/>
  <c r="J2548" i="24"/>
  <c r="J2547" i="24"/>
  <c r="J2546" i="24"/>
  <c r="J2545" i="24"/>
  <c r="J2544" i="24"/>
  <c r="J2543" i="24"/>
  <c r="J2542" i="24"/>
  <c r="J2541" i="24"/>
  <c r="J2540" i="24"/>
  <c r="J2539" i="24"/>
  <c r="J2538" i="24"/>
  <c r="J2537" i="24"/>
  <c r="J2536" i="24"/>
  <c r="J2535" i="24"/>
  <c r="J2534" i="24"/>
  <c r="J2533" i="24"/>
  <c r="J2532" i="24"/>
  <c r="J2531" i="24"/>
  <c r="J2530" i="24"/>
  <c r="J2529" i="24"/>
  <c r="J2528" i="24"/>
  <c r="J2527" i="24"/>
  <c r="J2526" i="24"/>
  <c r="J2525" i="24"/>
  <c r="J2524" i="24"/>
  <c r="J2523" i="24"/>
  <c r="J2522" i="24"/>
  <c r="J2521" i="24"/>
  <c r="J2520" i="24"/>
  <c r="J2519" i="24"/>
  <c r="J2518" i="24"/>
  <c r="J2517" i="24"/>
  <c r="J2516" i="24"/>
  <c r="J2515" i="24"/>
  <c r="J2514" i="24"/>
  <c r="J2513" i="24"/>
  <c r="J2512" i="24"/>
  <c r="J2511" i="24"/>
  <c r="J2510" i="24"/>
  <c r="J2509" i="24"/>
  <c r="J2508" i="24"/>
  <c r="J2507" i="24"/>
  <c r="J2506" i="24"/>
  <c r="J2505" i="24"/>
  <c r="J2504" i="24"/>
  <c r="J2503" i="24"/>
  <c r="J2502" i="24"/>
  <c r="J2501" i="24"/>
  <c r="J2500" i="24"/>
  <c r="J2499" i="24"/>
  <c r="J2498" i="24"/>
  <c r="J2497" i="24"/>
  <c r="J2496" i="24"/>
  <c r="J2495" i="24"/>
  <c r="J2494" i="24"/>
  <c r="J2493" i="24"/>
  <c r="J2492" i="24"/>
  <c r="J2491" i="24"/>
  <c r="J2490" i="24"/>
  <c r="J2489" i="24"/>
  <c r="J2488" i="24"/>
  <c r="J2487" i="24"/>
  <c r="J2486" i="24"/>
  <c r="J2485" i="24"/>
  <c r="J2484" i="24"/>
  <c r="J2483" i="24"/>
  <c r="J2482" i="24"/>
  <c r="J2481" i="24"/>
  <c r="J2480" i="24"/>
  <c r="J2479" i="24"/>
  <c r="J2478" i="24"/>
  <c r="J2477" i="24"/>
  <c r="J2476" i="24"/>
  <c r="J2475" i="24"/>
  <c r="J2474" i="24"/>
  <c r="J2473" i="24"/>
  <c r="J2472" i="24"/>
  <c r="J2471" i="24"/>
  <c r="J2470" i="24"/>
  <c r="J2469" i="24"/>
  <c r="J2468" i="24"/>
  <c r="J2467" i="24"/>
  <c r="J2466" i="24"/>
  <c r="J2465" i="24"/>
  <c r="J2464" i="24"/>
  <c r="J2463" i="24"/>
  <c r="J2462" i="24"/>
  <c r="J2461" i="24"/>
  <c r="J2460" i="24"/>
  <c r="J2459" i="24"/>
  <c r="J2458" i="24"/>
  <c r="J2457" i="24"/>
  <c r="J2456" i="24"/>
  <c r="J2455" i="24"/>
  <c r="J2454" i="24"/>
  <c r="J2453" i="24"/>
  <c r="J2452" i="24"/>
  <c r="J2451" i="24"/>
  <c r="J2450" i="24"/>
  <c r="J2449" i="24"/>
  <c r="J2448" i="24"/>
  <c r="J2447" i="24"/>
  <c r="J2446" i="24"/>
  <c r="J2445" i="24"/>
  <c r="J2444" i="24"/>
  <c r="J2443" i="24"/>
  <c r="J2442" i="24"/>
  <c r="J2441" i="24"/>
  <c r="J2440" i="24"/>
  <c r="J2439" i="24"/>
  <c r="J2438" i="24"/>
  <c r="J2437" i="24"/>
  <c r="J2436" i="24"/>
  <c r="J2435" i="24"/>
  <c r="J2434" i="24"/>
  <c r="J2433" i="24"/>
  <c r="J2432" i="24"/>
  <c r="J2431" i="24"/>
  <c r="J2430" i="24"/>
  <c r="J2429" i="24"/>
  <c r="J2428" i="24"/>
  <c r="J2427" i="24"/>
  <c r="J2426" i="24"/>
  <c r="J2425" i="24"/>
  <c r="J2424" i="24"/>
  <c r="J2423" i="24"/>
  <c r="J2422" i="24"/>
  <c r="J2421" i="24"/>
  <c r="J2420" i="24"/>
  <c r="J2419" i="24"/>
  <c r="J2418" i="24"/>
  <c r="J2417" i="24"/>
  <c r="J2416" i="24"/>
  <c r="J2415" i="24"/>
  <c r="J2414" i="24"/>
  <c r="J2413" i="24"/>
  <c r="J2412" i="24"/>
  <c r="J2411" i="24"/>
  <c r="J2410" i="24"/>
  <c r="J2409" i="24"/>
  <c r="J2408" i="24"/>
  <c r="J2407" i="24"/>
  <c r="J2406" i="24"/>
  <c r="J2405" i="24"/>
  <c r="J2404" i="24"/>
  <c r="J2403" i="24"/>
  <c r="J2402" i="24"/>
  <c r="J2401" i="24"/>
  <c r="J2400" i="24"/>
  <c r="J2399" i="24"/>
  <c r="J2398" i="24"/>
  <c r="J2397" i="24"/>
  <c r="J2396" i="24"/>
  <c r="J2395" i="24"/>
  <c r="J2394" i="24"/>
  <c r="J2393" i="24"/>
  <c r="J2392" i="24"/>
  <c r="J2391" i="24"/>
  <c r="J2390" i="24"/>
  <c r="J2389" i="24"/>
  <c r="J2388" i="24"/>
  <c r="J2387" i="24"/>
  <c r="J2386" i="24"/>
  <c r="J2385" i="24"/>
  <c r="J2384" i="24"/>
  <c r="J2383" i="24"/>
  <c r="J2382" i="24"/>
  <c r="J2381" i="24"/>
  <c r="J2380" i="24"/>
  <c r="J2379" i="24"/>
  <c r="J2378" i="24"/>
  <c r="J2377" i="24"/>
  <c r="J2376" i="24"/>
  <c r="J2375" i="24"/>
  <c r="J2374" i="24"/>
  <c r="J2373" i="24"/>
  <c r="J2372" i="24"/>
  <c r="J2371" i="24"/>
  <c r="J2370" i="24"/>
  <c r="J2369" i="24"/>
  <c r="J2368" i="24"/>
  <c r="J2367" i="24"/>
  <c r="J2366" i="24"/>
  <c r="J2365" i="24"/>
  <c r="J2364" i="24"/>
  <c r="J2363" i="24"/>
  <c r="J2362" i="24"/>
  <c r="J2361" i="24"/>
  <c r="J2360" i="24"/>
  <c r="J2359" i="24"/>
  <c r="J2358" i="24"/>
  <c r="J2357" i="24"/>
  <c r="J2356" i="24"/>
  <c r="J2355" i="24"/>
  <c r="J2354" i="24"/>
  <c r="J2353" i="24"/>
  <c r="J2352" i="24"/>
  <c r="J2351" i="24"/>
  <c r="J2350" i="24"/>
  <c r="J2349" i="24"/>
  <c r="J2348" i="24"/>
  <c r="J2347" i="24"/>
  <c r="J2346" i="24"/>
  <c r="J2345" i="24"/>
  <c r="J2344" i="24"/>
  <c r="J2343" i="24"/>
  <c r="J2342" i="24"/>
  <c r="J2341" i="24"/>
  <c r="J2340" i="24"/>
  <c r="J2339" i="24"/>
  <c r="J2338" i="24"/>
  <c r="J2337" i="24"/>
  <c r="J2336" i="24"/>
  <c r="J2335" i="24"/>
  <c r="J2334" i="24"/>
  <c r="J2333" i="24"/>
  <c r="J2332" i="24"/>
  <c r="J2331" i="24"/>
  <c r="J2330" i="24"/>
  <c r="J2329" i="24"/>
  <c r="J2328" i="24"/>
  <c r="J2327" i="24"/>
  <c r="J2326" i="24"/>
  <c r="J2325" i="24"/>
  <c r="J2324" i="24"/>
  <c r="J2323" i="24"/>
  <c r="J2322" i="24"/>
  <c r="J2321" i="24"/>
  <c r="J2320" i="24"/>
  <c r="J2319" i="24"/>
  <c r="J2318" i="24"/>
  <c r="J2317" i="24"/>
  <c r="J2316" i="24"/>
  <c r="J2315" i="24"/>
  <c r="J2314" i="24"/>
  <c r="J2313" i="24"/>
  <c r="J2312" i="24"/>
  <c r="J2311" i="24"/>
  <c r="J2310" i="24"/>
  <c r="J2309" i="24"/>
  <c r="J2308" i="24"/>
  <c r="J2307" i="24"/>
  <c r="J2306" i="24"/>
  <c r="J2305" i="24"/>
  <c r="J2304" i="24"/>
  <c r="J2303" i="24"/>
  <c r="J2302" i="24"/>
  <c r="J2301" i="24"/>
  <c r="J2300" i="24"/>
  <c r="J2299" i="24"/>
  <c r="J2298" i="24"/>
  <c r="J2297" i="24"/>
  <c r="J2296" i="24"/>
  <c r="J2295" i="24"/>
  <c r="J2294" i="24"/>
  <c r="J2293" i="24"/>
  <c r="J2292" i="24"/>
  <c r="J2291" i="24"/>
  <c r="J2290" i="24"/>
  <c r="J2289" i="24"/>
  <c r="J2288" i="24"/>
  <c r="J2287" i="24"/>
  <c r="J2286" i="24"/>
  <c r="J2285" i="24"/>
  <c r="J2284" i="24"/>
  <c r="J2283" i="24"/>
  <c r="J2282" i="24"/>
  <c r="J2281" i="24"/>
  <c r="J2280" i="24"/>
  <c r="J2279" i="24"/>
  <c r="J2278" i="24"/>
  <c r="J2277" i="24"/>
  <c r="J2276" i="24"/>
  <c r="J2275" i="24"/>
  <c r="J2274" i="24"/>
  <c r="J2273" i="24"/>
  <c r="J2272" i="24"/>
  <c r="J2271" i="24"/>
  <c r="J2270" i="24"/>
  <c r="J2269" i="24"/>
  <c r="J2268" i="24"/>
  <c r="J2267" i="24"/>
  <c r="J2266" i="24"/>
  <c r="J2265" i="24"/>
  <c r="J2264" i="24"/>
  <c r="J2263" i="24"/>
  <c r="J2262" i="24"/>
  <c r="J2261" i="24"/>
  <c r="J2260" i="24"/>
  <c r="J2259" i="24"/>
  <c r="J2258" i="24"/>
  <c r="J2257" i="24"/>
  <c r="J2256" i="24"/>
  <c r="J2255" i="24"/>
  <c r="J2254" i="24"/>
  <c r="J2253" i="24"/>
  <c r="J2252" i="24"/>
  <c r="J2251" i="24"/>
  <c r="J2250" i="24"/>
  <c r="J2249" i="24"/>
  <c r="J2248" i="24"/>
  <c r="J2247" i="24"/>
  <c r="J2246" i="24"/>
  <c r="J2245" i="24"/>
  <c r="J2244" i="24"/>
  <c r="J2243" i="24"/>
  <c r="J2242" i="24"/>
  <c r="J2241" i="24"/>
  <c r="J2240" i="24"/>
  <c r="J2239" i="24"/>
  <c r="J2238" i="24"/>
  <c r="J2237" i="24"/>
  <c r="J2236" i="24"/>
  <c r="J2235" i="24"/>
  <c r="J2234" i="24"/>
  <c r="J2233" i="24"/>
  <c r="J2232" i="24"/>
  <c r="J2231" i="24"/>
  <c r="J2230" i="24"/>
  <c r="J2229" i="24"/>
  <c r="J2228" i="24"/>
  <c r="J2227" i="24"/>
  <c r="J2226" i="24"/>
  <c r="J2225" i="24"/>
  <c r="J2224" i="24"/>
  <c r="J2223" i="24"/>
  <c r="J2222" i="24"/>
  <c r="J2221" i="24"/>
  <c r="J2220" i="24"/>
  <c r="J2219" i="24"/>
  <c r="J2218" i="24"/>
  <c r="J2217" i="24"/>
  <c r="J2216" i="24"/>
  <c r="J2215" i="24"/>
  <c r="J2214" i="24"/>
  <c r="J2213" i="24"/>
  <c r="J2212" i="24"/>
  <c r="J2211" i="24"/>
  <c r="J2210" i="24"/>
  <c r="J2209" i="24"/>
  <c r="J2208" i="24"/>
  <c r="J2207" i="24"/>
  <c r="J2206" i="24"/>
  <c r="J2205" i="24"/>
  <c r="J2204" i="24"/>
  <c r="J2203" i="24"/>
  <c r="J2202" i="24"/>
  <c r="J2201" i="24"/>
  <c r="J2200" i="24"/>
  <c r="J2199" i="24"/>
  <c r="J2198" i="24"/>
  <c r="J2197" i="24"/>
  <c r="J2196" i="24"/>
  <c r="J2195" i="24"/>
  <c r="J2194" i="24"/>
  <c r="J2193" i="24"/>
  <c r="J2192" i="24"/>
  <c r="J2191" i="24"/>
  <c r="J2190" i="24"/>
  <c r="J2189" i="24"/>
  <c r="J2188" i="24"/>
  <c r="J2187" i="24"/>
  <c r="J2186" i="24"/>
  <c r="J2185" i="24"/>
  <c r="J2184" i="24"/>
  <c r="J2183" i="24"/>
  <c r="J2182" i="24"/>
  <c r="J2181" i="24"/>
  <c r="J2180" i="24"/>
  <c r="J2179" i="24"/>
  <c r="J2178" i="24"/>
  <c r="J2177" i="24"/>
  <c r="J2176" i="24"/>
  <c r="J2175" i="24"/>
  <c r="J2174" i="24"/>
  <c r="J2173" i="24"/>
  <c r="J2172" i="24"/>
  <c r="J2171" i="24"/>
  <c r="J2170" i="24"/>
  <c r="J2169" i="24"/>
  <c r="J2168" i="24"/>
  <c r="J2167" i="24"/>
  <c r="J2166" i="24"/>
  <c r="J2165" i="24"/>
  <c r="J2164" i="24"/>
  <c r="J2163" i="24"/>
  <c r="J2162" i="24"/>
  <c r="J2161" i="24"/>
  <c r="J2160" i="24"/>
  <c r="J2159" i="24"/>
  <c r="J2158" i="24"/>
  <c r="J2157" i="24"/>
  <c r="J2156" i="24"/>
  <c r="J2155" i="24"/>
  <c r="J2154" i="24"/>
  <c r="J2153" i="24"/>
  <c r="J2152" i="24"/>
  <c r="J2151" i="24"/>
  <c r="J2150" i="24"/>
  <c r="J2149" i="24"/>
  <c r="J2148" i="24"/>
  <c r="J2147" i="24"/>
  <c r="J2146" i="24"/>
  <c r="J2145" i="24"/>
  <c r="J2144" i="24"/>
  <c r="J2143" i="24"/>
  <c r="J2142" i="24"/>
  <c r="J2141" i="24"/>
  <c r="J2140" i="24"/>
  <c r="J2139" i="24"/>
  <c r="J2138" i="24"/>
  <c r="J2137" i="24"/>
  <c r="J2136" i="24"/>
  <c r="J2135" i="24"/>
  <c r="J2134" i="24"/>
  <c r="J2133" i="24"/>
  <c r="J2132" i="24"/>
  <c r="J2131" i="24"/>
  <c r="J2130" i="24"/>
  <c r="J2129" i="24"/>
  <c r="J2128" i="24"/>
  <c r="J2127" i="24"/>
  <c r="J2126" i="24"/>
  <c r="J2125" i="24"/>
  <c r="J2124" i="24"/>
  <c r="J2123" i="24"/>
  <c r="J2122" i="24"/>
  <c r="J2121" i="24"/>
  <c r="J2120" i="24"/>
  <c r="J2119" i="24"/>
  <c r="J2118" i="24"/>
  <c r="J2117" i="24"/>
  <c r="J2116" i="24"/>
  <c r="J2115" i="24"/>
  <c r="J2114" i="24"/>
  <c r="J2113" i="24"/>
  <c r="J2112" i="24"/>
  <c r="J2111" i="24"/>
  <c r="J2110" i="24"/>
  <c r="J2109" i="24"/>
  <c r="J2108" i="24"/>
  <c r="J2107" i="24"/>
  <c r="J2106" i="24"/>
  <c r="J2105" i="24"/>
  <c r="J2104" i="24"/>
  <c r="J2103" i="24"/>
  <c r="J2102" i="24"/>
  <c r="J2101" i="24"/>
  <c r="J2100" i="24"/>
  <c r="J2099" i="24"/>
  <c r="J2098" i="24"/>
  <c r="J2097" i="24"/>
  <c r="J2096" i="24"/>
  <c r="J2095" i="24"/>
  <c r="J2094" i="24"/>
  <c r="J2093" i="24"/>
  <c r="J2092" i="24"/>
  <c r="J2091" i="24"/>
  <c r="J2090" i="24"/>
  <c r="J2089" i="24"/>
  <c r="J2088" i="24"/>
  <c r="J2087" i="24"/>
  <c r="J2086" i="24"/>
  <c r="J2085" i="24"/>
  <c r="J2084" i="24"/>
  <c r="J2083" i="24"/>
  <c r="J2082" i="24"/>
  <c r="J2081" i="24"/>
  <c r="J2080" i="24"/>
  <c r="J2079" i="24"/>
  <c r="J2078" i="24"/>
  <c r="J2077" i="24"/>
  <c r="J2076" i="24"/>
  <c r="J2075" i="24"/>
  <c r="J2074" i="24"/>
  <c r="J2073" i="24"/>
  <c r="J2072" i="24"/>
  <c r="J2071" i="24"/>
  <c r="J2070" i="24"/>
  <c r="J2069" i="24"/>
  <c r="J2068" i="24"/>
  <c r="J2067" i="24"/>
  <c r="J2066" i="24"/>
  <c r="J2065" i="24"/>
  <c r="J2064" i="24"/>
  <c r="J2063" i="24"/>
  <c r="J2062" i="24"/>
  <c r="J2061" i="24"/>
  <c r="J2060" i="24"/>
  <c r="J2059" i="24"/>
  <c r="J2058" i="24"/>
  <c r="J2057" i="24"/>
  <c r="J2056" i="24"/>
  <c r="J2055" i="24"/>
  <c r="J2054" i="24"/>
  <c r="J2053" i="24"/>
  <c r="J2052" i="24"/>
  <c r="J2051" i="24"/>
  <c r="J2050" i="24"/>
  <c r="J2049" i="24"/>
  <c r="J2048" i="24"/>
  <c r="J2047" i="24"/>
  <c r="J2046" i="24"/>
  <c r="J2045" i="24"/>
  <c r="J2044" i="24"/>
  <c r="J2043" i="24"/>
  <c r="J2042" i="24"/>
  <c r="J2041" i="24"/>
  <c r="J2040" i="24"/>
  <c r="J2039" i="24"/>
  <c r="J2038" i="24"/>
  <c r="J2037" i="24"/>
  <c r="J2036" i="24"/>
  <c r="J2035" i="24"/>
  <c r="J2034" i="24"/>
  <c r="J2033" i="24"/>
  <c r="J2032" i="24"/>
  <c r="J2031" i="24"/>
  <c r="J2030" i="24"/>
  <c r="J2029" i="24"/>
  <c r="J2028" i="24"/>
  <c r="J2027" i="24"/>
  <c r="J2026" i="24"/>
  <c r="J2025" i="24"/>
  <c r="J2024" i="24"/>
  <c r="J2023" i="24"/>
  <c r="J2022" i="24"/>
  <c r="J2021" i="24"/>
  <c r="J2020" i="24"/>
  <c r="J2019" i="24"/>
  <c r="J2018" i="24"/>
  <c r="J2017" i="24"/>
  <c r="J2016" i="24"/>
  <c r="J2015" i="24"/>
  <c r="J2014" i="24"/>
  <c r="J2013" i="24"/>
  <c r="J2012" i="24"/>
  <c r="J2011" i="24"/>
  <c r="J2010" i="24"/>
  <c r="J2009" i="24"/>
  <c r="J2008" i="24"/>
  <c r="J2007" i="24"/>
  <c r="J2006" i="24"/>
  <c r="J2005" i="24"/>
  <c r="J2004" i="24"/>
  <c r="J2003" i="24"/>
  <c r="J2002" i="24"/>
  <c r="J2001" i="24"/>
  <c r="J2000" i="24"/>
  <c r="J1999" i="24"/>
  <c r="J1998" i="24"/>
  <c r="J1997" i="24"/>
  <c r="J1996" i="24"/>
  <c r="J1995" i="24"/>
  <c r="J1994" i="24"/>
  <c r="J1993" i="24"/>
  <c r="J1992" i="24"/>
  <c r="J1991" i="24"/>
  <c r="J1990" i="24"/>
  <c r="J1989" i="24"/>
  <c r="J1988" i="24"/>
  <c r="J1987" i="24"/>
  <c r="J1986" i="24"/>
  <c r="J1985" i="24"/>
  <c r="J1984" i="24"/>
  <c r="J1983" i="24"/>
  <c r="J1982" i="24"/>
  <c r="J1981" i="24"/>
  <c r="J1980" i="24"/>
  <c r="J1979" i="24"/>
  <c r="J1978" i="24"/>
  <c r="J1977" i="24"/>
  <c r="J1976" i="24"/>
  <c r="J1975" i="24"/>
  <c r="J1974" i="24"/>
  <c r="J1973" i="24"/>
  <c r="J1972" i="24"/>
  <c r="J1971" i="24"/>
  <c r="J1970" i="24"/>
  <c r="J1969" i="24"/>
  <c r="J1968" i="24"/>
  <c r="J1967" i="24"/>
  <c r="J1966" i="24"/>
  <c r="J1965" i="24"/>
  <c r="J1964" i="24"/>
  <c r="J1963" i="24"/>
  <c r="J1962" i="24"/>
  <c r="J1961" i="24"/>
  <c r="J1960" i="24"/>
  <c r="J1959" i="24"/>
  <c r="J1958" i="24"/>
  <c r="J1957" i="24"/>
  <c r="J1956" i="24"/>
  <c r="J1955" i="24"/>
  <c r="J1954" i="24"/>
  <c r="J1953" i="24"/>
  <c r="J1952" i="24"/>
  <c r="J1951" i="24"/>
  <c r="J1950" i="24"/>
  <c r="J1949" i="24"/>
  <c r="J1948" i="24"/>
  <c r="J1947" i="24"/>
  <c r="J1946" i="24"/>
  <c r="J1945" i="24"/>
  <c r="J1944" i="24"/>
  <c r="J1943" i="24"/>
  <c r="J1942" i="24"/>
  <c r="J1941" i="24"/>
  <c r="J1940" i="24"/>
  <c r="J1939" i="24"/>
  <c r="J1938" i="24"/>
  <c r="J1937" i="24"/>
  <c r="J1936" i="24"/>
  <c r="J1935" i="24"/>
  <c r="J1934" i="24"/>
  <c r="J1933" i="24"/>
  <c r="J1932" i="24"/>
  <c r="J1931" i="24"/>
  <c r="J1930" i="24"/>
  <c r="J1929" i="24"/>
  <c r="J1928" i="24"/>
  <c r="J1927" i="24"/>
  <c r="J1926" i="24"/>
  <c r="J1925" i="24"/>
  <c r="J1924" i="24"/>
  <c r="J1923" i="24"/>
  <c r="J1922" i="24"/>
  <c r="J1921" i="24"/>
  <c r="J1920" i="24"/>
  <c r="J1919" i="24"/>
  <c r="J1918" i="24"/>
  <c r="J1917" i="24"/>
  <c r="J1916" i="24"/>
  <c r="J1915" i="24"/>
  <c r="J1914" i="24"/>
  <c r="J1913" i="24"/>
  <c r="J1912" i="24"/>
  <c r="J1911" i="24"/>
  <c r="J1910" i="24"/>
  <c r="J1909" i="24"/>
  <c r="J1908" i="24"/>
  <c r="J1907" i="24"/>
  <c r="J1906" i="24"/>
  <c r="J1905" i="24"/>
  <c r="J1904" i="24"/>
  <c r="J1903" i="24"/>
  <c r="J1902" i="24"/>
  <c r="J1901" i="24"/>
  <c r="J1900" i="24"/>
  <c r="J1899" i="24"/>
  <c r="J1898" i="24"/>
  <c r="J1897" i="24"/>
  <c r="J1896" i="24"/>
  <c r="J1895" i="24"/>
  <c r="J1894" i="24"/>
  <c r="J1893" i="24"/>
  <c r="J1892" i="24"/>
  <c r="J1891" i="24"/>
  <c r="J1890" i="24"/>
  <c r="J1889" i="24"/>
  <c r="J1888" i="24"/>
  <c r="J1887" i="24"/>
  <c r="J1886" i="24"/>
  <c r="J1885" i="24"/>
  <c r="J1884" i="24"/>
  <c r="J1883" i="24"/>
  <c r="J1882" i="24"/>
  <c r="J1881" i="24"/>
  <c r="J1880" i="24"/>
  <c r="J1879" i="24"/>
  <c r="J1878" i="24"/>
  <c r="J1877" i="24"/>
  <c r="J1876" i="24"/>
  <c r="J1875" i="24"/>
  <c r="J1874" i="24"/>
  <c r="J1873" i="24"/>
  <c r="J1872" i="24"/>
  <c r="J1871" i="24"/>
  <c r="J1870" i="24"/>
  <c r="J1869" i="24"/>
  <c r="J1868" i="24"/>
  <c r="J1867" i="24"/>
  <c r="J1866" i="24"/>
  <c r="J1865" i="24"/>
  <c r="J1864" i="24"/>
  <c r="J1863" i="24"/>
  <c r="J1862" i="24"/>
  <c r="J1861" i="24"/>
  <c r="J1860" i="24"/>
  <c r="J1859" i="24"/>
  <c r="J1858" i="24"/>
  <c r="J1857" i="24"/>
  <c r="J1856" i="24"/>
  <c r="J1855" i="24"/>
  <c r="J1854" i="24"/>
  <c r="J1853" i="24"/>
  <c r="J1852" i="24"/>
  <c r="J1851" i="24"/>
  <c r="J1850" i="24"/>
  <c r="J1849" i="24"/>
  <c r="J1848" i="24"/>
  <c r="J1847" i="24"/>
  <c r="J1846" i="24"/>
  <c r="J1845" i="24"/>
  <c r="J1844" i="24"/>
  <c r="J1843" i="24"/>
  <c r="J1842" i="24"/>
  <c r="J1841" i="24"/>
  <c r="J1840" i="24"/>
  <c r="J1839" i="24"/>
  <c r="J1838" i="24"/>
  <c r="J1837" i="24"/>
  <c r="J1836" i="24"/>
  <c r="J1835" i="24"/>
  <c r="J1834" i="24"/>
  <c r="J1833" i="24"/>
  <c r="J1832" i="24"/>
  <c r="J1831" i="24"/>
  <c r="J1830" i="24"/>
  <c r="J1829" i="24"/>
  <c r="J1828" i="24"/>
  <c r="J1827" i="24"/>
  <c r="J1826" i="24"/>
  <c r="J1825" i="24"/>
  <c r="J1824" i="24"/>
  <c r="J1823" i="24"/>
  <c r="J1822" i="24"/>
  <c r="J1821" i="24"/>
  <c r="J1820" i="24"/>
  <c r="J1819" i="24"/>
  <c r="J1818" i="24"/>
  <c r="J1817" i="24"/>
  <c r="J1816" i="24"/>
  <c r="J1815" i="24"/>
  <c r="J1814" i="24"/>
  <c r="J1813" i="24"/>
  <c r="J1812" i="24"/>
  <c r="J1811" i="24"/>
  <c r="J1810" i="24"/>
  <c r="J1809" i="24"/>
  <c r="J1808" i="24"/>
  <c r="J1807" i="24"/>
  <c r="J1806" i="24"/>
  <c r="J1805" i="24"/>
  <c r="J1804" i="24"/>
  <c r="J1803" i="24"/>
  <c r="J1802" i="24"/>
  <c r="J1801" i="24"/>
  <c r="J1800" i="24"/>
  <c r="J1799" i="24"/>
  <c r="J1798" i="24"/>
  <c r="J1797" i="24"/>
  <c r="J1796" i="24"/>
  <c r="J1795" i="24"/>
  <c r="J1794" i="24"/>
  <c r="J1793" i="24"/>
  <c r="J1792" i="24"/>
  <c r="J1791" i="24"/>
  <c r="J1790" i="24"/>
  <c r="J1789" i="24"/>
  <c r="J1788" i="24"/>
  <c r="J1787" i="24"/>
  <c r="J1786" i="24"/>
  <c r="J1785" i="24"/>
  <c r="J1784" i="24"/>
  <c r="J1783" i="24"/>
  <c r="J1782" i="24"/>
  <c r="J1781" i="24"/>
  <c r="J1780" i="24"/>
  <c r="J1779" i="24"/>
  <c r="J1778" i="24"/>
  <c r="J1777" i="24"/>
  <c r="J1776" i="24"/>
  <c r="J1775" i="24"/>
  <c r="J1774" i="24"/>
  <c r="J1773" i="24"/>
  <c r="J1772" i="24"/>
  <c r="J1771" i="24"/>
  <c r="J1770" i="24"/>
  <c r="J1769" i="24"/>
  <c r="J1768" i="24"/>
  <c r="J1767" i="24"/>
  <c r="J1766" i="24"/>
  <c r="J1765" i="24"/>
  <c r="J1764" i="24"/>
  <c r="J1763" i="24"/>
  <c r="J1762" i="24"/>
  <c r="J1761" i="24"/>
  <c r="J1760" i="24"/>
  <c r="J1759" i="24"/>
  <c r="J1758" i="24"/>
  <c r="J1757" i="24"/>
  <c r="J1756" i="24"/>
  <c r="J1755" i="24"/>
  <c r="J1754" i="24"/>
  <c r="J1753" i="24"/>
  <c r="J1752" i="24"/>
  <c r="J1751" i="24"/>
  <c r="J1750" i="24"/>
  <c r="J1749" i="24"/>
  <c r="J1748" i="24"/>
  <c r="J1747" i="24"/>
  <c r="J1746" i="24"/>
  <c r="J1745" i="24"/>
  <c r="J1744" i="24"/>
  <c r="J1743" i="24"/>
  <c r="J1742" i="24"/>
  <c r="J1741" i="24"/>
  <c r="J1740" i="24"/>
  <c r="J1739" i="24"/>
  <c r="J1738" i="24"/>
  <c r="J1737" i="24"/>
  <c r="J1736" i="24"/>
  <c r="J1735" i="24"/>
  <c r="J1734" i="24"/>
  <c r="J1733" i="24"/>
  <c r="J1732" i="24"/>
  <c r="J1731" i="24"/>
  <c r="J1730" i="24"/>
  <c r="J1729" i="24"/>
  <c r="J1728" i="24"/>
  <c r="J1727" i="24"/>
  <c r="J1726" i="24"/>
  <c r="J1725" i="24"/>
  <c r="J1724" i="24"/>
  <c r="J1723" i="24"/>
  <c r="J1722" i="24"/>
  <c r="J1721" i="24"/>
  <c r="J1720" i="24"/>
  <c r="J1719" i="24"/>
  <c r="J1718" i="24"/>
  <c r="J1717" i="24"/>
  <c r="J1716" i="24"/>
  <c r="J1715" i="24"/>
  <c r="J1714" i="24"/>
  <c r="J1713" i="24"/>
  <c r="J1712" i="24"/>
  <c r="J1711" i="24"/>
  <c r="J1710" i="24"/>
  <c r="J1709" i="24"/>
  <c r="J1708" i="24"/>
  <c r="J1707" i="24"/>
  <c r="J1706" i="24"/>
  <c r="J1705" i="24"/>
  <c r="J1704" i="24"/>
  <c r="J1703" i="24"/>
  <c r="J1702" i="24"/>
  <c r="J1701" i="24"/>
  <c r="J1700" i="24"/>
  <c r="J1699" i="24"/>
  <c r="J1698" i="24"/>
  <c r="J1697" i="24"/>
  <c r="J1696" i="24"/>
  <c r="J1695" i="24"/>
  <c r="J1694" i="24"/>
  <c r="J1693" i="24"/>
  <c r="J1692" i="24"/>
  <c r="J1691" i="24"/>
  <c r="J1690" i="24"/>
  <c r="J1689" i="24"/>
  <c r="J1688" i="24"/>
  <c r="J1687" i="24"/>
  <c r="J1686" i="24"/>
  <c r="J1685" i="24"/>
  <c r="J1684" i="24"/>
  <c r="J1683" i="24"/>
  <c r="J1682" i="24"/>
  <c r="J1681" i="24"/>
  <c r="J1680" i="24"/>
  <c r="J1679" i="24"/>
  <c r="J1678" i="24"/>
  <c r="J1677" i="24"/>
  <c r="J1676" i="24"/>
  <c r="J1675" i="24"/>
  <c r="J1674" i="24"/>
  <c r="J1673" i="24"/>
  <c r="J1672" i="24"/>
  <c r="J1671" i="24"/>
  <c r="J1670" i="24"/>
  <c r="J1669" i="24"/>
  <c r="J1668" i="24"/>
  <c r="J1667" i="24"/>
  <c r="J1666" i="24"/>
  <c r="J1665" i="24"/>
  <c r="J1664" i="24"/>
  <c r="J1663" i="24"/>
  <c r="J1662" i="24"/>
  <c r="J1661" i="24"/>
  <c r="J1660" i="24"/>
  <c r="J1659" i="24"/>
  <c r="J1658" i="24"/>
  <c r="J1657" i="24"/>
  <c r="J1656" i="24"/>
  <c r="J1655" i="24"/>
  <c r="J1654" i="24"/>
  <c r="J1653" i="24"/>
  <c r="J1652" i="24"/>
  <c r="J1651" i="24"/>
  <c r="J1650" i="24"/>
  <c r="J1649" i="24"/>
  <c r="J1648" i="24"/>
  <c r="J1647" i="24"/>
  <c r="J1646" i="24"/>
  <c r="J1645" i="24"/>
  <c r="J1644" i="24"/>
  <c r="J1643" i="24"/>
  <c r="J1642" i="24"/>
  <c r="J1641" i="24"/>
  <c r="J1640" i="24"/>
  <c r="J1639" i="24"/>
  <c r="J1638" i="24"/>
  <c r="J1637" i="24"/>
  <c r="J1636" i="24"/>
  <c r="J1635" i="24"/>
  <c r="J1634" i="24"/>
  <c r="J1633" i="24"/>
  <c r="J1632" i="24"/>
  <c r="J1631" i="24"/>
  <c r="J1630" i="24"/>
  <c r="J1629" i="24"/>
  <c r="J1628" i="24"/>
  <c r="J1627" i="24"/>
  <c r="J1626" i="24"/>
  <c r="J1625" i="24"/>
  <c r="J1624" i="24"/>
  <c r="J1623" i="24"/>
  <c r="J1622" i="24"/>
  <c r="J1621" i="24"/>
  <c r="J1620" i="24"/>
  <c r="J1619" i="24"/>
  <c r="J1618" i="24"/>
  <c r="J1617" i="24"/>
  <c r="J1616" i="24"/>
  <c r="J1615" i="24"/>
  <c r="J1614" i="24"/>
  <c r="J1613" i="24"/>
  <c r="J1612" i="24"/>
  <c r="J1611" i="24"/>
  <c r="J1610" i="24"/>
  <c r="J1609" i="24"/>
  <c r="J1608" i="24"/>
  <c r="J1607" i="24"/>
  <c r="J1606" i="24"/>
  <c r="J1605" i="24"/>
  <c r="J1604" i="24"/>
  <c r="J1603" i="24"/>
  <c r="J1602" i="24"/>
  <c r="J1601" i="24"/>
  <c r="J1600" i="24"/>
  <c r="J1599" i="24"/>
  <c r="J1598" i="24"/>
  <c r="J1597" i="24"/>
  <c r="J1596" i="24"/>
  <c r="J1595" i="24"/>
  <c r="J1594" i="24"/>
  <c r="J1593" i="24"/>
  <c r="J1592" i="24"/>
  <c r="J1591" i="24"/>
  <c r="J1590" i="24"/>
  <c r="J1589" i="24"/>
  <c r="J1588" i="24"/>
  <c r="J1587" i="24"/>
  <c r="J1586" i="24"/>
  <c r="J1585" i="24"/>
  <c r="J1584" i="24"/>
  <c r="J1583" i="24"/>
  <c r="J1582" i="24"/>
  <c r="J1581" i="24"/>
  <c r="J1580" i="24"/>
  <c r="J1579" i="24"/>
  <c r="J1578" i="24"/>
  <c r="J1577" i="24"/>
  <c r="J1576" i="24"/>
  <c r="J1575" i="24"/>
  <c r="J1574" i="24"/>
  <c r="J1573" i="24"/>
  <c r="J1572" i="24"/>
  <c r="J1571" i="24"/>
  <c r="J1570" i="24"/>
  <c r="J1569" i="24"/>
  <c r="J1568" i="24"/>
  <c r="J1567" i="24"/>
  <c r="J1566" i="24"/>
  <c r="J1565" i="24"/>
  <c r="J1564" i="24"/>
  <c r="J1563" i="24"/>
  <c r="J1562" i="24"/>
  <c r="J1561" i="24"/>
  <c r="J1560" i="24"/>
  <c r="J1559" i="24"/>
  <c r="J1558" i="24"/>
  <c r="J1557" i="24"/>
  <c r="J1556" i="24"/>
  <c r="J1555" i="24"/>
  <c r="J1554" i="24"/>
  <c r="J1553" i="24"/>
  <c r="J1552" i="24"/>
  <c r="J1551" i="24"/>
  <c r="J1550" i="24"/>
  <c r="J1549" i="24"/>
  <c r="J1548" i="24"/>
  <c r="J1547" i="24"/>
  <c r="J1546" i="24"/>
  <c r="J1545" i="24"/>
  <c r="J1544" i="24"/>
  <c r="J1543" i="24"/>
  <c r="J1542" i="24"/>
  <c r="J1541" i="24"/>
  <c r="J1540" i="24"/>
  <c r="J1539" i="24"/>
  <c r="J1538" i="24"/>
  <c r="J1537" i="24"/>
  <c r="J1536" i="24"/>
  <c r="J1535" i="24"/>
  <c r="J1534" i="24"/>
  <c r="J1533" i="24"/>
  <c r="J1532" i="24"/>
  <c r="J1531" i="24"/>
  <c r="J1530" i="24"/>
  <c r="J1529" i="24"/>
  <c r="J1528" i="24"/>
  <c r="J1527" i="24"/>
  <c r="J1526" i="24"/>
  <c r="J1525" i="24"/>
  <c r="J1524" i="24"/>
  <c r="J1523" i="24"/>
  <c r="J1522" i="24"/>
  <c r="J1521" i="24"/>
  <c r="J1520" i="24"/>
  <c r="J1519" i="24"/>
  <c r="J1518" i="24"/>
  <c r="J1517" i="24"/>
  <c r="J1516" i="24"/>
  <c r="J1515" i="24"/>
  <c r="J1514" i="24"/>
  <c r="J1513" i="24"/>
  <c r="J1512" i="24"/>
  <c r="J1511" i="24"/>
  <c r="J1510" i="24"/>
  <c r="J1509" i="24"/>
  <c r="J1508" i="24"/>
  <c r="J1507" i="24"/>
  <c r="J1506" i="24"/>
  <c r="J1505" i="24"/>
  <c r="J1504" i="24"/>
  <c r="J1503" i="24"/>
  <c r="J1502" i="24"/>
  <c r="J1501" i="24"/>
  <c r="J1500" i="24"/>
  <c r="J1499" i="24"/>
  <c r="J1498" i="24"/>
  <c r="J1497" i="24"/>
  <c r="J1496" i="24"/>
  <c r="J1495" i="24"/>
  <c r="J1494" i="24"/>
  <c r="J1493" i="24"/>
  <c r="J1492" i="24"/>
  <c r="J1491" i="24"/>
  <c r="J1490" i="24"/>
  <c r="J1489" i="24"/>
  <c r="J1488" i="24"/>
  <c r="J1487" i="24"/>
  <c r="J1486" i="24"/>
  <c r="J1485" i="24"/>
  <c r="J1484" i="24"/>
  <c r="J1483" i="24"/>
  <c r="J1482" i="24"/>
  <c r="J1481" i="24"/>
  <c r="J1480" i="24"/>
  <c r="J1479" i="24"/>
  <c r="J1478" i="24"/>
  <c r="J1477" i="24"/>
  <c r="J1476" i="24"/>
  <c r="J1475" i="24"/>
  <c r="J1474" i="24"/>
  <c r="J1473" i="24"/>
  <c r="J1472" i="24"/>
  <c r="J1471" i="24"/>
  <c r="J1470" i="24"/>
  <c r="J1469" i="24"/>
  <c r="J1468" i="24"/>
  <c r="J1467" i="24"/>
  <c r="J1466" i="24"/>
  <c r="J1465" i="24"/>
  <c r="J1464" i="24"/>
  <c r="J1463" i="24"/>
  <c r="J1462" i="24"/>
  <c r="J1461" i="24"/>
  <c r="J1460" i="24"/>
  <c r="J1459" i="24"/>
  <c r="J1458" i="24"/>
  <c r="J1457" i="24"/>
  <c r="J1456" i="24"/>
  <c r="J1455" i="24"/>
  <c r="J1454" i="24"/>
  <c r="J1453" i="24"/>
  <c r="J1452" i="24"/>
  <c r="J1451" i="24"/>
  <c r="J1450" i="24"/>
  <c r="J1449" i="24"/>
  <c r="J1448" i="24"/>
  <c r="J1447" i="24"/>
  <c r="J1446" i="24"/>
  <c r="J1445" i="24"/>
  <c r="J1444" i="24"/>
  <c r="J1443" i="24"/>
  <c r="J1442" i="24"/>
  <c r="J1441" i="24"/>
  <c r="J1440" i="24"/>
  <c r="J1439" i="24"/>
  <c r="J1438" i="24"/>
  <c r="J1437" i="24"/>
  <c r="J1436" i="24"/>
  <c r="J1435" i="24"/>
  <c r="J1434" i="24"/>
  <c r="J1433" i="24"/>
  <c r="J1432" i="24"/>
  <c r="J1431" i="24"/>
  <c r="J1430" i="24"/>
  <c r="J1429" i="24"/>
  <c r="J1428" i="24"/>
  <c r="J1427" i="24"/>
  <c r="J1426" i="24"/>
  <c r="J1425" i="24"/>
  <c r="J1424" i="24"/>
  <c r="J1423" i="24"/>
  <c r="J1422" i="24"/>
  <c r="J1421" i="24"/>
  <c r="J1420" i="24"/>
  <c r="J1419" i="24"/>
  <c r="J1418" i="24"/>
  <c r="J1417" i="24"/>
  <c r="J1416" i="24"/>
  <c r="J1415" i="24"/>
  <c r="J1414" i="24"/>
  <c r="J1413" i="24"/>
  <c r="J1412" i="24"/>
  <c r="J1411" i="24"/>
  <c r="J1410" i="24"/>
  <c r="J1409" i="24"/>
  <c r="J1408" i="24"/>
  <c r="J1407" i="24"/>
  <c r="J1406" i="24"/>
  <c r="J1405" i="24"/>
  <c r="J1404" i="24"/>
  <c r="J1403" i="24"/>
  <c r="J1402" i="24"/>
  <c r="J1401" i="24"/>
  <c r="J1400" i="24"/>
  <c r="J1399" i="24"/>
  <c r="J1398" i="24"/>
  <c r="J1397" i="24"/>
  <c r="J1396" i="24"/>
  <c r="J1395" i="24"/>
  <c r="J1394" i="24"/>
  <c r="J1393" i="24"/>
  <c r="J1392" i="24"/>
  <c r="J1391" i="24"/>
  <c r="J1390" i="24"/>
  <c r="J1389" i="24"/>
  <c r="J1388" i="24"/>
  <c r="J1387" i="24"/>
  <c r="J1386" i="24"/>
  <c r="J1385" i="24"/>
  <c r="J1384" i="24"/>
  <c r="J1383" i="24"/>
  <c r="J1382" i="24"/>
  <c r="J1381" i="24"/>
  <c r="J1380" i="24"/>
  <c r="J1379" i="24"/>
  <c r="J1378" i="24"/>
  <c r="J1377" i="24"/>
  <c r="J1376" i="24"/>
  <c r="J1375" i="24"/>
  <c r="J1374" i="24"/>
  <c r="J1373" i="24"/>
  <c r="J1372" i="24"/>
  <c r="J1371" i="24"/>
  <c r="J1370" i="24"/>
  <c r="J1369" i="24"/>
  <c r="J1368" i="24"/>
  <c r="J1367" i="24"/>
  <c r="J1366" i="24"/>
  <c r="J1365" i="24"/>
  <c r="J1364" i="24"/>
  <c r="J1363" i="24"/>
  <c r="J1362" i="24"/>
  <c r="J1361" i="24"/>
  <c r="J1360" i="24"/>
  <c r="J1359" i="24"/>
  <c r="J1358" i="24"/>
  <c r="J1357" i="24"/>
  <c r="J1356" i="24"/>
  <c r="J1355" i="24"/>
  <c r="J1354" i="24"/>
  <c r="J1353" i="24"/>
  <c r="J1352" i="24"/>
  <c r="J1351" i="24"/>
  <c r="J1350" i="24"/>
  <c r="J1349" i="24"/>
  <c r="J1348" i="24"/>
  <c r="J1347" i="24"/>
  <c r="J1346" i="24"/>
  <c r="J1345" i="24"/>
  <c r="J1344" i="24"/>
  <c r="J1343" i="24"/>
  <c r="J1342" i="24"/>
  <c r="J1341" i="24"/>
  <c r="J1340" i="24"/>
  <c r="J1339" i="24"/>
  <c r="J1338" i="24"/>
  <c r="J1337" i="24"/>
  <c r="J1336" i="24"/>
  <c r="J1335" i="24"/>
  <c r="J1334" i="24"/>
  <c r="J1333" i="24"/>
  <c r="J1332" i="24"/>
  <c r="J1331" i="24"/>
  <c r="J1330" i="24"/>
  <c r="J1329" i="24"/>
  <c r="J1328" i="24"/>
  <c r="J1327" i="24"/>
  <c r="J1326" i="24"/>
  <c r="J1325" i="24"/>
  <c r="J1324" i="24"/>
  <c r="J1323" i="24"/>
  <c r="J1322" i="24"/>
  <c r="J1321" i="24"/>
  <c r="J1320" i="24"/>
  <c r="J1319" i="24"/>
  <c r="J1318" i="24"/>
  <c r="J1317" i="24"/>
  <c r="J1316" i="24"/>
  <c r="J1315" i="24"/>
  <c r="J1314" i="24"/>
  <c r="J1313" i="24"/>
  <c r="J1312" i="24"/>
  <c r="J1311" i="24"/>
  <c r="J1310" i="24"/>
  <c r="J1309" i="24"/>
  <c r="J1308" i="24"/>
  <c r="J1307" i="24"/>
  <c r="J1306" i="24"/>
  <c r="J1305" i="24"/>
  <c r="J1304" i="24"/>
  <c r="J1303" i="24"/>
  <c r="J1302" i="24"/>
  <c r="J1301" i="24"/>
  <c r="J1300" i="24"/>
  <c r="J1299" i="24"/>
  <c r="J1298" i="24"/>
  <c r="J1297" i="24"/>
  <c r="J1296" i="24"/>
  <c r="J1295" i="24"/>
  <c r="J1294" i="24"/>
  <c r="J1293" i="24"/>
  <c r="J1292" i="24"/>
  <c r="J1291" i="24"/>
  <c r="J1290" i="24"/>
  <c r="J1289" i="24"/>
  <c r="J1288" i="24"/>
  <c r="J1287" i="24"/>
  <c r="J1286" i="24"/>
  <c r="J1285" i="24"/>
  <c r="J1284" i="24"/>
  <c r="J1283" i="24"/>
  <c r="J1282" i="24"/>
  <c r="J1281" i="24"/>
  <c r="J1280" i="24"/>
  <c r="J1279" i="24"/>
  <c r="J1278" i="24"/>
  <c r="J1277" i="24"/>
  <c r="J1276" i="24"/>
  <c r="J1275" i="24"/>
  <c r="J1274" i="24"/>
  <c r="J1273" i="24"/>
  <c r="J1272" i="24"/>
  <c r="J1271" i="24"/>
  <c r="J1270" i="24"/>
  <c r="J1269" i="24"/>
  <c r="J1268" i="24"/>
  <c r="J1267" i="24"/>
  <c r="J1266" i="24"/>
  <c r="J1265" i="24"/>
  <c r="J1264" i="24"/>
  <c r="J1263" i="24"/>
  <c r="J1262" i="24"/>
  <c r="J1261" i="24"/>
  <c r="J1260" i="24"/>
  <c r="J1259" i="24"/>
  <c r="J1258" i="24"/>
  <c r="J1257" i="24"/>
  <c r="J1256" i="24"/>
  <c r="J1255" i="24"/>
  <c r="J1254" i="24"/>
  <c r="J1253" i="24"/>
  <c r="J1252" i="24"/>
  <c r="J1251" i="24"/>
  <c r="J1250" i="24"/>
  <c r="J1249" i="24"/>
  <c r="J1248" i="24"/>
  <c r="J1247" i="24"/>
  <c r="J1246" i="24"/>
  <c r="J1245" i="24"/>
  <c r="J1244" i="24"/>
  <c r="J1243" i="24"/>
  <c r="J1242" i="24"/>
  <c r="J1241" i="24"/>
  <c r="J1240" i="24"/>
  <c r="J1239" i="24"/>
  <c r="J1238" i="24"/>
  <c r="J1237" i="24"/>
  <c r="J1236" i="24"/>
  <c r="J1235" i="24"/>
  <c r="J1234" i="24"/>
  <c r="J1233" i="24"/>
  <c r="J1232" i="24"/>
  <c r="J1231" i="24"/>
  <c r="J1230" i="24"/>
  <c r="J1229" i="24"/>
  <c r="J1228" i="24"/>
  <c r="J1227" i="24"/>
  <c r="J1226" i="24"/>
  <c r="J1225" i="24"/>
  <c r="J1224" i="24"/>
  <c r="J1223" i="24"/>
  <c r="J1222" i="24"/>
  <c r="J1221" i="24"/>
  <c r="J1220" i="24"/>
  <c r="J1219" i="24"/>
  <c r="J1218" i="24"/>
  <c r="J1217" i="24"/>
  <c r="J1216" i="24"/>
  <c r="J1215" i="24"/>
  <c r="J1214" i="24"/>
  <c r="J1213" i="24"/>
  <c r="J1212" i="24"/>
  <c r="J1211" i="24"/>
  <c r="J1210" i="24"/>
  <c r="J1209" i="24"/>
  <c r="J1208" i="24"/>
  <c r="J1207" i="24"/>
  <c r="J1206" i="24"/>
  <c r="J1205" i="24"/>
  <c r="J1204" i="24"/>
  <c r="J1203" i="24"/>
  <c r="J1202" i="24"/>
  <c r="J1201" i="24"/>
  <c r="J1200" i="24"/>
  <c r="J1199" i="24"/>
  <c r="J1198" i="24"/>
  <c r="J1197" i="24"/>
  <c r="J1196" i="24"/>
  <c r="J1195" i="24"/>
  <c r="J1194" i="24"/>
  <c r="J1193" i="24"/>
  <c r="J1192" i="24"/>
  <c r="J1191" i="24"/>
  <c r="J1190" i="24"/>
  <c r="J1189" i="24"/>
  <c r="J1188" i="24"/>
  <c r="J1187" i="24"/>
  <c r="J1186" i="24"/>
  <c r="J1185" i="24"/>
  <c r="J1184" i="24"/>
  <c r="J1183" i="24"/>
  <c r="J1182" i="24"/>
  <c r="J1181" i="24"/>
  <c r="J1180" i="24"/>
  <c r="J1179" i="24"/>
  <c r="J1178" i="24"/>
  <c r="J1177" i="24"/>
  <c r="J1176" i="24"/>
  <c r="J1175" i="24"/>
  <c r="J1174" i="24"/>
  <c r="J1173" i="24"/>
  <c r="J1172" i="24"/>
  <c r="J1171" i="24"/>
  <c r="J1170" i="24"/>
  <c r="J1169" i="24"/>
  <c r="J1168" i="24"/>
  <c r="J1167" i="24"/>
  <c r="J1166" i="24"/>
  <c r="J1165" i="24"/>
  <c r="J1164" i="24"/>
  <c r="J1163" i="24"/>
  <c r="J1162" i="24"/>
  <c r="J1161" i="24"/>
  <c r="J1160" i="24"/>
  <c r="J1159" i="24"/>
  <c r="J1158" i="24"/>
  <c r="J1157" i="24"/>
  <c r="J1156" i="24"/>
  <c r="J1155" i="24"/>
  <c r="J1154" i="24"/>
  <c r="J1153" i="24"/>
  <c r="J1152" i="24"/>
  <c r="J1151" i="24"/>
  <c r="J1150" i="24"/>
  <c r="J1149" i="24"/>
  <c r="J1148" i="24"/>
  <c r="J1147" i="24"/>
  <c r="J1146" i="24"/>
  <c r="J1145" i="24"/>
  <c r="J1144" i="24"/>
  <c r="J1143" i="24"/>
  <c r="J1142" i="24"/>
  <c r="J1141" i="24"/>
  <c r="J1140" i="24"/>
  <c r="J1139" i="24"/>
  <c r="J1138" i="24"/>
  <c r="J1137" i="24"/>
  <c r="J1136" i="24"/>
  <c r="J1135" i="24"/>
  <c r="J1134" i="24"/>
  <c r="J1133" i="24"/>
  <c r="J1132" i="24"/>
  <c r="J1131" i="24"/>
  <c r="J1130" i="24"/>
  <c r="J1129" i="24"/>
  <c r="J1128" i="24"/>
  <c r="J1127" i="24"/>
  <c r="J1126" i="24"/>
  <c r="J1125" i="24"/>
  <c r="J1124" i="24"/>
  <c r="J1123" i="24"/>
  <c r="J1122" i="24"/>
  <c r="J1121" i="24"/>
  <c r="J1120" i="24"/>
  <c r="J1119" i="24"/>
  <c r="J1118" i="24"/>
  <c r="J1117" i="24"/>
  <c r="J1116" i="24"/>
  <c r="J1115" i="24"/>
  <c r="J1114" i="24"/>
  <c r="J1113" i="24"/>
  <c r="J1112" i="24"/>
  <c r="J1111" i="24"/>
  <c r="J1110" i="24"/>
  <c r="J1109" i="24"/>
  <c r="J1108" i="24"/>
  <c r="J1107" i="24"/>
  <c r="J1106" i="24"/>
  <c r="J1105" i="24"/>
  <c r="J1104" i="24"/>
  <c r="J1103" i="24"/>
  <c r="J1102" i="24"/>
  <c r="J1101" i="24"/>
  <c r="J1100" i="24"/>
  <c r="J1099" i="24"/>
  <c r="J1098" i="24"/>
  <c r="J1097" i="24"/>
  <c r="J1096" i="24"/>
  <c r="J1095" i="24"/>
  <c r="J1094" i="24"/>
  <c r="J1093" i="24"/>
  <c r="J1092" i="24"/>
  <c r="J1091" i="24"/>
  <c r="J1090" i="24"/>
  <c r="J1089" i="24"/>
  <c r="J1088" i="24"/>
  <c r="J1087" i="24"/>
  <c r="J1086" i="24"/>
  <c r="J1085" i="24"/>
  <c r="J1084" i="24"/>
  <c r="J1083" i="24"/>
  <c r="J1082" i="24"/>
  <c r="J1081" i="24"/>
  <c r="J1080" i="24"/>
  <c r="J1079" i="24"/>
  <c r="J1078" i="24"/>
  <c r="J1077" i="24"/>
  <c r="J1076" i="24"/>
  <c r="J1075" i="24"/>
  <c r="J1074" i="24"/>
  <c r="J1073" i="24"/>
  <c r="J1072" i="24"/>
  <c r="J1071" i="24"/>
  <c r="J1070" i="24"/>
  <c r="J1069" i="24"/>
  <c r="J1068" i="24"/>
  <c r="J1067" i="24"/>
  <c r="J1066" i="24"/>
  <c r="J1065" i="24"/>
  <c r="J1064" i="24"/>
  <c r="J1063" i="24"/>
  <c r="J1062" i="24"/>
  <c r="J1061" i="24"/>
  <c r="J1060" i="24"/>
  <c r="J1059" i="24"/>
  <c r="J1058" i="24"/>
  <c r="J1057" i="24"/>
  <c r="J1056" i="24"/>
  <c r="J1055" i="24"/>
  <c r="J1054" i="24"/>
  <c r="J1053" i="24"/>
  <c r="J1052" i="24"/>
  <c r="J1051" i="24"/>
  <c r="J1050" i="24"/>
  <c r="J1049" i="24"/>
  <c r="J1048" i="24"/>
  <c r="J1047" i="24"/>
  <c r="J1046" i="24"/>
  <c r="J1045" i="24"/>
  <c r="J1044" i="24"/>
  <c r="J1043" i="24"/>
  <c r="J1042" i="24"/>
  <c r="J1041" i="24"/>
  <c r="J1040" i="24"/>
  <c r="J1039" i="24"/>
  <c r="J1038" i="24"/>
  <c r="J1037" i="24"/>
  <c r="J1036" i="24"/>
  <c r="J1035" i="24"/>
  <c r="J1034" i="24"/>
  <c r="J1033" i="24"/>
  <c r="J1032" i="24"/>
  <c r="J1031" i="24"/>
  <c r="J1030" i="24"/>
  <c r="J1029" i="24"/>
  <c r="J1028" i="24"/>
  <c r="J1027" i="24"/>
  <c r="J1026" i="24"/>
  <c r="J1025" i="24"/>
  <c r="J1024" i="24"/>
  <c r="J1023" i="24"/>
  <c r="J1022" i="24"/>
  <c r="J1021" i="24"/>
  <c r="J1020" i="24"/>
  <c r="J1019" i="24"/>
  <c r="J1018" i="24"/>
  <c r="J1017" i="24"/>
  <c r="J1016" i="24"/>
  <c r="J1015" i="24"/>
  <c r="J1014" i="24"/>
  <c r="J1013" i="24"/>
  <c r="J1012" i="24"/>
  <c r="J1011" i="24"/>
  <c r="J1010" i="24"/>
  <c r="J1009" i="24"/>
  <c r="J1008" i="24"/>
  <c r="J1007" i="24"/>
  <c r="J1006" i="24"/>
  <c r="J1005" i="24"/>
  <c r="J1004" i="24"/>
  <c r="J1003" i="24"/>
  <c r="J1002" i="24"/>
  <c r="J1001" i="24"/>
  <c r="J1000" i="24"/>
  <c r="J999" i="24"/>
  <c r="J998" i="24"/>
  <c r="J997" i="24"/>
  <c r="J996" i="24"/>
  <c r="J995" i="24"/>
  <c r="J994" i="24"/>
  <c r="J993" i="24"/>
  <c r="J992" i="24"/>
  <c r="J991" i="24"/>
  <c r="J990" i="24"/>
  <c r="J989" i="24"/>
  <c r="J988" i="24"/>
  <c r="J987" i="24"/>
  <c r="J986" i="24"/>
  <c r="J985" i="24"/>
  <c r="J984" i="24"/>
  <c r="J983" i="24"/>
  <c r="J982" i="24"/>
  <c r="J981" i="24"/>
  <c r="J980" i="24"/>
  <c r="J979" i="24"/>
  <c r="J978" i="24"/>
  <c r="J977" i="24"/>
  <c r="J976" i="24"/>
  <c r="J975" i="24"/>
  <c r="J974" i="24"/>
  <c r="J973" i="24"/>
  <c r="J972" i="24"/>
  <c r="J971" i="24"/>
  <c r="J970" i="24"/>
  <c r="J969" i="24"/>
  <c r="J968" i="24"/>
  <c r="J967" i="24"/>
  <c r="J966" i="24"/>
  <c r="J965" i="24"/>
  <c r="J964" i="24"/>
  <c r="J963" i="24"/>
  <c r="J962" i="24"/>
  <c r="J961" i="24"/>
  <c r="J960" i="24"/>
  <c r="J959" i="24"/>
  <c r="J958" i="24"/>
  <c r="J957" i="24"/>
  <c r="J956" i="24"/>
  <c r="J955" i="24"/>
  <c r="J954" i="24"/>
  <c r="J953" i="24"/>
  <c r="J952" i="24"/>
  <c r="J951" i="24"/>
  <c r="J950" i="24"/>
  <c r="J949" i="24"/>
  <c r="J948" i="24"/>
  <c r="J947" i="24"/>
  <c r="J946" i="24"/>
  <c r="J945" i="24"/>
  <c r="J944" i="24"/>
  <c r="J943" i="24"/>
  <c r="J942" i="24"/>
  <c r="J941" i="24"/>
  <c r="J940" i="24"/>
  <c r="J939" i="24"/>
  <c r="J938" i="24"/>
  <c r="J937" i="24"/>
  <c r="J936" i="24"/>
  <c r="J935" i="24"/>
  <c r="J934" i="24"/>
  <c r="J933" i="24"/>
  <c r="J932" i="24"/>
  <c r="J931" i="24"/>
  <c r="J930" i="24"/>
  <c r="J929" i="24"/>
  <c r="J928" i="24"/>
  <c r="J927" i="24"/>
  <c r="J926" i="24"/>
  <c r="J925" i="24"/>
  <c r="J924" i="24"/>
  <c r="J923" i="24"/>
  <c r="J922" i="24"/>
  <c r="J921" i="24"/>
  <c r="J920" i="24"/>
  <c r="J919" i="24"/>
  <c r="J918" i="24"/>
  <c r="J917" i="24"/>
  <c r="J916" i="24"/>
  <c r="J915" i="24"/>
  <c r="J914" i="24"/>
  <c r="J913" i="24"/>
  <c r="J912" i="24"/>
  <c r="J911" i="24"/>
  <c r="J910" i="24"/>
  <c r="J909" i="24"/>
  <c r="J908" i="24"/>
  <c r="J907" i="24"/>
  <c r="J906" i="24"/>
  <c r="J905" i="24"/>
  <c r="J904" i="24"/>
  <c r="J903" i="24"/>
  <c r="J902" i="24"/>
  <c r="J901" i="24"/>
  <c r="J900" i="24"/>
  <c r="J899" i="24"/>
  <c r="J898" i="24"/>
  <c r="J897" i="24"/>
  <c r="J896" i="24"/>
  <c r="J895" i="24"/>
  <c r="J894" i="24"/>
  <c r="J893" i="24"/>
  <c r="J892" i="24"/>
  <c r="J891" i="24"/>
  <c r="J890" i="24"/>
  <c r="J889" i="24"/>
  <c r="J888" i="24"/>
  <c r="J887" i="24"/>
  <c r="J886" i="24"/>
  <c r="J885" i="24"/>
  <c r="J884" i="24"/>
  <c r="J883" i="24"/>
  <c r="J882" i="24"/>
  <c r="J881" i="24"/>
  <c r="J880" i="24"/>
  <c r="J879" i="24"/>
  <c r="J878" i="24"/>
  <c r="J877" i="24"/>
  <c r="J876" i="24"/>
  <c r="J875" i="24"/>
  <c r="J874" i="24"/>
  <c r="J873" i="24"/>
  <c r="J872" i="24"/>
  <c r="J871" i="24"/>
  <c r="J870" i="24"/>
  <c r="J869" i="24"/>
  <c r="J868" i="24"/>
  <c r="J867" i="24"/>
  <c r="J866" i="24"/>
  <c r="J865" i="24"/>
  <c r="J864" i="24"/>
  <c r="J863" i="24"/>
  <c r="J862" i="24"/>
  <c r="J861" i="24"/>
  <c r="J860" i="24"/>
  <c r="J859" i="24"/>
  <c r="J858" i="24"/>
  <c r="J857" i="24"/>
  <c r="J856" i="24"/>
  <c r="J855" i="24"/>
  <c r="J854" i="24"/>
  <c r="J853" i="24"/>
  <c r="J852" i="24"/>
  <c r="J851" i="24"/>
  <c r="J850" i="24"/>
  <c r="J849" i="24"/>
  <c r="J848" i="24"/>
  <c r="J847" i="24"/>
  <c r="J846" i="24"/>
  <c r="J845" i="24"/>
  <c r="J844" i="24"/>
  <c r="J843" i="24"/>
  <c r="J842" i="24"/>
  <c r="J841" i="24"/>
  <c r="J840" i="24"/>
  <c r="J839" i="24"/>
  <c r="J838" i="24"/>
  <c r="J837" i="24"/>
  <c r="J836" i="24"/>
  <c r="J835" i="24"/>
  <c r="J834" i="24"/>
  <c r="J833" i="24"/>
  <c r="J832" i="24"/>
  <c r="J831" i="24"/>
  <c r="J830" i="24"/>
  <c r="J829" i="24"/>
  <c r="J828" i="24"/>
  <c r="J827" i="24"/>
  <c r="J826" i="24"/>
  <c r="J825" i="24"/>
  <c r="J824" i="24"/>
  <c r="J823" i="24"/>
  <c r="J822" i="24"/>
  <c r="J821" i="24"/>
  <c r="J820" i="24"/>
  <c r="J819" i="24"/>
  <c r="J818" i="24"/>
  <c r="J817" i="24"/>
  <c r="J816" i="24"/>
  <c r="J815" i="24"/>
  <c r="J814" i="24"/>
  <c r="J813" i="24"/>
  <c r="J812" i="24"/>
  <c r="J811" i="24"/>
  <c r="J810" i="24"/>
  <c r="J809" i="24"/>
  <c r="J808" i="24"/>
  <c r="J807" i="24"/>
  <c r="J806" i="24"/>
  <c r="J805" i="24"/>
  <c r="J804" i="24"/>
  <c r="J803" i="24"/>
  <c r="J802" i="24"/>
  <c r="J801" i="24"/>
  <c r="J800" i="24"/>
  <c r="J799" i="24"/>
  <c r="J798" i="24"/>
  <c r="J797" i="24"/>
  <c r="J796" i="24"/>
  <c r="J795" i="24"/>
  <c r="J794" i="24"/>
  <c r="J793" i="24"/>
  <c r="J792" i="24"/>
  <c r="J791" i="24"/>
  <c r="J790" i="24"/>
  <c r="J789" i="24"/>
  <c r="J788" i="24"/>
  <c r="J787" i="24"/>
  <c r="J786" i="24"/>
  <c r="J785" i="24"/>
  <c r="J784" i="24"/>
  <c r="K784" i="24" s="1"/>
  <c r="J783" i="24"/>
  <c r="J782" i="24"/>
  <c r="J781" i="24"/>
  <c r="J780" i="24"/>
  <c r="J779" i="24"/>
  <c r="J778" i="24"/>
  <c r="J777" i="24"/>
  <c r="J776" i="24"/>
  <c r="J775" i="24"/>
  <c r="J774" i="24"/>
  <c r="J773" i="24"/>
  <c r="J772" i="24"/>
  <c r="J771" i="24"/>
  <c r="J770" i="24"/>
  <c r="J769" i="24"/>
  <c r="J768" i="24"/>
  <c r="J767" i="24"/>
  <c r="J766" i="24"/>
  <c r="J765" i="24"/>
  <c r="J764" i="24"/>
  <c r="J763" i="24"/>
  <c r="J762" i="24"/>
  <c r="J761" i="24"/>
  <c r="J760" i="24"/>
  <c r="J759" i="24"/>
  <c r="J758" i="24"/>
  <c r="J757" i="24"/>
  <c r="J756" i="24"/>
  <c r="J755" i="24"/>
  <c r="J754" i="24"/>
  <c r="J753" i="24"/>
  <c r="J752" i="24"/>
  <c r="J751" i="24"/>
  <c r="J750" i="24"/>
  <c r="J749" i="24"/>
  <c r="J748" i="24"/>
  <c r="J747" i="24"/>
  <c r="J746" i="24"/>
  <c r="J745" i="24"/>
  <c r="J744" i="24"/>
  <c r="J743" i="24"/>
  <c r="J742" i="24"/>
  <c r="J741" i="24"/>
  <c r="J740" i="24"/>
  <c r="J739" i="24"/>
  <c r="J738" i="24"/>
  <c r="J737" i="24"/>
  <c r="J736" i="24"/>
  <c r="J735" i="24"/>
  <c r="J734" i="24"/>
  <c r="J733" i="24"/>
  <c r="J732" i="24"/>
  <c r="J731" i="24"/>
  <c r="J730" i="24"/>
  <c r="J729" i="24"/>
  <c r="J728" i="24"/>
  <c r="J727" i="24"/>
  <c r="J726" i="24"/>
  <c r="J725" i="24"/>
  <c r="J724" i="24"/>
  <c r="J723" i="24"/>
  <c r="J722" i="24"/>
  <c r="J721" i="24"/>
  <c r="J720" i="24"/>
  <c r="J719" i="24"/>
  <c r="J718" i="24"/>
  <c r="J717" i="24"/>
  <c r="J716" i="24"/>
  <c r="J715" i="24"/>
  <c r="J714" i="24"/>
  <c r="J713" i="24"/>
  <c r="J712" i="24"/>
  <c r="J711" i="24"/>
  <c r="J710" i="24"/>
  <c r="J709" i="24"/>
  <c r="J708" i="24"/>
  <c r="J707" i="24"/>
  <c r="J706" i="24"/>
  <c r="J705" i="24"/>
  <c r="J704" i="24"/>
  <c r="J703" i="24"/>
  <c r="J702" i="24"/>
  <c r="J701" i="24"/>
  <c r="J700" i="24"/>
  <c r="J699" i="24"/>
  <c r="J698" i="24"/>
  <c r="J697" i="24"/>
  <c r="J696" i="24"/>
  <c r="J695" i="24"/>
  <c r="J694" i="24"/>
  <c r="J693" i="24"/>
  <c r="J692" i="24"/>
  <c r="J691" i="24"/>
  <c r="J690" i="24"/>
  <c r="J689" i="24"/>
  <c r="J688" i="24"/>
  <c r="J687" i="24"/>
  <c r="J686" i="24"/>
  <c r="J685" i="24"/>
  <c r="J684" i="24"/>
  <c r="J683" i="24"/>
  <c r="J682" i="24"/>
  <c r="J681" i="24"/>
  <c r="J680" i="24"/>
  <c r="J679" i="24"/>
  <c r="J678" i="24"/>
  <c r="J677" i="24"/>
  <c r="J676" i="24"/>
  <c r="J675" i="24"/>
  <c r="J674" i="24"/>
  <c r="J673" i="24"/>
  <c r="J672" i="24"/>
  <c r="J671" i="24"/>
  <c r="J670" i="24"/>
  <c r="J669" i="24"/>
  <c r="J668" i="24"/>
  <c r="J667" i="24"/>
  <c r="J666" i="24"/>
  <c r="J665" i="24"/>
  <c r="J664" i="24"/>
  <c r="J663" i="24"/>
  <c r="J662" i="24"/>
  <c r="J661" i="24"/>
  <c r="J660" i="24"/>
  <c r="J659" i="24"/>
  <c r="J658" i="24"/>
  <c r="J657" i="24"/>
  <c r="J656" i="24"/>
  <c r="J655" i="24"/>
  <c r="J654" i="24"/>
  <c r="J653" i="24"/>
  <c r="J652" i="24"/>
  <c r="J651" i="24"/>
  <c r="J650" i="24"/>
  <c r="J649" i="24"/>
  <c r="J648" i="24"/>
  <c r="J647" i="24"/>
  <c r="J646" i="24"/>
  <c r="J645" i="24"/>
  <c r="J644" i="24"/>
  <c r="J643" i="24"/>
  <c r="J642" i="24"/>
  <c r="J641" i="24"/>
  <c r="J640" i="24"/>
  <c r="J639" i="24"/>
  <c r="J638" i="24"/>
  <c r="J637" i="24"/>
  <c r="J636" i="24"/>
  <c r="J635" i="24"/>
  <c r="J634" i="24"/>
  <c r="J633" i="24"/>
  <c r="J632" i="24"/>
  <c r="J631" i="24"/>
  <c r="J630" i="24"/>
  <c r="J629" i="24"/>
  <c r="J628" i="24"/>
  <c r="J627" i="24"/>
  <c r="J626" i="24"/>
  <c r="J625" i="24"/>
  <c r="J624" i="24"/>
  <c r="J623" i="24"/>
  <c r="J622" i="24"/>
  <c r="J621" i="24"/>
  <c r="J620" i="24"/>
  <c r="J619" i="24"/>
  <c r="J618" i="24"/>
  <c r="J617" i="24"/>
  <c r="J616" i="24"/>
  <c r="J615" i="24"/>
  <c r="J614" i="24"/>
  <c r="J613" i="24"/>
  <c r="J612" i="24"/>
  <c r="J611" i="24"/>
  <c r="J610" i="24"/>
  <c r="J609" i="24"/>
  <c r="J608" i="24"/>
  <c r="J607" i="24"/>
  <c r="J606" i="24"/>
  <c r="J605" i="24"/>
  <c r="J604" i="24"/>
  <c r="J603" i="24"/>
  <c r="J602" i="24"/>
  <c r="J601" i="24"/>
  <c r="J600" i="24"/>
  <c r="J599" i="24"/>
  <c r="J598" i="24"/>
  <c r="J597" i="24"/>
  <c r="J596" i="24"/>
  <c r="J595" i="24"/>
  <c r="J594" i="24"/>
  <c r="J593" i="24"/>
  <c r="J592" i="24"/>
  <c r="J591" i="24"/>
  <c r="J590" i="24"/>
  <c r="J589" i="24"/>
  <c r="J588" i="24"/>
  <c r="J587" i="24"/>
  <c r="J586" i="24"/>
  <c r="J585" i="24"/>
  <c r="J584" i="24"/>
  <c r="J583" i="24"/>
  <c r="J582" i="24"/>
  <c r="J581" i="24"/>
  <c r="J580" i="24"/>
  <c r="J579" i="24"/>
  <c r="J578" i="24"/>
  <c r="J577" i="24"/>
  <c r="J576" i="24"/>
  <c r="J575" i="24"/>
  <c r="J574" i="24"/>
  <c r="J573" i="24"/>
  <c r="J572" i="24"/>
  <c r="J571" i="24"/>
  <c r="J570" i="24"/>
  <c r="J569" i="24"/>
  <c r="J568" i="24"/>
  <c r="J567" i="24"/>
  <c r="J566" i="24"/>
  <c r="J565" i="24"/>
  <c r="J564" i="24"/>
  <c r="J563" i="24"/>
  <c r="J562" i="24"/>
  <c r="J561" i="24"/>
  <c r="J560" i="24"/>
  <c r="J559" i="24"/>
  <c r="J558" i="24"/>
  <c r="J557" i="24"/>
  <c r="J556" i="24"/>
  <c r="J555" i="24"/>
  <c r="J554" i="24"/>
  <c r="J553" i="24"/>
  <c r="J552" i="24"/>
  <c r="J551" i="24"/>
  <c r="J550" i="24"/>
  <c r="J549" i="24"/>
  <c r="J548" i="24"/>
  <c r="J547" i="24"/>
  <c r="J546" i="24"/>
  <c r="J545" i="24"/>
  <c r="J544" i="24"/>
  <c r="J543" i="24"/>
  <c r="J542" i="24"/>
  <c r="J541" i="24"/>
  <c r="J540" i="24"/>
  <c r="J539" i="24"/>
  <c r="J538" i="24"/>
  <c r="J537" i="24"/>
  <c r="J536" i="24"/>
  <c r="J535" i="24"/>
  <c r="J534" i="24"/>
  <c r="J533" i="24"/>
  <c r="J532" i="24"/>
  <c r="J531" i="24"/>
  <c r="J530" i="24"/>
  <c r="J529" i="24"/>
  <c r="J528" i="24"/>
  <c r="J527" i="24"/>
  <c r="J526" i="24"/>
  <c r="J525" i="24"/>
  <c r="J524" i="24"/>
  <c r="J523" i="24"/>
  <c r="J522" i="24"/>
  <c r="J521" i="24"/>
  <c r="J520" i="24"/>
  <c r="K520" i="24" s="1"/>
  <c r="J519" i="24"/>
  <c r="J518" i="24"/>
  <c r="J517" i="24"/>
  <c r="J516" i="24"/>
  <c r="J515" i="24"/>
  <c r="J514" i="24"/>
  <c r="J513" i="24"/>
  <c r="J512" i="24"/>
  <c r="J511" i="24"/>
  <c r="J510" i="24"/>
  <c r="J509" i="24"/>
  <c r="J508" i="24"/>
  <c r="J507" i="24"/>
  <c r="J506" i="24"/>
  <c r="J505" i="24"/>
  <c r="J504" i="24"/>
  <c r="J503" i="24"/>
  <c r="J502" i="24"/>
  <c r="J501" i="24"/>
  <c r="J500" i="24"/>
  <c r="J499" i="24"/>
  <c r="J498" i="24"/>
  <c r="J497" i="24"/>
  <c r="J496" i="24"/>
  <c r="J495" i="24"/>
  <c r="J494" i="24"/>
  <c r="J493" i="24"/>
  <c r="J492" i="24"/>
  <c r="J491" i="24"/>
  <c r="J490" i="24"/>
  <c r="J489" i="24"/>
  <c r="J488" i="24"/>
  <c r="J487" i="24"/>
  <c r="J486" i="24"/>
  <c r="J485" i="24"/>
  <c r="J484" i="24"/>
  <c r="J483" i="24"/>
  <c r="J482" i="24"/>
  <c r="J481" i="24"/>
  <c r="J480" i="24"/>
  <c r="J479" i="24"/>
  <c r="J478" i="24"/>
  <c r="J477" i="24"/>
  <c r="J476" i="24"/>
  <c r="J475" i="24"/>
  <c r="J474" i="24"/>
  <c r="J473" i="24"/>
  <c r="J472" i="24"/>
  <c r="J471" i="24"/>
  <c r="J470" i="24"/>
  <c r="J469" i="24"/>
  <c r="J468" i="24"/>
  <c r="J467" i="24"/>
  <c r="J466" i="24"/>
  <c r="J465" i="24"/>
  <c r="J464" i="24"/>
  <c r="J463" i="24"/>
  <c r="J462" i="24"/>
  <c r="J461" i="24"/>
  <c r="J460" i="24"/>
  <c r="J459" i="24"/>
  <c r="J458" i="24"/>
  <c r="J457" i="24"/>
  <c r="J456" i="24"/>
  <c r="J455" i="24"/>
  <c r="J454" i="24"/>
  <c r="J453" i="24"/>
  <c r="J452" i="24"/>
  <c r="J451" i="24"/>
  <c r="J450" i="24"/>
  <c r="J449" i="24"/>
  <c r="J448" i="24"/>
  <c r="J447" i="24"/>
  <c r="J446" i="24"/>
  <c r="J445" i="24"/>
  <c r="J444" i="24"/>
  <c r="J443" i="24"/>
  <c r="J442" i="24"/>
  <c r="J441" i="24"/>
  <c r="J440" i="24"/>
  <c r="J439" i="24"/>
  <c r="J438" i="24"/>
  <c r="J437" i="24"/>
  <c r="J436" i="24"/>
  <c r="J435" i="24"/>
  <c r="J434" i="24"/>
  <c r="J433" i="24"/>
  <c r="J432" i="24"/>
  <c r="J431" i="24"/>
  <c r="J430" i="24"/>
  <c r="J429" i="24"/>
  <c r="J428" i="24"/>
  <c r="J427" i="24"/>
  <c r="J426" i="24"/>
  <c r="J425" i="24"/>
  <c r="J424" i="24"/>
  <c r="J423" i="24"/>
  <c r="J422" i="24"/>
  <c r="J421" i="24"/>
  <c r="J420" i="24"/>
  <c r="J419" i="24"/>
  <c r="J418" i="24"/>
  <c r="J417" i="24"/>
  <c r="J416" i="24"/>
  <c r="J415" i="24"/>
  <c r="J414" i="24"/>
  <c r="J413" i="24"/>
  <c r="J412" i="24"/>
  <c r="J411" i="24"/>
  <c r="J410" i="24"/>
  <c r="J409" i="24"/>
  <c r="J408" i="24"/>
  <c r="J407" i="24"/>
  <c r="J406" i="24"/>
  <c r="J405" i="24"/>
  <c r="J404" i="24"/>
  <c r="J403" i="24"/>
  <c r="J402" i="24"/>
  <c r="J401" i="24"/>
  <c r="J400" i="24"/>
  <c r="J399" i="24"/>
  <c r="J398" i="24"/>
  <c r="J397" i="24"/>
  <c r="J396" i="24"/>
  <c r="J395" i="24"/>
  <c r="J394" i="24"/>
  <c r="J393" i="24"/>
  <c r="J392" i="24"/>
  <c r="J391" i="24"/>
  <c r="J390" i="24"/>
  <c r="J389" i="24"/>
  <c r="J388" i="24"/>
  <c r="J387" i="24"/>
  <c r="J386" i="24"/>
  <c r="J385" i="24"/>
  <c r="J384" i="24"/>
  <c r="J383" i="24"/>
  <c r="J382" i="24"/>
  <c r="J381" i="24"/>
  <c r="J380" i="24"/>
  <c r="J379" i="24"/>
  <c r="J378" i="24"/>
  <c r="J377" i="24"/>
  <c r="J376" i="24"/>
  <c r="J375" i="24"/>
  <c r="J374" i="24"/>
  <c r="J373" i="24"/>
  <c r="J372" i="24"/>
  <c r="J371" i="24"/>
  <c r="J370" i="24"/>
  <c r="J369" i="24"/>
  <c r="J368" i="24"/>
  <c r="J367" i="24"/>
  <c r="J366" i="24"/>
  <c r="J365" i="24"/>
  <c r="J364" i="24"/>
  <c r="J363" i="24"/>
  <c r="J362" i="24"/>
  <c r="J361" i="24"/>
  <c r="J360" i="24"/>
  <c r="J359" i="24"/>
  <c r="J358" i="24"/>
  <c r="J357" i="24"/>
  <c r="J356" i="24"/>
  <c r="J355" i="24"/>
  <c r="J354" i="24"/>
  <c r="J353" i="24"/>
  <c r="J352" i="24"/>
  <c r="J351" i="24"/>
  <c r="J350" i="24"/>
  <c r="J349" i="24"/>
  <c r="J348" i="24"/>
  <c r="J347" i="24"/>
  <c r="J346" i="24"/>
  <c r="J345" i="24"/>
  <c r="J344" i="24"/>
  <c r="J343" i="24"/>
  <c r="J342" i="24"/>
  <c r="J341" i="24"/>
  <c r="J340" i="24"/>
  <c r="J339" i="24"/>
  <c r="J338" i="24"/>
  <c r="J337" i="24"/>
  <c r="J336" i="24"/>
  <c r="J335" i="24"/>
  <c r="J334" i="24"/>
  <c r="J333" i="24"/>
  <c r="J332" i="24"/>
  <c r="J331" i="24"/>
  <c r="J330" i="24"/>
  <c r="J329" i="24"/>
  <c r="J328" i="24"/>
  <c r="J327" i="24"/>
  <c r="J326" i="24"/>
  <c r="J325" i="24"/>
  <c r="J324" i="24"/>
  <c r="J323" i="24"/>
  <c r="J322" i="24"/>
  <c r="J321" i="24"/>
  <c r="J320" i="24"/>
  <c r="J319" i="24"/>
  <c r="J318" i="24"/>
  <c r="J317" i="24"/>
  <c r="J316" i="24"/>
  <c r="J315" i="24"/>
  <c r="J314" i="24"/>
  <c r="J313" i="24"/>
  <c r="J312" i="24"/>
  <c r="J311" i="24"/>
  <c r="J310" i="24"/>
  <c r="J309" i="24"/>
  <c r="J308" i="24"/>
  <c r="J307" i="24"/>
  <c r="J306" i="24"/>
  <c r="J305" i="24"/>
  <c r="J304" i="24"/>
  <c r="J303" i="24"/>
  <c r="J302" i="24"/>
  <c r="J301" i="24"/>
  <c r="J300" i="24"/>
  <c r="J299" i="24"/>
  <c r="J298" i="24"/>
  <c r="J297" i="24"/>
  <c r="J296" i="24"/>
  <c r="J295" i="24"/>
  <c r="J294" i="24"/>
  <c r="J293" i="24"/>
  <c r="J292" i="24"/>
  <c r="J291" i="24"/>
  <c r="J290" i="24"/>
  <c r="J289" i="24"/>
  <c r="J288" i="24"/>
  <c r="J287" i="24"/>
  <c r="J286" i="24"/>
  <c r="J285" i="24"/>
  <c r="J284" i="24"/>
  <c r="J283" i="24"/>
  <c r="J282" i="24"/>
  <c r="J281" i="24"/>
  <c r="J280" i="24"/>
  <c r="J279" i="24"/>
  <c r="J278" i="24"/>
  <c r="J277" i="24"/>
  <c r="J276" i="24"/>
  <c r="J275" i="24"/>
  <c r="J274" i="24"/>
  <c r="J273" i="24"/>
  <c r="J272" i="24"/>
  <c r="J271" i="24"/>
  <c r="J270" i="24"/>
  <c r="J269" i="24"/>
  <c r="J268" i="24"/>
  <c r="J267" i="24"/>
  <c r="J266" i="24"/>
  <c r="J265" i="24"/>
  <c r="J264" i="24"/>
  <c r="J263" i="24"/>
  <c r="J262" i="24"/>
  <c r="J261" i="24"/>
  <c r="J260" i="24"/>
  <c r="J259" i="24"/>
  <c r="J258" i="24"/>
  <c r="J257" i="24"/>
  <c r="J256" i="24"/>
  <c r="J255" i="24"/>
  <c r="J254" i="24"/>
  <c r="J253" i="24"/>
  <c r="J252" i="24"/>
  <c r="J251" i="24"/>
  <c r="J250" i="24"/>
  <c r="J249" i="24"/>
  <c r="J248" i="24"/>
  <c r="J247" i="24"/>
  <c r="J246" i="24"/>
  <c r="J245" i="24"/>
  <c r="J244" i="24"/>
  <c r="J243" i="24"/>
  <c r="J242" i="24"/>
  <c r="J241" i="24"/>
  <c r="J240" i="24"/>
  <c r="J239" i="24"/>
  <c r="J238" i="24"/>
  <c r="J237" i="24"/>
  <c r="J236" i="24"/>
  <c r="J235" i="24"/>
  <c r="J234" i="24"/>
  <c r="J233" i="24"/>
  <c r="J232" i="24"/>
  <c r="J231" i="24"/>
  <c r="J230" i="24"/>
  <c r="J229" i="24"/>
  <c r="J228" i="24"/>
  <c r="J227" i="24"/>
  <c r="J226" i="24"/>
  <c r="J225" i="24"/>
  <c r="J224" i="24"/>
  <c r="J223" i="24"/>
  <c r="J222" i="24"/>
  <c r="J221" i="24"/>
  <c r="J220" i="24"/>
  <c r="J219" i="24"/>
  <c r="J218" i="24"/>
  <c r="J217" i="24"/>
  <c r="J216" i="24"/>
  <c r="J215" i="24"/>
  <c r="J214" i="24"/>
  <c r="J213" i="24"/>
  <c r="J212" i="24"/>
  <c r="J211" i="24"/>
  <c r="J210" i="24"/>
  <c r="J209" i="24"/>
  <c r="J208" i="24"/>
  <c r="J207" i="24"/>
  <c r="J206" i="24"/>
  <c r="J205" i="24"/>
  <c r="J204" i="24"/>
  <c r="J203" i="24"/>
  <c r="J202" i="24"/>
  <c r="J201" i="24"/>
  <c r="J200" i="24"/>
  <c r="J199" i="24"/>
  <c r="J198" i="24"/>
  <c r="J197" i="24"/>
  <c r="J196" i="24"/>
  <c r="J195" i="24"/>
  <c r="J194" i="24"/>
  <c r="J193" i="24"/>
  <c r="J192" i="24"/>
  <c r="J191" i="24"/>
  <c r="J190" i="24"/>
  <c r="J189" i="24"/>
  <c r="J188" i="24"/>
  <c r="J187" i="24"/>
  <c r="J186" i="24"/>
  <c r="J185" i="24"/>
  <c r="J184" i="24"/>
  <c r="J183" i="24"/>
  <c r="J182" i="24"/>
  <c r="J181" i="24"/>
  <c r="J180" i="24"/>
  <c r="J179" i="24"/>
  <c r="J178" i="24"/>
  <c r="J177" i="24"/>
  <c r="J176" i="24"/>
  <c r="J175" i="24"/>
  <c r="J174" i="24"/>
  <c r="J173" i="24"/>
  <c r="J172" i="24"/>
  <c r="J171" i="24"/>
  <c r="J170" i="24"/>
  <c r="J169" i="24"/>
  <c r="J168" i="24"/>
  <c r="J167" i="24"/>
  <c r="J166" i="24"/>
  <c r="J165" i="24"/>
  <c r="J164" i="24"/>
  <c r="J163" i="24"/>
  <c r="J162" i="24"/>
  <c r="J161" i="24"/>
  <c r="J160" i="24"/>
  <c r="J159" i="24"/>
  <c r="J158" i="24"/>
  <c r="J157" i="24"/>
  <c r="J156" i="24"/>
  <c r="J155" i="24"/>
  <c r="J154" i="24"/>
  <c r="J153" i="24"/>
  <c r="J152" i="24"/>
  <c r="J151" i="24"/>
  <c r="J150" i="24"/>
  <c r="J149" i="24"/>
  <c r="J148" i="24"/>
  <c r="J147" i="24"/>
  <c r="J146" i="24"/>
  <c r="J145" i="24"/>
  <c r="J144" i="24"/>
  <c r="J143" i="24"/>
  <c r="J142" i="24"/>
  <c r="J141" i="24"/>
  <c r="J140" i="24"/>
  <c r="J139" i="24"/>
  <c r="J138" i="24"/>
  <c r="J137" i="24"/>
  <c r="J136" i="24"/>
  <c r="J135" i="24"/>
  <c r="J134" i="24"/>
  <c r="J133" i="24"/>
  <c r="J132" i="24"/>
  <c r="J131" i="24"/>
  <c r="J130" i="24"/>
  <c r="J129" i="24"/>
  <c r="J128" i="24"/>
  <c r="J127" i="24"/>
  <c r="J126" i="24"/>
  <c r="J125" i="24"/>
  <c r="J124" i="24"/>
  <c r="J123" i="24"/>
  <c r="J122" i="24"/>
  <c r="J121" i="24"/>
  <c r="J120" i="24"/>
  <c r="J119" i="24"/>
  <c r="J118" i="24"/>
  <c r="J117" i="24"/>
  <c r="J116" i="24"/>
  <c r="J115" i="24"/>
  <c r="J114" i="24"/>
  <c r="J113" i="24"/>
  <c r="J112" i="24"/>
  <c r="J111" i="24"/>
  <c r="J110" i="24"/>
  <c r="J109" i="24"/>
  <c r="J108" i="24"/>
  <c r="J107" i="24"/>
  <c r="J106" i="24"/>
  <c r="J105" i="24"/>
  <c r="J104" i="24"/>
  <c r="J103" i="24"/>
  <c r="J102" i="24"/>
  <c r="J101" i="24"/>
  <c r="J100" i="24"/>
  <c r="J99" i="24"/>
  <c r="J98" i="24"/>
  <c r="J97" i="24"/>
  <c r="J96" i="24"/>
  <c r="J95" i="24"/>
  <c r="J94" i="24"/>
  <c r="J93" i="24"/>
  <c r="J92" i="24"/>
  <c r="J91" i="24"/>
  <c r="J90" i="24"/>
  <c r="J89" i="24"/>
  <c r="J88" i="24"/>
  <c r="J87" i="24"/>
  <c r="J86" i="24"/>
  <c r="J85" i="24"/>
  <c r="J84" i="24"/>
  <c r="J83" i="24"/>
  <c r="J82" i="24"/>
  <c r="J81" i="24"/>
  <c r="J80" i="24"/>
  <c r="J79" i="24"/>
  <c r="J78" i="24"/>
  <c r="J77" i="24"/>
  <c r="J76" i="24"/>
  <c r="J75" i="24"/>
  <c r="J74" i="24"/>
  <c r="J73" i="24"/>
  <c r="J72" i="24"/>
  <c r="J71" i="24"/>
  <c r="J70" i="24"/>
  <c r="J69" i="24"/>
  <c r="J68" i="24"/>
  <c r="J67" i="24"/>
  <c r="J66" i="24"/>
  <c r="J65" i="24"/>
  <c r="J64" i="24"/>
  <c r="J63" i="24"/>
  <c r="J62" i="24"/>
  <c r="J61" i="24"/>
  <c r="J60" i="24"/>
  <c r="J59" i="24"/>
  <c r="J58" i="24"/>
  <c r="J57" i="24"/>
  <c r="J56" i="24"/>
  <c r="J55" i="24"/>
  <c r="J54" i="24"/>
  <c r="J53" i="24"/>
  <c r="J52" i="24"/>
  <c r="J51" i="24"/>
  <c r="J50" i="24"/>
  <c r="J49" i="24"/>
  <c r="J48" i="24"/>
  <c r="J47" i="24"/>
  <c r="J46" i="24"/>
  <c r="J45" i="24"/>
  <c r="J44" i="24"/>
  <c r="J43" i="24"/>
  <c r="J42" i="24"/>
  <c r="J41" i="24"/>
  <c r="J40" i="24"/>
  <c r="J39" i="24"/>
  <c r="J38" i="24"/>
  <c r="J37" i="24"/>
  <c r="J36" i="24"/>
  <c r="J35" i="24"/>
  <c r="J34" i="24"/>
  <c r="J33" i="24"/>
  <c r="J32" i="24"/>
  <c r="J31" i="24"/>
  <c r="J30" i="24"/>
  <c r="J29" i="24"/>
  <c r="J28" i="24"/>
  <c r="J27" i="24"/>
  <c r="J26" i="24"/>
  <c r="J25" i="24"/>
  <c r="J24" i="24"/>
  <c r="J23" i="24"/>
  <c r="J22" i="24"/>
  <c r="J21" i="24"/>
  <c r="J20" i="24"/>
  <c r="J19" i="24"/>
  <c r="J18" i="24"/>
  <c r="J17" i="24"/>
  <c r="J16" i="24"/>
  <c r="J15" i="24"/>
  <c r="J14" i="24"/>
  <c r="J13" i="24"/>
  <c r="J12" i="24"/>
  <c r="J11" i="24"/>
  <c r="J10" i="24"/>
  <c r="J9" i="24"/>
  <c r="J8" i="24"/>
  <c r="J7" i="24"/>
  <c r="J6" i="24"/>
  <c r="J5" i="24"/>
  <c r="J4" i="24"/>
  <c r="J3" i="24"/>
  <c r="J2" i="24"/>
  <c r="E2" i="23"/>
  <c r="E3" i="23"/>
  <c r="E4"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1" i="23"/>
  <c r="A1" i="22"/>
  <c r="N1" i="38" l="1" a="1"/>
  <c r="N1" i="38" s="1"/>
  <c r="L40" i="24"/>
  <c r="L124" i="24"/>
  <c r="K148" i="24"/>
  <c r="K172" i="24"/>
  <c r="L184" i="24"/>
  <c r="L256" i="24"/>
  <c r="K316" i="24"/>
  <c r="L328" i="24"/>
  <c r="K376" i="24"/>
  <c r="L388" i="24"/>
  <c r="K400" i="24"/>
  <c r="L436" i="24"/>
  <c r="L245" i="24"/>
  <c r="L613" i="24"/>
  <c r="K685" i="24"/>
  <c r="K733" i="24"/>
  <c r="L757" i="24"/>
  <c r="K769" i="24"/>
  <c r="L937" i="24"/>
  <c r="K1321" i="24"/>
  <c r="K2005" i="24"/>
  <c r="K2137" i="24"/>
  <c r="K799" i="24"/>
  <c r="L463" i="24"/>
  <c r="L482" i="24"/>
  <c r="L530" i="24"/>
  <c r="K602" i="24"/>
  <c r="L614" i="24"/>
  <c r="K674" i="24"/>
  <c r="L938" i="24"/>
  <c r="L974" i="24"/>
  <c r="K1058" i="24"/>
  <c r="L1094" i="24"/>
  <c r="L1154" i="24"/>
  <c r="L1358" i="24"/>
  <c r="L1370" i="24"/>
  <c r="K1646" i="24"/>
  <c r="L1658" i="24"/>
  <c r="L1694" i="24"/>
  <c r="K1706" i="24"/>
  <c r="K2222" i="24"/>
  <c r="K2234" i="24"/>
  <c r="K2330" i="24"/>
  <c r="K2438" i="24"/>
  <c r="L2546" i="24"/>
  <c r="K2594" i="24"/>
  <c r="K2642" i="24"/>
  <c r="K2654" i="24"/>
  <c r="K2810" i="24"/>
  <c r="K2906" i="24"/>
  <c r="K111" i="24"/>
  <c r="K303" i="24"/>
  <c r="L327" i="24"/>
  <c r="L423" i="24"/>
  <c r="K1203" i="24"/>
  <c r="K2211" i="24"/>
  <c r="K2751" i="24"/>
  <c r="K2811" i="24"/>
  <c r="L18" i="24"/>
  <c r="K669" i="24"/>
  <c r="L621" i="24"/>
  <c r="K585" i="24"/>
  <c r="L431" i="24"/>
  <c r="L347" i="24"/>
  <c r="K876" i="24"/>
  <c r="K936" i="24"/>
  <c r="K1020" i="24"/>
  <c r="K1152" i="24"/>
  <c r="L1560" i="24"/>
  <c r="K1596" i="24"/>
  <c r="L1680" i="24"/>
  <c r="L1764" i="24"/>
  <c r="L1848" i="24"/>
  <c r="K1920" i="24"/>
  <c r="K2028" i="24"/>
  <c r="K2172" i="24"/>
  <c r="K2316" i="24"/>
  <c r="K2460" i="24"/>
  <c r="K2520" i="24"/>
  <c r="L2756" i="24"/>
  <c r="L2672" i="24"/>
  <c r="L2564" i="24"/>
  <c r="L2528" i="24"/>
  <c r="L2480" i="24"/>
  <c r="L2444" i="24"/>
  <c r="L2396" i="24"/>
  <c r="L2360" i="24"/>
  <c r="L2288" i="24"/>
  <c r="L2204" i="24"/>
  <c r="L2168" i="24"/>
  <c r="L2132" i="24"/>
  <c r="L2024" i="24"/>
  <c r="L1988" i="24"/>
  <c r="L1952" i="24"/>
  <c r="L1868" i="24"/>
  <c r="L1436" i="24"/>
  <c r="L1376" i="24"/>
  <c r="L1340" i="24"/>
  <c r="L1292" i="24"/>
  <c r="L1208" i="24"/>
  <c r="L1160" i="24"/>
  <c r="L1004" i="24"/>
  <c r="L920" i="24"/>
  <c r="L872" i="24"/>
  <c r="L836" i="24"/>
  <c r="L752" i="24"/>
  <c r="K704" i="24"/>
  <c r="K561" i="24"/>
  <c r="K525" i="24"/>
  <c r="K452" i="24"/>
  <c r="K371" i="24"/>
  <c r="K323" i="24"/>
  <c r="K1452" i="24"/>
  <c r="K1692" i="24"/>
  <c r="L1728" i="24"/>
  <c r="L1968" i="24"/>
  <c r="L2136" i="24"/>
  <c r="K2220" i="24"/>
  <c r="K2640" i="24"/>
  <c r="L2876" i="24"/>
  <c r="L2792" i="24"/>
  <c r="L2696" i="24"/>
  <c r="L2636" i="24"/>
  <c r="L2600" i="24"/>
  <c r="L2516" i="24"/>
  <c r="L2432" i="24"/>
  <c r="L2372" i="24"/>
  <c r="L2312" i="24"/>
  <c r="L2240" i="24"/>
  <c r="L2084" i="24"/>
  <c r="L2012" i="24"/>
  <c r="L1928" i="24"/>
  <c r="L1388" i="24"/>
  <c r="L1316" i="24"/>
  <c r="L1232" i="24"/>
  <c r="L1184" i="24"/>
  <c r="L1100" i="24"/>
  <c r="L992" i="24"/>
  <c r="L944" i="24"/>
  <c r="L908" i="24"/>
  <c r="L848" i="24"/>
  <c r="L764" i="24"/>
  <c r="L680" i="24"/>
  <c r="L19" i="24"/>
  <c r="L777" i="24"/>
  <c r="K657" i="24"/>
  <c r="L549" i="24"/>
  <c r="L513" i="24"/>
  <c r="L478" i="24"/>
  <c r="L459" i="24"/>
  <c r="L11" i="24"/>
  <c r="L852" i="24"/>
  <c r="K972" i="24"/>
  <c r="K1164" i="24"/>
  <c r="K1308" i="24"/>
  <c r="K1344" i="24"/>
  <c r="L1476" i="24"/>
  <c r="K1620" i="24"/>
  <c r="K1740" i="24"/>
  <c r="K1992" i="24"/>
  <c r="L2256" i="24"/>
  <c r="K2292" i="24"/>
  <c r="L2900" i="24"/>
  <c r="L2864" i="24"/>
  <c r="L2804" i="24"/>
  <c r="L2744" i="24"/>
  <c r="L2708" i="24"/>
  <c r="L2660" i="24"/>
  <c r="L2588" i="24"/>
  <c r="L2384" i="24"/>
  <c r="L2324" i="24"/>
  <c r="L2228" i="24"/>
  <c r="L2156" i="24"/>
  <c r="L2072" i="24"/>
  <c r="L2036" i="24"/>
  <c r="L2000" i="24"/>
  <c r="L1880" i="24"/>
  <c r="L1364" i="24"/>
  <c r="L1328" i="24"/>
  <c r="L1280" i="24"/>
  <c r="L1220" i="24"/>
  <c r="L1172" i="24"/>
  <c r="L1136" i="24"/>
  <c r="L1076" i="24"/>
  <c r="L1052" i="24"/>
  <c r="L1016" i="24"/>
  <c r="L980" i="24"/>
  <c r="L896" i="24"/>
  <c r="L860" i="24"/>
  <c r="L692" i="24"/>
  <c r="L235" i="24"/>
  <c r="K696" i="24"/>
  <c r="K803" i="24"/>
  <c r="K875" i="24"/>
  <c r="L1031" i="24"/>
  <c r="K1055" i="24"/>
  <c r="K1343" i="24"/>
  <c r="L1367" i="24"/>
  <c r="K1487" i="24"/>
  <c r="L1511" i="24"/>
  <c r="K1667" i="24"/>
  <c r="K1775" i="24"/>
  <c r="K1883" i="24"/>
  <c r="K1955" i="24"/>
  <c r="L1979" i="24"/>
  <c r="K2027" i="24"/>
  <c r="L2075" i="24"/>
  <c r="L2123" i="24"/>
  <c r="L2279" i="24"/>
  <c r="L2315" i="24"/>
  <c r="L2339" i="24"/>
  <c r="K2495" i="24"/>
  <c r="L2543" i="24"/>
  <c r="K2567" i="24"/>
  <c r="L2627" i="24"/>
  <c r="K2699" i="24"/>
  <c r="L2879" i="24"/>
  <c r="K396" i="24"/>
  <c r="K240" i="24"/>
  <c r="L204" i="24"/>
  <c r="K108" i="24"/>
  <c r="K12" i="24"/>
  <c r="K720" i="24"/>
  <c r="K756" i="24"/>
  <c r="K839" i="24"/>
  <c r="L947" i="24"/>
  <c r="L983" i="24"/>
  <c r="L1127" i="24"/>
  <c r="K1199" i="24"/>
  <c r="K1259" i="24"/>
  <c r="L1319" i="24"/>
  <c r="K1379" i="24"/>
  <c r="L1415" i="24"/>
  <c r="K1451" i="24"/>
  <c r="L1595" i="24"/>
  <c r="K1631" i="24"/>
  <c r="K1679" i="24"/>
  <c r="K1715" i="24"/>
  <c r="K1751" i="24"/>
  <c r="L1847" i="24"/>
  <c r="L1895" i="24"/>
  <c r="K1919" i="24"/>
  <c r="L1967" i="24"/>
  <c r="K1991" i="24"/>
  <c r="K2039" i="24"/>
  <c r="K2063" i="24"/>
  <c r="L2111" i="24"/>
  <c r="K2207" i="24"/>
  <c r="L2327" i="24"/>
  <c r="K2423" i="24"/>
  <c r="L2555" i="24"/>
  <c r="K2711" i="24"/>
  <c r="K2759" i="24"/>
  <c r="K408" i="24"/>
  <c r="L276" i="24"/>
  <c r="K228" i="24"/>
  <c r="K192" i="24"/>
  <c r="L168" i="24"/>
  <c r="L132" i="24"/>
  <c r="L96" i="24"/>
  <c r="K72" i="24"/>
  <c r="K48" i="24"/>
  <c r="K296" i="24"/>
  <c r="L404" i="24"/>
  <c r="K522" i="24"/>
  <c r="K2425" i="24"/>
  <c r="K2317" i="24"/>
  <c r="L37" i="24"/>
  <c r="K1149" i="24"/>
  <c r="K2344" i="24"/>
  <c r="L1372" i="24"/>
  <c r="L1750" i="24"/>
  <c r="K2752" i="24"/>
  <c r="K2620" i="24"/>
  <c r="K2356" i="24"/>
  <c r="K1924" i="24"/>
  <c r="K2848" i="24"/>
  <c r="K2800" i="24"/>
  <c r="K2452" i="24"/>
  <c r="K1912" i="24"/>
  <c r="L383" i="24"/>
  <c r="L17" i="24"/>
  <c r="L89" i="24"/>
  <c r="K101" i="24"/>
  <c r="K173" i="24"/>
  <c r="L507" i="24"/>
  <c r="K555" i="24"/>
  <c r="K639" i="24"/>
  <c r="L805" i="24"/>
  <c r="L877" i="24"/>
  <c r="K889" i="24"/>
  <c r="K913" i="24"/>
  <c r="K973" i="24"/>
  <c r="K1009" i="24"/>
  <c r="K1057" i="24"/>
  <c r="L1297" i="24"/>
  <c r="K1345" i="24"/>
  <c r="K1405" i="24"/>
  <c r="K1453" i="24"/>
  <c r="K1465" i="24"/>
  <c r="K1477" i="24"/>
  <c r="K1561" i="24"/>
  <c r="K1621" i="24"/>
  <c r="L1657" i="24"/>
  <c r="L1669" i="24"/>
  <c r="K1705" i="24"/>
  <c r="K1741" i="24"/>
  <c r="L1813" i="24"/>
  <c r="K1861" i="24"/>
  <c r="K1885" i="24"/>
  <c r="K1909" i="24"/>
  <c r="K1921" i="24"/>
  <c r="K2077" i="24"/>
  <c r="K2161" i="24"/>
  <c r="K2281" i="24"/>
  <c r="K2353" i="24"/>
  <c r="K2365" i="24"/>
  <c r="K2413" i="24"/>
  <c r="K2461" i="24"/>
  <c r="K2485" i="24"/>
  <c r="K2509" i="24"/>
  <c r="K2581" i="24"/>
  <c r="K2605" i="24"/>
  <c r="K2653" i="24"/>
  <c r="K2713" i="24"/>
  <c r="K2773" i="24"/>
  <c r="K2809" i="24"/>
  <c r="K2845" i="24"/>
  <c r="K2857" i="24"/>
  <c r="K2881" i="24"/>
  <c r="K2905" i="24"/>
  <c r="K906" i="24"/>
  <c r="L2556" i="24"/>
  <c r="K2592" i="24"/>
  <c r="L2640" i="24"/>
  <c r="K2676" i="24"/>
  <c r="L2724" i="24"/>
  <c r="K2748" i="24"/>
  <c r="K2820" i="24"/>
  <c r="K382" i="24"/>
  <c r="L1424" i="24"/>
  <c r="L238" i="24"/>
  <c r="K2186" i="24"/>
  <c r="K2294" i="24"/>
  <c r="K2474" i="24"/>
  <c r="K978" i="24"/>
  <c r="L2858" i="24"/>
  <c r="K2750" i="24"/>
  <c r="K1202" i="24"/>
  <c r="K1178" i="24"/>
  <c r="L986" i="24"/>
  <c r="K294" i="24"/>
  <c r="K1769" i="24"/>
  <c r="K1770" i="24"/>
  <c r="K716" i="24"/>
  <c r="L489" i="24"/>
  <c r="K252" i="24"/>
  <c r="L2468" i="24"/>
  <c r="L1751" i="24"/>
  <c r="L936" i="24"/>
  <c r="K2763" i="24"/>
  <c r="K2691" i="24"/>
  <c r="K2595" i="24"/>
  <c r="K2343" i="24"/>
  <c r="K1647" i="24"/>
  <c r="K1179" i="24"/>
  <c r="L696" i="24"/>
  <c r="K2221" i="24"/>
  <c r="K2856" i="24"/>
  <c r="K2844" i="24"/>
  <c r="K2700" i="24"/>
  <c r="L237" i="24"/>
  <c r="K2543" i="24"/>
  <c r="K169" i="24"/>
  <c r="L109" i="24"/>
  <c r="L97" i="24"/>
  <c r="L61" i="24"/>
  <c r="L25" i="24"/>
  <c r="L835" i="24"/>
  <c r="L1051" i="24"/>
  <c r="K1219" i="24"/>
  <c r="K1351" i="24"/>
  <c r="K1675" i="24"/>
  <c r="K1831" i="24"/>
  <c r="L2203" i="24"/>
  <c r="L2347" i="24"/>
  <c r="L2467" i="24"/>
  <c r="K2707" i="24"/>
  <c r="K823" i="24"/>
  <c r="K907" i="24"/>
  <c r="L967" i="24"/>
  <c r="K1147" i="24"/>
  <c r="K1243" i="24"/>
  <c r="K1267" i="24"/>
  <c r="K1483" i="24"/>
  <c r="K1555" i="24"/>
  <c r="L1711" i="24"/>
  <c r="K1855" i="24"/>
  <c r="L1939" i="24"/>
  <c r="K2131" i="24"/>
  <c r="K2215" i="24"/>
  <c r="K2359" i="24"/>
  <c r="L2407" i="24"/>
  <c r="K2515" i="24"/>
  <c r="K2563" i="24"/>
  <c r="K2635" i="24"/>
  <c r="K2671" i="24"/>
  <c r="L2719" i="24"/>
  <c r="K2839" i="24"/>
  <c r="K2863" i="24"/>
  <c r="L1915" i="24"/>
  <c r="K1389" i="24"/>
  <c r="K811" i="24"/>
  <c r="L931" i="24"/>
  <c r="K1231" i="24"/>
  <c r="K1387" i="24"/>
  <c r="K1639" i="24"/>
  <c r="L1747" i="24"/>
  <c r="L1879" i="24"/>
  <c r="K2155" i="24"/>
  <c r="K2287" i="24"/>
  <c r="K2419" i="24"/>
  <c r="K2527" i="24"/>
  <c r="K2659" i="24"/>
  <c r="K1305" i="24"/>
  <c r="K1809" i="24"/>
  <c r="L2229" i="24"/>
  <c r="K2673" i="24"/>
  <c r="K859" i="24"/>
  <c r="K979" i="24"/>
  <c r="L1063" i="24"/>
  <c r="L1159" i="24"/>
  <c r="K1363" i="24"/>
  <c r="K1435" i="24"/>
  <c r="K1507" i="24"/>
  <c r="K1807" i="24"/>
  <c r="K1867" i="24"/>
  <c r="K1951" i="24"/>
  <c r="L2143" i="24"/>
  <c r="L2239" i="24"/>
  <c r="K2383" i="24"/>
  <c r="K2431" i="24"/>
  <c r="K2551" i="24"/>
  <c r="K2587" i="24"/>
  <c r="K2695" i="24"/>
  <c r="K2731" i="24"/>
  <c r="L2851" i="24"/>
  <c r="K2887" i="24"/>
  <c r="L1221" i="24"/>
  <c r="K1269" i="24"/>
  <c r="K1653" i="24"/>
  <c r="L2109" i="24"/>
  <c r="K2361" i="24"/>
  <c r="K2433" i="24"/>
  <c r="K2565" i="24"/>
  <c r="K2589" i="24"/>
  <c r="K2733" i="24"/>
  <c r="K2841" i="24"/>
  <c r="K2865" i="24"/>
  <c r="K2889" i="24"/>
  <c r="L823" i="24"/>
  <c r="K835" i="24"/>
  <c r="L859" i="24"/>
  <c r="L895" i="24"/>
  <c r="L907" i="24"/>
  <c r="K931" i="24"/>
  <c r="K955" i="24"/>
  <c r="K967" i="24"/>
  <c r="L979" i="24"/>
  <c r="L1003" i="24"/>
  <c r="L1015" i="24"/>
  <c r="L1039" i="24"/>
  <c r="K1051" i="24"/>
  <c r="K1063" i="24"/>
  <c r="K1087" i="24"/>
  <c r="K1099" i="24"/>
  <c r="K1111" i="24"/>
  <c r="L1123" i="24"/>
  <c r="L1171" i="24"/>
  <c r="L1183" i="24"/>
  <c r="K1195" i="24"/>
  <c r="L1207" i="24"/>
  <c r="L1219" i="24"/>
  <c r="L1231" i="24"/>
  <c r="K1255" i="24"/>
  <c r="L1267" i="24"/>
  <c r="K1291" i="24"/>
  <c r="L1303" i="24"/>
  <c r="L1327" i="24"/>
  <c r="K1339" i="24"/>
  <c r="L1351" i="24"/>
  <c r="L1363" i="24"/>
  <c r="L1411" i="24"/>
  <c r="L1435" i="24"/>
  <c r="L1471" i="24"/>
  <c r="K1495" i="24"/>
  <c r="K1531" i="24"/>
  <c r="L1555" i="24"/>
  <c r="L1603" i="24"/>
  <c r="L1639" i="24"/>
  <c r="K1651" i="24"/>
  <c r="K1663" i="24"/>
  <c r="K1699" i="24"/>
  <c r="K1711" i="24"/>
  <c r="L1759" i="24"/>
  <c r="K1771" i="24"/>
  <c r="L1472" i="24"/>
  <c r="L1508" i="24"/>
  <c r="L1532" i="24"/>
  <c r="L1556" i="24"/>
  <c r="K2556" i="24"/>
  <c r="L48" i="24"/>
  <c r="L2443" i="24"/>
  <c r="K2443" i="24"/>
  <c r="L2803" i="24"/>
  <c r="K2803" i="24"/>
  <c r="L2827" i="24"/>
  <c r="K2827" i="24"/>
  <c r="K2531" i="24"/>
  <c r="L2531" i="24"/>
  <c r="K13" i="24"/>
  <c r="L13" i="24"/>
  <c r="K25" i="24"/>
  <c r="K37" i="24"/>
  <c r="L49" i="24"/>
  <c r="K49" i="24"/>
  <c r="K85" i="24"/>
  <c r="L85" i="24"/>
  <c r="K97" i="24"/>
  <c r="K109" i="24"/>
  <c r="K121" i="24"/>
  <c r="L133" i="24"/>
  <c r="K157" i="24"/>
  <c r="L169" i="24"/>
  <c r="L181" i="24"/>
  <c r="K181" i="24"/>
  <c r="L193" i="24"/>
  <c r="K193" i="24"/>
  <c r="L205" i="24"/>
  <c r="K205" i="24"/>
  <c r="K229" i="24"/>
  <c r="L241" i="24"/>
  <c r="K241" i="24"/>
  <c r="L253" i="24"/>
  <c r="K253" i="24"/>
  <c r="K277" i="24"/>
  <c r="L277" i="24"/>
  <c r="L288" i="24"/>
  <c r="L312" i="24"/>
  <c r="K312" i="24"/>
  <c r="L324" i="24"/>
  <c r="L336" i="24"/>
  <c r="K348" i="24"/>
  <c r="L348" i="24"/>
  <c r="L360" i="24"/>
  <c r="L384" i="24"/>
  <c r="K384" i="24"/>
  <c r="L396" i="24"/>
  <c r="L420" i="24"/>
  <c r="K420" i="24"/>
  <c r="L432" i="24"/>
  <c r="K453" i="24"/>
  <c r="L471" i="24"/>
  <c r="K471" i="24"/>
  <c r="K490" i="24"/>
  <c r="L490" i="24"/>
  <c r="K514" i="24"/>
  <c r="K526" i="24"/>
  <c r="L526" i="24"/>
  <c r="K538" i="24"/>
  <c r="L550" i="24"/>
  <c r="K550" i="24"/>
  <c r="L562" i="24"/>
  <c r="K598" i="24"/>
  <c r="L598" i="24"/>
  <c r="L610" i="24"/>
  <c r="K610" i="24"/>
  <c r="L622" i="24"/>
  <c r="K622" i="24"/>
  <c r="L634" i="24"/>
  <c r="K634" i="24"/>
  <c r="L646" i="24"/>
  <c r="K670" i="24"/>
  <c r="L670" i="24"/>
  <c r="L693" i="24"/>
  <c r="K693" i="24"/>
  <c r="L717" i="24"/>
  <c r="L753" i="24"/>
  <c r="L765" i="24"/>
  <c r="L788" i="24"/>
  <c r="L561" i="24"/>
  <c r="K1656" i="24"/>
  <c r="L1656" i="24"/>
  <c r="L2616" i="24"/>
  <c r="K2616" i="24"/>
  <c r="L2652" i="24"/>
  <c r="K2652" i="24"/>
  <c r="L2784" i="24"/>
  <c r="K2784" i="24"/>
  <c r="L50" i="24"/>
  <c r="K50" i="24"/>
  <c r="K110" i="24"/>
  <c r="L110" i="24"/>
  <c r="K146" i="24"/>
  <c r="L146" i="24"/>
  <c r="L254" i="24"/>
  <c r="K254" i="24"/>
  <c r="K289" i="24"/>
  <c r="K325" i="24"/>
  <c r="L325" i="24"/>
  <c r="L349" i="24"/>
  <c r="L385" i="24"/>
  <c r="K385" i="24"/>
  <c r="L433" i="24"/>
  <c r="K433" i="24"/>
  <c r="L527" i="24"/>
  <c r="K527" i="24"/>
  <c r="K682" i="24"/>
  <c r="K718" i="24"/>
  <c r="L718" i="24"/>
  <c r="L730" i="24"/>
  <c r="K813" i="24"/>
  <c r="K825" i="24"/>
  <c r="K993" i="24"/>
  <c r="K1161" i="24"/>
  <c r="K336" i="24"/>
  <c r="L1775" i="24"/>
  <c r="L716" i="24"/>
  <c r="K847" i="24"/>
  <c r="L847" i="24"/>
  <c r="L1687" i="24"/>
  <c r="K1687" i="24"/>
  <c r="L2641" i="24"/>
  <c r="K2641" i="24"/>
  <c r="K123" i="24"/>
  <c r="K255" i="24"/>
  <c r="L326" i="24"/>
  <c r="K612" i="24"/>
  <c r="K695" i="24"/>
  <c r="L719" i="24"/>
  <c r="K731" i="24"/>
  <c r="K934" i="24"/>
  <c r="L934" i="24"/>
  <c r="K982" i="24"/>
  <c r="L994" i="24"/>
  <c r="L1114" i="24"/>
  <c r="K1114" i="24"/>
  <c r="K1234" i="24"/>
  <c r="L1234" i="24"/>
  <c r="L1270" i="24"/>
  <c r="K1270" i="24"/>
  <c r="L1390" i="24"/>
  <c r="L1438" i="24"/>
  <c r="K1438" i="24"/>
  <c r="L1510" i="24"/>
  <c r="K1510" i="24"/>
  <c r="L1558" i="24"/>
  <c r="L1654" i="24"/>
  <c r="K1654" i="24"/>
  <c r="K1750" i="24"/>
  <c r="K1774" i="24"/>
  <c r="L1774" i="24"/>
  <c r="L1942" i="24"/>
  <c r="K1942" i="24"/>
  <c r="L2014" i="24"/>
  <c r="K2014" i="24"/>
  <c r="L2098" i="24"/>
  <c r="L2110" i="24"/>
  <c r="K2110" i="24"/>
  <c r="L2182" i="24"/>
  <c r="K2182" i="24"/>
  <c r="L2230" i="24"/>
  <c r="K2230" i="24"/>
  <c r="K2314" i="24"/>
  <c r="L2314" i="24"/>
  <c r="L2386" i="24"/>
  <c r="K2386" i="24"/>
  <c r="K2410" i="24"/>
  <c r="L2434" i="24"/>
  <c r="K2494" i="24"/>
  <c r="L2530" i="24"/>
  <c r="K2530" i="24"/>
  <c r="L2554" i="24"/>
  <c r="L2578" i="24"/>
  <c r="L2614" i="24"/>
  <c r="L2674" i="24"/>
  <c r="K2674" i="24"/>
  <c r="L2698" i="24"/>
  <c r="K2698" i="24"/>
  <c r="L2710" i="24"/>
  <c r="L2734" i="24"/>
  <c r="L2746" i="24"/>
  <c r="L2770" i="24"/>
  <c r="L2818" i="24"/>
  <c r="K2818" i="24"/>
  <c r="L2830" i="24"/>
  <c r="L2842" i="24"/>
  <c r="K2842" i="24"/>
  <c r="L2866" i="24"/>
  <c r="K2866" i="24"/>
  <c r="L2878" i="24"/>
  <c r="K324" i="24"/>
  <c r="L1883" i="24"/>
  <c r="L240" i="24"/>
  <c r="L1116" i="24"/>
  <c r="K1116" i="24"/>
  <c r="K124" i="24"/>
  <c r="L148" i="24"/>
  <c r="K256" i="24"/>
  <c r="K423" i="24"/>
  <c r="K577" i="24"/>
  <c r="K780" i="24"/>
  <c r="L780" i="24"/>
  <c r="K791" i="24"/>
  <c r="L791" i="24"/>
  <c r="L803" i="24"/>
  <c r="K815" i="24"/>
  <c r="L815" i="24"/>
  <c r="L827" i="24"/>
  <c r="K827" i="24"/>
  <c r="L839" i="24"/>
  <c r="K851" i="24"/>
  <c r="L851" i="24"/>
  <c r="K863" i="24"/>
  <c r="L875" i="24"/>
  <c r="L887" i="24"/>
  <c r="K887" i="24"/>
  <c r="L899" i="24"/>
  <c r="K899" i="24"/>
  <c r="K923" i="24"/>
  <c r="L923" i="24"/>
  <c r="K935" i="24"/>
  <c r="L935" i="24"/>
  <c r="K947" i="24"/>
  <c r="L959" i="24"/>
  <c r="K959" i="24"/>
  <c r="L971" i="24"/>
  <c r="K971" i="24"/>
  <c r="K983" i="24"/>
  <c r="K995" i="24"/>
  <c r="L995" i="24"/>
  <c r="K1007" i="24"/>
  <c r="K1019" i="24"/>
  <c r="L1019" i="24"/>
  <c r="K1031" i="24"/>
  <c r="L1043" i="24"/>
  <c r="K1043" i="24"/>
  <c r="L1055" i="24"/>
  <c r="K1067" i="24"/>
  <c r="L1067" i="24"/>
  <c r="K1079" i="24"/>
  <c r="L1079" i="24"/>
  <c r="L1091" i="24"/>
  <c r="K1091" i="24"/>
  <c r="L1103" i="24"/>
  <c r="K1103" i="24"/>
  <c r="L1115" i="24"/>
  <c r="K1115" i="24"/>
  <c r="K1127" i="24"/>
  <c r="L1139" i="24"/>
  <c r="K1139" i="24"/>
  <c r="K1151" i="24"/>
  <c r="K1163" i="24"/>
  <c r="K1175" i="24"/>
  <c r="L1175" i="24"/>
  <c r="K1187" i="24"/>
  <c r="L1187" i="24"/>
  <c r="L1199" i="24"/>
  <c r="L1211" i="24"/>
  <c r="K1223" i="24"/>
  <c r="L1223" i="24"/>
  <c r="K1235" i="24"/>
  <c r="L1235" i="24"/>
  <c r="L1247" i="24"/>
  <c r="K1247" i="24"/>
  <c r="L1259" i="24"/>
  <c r="L1271" i="24"/>
  <c r="K1271" i="24"/>
  <c r="L1283" i="24"/>
  <c r="K1283" i="24"/>
  <c r="K1295" i="24"/>
  <c r="K1307" i="24"/>
  <c r="K1319" i="24"/>
  <c r="L1331" i="24"/>
  <c r="K1331" i="24"/>
  <c r="L1343" i="24"/>
  <c r="K1355" i="24"/>
  <c r="L1355" i="24"/>
  <c r="K1367" i="24"/>
  <c r="L1379" i="24"/>
  <c r="K1391" i="24"/>
  <c r="L1391" i="24"/>
  <c r="L1403" i="24"/>
  <c r="K1403" i="24"/>
  <c r="L1427" i="24"/>
  <c r="K1427" i="24"/>
  <c r="K1439" i="24"/>
  <c r="L1463" i="24"/>
  <c r="K1463" i="24"/>
  <c r="K1475" i="24"/>
  <c r="L1475" i="24"/>
  <c r="L1487" i="24"/>
  <c r="K1499" i="24"/>
  <c r="L1499" i="24"/>
  <c r="K1511" i="24"/>
  <c r="L1523" i="24"/>
  <c r="K1523" i="24"/>
  <c r="K1535" i="24"/>
  <c r="L1547" i="24"/>
  <c r="K1547" i="24"/>
  <c r="K1559" i="24"/>
  <c r="L1559" i="24"/>
  <c r="L1571" i="24"/>
  <c r="K1571" i="24"/>
  <c r="K1583" i="24"/>
  <c r="K1595" i="24"/>
  <c r="L1607" i="24"/>
  <c r="K1607" i="24"/>
  <c r="K1619" i="24"/>
  <c r="K1871" i="24"/>
  <c r="L2039" i="24"/>
  <c r="K2123" i="24"/>
  <c r="K2135" i="24"/>
  <c r="L2195" i="24"/>
  <c r="L2567" i="24"/>
  <c r="L2711" i="24"/>
  <c r="K2855" i="24"/>
  <c r="K2903" i="24"/>
  <c r="K383" i="24"/>
  <c r="K1519" i="24"/>
  <c r="L1519" i="24"/>
  <c r="L5" i="24"/>
  <c r="K5" i="24"/>
  <c r="K29" i="24"/>
  <c r="L41" i="24"/>
  <c r="K41" i="24"/>
  <c r="L53" i="24"/>
  <c r="L65" i="24"/>
  <c r="K65" i="24"/>
  <c r="L77" i="24"/>
  <c r="K77" i="24"/>
  <c r="K89" i="24"/>
  <c r="L113" i="24"/>
  <c r="K113" i="24"/>
  <c r="L125" i="24"/>
  <c r="K125" i="24"/>
  <c r="K137" i="24"/>
  <c r="L137" i="24"/>
  <c r="K149" i="24"/>
  <c r="L149" i="24"/>
  <c r="K161" i="24"/>
  <c r="L161" i="24"/>
  <c r="L185" i="24"/>
  <c r="K185" i="24"/>
  <c r="L197" i="24"/>
  <c r="L209" i="24"/>
  <c r="K209" i="24"/>
  <c r="K221" i="24"/>
  <c r="L221" i="24"/>
  <c r="K233" i="24"/>
  <c r="L233" i="24"/>
  <c r="L257" i="24"/>
  <c r="K257" i="24"/>
  <c r="L269" i="24"/>
  <c r="K269" i="24"/>
  <c r="K281" i="24"/>
  <c r="L281" i="24"/>
  <c r="K292" i="24"/>
  <c r="L292" i="24"/>
  <c r="L304" i="24"/>
  <c r="K304" i="24"/>
  <c r="K328" i="24"/>
  <c r="L340" i="24"/>
  <c r="K352" i="24"/>
  <c r="L352" i="24"/>
  <c r="L364" i="24"/>
  <c r="K364" i="24"/>
  <c r="L376" i="24"/>
  <c r="K388" i="24"/>
  <c r="K412" i="24"/>
  <c r="L412" i="24"/>
  <c r="K424" i="24"/>
  <c r="L424" i="24"/>
  <c r="K436" i="24"/>
  <c r="L446" i="24"/>
  <c r="K446" i="24"/>
  <c r="K454" i="24"/>
  <c r="L475" i="24"/>
  <c r="K482" i="24"/>
  <c r="K494" i="24"/>
  <c r="K506" i="24"/>
  <c r="L506" i="24"/>
  <c r="L518" i="24"/>
  <c r="K518" i="24"/>
  <c r="K542" i="24"/>
  <c r="L542" i="24"/>
  <c r="K554" i="24"/>
  <c r="L554" i="24"/>
  <c r="L566" i="24"/>
  <c r="K566" i="24"/>
  <c r="L578" i="24"/>
  <c r="K578" i="24"/>
  <c r="K590" i="24"/>
  <c r="L602" i="24"/>
  <c r="K626" i="24"/>
  <c r="L626" i="24"/>
  <c r="K638" i="24"/>
  <c r="L638" i="24"/>
  <c r="K650" i="24"/>
  <c r="L650" i="24"/>
  <c r="K662" i="24"/>
  <c r="L662" i="24"/>
  <c r="L674" i="24"/>
  <c r="L697" i="24"/>
  <c r="K697" i="24"/>
  <c r="K709" i="24"/>
  <c r="L709" i="24"/>
  <c r="K721" i="24"/>
  <c r="L721" i="24"/>
  <c r="K745" i="24"/>
  <c r="L745" i="24"/>
  <c r="K757" i="24"/>
  <c r="L769" i="24"/>
  <c r="K2858" i="24"/>
  <c r="K2136" i="24"/>
  <c r="L494" i="24"/>
  <c r="K18" i="24"/>
  <c r="K54" i="24"/>
  <c r="L54" i="24"/>
  <c r="L138" i="24"/>
  <c r="K150" i="24"/>
  <c r="L150" i="24"/>
  <c r="L162" i="24"/>
  <c r="K162" i="24"/>
  <c r="K198" i="24"/>
  <c r="L198" i="24"/>
  <c r="L222" i="24"/>
  <c r="K222" i="24"/>
  <c r="L234" i="24"/>
  <c r="K234" i="24"/>
  <c r="L293" i="24"/>
  <c r="K293" i="24"/>
  <c r="K353" i="24"/>
  <c r="L353" i="24"/>
  <c r="K377" i="24"/>
  <c r="L377" i="24"/>
  <c r="L389" i="24"/>
  <c r="L555" i="24"/>
  <c r="K853" i="24"/>
  <c r="K1597" i="24"/>
  <c r="K1717" i="24"/>
  <c r="K1849" i="24"/>
  <c r="L151" i="24"/>
  <c r="K1819" i="24"/>
  <c r="L1831" i="24"/>
  <c r="L1867" i="24"/>
  <c r="L1903" i="24"/>
  <c r="K1915" i="24"/>
  <c r="L1951" i="24"/>
  <c r="K1963" i="24"/>
  <c r="L1987" i="24"/>
  <c r="L2023" i="24"/>
  <c r="L2047" i="24"/>
  <c r="L2071" i="24"/>
  <c r="K2107" i="24"/>
  <c r="K2119" i="24"/>
  <c r="L2131" i="24"/>
  <c r="K2143" i="24"/>
  <c r="L2155" i="24"/>
  <c r="L2167" i="24"/>
  <c r="L2179" i="24"/>
  <c r="K2203" i="24"/>
  <c r="K2239" i="24"/>
  <c r="K2251" i="24"/>
  <c r="K2263" i="24"/>
  <c r="L2287" i="24"/>
  <c r="K2299" i="24"/>
  <c r="L2311" i="24"/>
  <c r="L2323" i="24"/>
  <c r="K2347" i="24"/>
  <c r="L2359" i="24"/>
  <c r="K2371" i="24"/>
  <c r="L2383" i="24"/>
  <c r="K2395" i="24"/>
  <c r="K2407" i="24"/>
  <c r="L2431" i="24"/>
  <c r="L2479" i="24"/>
  <c r="K2491" i="24"/>
  <c r="L2503" i="24"/>
  <c r="L2515" i="24"/>
  <c r="L2527" i="24"/>
  <c r="K2539" i="24"/>
  <c r="L2551" i="24"/>
  <c r="K2575" i="24"/>
  <c r="L2587" i="24"/>
  <c r="L2599" i="24"/>
  <c r="L2635" i="24"/>
  <c r="L2659" i="24"/>
  <c r="L2671" i="24"/>
  <c r="K2683" i="24"/>
  <c r="L2695" i="24"/>
  <c r="K2719" i="24"/>
  <c r="L2767" i="24"/>
  <c r="K2779" i="24"/>
  <c r="K2791" i="24"/>
  <c r="K2815" i="24"/>
  <c r="L2839" i="24"/>
  <c r="K2851" i="24"/>
  <c r="K2875" i="24"/>
  <c r="L21" i="24"/>
  <c r="L81" i="24"/>
  <c r="K81" i="24"/>
  <c r="K105" i="24"/>
  <c r="K165" i="24"/>
  <c r="K201" i="24"/>
  <c r="L261" i="24"/>
  <c r="K320" i="24"/>
  <c r="L332" i="24"/>
  <c r="K356" i="24"/>
  <c r="K467" i="24"/>
  <c r="K642" i="24"/>
  <c r="K904" i="24"/>
  <c r="L1096" i="24"/>
  <c r="K1180" i="24"/>
  <c r="K1360" i="24"/>
  <c r="K1804" i="24"/>
  <c r="L1996" i="24"/>
  <c r="K2092" i="24"/>
  <c r="K2308" i="24"/>
  <c r="L1568" i="24"/>
  <c r="L1604" i="24"/>
  <c r="L1628" i="24"/>
  <c r="L1640" i="24"/>
  <c r="L1676" i="24"/>
  <c r="L1712" i="24"/>
  <c r="L1724" i="24"/>
  <c r="L1760" i="24"/>
  <c r="L1772" i="24"/>
  <c r="L1784" i="24"/>
  <c r="L1796" i="24"/>
  <c r="L1808" i="24"/>
  <c r="L1844" i="24"/>
  <c r="K821" i="24"/>
  <c r="K1437" i="24"/>
  <c r="K2013" i="24"/>
  <c r="K2109" i="24"/>
  <c r="K83" i="24"/>
  <c r="K1122" i="24"/>
  <c r="L1631" i="24"/>
  <c r="K1643" i="24"/>
  <c r="L1643" i="24"/>
  <c r="K1655" i="24"/>
  <c r="L1655" i="24"/>
  <c r="L1667" i="24"/>
  <c r="L1679" i="24"/>
  <c r="K1691" i="24"/>
  <c r="L1703" i="24"/>
  <c r="K1703" i="24"/>
  <c r="L1715" i="24"/>
  <c r="K1727" i="24"/>
  <c r="L1739" i="24"/>
  <c r="K1739" i="24"/>
  <c r="K1763" i="24"/>
  <c r="L1787" i="24"/>
  <c r="K1799" i="24"/>
  <c r="L1799" i="24"/>
  <c r="L1811" i="24"/>
  <c r="L1823" i="24"/>
  <c r="K1823" i="24"/>
  <c r="K1835" i="24"/>
  <c r="K1847" i="24"/>
  <c r="L1859" i="24"/>
  <c r="K1859" i="24"/>
  <c r="K1895" i="24"/>
  <c r="L1907" i="24"/>
  <c r="K1907" i="24"/>
  <c r="K1931" i="24"/>
  <c r="L1931" i="24"/>
  <c r="K1943" i="24"/>
  <c r="L1955" i="24"/>
  <c r="K1967" i="24"/>
  <c r="K1979" i="24"/>
  <c r="K2003" i="24"/>
  <c r="K2015" i="24"/>
  <c r="L2027" i="24"/>
  <c r="L2051" i="24"/>
  <c r="K2075" i="24"/>
  <c r="K2087" i="24"/>
  <c r="L2087" i="24"/>
  <c r="K2099" i="24"/>
  <c r="L2099" i="24"/>
  <c r="K2111" i="24"/>
  <c r="L2147" i="24"/>
  <c r="K2147" i="24"/>
  <c r="K2159" i="24"/>
  <c r="K2171" i="24"/>
  <c r="L2171" i="24"/>
  <c r="K2183" i="24"/>
  <c r="L2207" i="24"/>
  <c r="K2231" i="24"/>
  <c r="K2243" i="24"/>
  <c r="L2243" i="24"/>
  <c r="L2255" i="24"/>
  <c r="K2255" i="24"/>
  <c r="L2267" i="24"/>
  <c r="K2279" i="24"/>
  <c r="K2291" i="24"/>
  <c r="K2303" i="24"/>
  <c r="K2315" i="24"/>
  <c r="K2327" i="24"/>
  <c r="K2339" i="24"/>
  <c r="K2375" i="24"/>
  <c r="L2387" i="24"/>
  <c r="K2387" i="24"/>
  <c r="L2399" i="24"/>
  <c r="K2399" i="24"/>
  <c r="L2411" i="24"/>
  <c r="K2411" i="24"/>
  <c r="L2423" i="24"/>
  <c r="K2435" i="24"/>
  <c r="K2447" i="24"/>
  <c r="L2459" i="24"/>
  <c r="L2471" i="24"/>
  <c r="L2483" i="24"/>
  <c r="K2483" i="24"/>
  <c r="L2495" i="24"/>
  <c r="L2507" i="24"/>
  <c r="K2555" i="24"/>
  <c r="K2579" i="24"/>
  <c r="L2579" i="24"/>
  <c r="K2591" i="24"/>
  <c r="L2603" i="24"/>
  <c r="K2603" i="24"/>
  <c r="L2615" i="24"/>
  <c r="K2615" i="24"/>
  <c r="K2627" i="24"/>
  <c r="K2639" i="24"/>
  <c r="K2651" i="24"/>
  <c r="L2675" i="24"/>
  <c r="K2675" i="24"/>
  <c r="L2687" i="24"/>
  <c r="K2687" i="24"/>
  <c r="L2723" i="24"/>
  <c r="K2735" i="24"/>
  <c r="L2735" i="24"/>
  <c r="K2747" i="24"/>
  <c r="L2759" i="24"/>
  <c r="K2771" i="24"/>
  <c r="L2771" i="24"/>
  <c r="K2783" i="24"/>
  <c r="L2783" i="24"/>
  <c r="K2819" i="24"/>
  <c r="L2831" i="24"/>
  <c r="L2843" i="24"/>
  <c r="K2843" i="24"/>
  <c r="L2867" i="24"/>
  <c r="K2867" i="24"/>
  <c r="K2879" i="24"/>
  <c r="K2891" i="24"/>
  <c r="K2723" i="24"/>
  <c r="K2195" i="24"/>
  <c r="L1943" i="24"/>
  <c r="L2375" i="24"/>
  <c r="L67" i="24"/>
  <c r="K139" i="24"/>
  <c r="K163" i="24"/>
  <c r="K199" i="24"/>
  <c r="L211" i="24"/>
  <c r="K342" i="24"/>
  <c r="L354" i="24"/>
  <c r="L456" i="24"/>
  <c r="K484" i="24"/>
  <c r="L508" i="24"/>
  <c r="L520" i="24"/>
  <c r="K652" i="24"/>
  <c r="K676" i="24"/>
  <c r="L676" i="24"/>
  <c r="L794" i="24"/>
  <c r="K794" i="24"/>
  <c r="K806" i="24"/>
  <c r="K878" i="24"/>
  <c r="L914" i="24"/>
  <c r="K938" i="24"/>
  <c r="K974" i="24"/>
  <c r="K986" i="24"/>
  <c r="L998" i="24"/>
  <c r="L1022" i="24"/>
  <c r="K1022" i="24"/>
  <c r="L1034" i="24"/>
  <c r="K1034" i="24"/>
  <c r="L1058" i="24"/>
  <c r="L1082" i="24"/>
  <c r="K1082" i="24"/>
  <c r="K1094" i="24"/>
  <c r="K1466" i="24"/>
  <c r="L2114" i="24"/>
  <c r="K2162" i="24"/>
  <c r="L2294" i="24"/>
  <c r="L2378" i="24"/>
  <c r="L2474" i="24"/>
  <c r="K724" i="24"/>
  <c r="K760" i="24"/>
  <c r="L784" i="24"/>
  <c r="L915" i="24"/>
  <c r="L939" i="24"/>
  <c r="K939" i="24"/>
  <c r="L951" i="24"/>
  <c r="K951" i="24"/>
  <c r="L999" i="24"/>
  <c r="L1035" i="24"/>
  <c r="K1035" i="24"/>
  <c r="L1059" i="24"/>
  <c r="L1083" i="24"/>
  <c r="L1095" i="24"/>
  <c r="L1143" i="24"/>
  <c r="K1143" i="24"/>
  <c r="L1167" i="24"/>
  <c r="L1179" i="24"/>
  <c r="L1203" i="24"/>
  <c r="K1803" i="24"/>
  <c r="K1911" i="24"/>
  <c r="L1995" i="24"/>
  <c r="L2151" i="24"/>
  <c r="K2487" i="24"/>
  <c r="K2831" i="24"/>
  <c r="L2003" i="24"/>
  <c r="K486" i="24"/>
  <c r="K498" i="24"/>
  <c r="L510" i="24"/>
  <c r="K594" i="24"/>
  <c r="K678" i="24"/>
  <c r="L689" i="24"/>
  <c r="K725" i="24"/>
  <c r="K749" i="24"/>
  <c r="L761" i="24"/>
  <c r="K761" i="24"/>
  <c r="L832" i="24"/>
  <c r="L844" i="24"/>
  <c r="K868" i="24"/>
  <c r="K916" i="24"/>
  <c r="K952" i="24"/>
  <c r="L964" i="24"/>
  <c r="K1060" i="24"/>
  <c r="K1096" i="24"/>
  <c r="L1156" i="24"/>
  <c r="K1156" i="24"/>
  <c r="K1240" i="24"/>
  <c r="L1300" i="24"/>
  <c r="K1312" i="24"/>
  <c r="K1324" i="24"/>
  <c r="K1348" i="24"/>
  <c r="K1372" i="24"/>
  <c r="K1384" i="24"/>
  <c r="L1408" i="24"/>
  <c r="K1684" i="24"/>
  <c r="K1744" i="24"/>
  <c r="K1768" i="24"/>
  <c r="K1780" i="24"/>
  <c r="K1792" i="24"/>
  <c r="K1828" i="24"/>
  <c r="K1888" i="24"/>
  <c r="L1900" i="24"/>
  <c r="K1948" i="24"/>
  <c r="K1972" i="24"/>
  <c r="K2032" i="24"/>
  <c r="L2056" i="24"/>
  <c r="K2068" i="24"/>
  <c r="K2176" i="24"/>
  <c r="K2212" i="24"/>
  <c r="K2260" i="24"/>
  <c r="K2368" i="24"/>
  <c r="K2392" i="24"/>
  <c r="K2488" i="24"/>
  <c r="K2512" i="24"/>
  <c r="K2536" i="24"/>
  <c r="K2596" i="24"/>
  <c r="K2692" i="24"/>
  <c r="L2812" i="24"/>
  <c r="K2824" i="24"/>
  <c r="K1811" i="24"/>
  <c r="L2651" i="24"/>
  <c r="L82" i="24"/>
  <c r="K82" i="24"/>
  <c r="K238" i="24"/>
  <c r="L297" i="24"/>
  <c r="K321" i="24"/>
  <c r="L321" i="24"/>
  <c r="K405" i="24"/>
  <c r="K450" i="24"/>
  <c r="L468" i="24"/>
  <c r="L499" i="24"/>
  <c r="L619" i="24"/>
  <c r="L655" i="24"/>
  <c r="L738" i="24"/>
  <c r="L762" i="24"/>
  <c r="L821" i="24"/>
  <c r="K845" i="24"/>
  <c r="L905" i="24"/>
  <c r="K905" i="24"/>
  <c r="L953" i="24"/>
  <c r="L1061" i="24"/>
  <c r="L1073" i="24"/>
  <c r="K1157" i="24"/>
  <c r="L1181" i="24"/>
  <c r="L1349" i="24"/>
  <c r="L1469" i="24"/>
  <c r="K1469" i="24"/>
  <c r="L1529" i="24"/>
  <c r="L1613" i="24"/>
  <c r="L1685" i="24"/>
  <c r="L1769" i="24"/>
  <c r="L1889" i="24"/>
  <c r="L1925" i="24"/>
  <c r="L1973" i="24"/>
  <c r="K1973" i="24"/>
  <c r="L2057" i="24"/>
  <c r="K2057" i="24"/>
  <c r="L2069" i="24"/>
  <c r="K2501" i="24"/>
  <c r="K2812" i="24"/>
  <c r="K2471" i="24"/>
  <c r="K2056" i="24"/>
  <c r="K1300" i="24"/>
  <c r="L2183" i="24"/>
  <c r="L2469" i="24"/>
  <c r="L47" i="24"/>
  <c r="L560" i="24"/>
  <c r="K620" i="24"/>
  <c r="K656" i="24"/>
  <c r="K775" i="24"/>
  <c r="K846" i="24"/>
  <c r="L906" i="24"/>
  <c r="L978" i="24"/>
  <c r="K990" i="24"/>
  <c r="L990" i="24"/>
  <c r="L1062" i="24"/>
  <c r="L1122" i="24"/>
  <c r="L1182" i="24"/>
  <c r="L1350" i="24"/>
  <c r="K1422" i="24"/>
  <c r="L1470" i="24"/>
  <c r="L1530" i="24"/>
  <c r="K1530" i="24"/>
  <c r="L1554" i="24"/>
  <c r="L1686" i="24"/>
  <c r="L1770" i="24"/>
  <c r="L1806" i="24"/>
  <c r="L1842" i="24"/>
  <c r="K1842" i="24"/>
  <c r="L1926" i="24"/>
  <c r="L2214" i="24"/>
  <c r="L2262" i="24"/>
  <c r="L2286" i="24"/>
  <c r="L2526" i="24"/>
  <c r="L2562" i="24"/>
  <c r="K2562" i="24"/>
  <c r="L2670" i="24"/>
  <c r="L2694" i="24"/>
  <c r="K2694" i="24"/>
  <c r="L2706" i="24"/>
  <c r="L2730" i="24"/>
  <c r="L2862" i="24"/>
  <c r="K2459" i="24"/>
  <c r="K2267" i="24"/>
  <c r="K2051" i="24"/>
  <c r="K1059" i="24"/>
  <c r="L2108" i="24"/>
  <c r="L1152" i="24"/>
  <c r="K1764" i="24"/>
  <c r="K1848" i="24"/>
  <c r="K1884" i="24"/>
  <c r="K1968" i="24"/>
  <c r="K2256" i="24"/>
  <c r="L2844" i="24"/>
  <c r="L437" i="24"/>
  <c r="L447" i="24"/>
  <c r="K455" i="24"/>
  <c r="L455" i="24"/>
  <c r="K507" i="24"/>
  <c r="L579" i="24"/>
  <c r="L639" i="24"/>
  <c r="L675" i="24"/>
  <c r="K710" i="24"/>
  <c r="K758" i="24"/>
  <c r="L901" i="24"/>
  <c r="K1021" i="24"/>
  <c r="L1153" i="24"/>
  <c r="L1405" i="24"/>
  <c r="L2293" i="24"/>
  <c r="K2329" i="24"/>
  <c r="K2725" i="24"/>
  <c r="K2785" i="24"/>
  <c r="L2845" i="24"/>
  <c r="L2857" i="24"/>
  <c r="L1142" i="24"/>
  <c r="K1154" i="24"/>
  <c r="L1178" i="24"/>
  <c r="L1202" i="24"/>
  <c r="L1286" i="24"/>
  <c r="K1298" i="24"/>
  <c r="L1322" i="24"/>
  <c r="K1358" i="24"/>
  <c r="K1370" i="24"/>
  <c r="K1406" i="24"/>
  <c r="L1406" i="24"/>
  <c r="L1466" i="24"/>
  <c r="L1478" i="24"/>
  <c r="L1514" i="24"/>
  <c r="K1514" i="24"/>
  <c r="K1574" i="24"/>
  <c r="L1574" i="24"/>
  <c r="L1598" i="24"/>
  <c r="L1622" i="24"/>
  <c r="K1622" i="24"/>
  <c r="L1634" i="24"/>
  <c r="K1634" i="24"/>
  <c r="L1646" i="24"/>
  <c r="K1658" i="24"/>
  <c r="K1694" i="24"/>
  <c r="L1706" i="24"/>
  <c r="L1718" i="24"/>
  <c r="L1742" i="24"/>
  <c r="K1814" i="24"/>
  <c r="L1862" i="24"/>
  <c r="K1898" i="24"/>
  <c r="L1898" i="24"/>
  <c r="L1910" i="24"/>
  <c r="K1910" i="24"/>
  <c r="L1946" i="24"/>
  <c r="L2006" i="24"/>
  <c r="K2006" i="24"/>
  <c r="L2030" i="24"/>
  <c r="L2054" i="24"/>
  <c r="L2078" i="24"/>
  <c r="L2090" i="24"/>
  <c r="K2102" i="24"/>
  <c r="K2114" i="24"/>
  <c r="L2138" i="24"/>
  <c r="L2162" i="24"/>
  <c r="L2174" i="24"/>
  <c r="L2186" i="24"/>
  <c r="L2198" i="24"/>
  <c r="L2222" i="24"/>
  <c r="L2234" i="24"/>
  <c r="L2282" i="24"/>
  <c r="L2318" i="24"/>
  <c r="K2318" i="24"/>
  <c r="L2330" i="24"/>
  <c r="L2366" i="24"/>
  <c r="K2378" i="24"/>
  <c r="L2438" i="24"/>
  <c r="L2450" i="24"/>
  <c r="K2450" i="24"/>
  <c r="L2486" i="24"/>
  <c r="K2486" i="24"/>
  <c r="L2510" i="24"/>
  <c r="K2510" i="24"/>
  <c r="K2582" i="24"/>
  <c r="L2642" i="24"/>
  <c r="K2678" i="24"/>
  <c r="K2894" i="24"/>
  <c r="K2282" i="24"/>
  <c r="K2151" i="24"/>
  <c r="K1718" i="24"/>
  <c r="K1598" i="24"/>
  <c r="K1142" i="24"/>
  <c r="L1287" i="24"/>
  <c r="L1299" i="24"/>
  <c r="K1299" i="24"/>
  <c r="L1323" i="24"/>
  <c r="L1443" i="24"/>
  <c r="K1443" i="24"/>
  <c r="K1515" i="24"/>
  <c r="K1575" i="24"/>
  <c r="L1575" i="24"/>
  <c r="L1599" i="24"/>
  <c r="K1599" i="24"/>
  <c r="L1623" i="24"/>
  <c r="K1623" i="24"/>
  <c r="L1647" i="24"/>
  <c r="L1659" i="24"/>
  <c r="L1743" i="24"/>
  <c r="L1767" i="24"/>
  <c r="K1767" i="24"/>
  <c r="L1779" i="24"/>
  <c r="L1791" i="24"/>
  <c r="L1803" i="24"/>
  <c r="K1815" i="24"/>
  <c r="L1863" i="24"/>
  <c r="K1899" i="24"/>
  <c r="L1899" i="24"/>
  <c r="L1911" i="24"/>
  <c r="L1947" i="24"/>
  <c r="K1995" i="24"/>
  <c r="L2031" i="24"/>
  <c r="L2103" i="24"/>
  <c r="K2103" i="24"/>
  <c r="L2211" i="24"/>
  <c r="L2235" i="24"/>
  <c r="L2295" i="24"/>
  <c r="L2307" i="24"/>
  <c r="L2331" i="24"/>
  <c r="L2343" i="24"/>
  <c r="L2367" i="24"/>
  <c r="L2391" i="24"/>
  <c r="K2391" i="24"/>
  <c r="L2439" i="24"/>
  <c r="L2451" i="24"/>
  <c r="K2451" i="24"/>
  <c r="L2487" i="24"/>
  <c r="L2511" i="24"/>
  <c r="K2511" i="24"/>
  <c r="L2583" i="24"/>
  <c r="K2787" i="24"/>
  <c r="K2895" i="24"/>
  <c r="K2366" i="24"/>
  <c r="K579" i="24"/>
  <c r="L2522" i="24"/>
  <c r="K2546" i="24"/>
  <c r="L2570" i="24"/>
  <c r="L2582" i="24"/>
  <c r="L2594" i="24"/>
  <c r="L2606" i="24"/>
  <c r="L2630" i="24"/>
  <c r="L2654" i="24"/>
  <c r="L2678" i="24"/>
  <c r="L2714" i="24"/>
  <c r="L2738" i="24"/>
  <c r="L2750" i="24"/>
  <c r="L2762" i="24"/>
  <c r="L2786" i="24"/>
  <c r="L2798" i="24"/>
  <c r="L2810" i="24"/>
  <c r="L2870" i="24"/>
  <c r="L2882" i="24"/>
  <c r="L2894" i="24"/>
  <c r="L2906" i="24"/>
  <c r="K2786" i="24"/>
  <c r="K2630" i="24"/>
  <c r="K2583" i="24"/>
  <c r="L2595" i="24"/>
  <c r="L2619" i="24"/>
  <c r="L2631" i="24"/>
  <c r="L2655" i="24"/>
  <c r="L2679" i="24"/>
  <c r="L2691" i="24"/>
  <c r="L2751" i="24"/>
  <c r="L2763" i="24"/>
  <c r="L2787" i="24"/>
  <c r="L2811" i="24"/>
  <c r="L2895" i="24"/>
  <c r="L2177" i="24"/>
  <c r="L2213" i="24"/>
  <c r="L2261" i="24"/>
  <c r="L2501" i="24"/>
  <c r="L2525" i="24"/>
  <c r="L2621" i="24"/>
  <c r="K2717" i="24"/>
  <c r="L2753" i="24"/>
  <c r="L2861" i="24"/>
  <c r="K2882" i="24"/>
  <c r="K2714" i="24"/>
  <c r="K2619" i="24"/>
  <c r="L10" i="24"/>
  <c r="K10" i="24"/>
  <c r="L46" i="24"/>
  <c r="K46" i="24"/>
  <c r="L94" i="24"/>
  <c r="K94" i="24"/>
  <c r="L142" i="24"/>
  <c r="K142" i="24"/>
  <c r="K262" i="24"/>
  <c r="L262" i="24"/>
  <c r="L285" i="24"/>
  <c r="K285" i="24"/>
  <c r="K333" i="24"/>
  <c r="L333" i="24"/>
  <c r="L369" i="24"/>
  <c r="K369" i="24"/>
  <c r="K417" i="24"/>
  <c r="L417" i="24"/>
  <c r="K523" i="24"/>
  <c r="L523" i="24"/>
  <c r="L571" i="24"/>
  <c r="K571" i="24"/>
  <c r="L607" i="24"/>
  <c r="K607" i="24"/>
  <c r="L643" i="24"/>
  <c r="K643" i="24"/>
  <c r="L679" i="24"/>
  <c r="K679" i="24"/>
  <c r="L714" i="24"/>
  <c r="K714" i="24"/>
  <c r="L750" i="24"/>
  <c r="K750" i="24"/>
  <c r="L786" i="24"/>
  <c r="K786" i="24"/>
  <c r="L809" i="24"/>
  <c r="K809" i="24"/>
  <c r="L857" i="24"/>
  <c r="K857" i="24"/>
  <c r="L893" i="24"/>
  <c r="K893" i="24"/>
  <c r="L941" i="24"/>
  <c r="K941" i="24"/>
  <c r="K1001" i="24"/>
  <c r="L1001" i="24"/>
  <c r="K1121" i="24"/>
  <c r="L1121" i="24"/>
  <c r="L1217" i="24"/>
  <c r="K1217" i="24"/>
  <c r="L1265" i="24"/>
  <c r="K1265" i="24"/>
  <c r="K1301" i="24"/>
  <c r="L1301" i="24"/>
  <c r="L1337" i="24"/>
  <c r="K1337" i="24"/>
  <c r="L1385" i="24"/>
  <c r="K1385" i="24"/>
  <c r="L1433" i="24"/>
  <c r="K1433" i="24"/>
  <c r="L1565" i="24"/>
  <c r="K1565" i="24"/>
  <c r="L1577" i="24"/>
  <c r="K1577" i="24"/>
  <c r="L1625" i="24"/>
  <c r="K1625" i="24"/>
  <c r="L1673" i="24"/>
  <c r="K1673" i="24"/>
  <c r="L1817" i="24"/>
  <c r="K1817" i="24"/>
  <c r="L1865" i="24"/>
  <c r="K1865" i="24"/>
  <c r="L2117" i="24"/>
  <c r="K2117" i="24"/>
  <c r="L2249" i="24"/>
  <c r="K2249" i="24"/>
  <c r="L2297" i="24"/>
  <c r="K2297" i="24"/>
  <c r="L2345" i="24"/>
  <c r="K2345" i="24"/>
  <c r="L2405" i="24"/>
  <c r="K2405" i="24"/>
  <c r="L2669" i="24"/>
  <c r="K2669" i="24"/>
  <c r="L2693" i="24"/>
  <c r="K2693" i="24"/>
  <c r="K2729" i="24"/>
  <c r="L2729" i="24"/>
  <c r="L2777" i="24"/>
  <c r="K2777" i="24"/>
  <c r="L2909" i="24"/>
  <c r="K2909" i="24"/>
  <c r="L36" i="24"/>
  <c r="K36" i="24"/>
  <c r="K84" i="24"/>
  <c r="L84" i="24"/>
  <c r="L120" i="24"/>
  <c r="K120" i="24"/>
  <c r="K597" i="24"/>
  <c r="L597" i="24"/>
  <c r="K47" i="24"/>
  <c r="K59" i="24"/>
  <c r="L59" i="24"/>
  <c r="L95" i="24"/>
  <c r="K95" i="24"/>
  <c r="L143" i="24"/>
  <c r="K143" i="24"/>
  <c r="K191" i="24"/>
  <c r="L191" i="24"/>
  <c r="L239" i="24"/>
  <c r="K239" i="24"/>
  <c r="K286" i="24"/>
  <c r="L286" i="24"/>
  <c r="L322" i="24"/>
  <c r="K322" i="24"/>
  <c r="K358" i="24"/>
  <c r="L358" i="24"/>
  <c r="K406" i="24"/>
  <c r="L406" i="24"/>
  <c r="L430" i="24"/>
  <c r="K430" i="24"/>
  <c r="L469" i="24"/>
  <c r="K469" i="24"/>
  <c r="L512" i="24"/>
  <c r="K512" i="24"/>
  <c r="L548" i="24"/>
  <c r="K548" i="24"/>
  <c r="K596" i="24"/>
  <c r="L596" i="24"/>
  <c r="K632" i="24"/>
  <c r="L632" i="24"/>
  <c r="L668" i="24"/>
  <c r="K668" i="24"/>
  <c r="L715" i="24"/>
  <c r="K715" i="24"/>
  <c r="L763" i="24"/>
  <c r="L894" i="24"/>
  <c r="K894" i="24"/>
  <c r="K1026" i="24"/>
  <c r="L1026" i="24"/>
  <c r="L1074" i="24"/>
  <c r="K1074" i="24"/>
  <c r="K1110" i="24"/>
  <c r="L1110" i="24"/>
  <c r="K1158" i="24"/>
  <c r="L1158" i="24"/>
  <c r="L1386" i="24"/>
  <c r="K1386" i="24"/>
  <c r="L1410" i="24"/>
  <c r="K1410" i="24"/>
  <c r="K1446" i="24"/>
  <c r="L1446" i="24"/>
  <c r="K1590" i="24"/>
  <c r="L1590" i="24"/>
  <c r="K1722" i="24"/>
  <c r="L1722" i="24"/>
  <c r="K1746" i="24"/>
  <c r="L1746" i="24"/>
  <c r="K1782" i="24"/>
  <c r="L1782" i="24"/>
  <c r="L1818" i="24"/>
  <c r="K1818" i="24"/>
  <c r="K1866" i="24"/>
  <c r="L1866" i="24"/>
  <c r="K1902" i="24"/>
  <c r="L1902" i="24"/>
  <c r="L1950" i="24"/>
  <c r="K1950" i="24"/>
  <c r="L1998" i="24"/>
  <c r="K1998" i="24"/>
  <c r="L2046" i="24"/>
  <c r="K2046" i="24"/>
  <c r="L2106" i="24"/>
  <c r="K2106" i="24"/>
  <c r="L2238" i="24"/>
  <c r="K2238" i="24"/>
  <c r="L2274" i="24"/>
  <c r="K2274" i="24"/>
  <c r="K2322" i="24"/>
  <c r="L2322" i="24"/>
  <c r="L2370" i="24"/>
  <c r="K2370" i="24"/>
  <c r="L2406" i="24"/>
  <c r="K2406" i="24"/>
  <c r="K2430" i="24"/>
  <c r="L2430" i="24"/>
  <c r="L2478" i="24"/>
  <c r="K2478" i="24"/>
  <c r="K2514" i="24"/>
  <c r="L2514" i="24"/>
  <c r="K2550" i="24"/>
  <c r="L2550" i="24"/>
  <c r="K2586" i="24"/>
  <c r="L2586" i="24"/>
  <c r="L2646" i="24"/>
  <c r="K2646" i="24"/>
  <c r="L2718" i="24"/>
  <c r="K2718" i="24"/>
  <c r="L2754" i="24"/>
  <c r="K2754" i="24"/>
  <c r="L2790" i="24"/>
  <c r="K2790" i="24"/>
  <c r="L2814" i="24"/>
  <c r="K2814" i="24"/>
  <c r="L2850" i="24"/>
  <c r="K2850" i="24"/>
  <c r="L2886" i="24"/>
  <c r="K2886" i="24"/>
  <c r="K1350" i="24"/>
  <c r="L228" i="24"/>
  <c r="L609" i="24"/>
  <c r="L450" i="24"/>
  <c r="K804" i="24"/>
  <c r="L804" i="24"/>
  <c r="K900" i="24"/>
  <c r="L900" i="24"/>
  <c r="L1008" i="24"/>
  <c r="K1008" i="24"/>
  <c r="L1056" i="24"/>
  <c r="K1056" i="24"/>
  <c r="K1092" i="24"/>
  <c r="L1092" i="24"/>
  <c r="L1200" i="24"/>
  <c r="K1200" i="24"/>
  <c r="L1248" i="24"/>
  <c r="K1248" i="24"/>
  <c r="L1284" i="24"/>
  <c r="K1284" i="24"/>
  <c r="L1320" i="24"/>
  <c r="K1320" i="24"/>
  <c r="L1368" i="24"/>
  <c r="K1368" i="24"/>
  <c r="L1392" i="24"/>
  <c r="K1392" i="24"/>
  <c r="L1428" i="24"/>
  <c r="K1428" i="24"/>
  <c r="L1464" i="24"/>
  <c r="K1464" i="24"/>
  <c r="L1512" i="24"/>
  <c r="K1512" i="24"/>
  <c r="L1704" i="24"/>
  <c r="K1704" i="24"/>
  <c r="K1812" i="24"/>
  <c r="L1812" i="24"/>
  <c r="L1860" i="24"/>
  <c r="K1860" i="24"/>
  <c r="L1896" i="24"/>
  <c r="K1896" i="24"/>
  <c r="K1932" i="24"/>
  <c r="L1932" i="24"/>
  <c r="L2052" i="24"/>
  <c r="K2052" i="24"/>
  <c r="K2088" i="24"/>
  <c r="L2088" i="24"/>
  <c r="L2208" i="24"/>
  <c r="K2208" i="24"/>
  <c r="L2340" i="24"/>
  <c r="K2340" i="24"/>
  <c r="L2376" i="24"/>
  <c r="K2376" i="24"/>
  <c r="L2436" i="24"/>
  <c r="K2436" i="24"/>
  <c r="L2688" i="24"/>
  <c r="K2688" i="24"/>
  <c r="L2796" i="24"/>
  <c r="K2796" i="24"/>
  <c r="L2904" i="24"/>
  <c r="K2904" i="24"/>
  <c r="K14" i="24"/>
  <c r="L14" i="24"/>
  <c r="L62" i="24"/>
  <c r="K62" i="24"/>
  <c r="L86" i="24"/>
  <c r="K86" i="24"/>
  <c r="L122" i="24"/>
  <c r="K122" i="24"/>
  <c r="K170" i="24"/>
  <c r="L170" i="24"/>
  <c r="L206" i="24"/>
  <c r="K206" i="24"/>
  <c r="K230" i="24"/>
  <c r="L230" i="24"/>
  <c r="L266" i="24"/>
  <c r="K266" i="24"/>
  <c r="K472" i="24"/>
  <c r="L472" i="24"/>
  <c r="K503" i="24"/>
  <c r="L503" i="24"/>
  <c r="K539" i="24"/>
  <c r="L539" i="24"/>
  <c r="L587" i="24"/>
  <c r="K587" i="24"/>
  <c r="K623" i="24"/>
  <c r="L623" i="24"/>
  <c r="L659" i="24"/>
  <c r="K659" i="24"/>
  <c r="L778" i="24"/>
  <c r="K778" i="24"/>
  <c r="L825" i="24"/>
  <c r="L873" i="24"/>
  <c r="K873" i="24"/>
  <c r="L921" i="24"/>
  <c r="K921" i="24"/>
  <c r="L993" i="24"/>
  <c r="L1041" i="24"/>
  <c r="K1041" i="24"/>
  <c r="L1089" i="24"/>
  <c r="K1089" i="24"/>
  <c r="L1149" i="24"/>
  <c r="K1221" i="24"/>
  <c r="K1257" i="24"/>
  <c r="L1257" i="24"/>
  <c r="L1293" i="24"/>
  <c r="K1293" i="24"/>
  <c r="K1341" i="24"/>
  <c r="L1341" i="24"/>
  <c r="L1377" i="24"/>
  <c r="K1377" i="24"/>
  <c r="L1413" i="24"/>
  <c r="K1413" i="24"/>
  <c r="L1425" i="24"/>
  <c r="K1425" i="24"/>
  <c r="K1473" i="24"/>
  <c r="L1473" i="24"/>
  <c r="L1521" i="24"/>
  <c r="K1521" i="24"/>
  <c r="L1557" i="24"/>
  <c r="K1557" i="24"/>
  <c r="L1605" i="24"/>
  <c r="K1605" i="24"/>
  <c r="K1641" i="24"/>
  <c r="L1641" i="24"/>
  <c r="L1689" i="24"/>
  <c r="K1689" i="24"/>
  <c r="L1725" i="24"/>
  <c r="K1725" i="24"/>
  <c r="K1773" i="24"/>
  <c r="L1773" i="24"/>
  <c r="L1821" i="24"/>
  <c r="K1821" i="24"/>
  <c r="L1869" i="24"/>
  <c r="K1869" i="24"/>
  <c r="L1929" i="24"/>
  <c r="K1929" i="24"/>
  <c r="L1965" i="24"/>
  <c r="K1965" i="24"/>
  <c r="L2001" i="24"/>
  <c r="K2001" i="24"/>
  <c r="K2037" i="24"/>
  <c r="L2037" i="24"/>
  <c r="L2085" i="24"/>
  <c r="K2085" i="24"/>
  <c r="L2133" i="24"/>
  <c r="K2133" i="24"/>
  <c r="L2181" i="24"/>
  <c r="K2181" i="24"/>
  <c r="K2217" i="24"/>
  <c r="L2217" i="24"/>
  <c r="L2277" i="24"/>
  <c r="K2277" i="24"/>
  <c r="K2325" i="24"/>
  <c r="L2325" i="24"/>
  <c r="L2373" i="24"/>
  <c r="K2373" i="24"/>
  <c r="K2469" i="24"/>
  <c r="L2505" i="24"/>
  <c r="K2505" i="24"/>
  <c r="L2565" i="24"/>
  <c r="L2601" i="24"/>
  <c r="K2601" i="24"/>
  <c r="L2661" i="24"/>
  <c r="K2661" i="24"/>
  <c r="L2733" i="24"/>
  <c r="L2793" i="24"/>
  <c r="K2793" i="24"/>
  <c r="L2841" i="24"/>
  <c r="L2877" i="24"/>
  <c r="K2877" i="24"/>
  <c r="K2724" i="24"/>
  <c r="K1686" i="24"/>
  <c r="K4" i="24"/>
  <c r="L4" i="24"/>
  <c r="L52" i="24"/>
  <c r="K52" i="24"/>
  <c r="L136" i="24"/>
  <c r="K136" i="24"/>
  <c r="K220" i="24"/>
  <c r="L220" i="24"/>
  <c r="K351" i="24"/>
  <c r="L351" i="24"/>
  <c r="L505" i="24"/>
  <c r="K505" i="24"/>
  <c r="L553" i="24"/>
  <c r="K553" i="24"/>
  <c r="K589" i="24"/>
  <c r="L589" i="24"/>
  <c r="L637" i="24"/>
  <c r="K637" i="24"/>
  <c r="L708" i="24"/>
  <c r="K708" i="24"/>
  <c r="L39" i="24"/>
  <c r="K39" i="24"/>
  <c r="K87" i="24"/>
  <c r="L87" i="24"/>
  <c r="K135" i="24"/>
  <c r="L135" i="24"/>
  <c r="L183" i="24"/>
  <c r="K183" i="24"/>
  <c r="L231" i="24"/>
  <c r="K231" i="24"/>
  <c r="L279" i="24"/>
  <c r="K279" i="24"/>
  <c r="K314" i="24"/>
  <c r="L314" i="24"/>
  <c r="L362" i="24"/>
  <c r="K362" i="24"/>
  <c r="L398" i="24"/>
  <c r="K398" i="24"/>
  <c r="L461" i="24"/>
  <c r="K492" i="24"/>
  <c r="L492" i="24"/>
  <c r="L540" i="24"/>
  <c r="K540" i="24"/>
  <c r="L576" i="24"/>
  <c r="K576" i="24"/>
  <c r="K624" i="24"/>
  <c r="L624" i="24"/>
  <c r="K672" i="24"/>
  <c r="L672" i="24"/>
  <c r="L707" i="24"/>
  <c r="K707" i="24"/>
  <c r="L755" i="24"/>
  <c r="K755" i="24"/>
  <c r="L802" i="24"/>
  <c r="K802" i="24"/>
  <c r="L874" i="24"/>
  <c r="K874" i="24"/>
  <c r="L958" i="24"/>
  <c r="K958" i="24"/>
  <c r="L1006" i="24"/>
  <c r="K1006" i="24"/>
  <c r="L1042" i="24"/>
  <c r="K1042" i="24"/>
  <c r="L1078" i="24"/>
  <c r="K1078" i="24"/>
  <c r="L1126" i="24"/>
  <c r="K1126" i="24"/>
  <c r="L1282" i="24"/>
  <c r="K1282" i="24"/>
  <c r="K1342" i="24"/>
  <c r="L1342" i="24"/>
  <c r="L1462" i="24"/>
  <c r="K1462" i="24"/>
  <c r="K1498" i="24"/>
  <c r="L1498" i="24"/>
  <c r="K1522" i="24"/>
  <c r="L1522" i="24"/>
  <c r="L1546" i="24"/>
  <c r="K1546" i="24"/>
  <c r="L1570" i="24"/>
  <c r="K1570" i="24"/>
  <c r="L1606" i="24"/>
  <c r="K1606" i="24"/>
  <c r="K1630" i="24"/>
  <c r="L1630" i="24"/>
  <c r="L1666" i="24"/>
  <c r="K1666" i="24"/>
  <c r="L1702" i="24"/>
  <c r="K1702" i="24"/>
  <c r="K1726" i="24"/>
  <c r="L1726" i="24"/>
  <c r="L1738" i="24"/>
  <c r="K1738" i="24"/>
  <c r="L1762" i="24"/>
  <c r="K1762" i="24"/>
  <c r="L1810" i="24"/>
  <c r="K1810" i="24"/>
  <c r="L1834" i="24"/>
  <c r="K1834" i="24"/>
  <c r="L1870" i="24"/>
  <c r="K1870" i="24"/>
  <c r="L1906" i="24"/>
  <c r="K1906" i="24"/>
  <c r="K1930" i="24"/>
  <c r="L1930" i="24"/>
  <c r="K1966" i="24"/>
  <c r="L1966" i="24"/>
  <c r="L1990" i="24"/>
  <c r="K1990" i="24"/>
  <c r="L2002" i="24"/>
  <c r="K2002" i="24"/>
  <c r="L2038" i="24"/>
  <c r="K2038" i="24"/>
  <c r="K2050" i="24"/>
  <c r="L2050" i="24"/>
  <c r="K2074" i="24"/>
  <c r="L2074" i="24"/>
  <c r="L2086" i="24"/>
  <c r="K2086" i="24"/>
  <c r="L2134" i="24"/>
  <c r="K2134" i="24"/>
  <c r="K2158" i="24"/>
  <c r="L2158" i="24"/>
  <c r="K2170" i="24"/>
  <c r="L2170" i="24"/>
  <c r="K2194" i="24"/>
  <c r="L2194" i="24"/>
  <c r="L2206" i="24"/>
  <c r="K2206" i="24"/>
  <c r="K2218" i="24"/>
  <c r="L2218" i="24"/>
  <c r="L2242" i="24"/>
  <c r="K2242" i="24"/>
  <c r="K2254" i="24"/>
  <c r="L2254" i="24"/>
  <c r="L2278" i="24"/>
  <c r="K2278" i="24"/>
  <c r="L2290" i="24"/>
  <c r="K2290" i="24"/>
  <c r="K2213" i="24"/>
  <c r="K2098" i="24"/>
  <c r="K1685" i="24"/>
  <c r="K1560" i="24"/>
  <c r="K1182" i="24"/>
  <c r="K1073" i="24"/>
  <c r="K852" i="24"/>
  <c r="K621" i="24"/>
  <c r="K468" i="24"/>
  <c r="L620" i="24"/>
  <c r="L2713" i="24"/>
  <c r="K118" i="24"/>
  <c r="L118" i="24"/>
  <c r="L166" i="24"/>
  <c r="K166" i="24"/>
  <c r="K190" i="24"/>
  <c r="L190" i="24"/>
  <c r="L226" i="24"/>
  <c r="K226" i="24"/>
  <c r="K250" i="24"/>
  <c r="L250" i="24"/>
  <c r="L274" i="24"/>
  <c r="K274" i="24"/>
  <c r="K309" i="24"/>
  <c r="L309" i="24"/>
  <c r="L357" i="24"/>
  <c r="K357" i="24"/>
  <c r="K393" i="24"/>
  <c r="L393" i="24"/>
  <c r="K429" i="24"/>
  <c r="L429" i="24"/>
  <c r="L440" i="24"/>
  <c r="K440" i="24"/>
  <c r="K487" i="24"/>
  <c r="L487" i="24"/>
  <c r="L547" i="24"/>
  <c r="K547" i="24"/>
  <c r="K667" i="24"/>
  <c r="L667" i="24"/>
  <c r="L929" i="24"/>
  <c r="K929" i="24"/>
  <c r="L977" i="24"/>
  <c r="K977" i="24"/>
  <c r="K1109" i="24"/>
  <c r="L1109" i="24"/>
  <c r="K1145" i="24"/>
  <c r="L1145" i="24"/>
  <c r="L1193" i="24"/>
  <c r="K1193" i="24"/>
  <c r="L1241" i="24"/>
  <c r="K1241" i="24"/>
  <c r="K1289" i="24"/>
  <c r="L1289" i="24"/>
  <c r="L1325" i="24"/>
  <c r="K1325" i="24"/>
  <c r="L1373" i="24"/>
  <c r="K1373" i="24"/>
  <c r="L1409" i="24"/>
  <c r="K1409" i="24"/>
  <c r="K1445" i="24"/>
  <c r="L1445" i="24"/>
  <c r="L1481" i="24"/>
  <c r="K1481" i="24"/>
  <c r="L1505" i="24"/>
  <c r="K1505" i="24"/>
  <c r="L1553" i="24"/>
  <c r="K1553" i="24"/>
  <c r="L1601" i="24"/>
  <c r="K1601" i="24"/>
  <c r="L1721" i="24"/>
  <c r="K1721" i="24"/>
  <c r="L1757" i="24"/>
  <c r="K1757" i="24"/>
  <c r="L1805" i="24"/>
  <c r="K1805" i="24"/>
  <c r="L1853" i="24"/>
  <c r="K1853" i="24"/>
  <c r="L1961" i="24"/>
  <c r="K1961" i="24"/>
  <c r="L1997" i="24"/>
  <c r="K1997" i="24"/>
  <c r="L2033" i="24"/>
  <c r="K2033" i="24"/>
  <c r="L2081" i="24"/>
  <c r="K2081" i="24"/>
  <c r="L2309" i="24"/>
  <c r="K2309" i="24"/>
  <c r="L2357" i="24"/>
  <c r="K2357" i="24"/>
  <c r="L2393" i="24"/>
  <c r="K2393" i="24"/>
  <c r="L2429" i="24"/>
  <c r="K2429" i="24"/>
  <c r="L2465" i="24"/>
  <c r="K2465" i="24"/>
  <c r="L2489" i="24"/>
  <c r="K2489" i="24"/>
  <c r="L2537" i="24"/>
  <c r="K2537" i="24"/>
  <c r="L2561" i="24"/>
  <c r="K2561" i="24"/>
  <c r="L2597" i="24"/>
  <c r="K2597" i="24"/>
  <c r="L2645" i="24"/>
  <c r="K2645" i="24"/>
  <c r="L2765" i="24"/>
  <c r="K2765" i="24"/>
  <c r="K2813" i="24"/>
  <c r="L2813" i="24"/>
  <c r="L2849" i="24"/>
  <c r="K2849" i="24"/>
  <c r="L2897" i="24"/>
  <c r="K2897" i="24"/>
  <c r="K24" i="24"/>
  <c r="L24" i="24"/>
  <c r="K264" i="24"/>
  <c r="L264" i="24"/>
  <c r="K335" i="24"/>
  <c r="L335" i="24"/>
  <c r="L407" i="24"/>
  <c r="K407" i="24"/>
  <c r="L470" i="24"/>
  <c r="K470" i="24"/>
  <c r="K633" i="24"/>
  <c r="L633" i="24"/>
  <c r="K11" i="24"/>
  <c r="K107" i="24"/>
  <c r="L155" i="24"/>
  <c r="K155" i="24"/>
  <c r="L203" i="24"/>
  <c r="K203" i="24"/>
  <c r="L251" i="24"/>
  <c r="K251" i="24"/>
  <c r="K298" i="24"/>
  <c r="L298" i="24"/>
  <c r="K346" i="24"/>
  <c r="L346" i="24"/>
  <c r="K394" i="24"/>
  <c r="L394" i="24"/>
  <c r="L441" i="24"/>
  <c r="K441" i="24"/>
  <c r="L500" i="24"/>
  <c r="K560" i="24"/>
  <c r="K727" i="24"/>
  <c r="L727" i="24"/>
  <c r="K751" i="24"/>
  <c r="L751" i="24"/>
  <c r="L798" i="24"/>
  <c r="K798" i="24"/>
  <c r="L834" i="24"/>
  <c r="K834" i="24"/>
  <c r="L870" i="24"/>
  <c r="K870" i="24"/>
  <c r="K918" i="24"/>
  <c r="L918" i="24"/>
  <c r="L1014" i="24"/>
  <c r="K1014" i="24"/>
  <c r="L1050" i="24"/>
  <c r="K1050" i="24"/>
  <c r="L1086" i="24"/>
  <c r="K1086" i="24"/>
  <c r="L1218" i="24"/>
  <c r="K1218" i="24"/>
  <c r="K1254" i="24"/>
  <c r="L1254" i="24"/>
  <c r="K1278" i="24"/>
  <c r="L1278" i="24"/>
  <c r="K1302" i="24"/>
  <c r="L1302" i="24"/>
  <c r="L1338" i="24"/>
  <c r="K1338" i="24"/>
  <c r="L1374" i="24"/>
  <c r="K1374" i="24"/>
  <c r="L1398" i="24"/>
  <c r="K1398" i="24"/>
  <c r="K1434" i="24"/>
  <c r="L1434" i="24"/>
  <c r="L1482" i="24"/>
  <c r="K1482" i="24"/>
  <c r="L1506" i="24"/>
  <c r="K1506" i="24"/>
  <c r="L1542" i="24"/>
  <c r="K1542" i="24"/>
  <c r="L1578" i="24"/>
  <c r="K1578" i="24"/>
  <c r="L1626" i="24"/>
  <c r="K1626" i="24"/>
  <c r="L1662" i="24"/>
  <c r="K1662" i="24"/>
  <c r="L1710" i="24"/>
  <c r="K1710" i="24"/>
  <c r="L1758" i="24"/>
  <c r="K1758" i="24"/>
  <c r="L1974" i="24"/>
  <c r="K1974" i="24"/>
  <c r="L2034" i="24"/>
  <c r="K2034" i="24"/>
  <c r="L2070" i="24"/>
  <c r="K2070" i="24"/>
  <c r="L2118" i="24"/>
  <c r="K2118" i="24"/>
  <c r="K2154" i="24"/>
  <c r="L2154" i="24"/>
  <c r="L2202" i="24"/>
  <c r="K2202" i="24"/>
  <c r="K2310" i="24"/>
  <c r="L2310" i="24"/>
  <c r="K2358" i="24"/>
  <c r="L2358" i="24"/>
  <c r="L2418" i="24"/>
  <c r="K2418" i="24"/>
  <c r="K2454" i="24"/>
  <c r="L2454" i="24"/>
  <c r="L2598" i="24"/>
  <c r="K2598" i="24"/>
  <c r="L2682" i="24"/>
  <c r="K2682" i="24"/>
  <c r="K680" i="24"/>
  <c r="L12" i="24"/>
  <c r="K96" i="24"/>
  <c r="L452" i="24"/>
  <c r="K2286" i="24"/>
  <c r="K1349" i="24"/>
  <c r="K1926" i="24"/>
  <c r="L912" i="24"/>
  <c r="K912" i="24"/>
  <c r="K948" i="24"/>
  <c r="L948" i="24"/>
  <c r="L1068" i="24"/>
  <c r="K1068" i="24"/>
  <c r="L1104" i="24"/>
  <c r="K1104" i="24"/>
  <c r="L1188" i="24"/>
  <c r="K1188" i="24"/>
  <c r="K1224" i="24"/>
  <c r="L1224" i="24"/>
  <c r="L1272" i="24"/>
  <c r="K1272" i="24"/>
  <c r="K1404" i="24"/>
  <c r="L1404" i="24"/>
  <c r="L1440" i="24"/>
  <c r="K1440" i="24"/>
  <c r="K1488" i="24"/>
  <c r="L1488" i="24"/>
  <c r="K1788" i="24"/>
  <c r="L1788" i="24"/>
  <c r="L1824" i="24"/>
  <c r="K1824" i="24"/>
  <c r="K1956" i="24"/>
  <c r="L1956" i="24"/>
  <c r="L1980" i="24"/>
  <c r="K1980" i="24"/>
  <c r="L2016" i="24"/>
  <c r="K2016" i="24"/>
  <c r="K2064" i="24"/>
  <c r="L2064" i="24"/>
  <c r="K2100" i="24"/>
  <c r="L2100" i="24"/>
  <c r="L2124" i="24"/>
  <c r="K2124" i="24"/>
  <c r="L2160" i="24"/>
  <c r="K2160" i="24"/>
  <c r="K2184" i="24"/>
  <c r="L2184" i="24"/>
  <c r="L2232" i="24"/>
  <c r="K2232" i="24"/>
  <c r="L2268" i="24"/>
  <c r="K2268" i="24"/>
  <c r="L2304" i="24"/>
  <c r="K2304" i="24"/>
  <c r="L2352" i="24"/>
  <c r="K2352" i="24"/>
  <c r="L2400" i="24"/>
  <c r="K2400" i="24"/>
  <c r="L2448" i="24"/>
  <c r="K2448" i="24"/>
  <c r="L2484" i="24"/>
  <c r="K2484" i="24"/>
  <c r="K2532" i="24"/>
  <c r="L2532" i="24"/>
  <c r="K2568" i="24"/>
  <c r="L2568" i="24"/>
  <c r="L2604" i="24"/>
  <c r="K2604" i="24"/>
  <c r="L2628" i="24"/>
  <c r="K2628" i="24"/>
  <c r="K2664" i="24"/>
  <c r="L2664" i="24"/>
  <c r="L2892" i="24"/>
  <c r="K2892" i="24"/>
  <c r="K38" i="24"/>
  <c r="L38" i="24"/>
  <c r="K158" i="24"/>
  <c r="L158" i="24"/>
  <c r="L278" i="24"/>
  <c r="K278" i="24"/>
  <c r="K301" i="24"/>
  <c r="L301" i="24"/>
  <c r="L409" i="24"/>
  <c r="K409" i="24"/>
  <c r="L479" i="24"/>
  <c r="K479" i="24"/>
  <c r="K515" i="24"/>
  <c r="L515" i="24"/>
  <c r="K575" i="24"/>
  <c r="L575" i="24"/>
  <c r="L706" i="24"/>
  <c r="K706" i="24"/>
  <c r="K754" i="24"/>
  <c r="L754" i="24"/>
  <c r="L813" i="24"/>
  <c r="L861" i="24"/>
  <c r="K861" i="24"/>
  <c r="K909" i="24"/>
  <c r="L909" i="24"/>
  <c r="L957" i="24"/>
  <c r="K957" i="24"/>
  <c r="L1005" i="24"/>
  <c r="K1005" i="24"/>
  <c r="K1077" i="24"/>
  <c r="L1125" i="24"/>
  <c r="K1125" i="24"/>
  <c r="K1173" i="24"/>
  <c r="L1173" i="24"/>
  <c r="L1209" i="24"/>
  <c r="K1209" i="24"/>
  <c r="L1269" i="24"/>
  <c r="K1317" i="24"/>
  <c r="L1317" i="24"/>
  <c r="L1365" i="24"/>
  <c r="K1365" i="24"/>
  <c r="L1437" i="24"/>
  <c r="K1485" i="24"/>
  <c r="L1485" i="24"/>
  <c r="L1533" i="24"/>
  <c r="K1533" i="24"/>
  <c r="L1581" i="24"/>
  <c r="K1581" i="24"/>
  <c r="K1629" i="24"/>
  <c r="L1629" i="24"/>
  <c r="L1677" i="24"/>
  <c r="K1677" i="24"/>
  <c r="L1749" i="24"/>
  <c r="K1749" i="24"/>
  <c r="L1797" i="24"/>
  <c r="K1797" i="24"/>
  <c r="L1845" i="24"/>
  <c r="K1845" i="24"/>
  <c r="K1893" i="24"/>
  <c r="L1893" i="24"/>
  <c r="L1941" i="24"/>
  <c r="K1941" i="24"/>
  <c r="L1989" i="24"/>
  <c r="K1989" i="24"/>
  <c r="L2061" i="24"/>
  <c r="K2061" i="24"/>
  <c r="L2145" i="24"/>
  <c r="K2145" i="24"/>
  <c r="K2193" i="24"/>
  <c r="L2193" i="24"/>
  <c r="L2241" i="24"/>
  <c r="K2241" i="24"/>
  <c r="K2289" i="24"/>
  <c r="L2289" i="24"/>
  <c r="L2337" i="24"/>
  <c r="K2337" i="24"/>
  <c r="L2385" i="24"/>
  <c r="K2385" i="24"/>
  <c r="L2445" i="24"/>
  <c r="K2445" i="24"/>
  <c r="K2493" i="24"/>
  <c r="L2493" i="24"/>
  <c r="L2541" i="24"/>
  <c r="K2541" i="24"/>
  <c r="L2577" i="24"/>
  <c r="K2577" i="24"/>
  <c r="K2625" i="24"/>
  <c r="L2625" i="24"/>
  <c r="L2649" i="24"/>
  <c r="K2649" i="24"/>
  <c r="K2697" i="24"/>
  <c r="L2697" i="24"/>
  <c r="K2745" i="24"/>
  <c r="L2745" i="24"/>
  <c r="L2781" i="24"/>
  <c r="K2781" i="24"/>
  <c r="L2829" i="24"/>
  <c r="K2829" i="24"/>
  <c r="L2889" i="24"/>
  <c r="K730" i="24"/>
  <c r="K349" i="24"/>
  <c r="L28" i="24"/>
  <c r="K28" i="24"/>
  <c r="L76" i="24"/>
  <c r="K76" i="24"/>
  <c r="K112" i="24"/>
  <c r="L112" i="24"/>
  <c r="K208" i="24"/>
  <c r="L208" i="24"/>
  <c r="K232" i="24"/>
  <c r="L232" i="24"/>
  <c r="K268" i="24"/>
  <c r="L268" i="24"/>
  <c r="K291" i="24"/>
  <c r="L291" i="24"/>
  <c r="L339" i="24"/>
  <c r="K339" i="24"/>
  <c r="L481" i="24"/>
  <c r="K481" i="24"/>
  <c r="L541" i="24"/>
  <c r="K541" i="24"/>
  <c r="L661" i="24"/>
  <c r="K661" i="24"/>
  <c r="L744" i="24"/>
  <c r="K744" i="24"/>
  <c r="K27" i="24"/>
  <c r="L27" i="24"/>
  <c r="K75" i="24"/>
  <c r="L75" i="24"/>
  <c r="L99" i="24"/>
  <c r="K99" i="24"/>
  <c r="L147" i="24"/>
  <c r="K147" i="24"/>
  <c r="K195" i="24"/>
  <c r="L195" i="24"/>
  <c r="L255" i="24"/>
  <c r="K302" i="24"/>
  <c r="L302" i="24"/>
  <c r="K350" i="24"/>
  <c r="L350" i="24"/>
  <c r="K410" i="24"/>
  <c r="K445" i="24"/>
  <c r="L445" i="24"/>
  <c r="L480" i="24"/>
  <c r="K480" i="24"/>
  <c r="L528" i="24"/>
  <c r="K528" i="24"/>
  <c r="K588" i="24"/>
  <c r="L588" i="24"/>
  <c r="L636" i="24"/>
  <c r="K636" i="24"/>
  <c r="L695" i="24"/>
  <c r="L743" i="24"/>
  <c r="K743" i="24"/>
  <c r="K779" i="24"/>
  <c r="L779" i="24"/>
  <c r="L826" i="24"/>
  <c r="K826" i="24"/>
  <c r="L850" i="24"/>
  <c r="K850" i="24"/>
  <c r="L898" i="24"/>
  <c r="K898" i="24"/>
  <c r="K1030" i="24"/>
  <c r="L1030" i="24"/>
  <c r="L1162" i="24"/>
  <c r="K1162" i="24"/>
  <c r="K1186" i="24"/>
  <c r="L1186" i="24"/>
  <c r="K1222" i="24"/>
  <c r="L1222" i="24"/>
  <c r="L1258" i="24"/>
  <c r="K1258" i="24"/>
  <c r="L1306" i="24"/>
  <c r="K1306" i="24"/>
  <c r="L1354" i="24"/>
  <c r="K1354" i="24"/>
  <c r="L1378" i="24"/>
  <c r="K1378" i="24"/>
  <c r="L1414" i="24"/>
  <c r="K1414" i="24"/>
  <c r="L1450" i="24"/>
  <c r="K1450" i="24"/>
  <c r="K1474" i="24"/>
  <c r="L1474" i="24"/>
  <c r="L1594" i="24"/>
  <c r="K1594" i="24"/>
  <c r="L1690" i="24"/>
  <c r="K1690" i="24"/>
  <c r="L1714" i="24"/>
  <c r="K1714" i="24"/>
  <c r="K1798" i="24"/>
  <c r="L1798" i="24"/>
  <c r="L1846" i="24"/>
  <c r="K1846" i="24"/>
  <c r="K1954" i="24"/>
  <c r="L1954" i="24"/>
  <c r="L1978" i="24"/>
  <c r="K1978" i="24"/>
  <c r="L2026" i="24"/>
  <c r="K2026" i="24"/>
  <c r="L2122" i="24"/>
  <c r="K2122" i="24"/>
  <c r="L2146" i="24"/>
  <c r="K2146" i="24"/>
  <c r="L2302" i="24"/>
  <c r="K2302" i="24"/>
  <c r="K2862" i="24"/>
  <c r="K2753" i="24"/>
  <c r="K2526" i="24"/>
  <c r="K2262" i="24"/>
  <c r="K1476" i="24"/>
  <c r="K1181" i="24"/>
  <c r="K1062" i="24"/>
  <c r="K764" i="24"/>
  <c r="K347" i="24"/>
  <c r="L405" i="24"/>
  <c r="L775" i="24"/>
  <c r="L972" i="24"/>
  <c r="L1157" i="24"/>
  <c r="L2717" i="24"/>
  <c r="K34" i="24"/>
  <c r="L34" i="24"/>
  <c r="L70" i="24"/>
  <c r="K70" i="24"/>
  <c r="K130" i="24"/>
  <c r="L130" i="24"/>
  <c r="K178" i="24"/>
  <c r="L178" i="24"/>
  <c r="K214" i="24"/>
  <c r="L214" i="24"/>
  <c r="L535" i="24"/>
  <c r="K535" i="24"/>
  <c r="K583" i="24"/>
  <c r="L583" i="24"/>
  <c r="L595" i="24"/>
  <c r="K595" i="24"/>
  <c r="L631" i="24"/>
  <c r="K631" i="24"/>
  <c r="K690" i="24"/>
  <c r="L690" i="24"/>
  <c r="L797" i="24"/>
  <c r="K797" i="24"/>
  <c r="L833" i="24"/>
  <c r="K833" i="24"/>
  <c r="K869" i="24"/>
  <c r="L869" i="24"/>
  <c r="K989" i="24"/>
  <c r="L989" i="24"/>
  <c r="L1025" i="24"/>
  <c r="K1025" i="24"/>
  <c r="K1049" i="24"/>
  <c r="L1049" i="24"/>
  <c r="L1097" i="24"/>
  <c r="K1097" i="24"/>
  <c r="L1133" i="24"/>
  <c r="K1133" i="24"/>
  <c r="K1169" i="24"/>
  <c r="L1169" i="24"/>
  <c r="L1229" i="24"/>
  <c r="K1229" i="24"/>
  <c r="K1277" i="24"/>
  <c r="L1277" i="24"/>
  <c r="L1313" i="24"/>
  <c r="K1313" i="24"/>
  <c r="L1361" i="24"/>
  <c r="K1361" i="24"/>
  <c r="L1397" i="24"/>
  <c r="K1397" i="24"/>
  <c r="K1421" i="24"/>
  <c r="L1421" i="24"/>
  <c r="L1457" i="24"/>
  <c r="K1457" i="24"/>
  <c r="L1517" i="24"/>
  <c r="K1517" i="24"/>
  <c r="L1649" i="24"/>
  <c r="K1649" i="24"/>
  <c r="L1697" i="24"/>
  <c r="K1697" i="24"/>
  <c r="L1733" i="24"/>
  <c r="K1733" i="24"/>
  <c r="L1781" i="24"/>
  <c r="K1781" i="24"/>
  <c r="L1829" i="24"/>
  <c r="K1829" i="24"/>
  <c r="L1841" i="24"/>
  <c r="K1841" i="24"/>
  <c r="L1877" i="24"/>
  <c r="K1877" i="24"/>
  <c r="L1901" i="24"/>
  <c r="K1901" i="24"/>
  <c r="L1949" i="24"/>
  <c r="K1949" i="24"/>
  <c r="L2105" i="24"/>
  <c r="K2105" i="24"/>
  <c r="L2141" i="24"/>
  <c r="K2141" i="24"/>
  <c r="L2153" i="24"/>
  <c r="K2153" i="24"/>
  <c r="L2189" i="24"/>
  <c r="K2189" i="24"/>
  <c r="L2225" i="24"/>
  <c r="K2225" i="24"/>
  <c r="L2273" i="24"/>
  <c r="K2273" i="24"/>
  <c r="L2321" i="24"/>
  <c r="K2321" i="24"/>
  <c r="L2369" i="24"/>
  <c r="K2369" i="24"/>
  <c r="L2417" i="24"/>
  <c r="K2417" i="24"/>
  <c r="L2453" i="24"/>
  <c r="K2453" i="24"/>
  <c r="L2477" i="24"/>
  <c r="K2477" i="24"/>
  <c r="L2513" i="24"/>
  <c r="K2513" i="24"/>
  <c r="L2573" i="24"/>
  <c r="K2573" i="24"/>
  <c r="L2609" i="24"/>
  <c r="K2609" i="24"/>
  <c r="L2633" i="24"/>
  <c r="K2633" i="24"/>
  <c r="K2681" i="24"/>
  <c r="L2681" i="24"/>
  <c r="L2705" i="24"/>
  <c r="K2705" i="24"/>
  <c r="L2741" i="24"/>
  <c r="K2741" i="24"/>
  <c r="K2789" i="24"/>
  <c r="L2789" i="24"/>
  <c r="L2825" i="24"/>
  <c r="K2825" i="24"/>
  <c r="L2885" i="24"/>
  <c r="K2885" i="24"/>
  <c r="K2177" i="24"/>
  <c r="K1889" i="24"/>
  <c r="K1529" i="24"/>
  <c r="K180" i="24"/>
  <c r="L180" i="24"/>
  <c r="L311" i="24"/>
  <c r="K311" i="24"/>
  <c r="L35" i="24"/>
  <c r="K35" i="24"/>
  <c r="L71" i="24"/>
  <c r="K71" i="24"/>
  <c r="K119" i="24"/>
  <c r="L119" i="24"/>
  <c r="K167" i="24"/>
  <c r="L167" i="24"/>
  <c r="L215" i="24"/>
  <c r="K215" i="24"/>
  <c r="K263" i="24"/>
  <c r="L263" i="24"/>
  <c r="K310" i="24"/>
  <c r="L310" i="24"/>
  <c r="L370" i="24"/>
  <c r="K370" i="24"/>
  <c r="L418" i="24"/>
  <c r="K418" i="24"/>
  <c r="L458" i="24"/>
  <c r="K458" i="24"/>
  <c r="L488" i="24"/>
  <c r="K488" i="24"/>
  <c r="K536" i="24"/>
  <c r="L536" i="24"/>
  <c r="K572" i="24"/>
  <c r="L572" i="24"/>
  <c r="K608" i="24"/>
  <c r="L608" i="24"/>
  <c r="K644" i="24"/>
  <c r="L644" i="24"/>
  <c r="K703" i="24"/>
  <c r="L703" i="24"/>
  <c r="K739" i="24"/>
  <c r="L739" i="24"/>
  <c r="L787" i="24"/>
  <c r="K787" i="24"/>
  <c r="K822" i="24"/>
  <c r="L822" i="24"/>
  <c r="K858" i="24"/>
  <c r="L858" i="24"/>
  <c r="K882" i="24"/>
  <c r="L882" i="24"/>
  <c r="L930" i="24"/>
  <c r="K930" i="24"/>
  <c r="L966" i="24"/>
  <c r="K966" i="24"/>
  <c r="L1098" i="24"/>
  <c r="K1098" i="24"/>
  <c r="L1134" i="24"/>
  <c r="K1134" i="24"/>
  <c r="K1170" i="24"/>
  <c r="L1170" i="24"/>
  <c r="K1206" i="24"/>
  <c r="L1206" i="24"/>
  <c r="L1242" i="24"/>
  <c r="K1242" i="24"/>
  <c r="L1290" i="24"/>
  <c r="K1290" i="24"/>
  <c r="K1326" i="24"/>
  <c r="L1326" i="24"/>
  <c r="K1362" i="24"/>
  <c r="L1362" i="24"/>
  <c r="K1602" i="24"/>
  <c r="L1602" i="24"/>
  <c r="L1638" i="24"/>
  <c r="K1638" i="24"/>
  <c r="L1674" i="24"/>
  <c r="K1674" i="24"/>
  <c r="L1734" i="24"/>
  <c r="K1734" i="24"/>
  <c r="L1854" i="24"/>
  <c r="K1854" i="24"/>
  <c r="L1878" i="24"/>
  <c r="K1878" i="24"/>
  <c r="L1914" i="24"/>
  <c r="K1914" i="24"/>
  <c r="L1962" i="24"/>
  <c r="K1962" i="24"/>
  <c r="L2010" i="24"/>
  <c r="K2010" i="24"/>
  <c r="K2082" i="24"/>
  <c r="L2082" i="24"/>
  <c r="L2130" i="24"/>
  <c r="K2130" i="24"/>
  <c r="L2166" i="24"/>
  <c r="K2166" i="24"/>
  <c r="L2190" i="24"/>
  <c r="K2190" i="24"/>
  <c r="L2226" i="24"/>
  <c r="K2226" i="24"/>
  <c r="L2250" i="24"/>
  <c r="K2250" i="24"/>
  <c r="K2298" i="24"/>
  <c r="L2298" i="24"/>
  <c r="L2346" i="24"/>
  <c r="K2346" i="24"/>
  <c r="K2394" i="24"/>
  <c r="L2394" i="24"/>
  <c r="K2442" i="24"/>
  <c r="L2442" i="24"/>
  <c r="L2490" i="24"/>
  <c r="K2490" i="24"/>
  <c r="L2502" i="24"/>
  <c r="K2502" i="24"/>
  <c r="L2538" i="24"/>
  <c r="K2538" i="24"/>
  <c r="L2574" i="24"/>
  <c r="K2574" i="24"/>
  <c r="L2622" i="24"/>
  <c r="K2622" i="24"/>
  <c r="L2742" i="24"/>
  <c r="K2742" i="24"/>
  <c r="L2778" i="24"/>
  <c r="K2778" i="24"/>
  <c r="L2898" i="24"/>
  <c r="K2898" i="24"/>
  <c r="L192" i="24"/>
  <c r="L323" i="24"/>
  <c r="K513" i="24"/>
  <c r="K2730" i="24"/>
  <c r="K953" i="24"/>
  <c r="K792" i="24"/>
  <c r="L792" i="24"/>
  <c r="L828" i="24"/>
  <c r="K828" i="24"/>
  <c r="L864" i="24"/>
  <c r="K864" i="24"/>
  <c r="L984" i="24"/>
  <c r="K984" i="24"/>
  <c r="K1032" i="24"/>
  <c r="L1032" i="24"/>
  <c r="L1140" i="24"/>
  <c r="K1140" i="24"/>
  <c r="K1356" i="24"/>
  <c r="L1356" i="24"/>
  <c r="L1416" i="24"/>
  <c r="K1416" i="24"/>
  <c r="K1500" i="24"/>
  <c r="L1500" i="24"/>
  <c r="K1536" i="24"/>
  <c r="L1536" i="24"/>
  <c r="L1584" i="24"/>
  <c r="K1584" i="24"/>
  <c r="L1632" i="24"/>
  <c r="K1632" i="24"/>
  <c r="L1776" i="24"/>
  <c r="K1776" i="24"/>
  <c r="L2004" i="24"/>
  <c r="K2004" i="24"/>
  <c r="K2040" i="24"/>
  <c r="L2040" i="24"/>
  <c r="K2244" i="24"/>
  <c r="L2244" i="24"/>
  <c r="L2280" i="24"/>
  <c r="K2280" i="24"/>
  <c r="L2328" i="24"/>
  <c r="K2328" i="24"/>
  <c r="K2388" i="24"/>
  <c r="L2388" i="24"/>
  <c r="L2424" i="24"/>
  <c r="K2424" i="24"/>
  <c r="L2472" i="24"/>
  <c r="K2472" i="24"/>
  <c r="L2508" i="24"/>
  <c r="K2508" i="24"/>
  <c r="L2544" i="24"/>
  <c r="K2544" i="24"/>
  <c r="L2580" i="24"/>
  <c r="K2580" i="24"/>
  <c r="L2736" i="24"/>
  <c r="K2736" i="24"/>
  <c r="L2772" i="24"/>
  <c r="K2772" i="24"/>
  <c r="K2868" i="24"/>
  <c r="L2868" i="24"/>
  <c r="L182" i="24"/>
  <c r="K182" i="24"/>
  <c r="K218" i="24"/>
  <c r="L218" i="24"/>
  <c r="K242" i="24"/>
  <c r="L242" i="24"/>
  <c r="L361" i="24"/>
  <c r="K361" i="24"/>
  <c r="L397" i="24"/>
  <c r="K397" i="24"/>
  <c r="L421" i="24"/>
  <c r="K421" i="24"/>
  <c r="K460" i="24"/>
  <c r="L460" i="24"/>
  <c r="L491" i="24"/>
  <c r="K491" i="24"/>
  <c r="L551" i="24"/>
  <c r="K551" i="24"/>
  <c r="L599" i="24"/>
  <c r="K599" i="24"/>
  <c r="L635" i="24"/>
  <c r="K635" i="24"/>
  <c r="K766" i="24"/>
  <c r="L766" i="24"/>
  <c r="L801" i="24"/>
  <c r="K801" i="24"/>
  <c r="L849" i="24"/>
  <c r="K849" i="24"/>
  <c r="K897" i="24"/>
  <c r="L897" i="24"/>
  <c r="K945" i="24"/>
  <c r="L945" i="24"/>
  <c r="L981" i="24"/>
  <c r="K981" i="24"/>
  <c r="K1029" i="24"/>
  <c r="L1029" i="24"/>
  <c r="K1065" i="24"/>
  <c r="L1065" i="24"/>
  <c r="L1113" i="24"/>
  <c r="K1113" i="24"/>
  <c r="L1137" i="24"/>
  <c r="K1137" i="24"/>
  <c r="K1185" i="24"/>
  <c r="L1185" i="24"/>
  <c r="L1245" i="24"/>
  <c r="L1281" i="24"/>
  <c r="K1281" i="24"/>
  <c r="K1329" i="24"/>
  <c r="L1329" i="24"/>
  <c r="L1389" i="24"/>
  <c r="L1449" i="24"/>
  <c r="K1449" i="24"/>
  <c r="L1497" i="24"/>
  <c r="K1497" i="24"/>
  <c r="K1569" i="24"/>
  <c r="K1617" i="24"/>
  <c r="L1617" i="24"/>
  <c r="L1665" i="24"/>
  <c r="K1665" i="24"/>
  <c r="K1713" i="24"/>
  <c r="L1713" i="24"/>
  <c r="K1761" i="24"/>
  <c r="L1761" i="24"/>
  <c r="L1785" i="24"/>
  <c r="K1785" i="24"/>
  <c r="L1833" i="24"/>
  <c r="K1833" i="24"/>
  <c r="L1881" i="24"/>
  <c r="K1881" i="24"/>
  <c r="K1917" i="24"/>
  <c r="L1917" i="24"/>
  <c r="L1977" i="24"/>
  <c r="L2025" i="24"/>
  <c r="K2025" i="24"/>
  <c r="L2073" i="24"/>
  <c r="K2073" i="24"/>
  <c r="L2121" i="24"/>
  <c r="K2121" i="24"/>
  <c r="L2169" i="24"/>
  <c r="K2169" i="24"/>
  <c r="K2229" i="24"/>
  <c r="L2265" i="24"/>
  <c r="K2265" i="24"/>
  <c r="L2313" i="24"/>
  <c r="K2313" i="24"/>
  <c r="L2349" i="24"/>
  <c r="K2349" i="24"/>
  <c r="L2397" i="24"/>
  <c r="K2397" i="24"/>
  <c r="L2433" i="24"/>
  <c r="K2481" i="24"/>
  <c r="L2481" i="24"/>
  <c r="L2517" i="24"/>
  <c r="K2517" i="24"/>
  <c r="L2553" i="24"/>
  <c r="K2553" i="24"/>
  <c r="L2613" i="24"/>
  <c r="K2613" i="24"/>
  <c r="L2673" i="24"/>
  <c r="L2709" i="24"/>
  <c r="K2709" i="24"/>
  <c r="L2757" i="24"/>
  <c r="K2757" i="24"/>
  <c r="L2805" i="24"/>
  <c r="K2805" i="24"/>
  <c r="L2865" i="24"/>
  <c r="K2913" i="24"/>
  <c r="L2913" i="24"/>
  <c r="K2214" i="24"/>
  <c r="K1925" i="24"/>
  <c r="L682" i="24"/>
  <c r="L846" i="24"/>
  <c r="K64" i="24"/>
  <c r="L64" i="24"/>
  <c r="L100" i="24"/>
  <c r="K100" i="24"/>
  <c r="K196" i="24"/>
  <c r="L196" i="24"/>
  <c r="K375" i="24"/>
  <c r="L375" i="24"/>
  <c r="L411" i="24"/>
  <c r="K411" i="24"/>
  <c r="K493" i="24"/>
  <c r="L493" i="24"/>
  <c r="L565" i="24"/>
  <c r="K565" i="24"/>
  <c r="L649" i="24"/>
  <c r="K649" i="24"/>
  <c r="L684" i="24"/>
  <c r="K684" i="24"/>
  <c r="K732" i="24"/>
  <c r="L732" i="24"/>
  <c r="K768" i="24"/>
  <c r="L768" i="24"/>
  <c r="K1261" i="24"/>
  <c r="L1261" i="24"/>
  <c r="L15" i="24"/>
  <c r="K15" i="24"/>
  <c r="K63" i="24"/>
  <c r="L63" i="24"/>
  <c r="L123" i="24"/>
  <c r="L159" i="24"/>
  <c r="K159" i="24"/>
  <c r="K207" i="24"/>
  <c r="L207" i="24"/>
  <c r="L243" i="24"/>
  <c r="K243" i="24"/>
  <c r="L290" i="24"/>
  <c r="K290" i="24"/>
  <c r="K338" i="24"/>
  <c r="L338" i="24"/>
  <c r="K386" i="24"/>
  <c r="L386" i="24"/>
  <c r="L434" i="24"/>
  <c r="K434" i="24"/>
  <c r="K473" i="24"/>
  <c r="L473" i="24"/>
  <c r="L516" i="24"/>
  <c r="K516" i="24"/>
  <c r="L552" i="24"/>
  <c r="K552" i="24"/>
  <c r="K600" i="24"/>
  <c r="L600" i="24"/>
  <c r="L648" i="24"/>
  <c r="K648" i="24"/>
  <c r="L683" i="24"/>
  <c r="K683" i="24"/>
  <c r="L731" i="24"/>
  <c r="L790" i="24"/>
  <c r="K790" i="24"/>
  <c r="L838" i="24"/>
  <c r="K838" i="24"/>
  <c r="L886" i="24"/>
  <c r="K886" i="24"/>
  <c r="K922" i="24"/>
  <c r="L922" i="24"/>
  <c r="K946" i="24"/>
  <c r="L946" i="24"/>
  <c r="L970" i="24"/>
  <c r="K970" i="24"/>
  <c r="L1018" i="24"/>
  <c r="K1018" i="24"/>
  <c r="K1066" i="24"/>
  <c r="L1066" i="24"/>
  <c r="L1102" i="24"/>
  <c r="K1102" i="24"/>
  <c r="L1150" i="24"/>
  <c r="K1150" i="24"/>
  <c r="K1198" i="24"/>
  <c r="L1198" i="24"/>
  <c r="L1318" i="24"/>
  <c r="K1318" i="24"/>
  <c r="L1426" i="24"/>
  <c r="K1426" i="24"/>
  <c r="L1534" i="24"/>
  <c r="K1534" i="24"/>
  <c r="L1582" i="24"/>
  <c r="K1582" i="24"/>
  <c r="K1618" i="24"/>
  <c r="L1618" i="24"/>
  <c r="K1642" i="24"/>
  <c r="L1642" i="24"/>
  <c r="L1678" i="24"/>
  <c r="K1678" i="24"/>
  <c r="K1786" i="24"/>
  <c r="L1786" i="24"/>
  <c r="L1822" i="24"/>
  <c r="K1822" i="24"/>
  <c r="L1858" i="24"/>
  <c r="K1858" i="24"/>
  <c r="L1894" i="24"/>
  <c r="K1894" i="24"/>
  <c r="K1918" i="24"/>
  <c r="L1918" i="24"/>
  <c r="L2062" i="24"/>
  <c r="K2062" i="24"/>
  <c r="L2266" i="24"/>
  <c r="K2266" i="24"/>
  <c r="K2861" i="24"/>
  <c r="K2525" i="24"/>
  <c r="K2261" i="24"/>
  <c r="K2069" i="24"/>
  <c r="K1806" i="24"/>
  <c r="K1728" i="24"/>
  <c r="K1680" i="24"/>
  <c r="K1558" i="24"/>
  <c r="K1061" i="24"/>
  <c r="K763" i="24"/>
  <c r="K619" i="24"/>
  <c r="K500" i="24"/>
  <c r="K461" i="24"/>
  <c r="L107" i="24"/>
  <c r="L289" i="24"/>
  <c r="L410" i="24"/>
  <c r="L1077" i="24"/>
  <c r="L1422" i="24"/>
  <c r="L22" i="24"/>
  <c r="K22" i="24"/>
  <c r="L58" i="24"/>
  <c r="K58" i="24"/>
  <c r="K106" i="24"/>
  <c r="L106" i="24"/>
  <c r="L154" i="24"/>
  <c r="K154" i="24"/>
  <c r="K202" i="24"/>
  <c r="L202" i="24"/>
  <c r="L345" i="24"/>
  <c r="K345" i="24"/>
  <c r="K381" i="24"/>
  <c r="L381" i="24"/>
  <c r="K511" i="24"/>
  <c r="L511" i="24"/>
  <c r="L559" i="24"/>
  <c r="K559" i="24"/>
  <c r="K702" i="24"/>
  <c r="L702" i="24"/>
  <c r="K726" i="24"/>
  <c r="L726" i="24"/>
  <c r="L774" i="24"/>
  <c r="K774" i="24"/>
  <c r="L881" i="24"/>
  <c r="K881" i="24"/>
  <c r="L917" i="24"/>
  <c r="K917" i="24"/>
  <c r="K965" i="24"/>
  <c r="L965" i="24"/>
  <c r="K1013" i="24"/>
  <c r="L1013" i="24"/>
  <c r="L1037" i="24"/>
  <c r="K1037" i="24"/>
  <c r="L1085" i="24"/>
  <c r="K1085" i="24"/>
  <c r="K1205" i="24"/>
  <c r="L1205" i="24"/>
  <c r="L1253" i="24"/>
  <c r="K1253" i="24"/>
  <c r="L1493" i="24"/>
  <c r="K1493" i="24"/>
  <c r="L1541" i="24"/>
  <c r="K1541" i="24"/>
  <c r="L1589" i="24"/>
  <c r="K1589" i="24"/>
  <c r="L1637" i="24"/>
  <c r="K1637" i="24"/>
  <c r="L1661" i="24"/>
  <c r="K1661" i="24"/>
  <c r="L1709" i="24"/>
  <c r="K1709" i="24"/>
  <c r="L1745" i="24"/>
  <c r="K1745" i="24"/>
  <c r="L1793" i="24"/>
  <c r="K1793" i="24"/>
  <c r="L1913" i="24"/>
  <c r="K1913" i="24"/>
  <c r="L1937" i="24"/>
  <c r="K1937" i="24"/>
  <c r="L1985" i="24"/>
  <c r="K1985" i="24"/>
  <c r="L2009" i="24"/>
  <c r="K2009" i="24"/>
  <c r="L2021" i="24"/>
  <c r="K2021" i="24"/>
  <c r="L2045" i="24"/>
  <c r="K2045" i="24"/>
  <c r="L2093" i="24"/>
  <c r="K2093" i="24"/>
  <c r="L2129" i="24"/>
  <c r="K2129" i="24"/>
  <c r="L2165" i="24"/>
  <c r="K2165" i="24"/>
  <c r="L2201" i="24"/>
  <c r="K2201" i="24"/>
  <c r="L2237" i="24"/>
  <c r="K2237" i="24"/>
  <c r="L2285" i="24"/>
  <c r="K2285" i="24"/>
  <c r="L2333" i="24"/>
  <c r="K2333" i="24"/>
  <c r="L2381" i="24"/>
  <c r="K2381" i="24"/>
  <c r="L2441" i="24"/>
  <c r="K2441" i="24"/>
  <c r="L2549" i="24"/>
  <c r="K2549" i="24"/>
  <c r="L2585" i="24"/>
  <c r="K2585" i="24"/>
  <c r="L2657" i="24"/>
  <c r="K2657" i="24"/>
  <c r="L2801" i="24"/>
  <c r="K2801" i="24"/>
  <c r="K2837" i="24"/>
  <c r="L2837" i="24"/>
  <c r="L2873" i="24"/>
  <c r="K2873" i="24"/>
  <c r="L156" i="24"/>
  <c r="K156" i="24"/>
  <c r="K537" i="24"/>
  <c r="L537" i="24"/>
  <c r="L23" i="24"/>
  <c r="K23" i="24"/>
  <c r="L83" i="24"/>
  <c r="L131" i="24"/>
  <c r="K131" i="24"/>
  <c r="K179" i="24"/>
  <c r="L179" i="24"/>
  <c r="K227" i="24"/>
  <c r="L227" i="24"/>
  <c r="K275" i="24"/>
  <c r="L275" i="24"/>
  <c r="K334" i="24"/>
  <c r="L334" i="24"/>
  <c r="L382" i="24"/>
  <c r="L451" i="24"/>
  <c r="K451" i="24"/>
  <c r="K477" i="24"/>
  <c r="L477" i="24"/>
  <c r="L524" i="24"/>
  <c r="K524" i="24"/>
  <c r="K584" i="24"/>
  <c r="L584" i="24"/>
  <c r="L656" i="24"/>
  <c r="K691" i="24"/>
  <c r="L691" i="24"/>
  <c r="L810" i="24"/>
  <c r="K810" i="24"/>
  <c r="L942" i="24"/>
  <c r="K942" i="24"/>
  <c r="L954" i="24"/>
  <c r="K954" i="24"/>
  <c r="K1002" i="24"/>
  <c r="L1002" i="24"/>
  <c r="L1038" i="24"/>
  <c r="K1038" i="24"/>
  <c r="K1146" i="24"/>
  <c r="L1146" i="24"/>
  <c r="K1194" i="24"/>
  <c r="L1194" i="24"/>
  <c r="L1230" i="24"/>
  <c r="K1230" i="24"/>
  <c r="L1266" i="24"/>
  <c r="K1266" i="24"/>
  <c r="K1314" i="24"/>
  <c r="L1314" i="24"/>
  <c r="K1458" i="24"/>
  <c r="L1458" i="24"/>
  <c r="L1494" i="24"/>
  <c r="K1494" i="24"/>
  <c r="L1518" i="24"/>
  <c r="K1518" i="24"/>
  <c r="L1566" i="24"/>
  <c r="K1566" i="24"/>
  <c r="L1614" i="24"/>
  <c r="K1614" i="24"/>
  <c r="L1650" i="24"/>
  <c r="K1650" i="24"/>
  <c r="K1698" i="24"/>
  <c r="L1698" i="24"/>
  <c r="K1794" i="24"/>
  <c r="L1794" i="24"/>
  <c r="L1830" i="24"/>
  <c r="K1830" i="24"/>
  <c r="L1890" i="24"/>
  <c r="K1890" i="24"/>
  <c r="K1938" i="24"/>
  <c r="L1938" i="24"/>
  <c r="L1986" i="24"/>
  <c r="K1986" i="24"/>
  <c r="K2022" i="24"/>
  <c r="L2022" i="24"/>
  <c r="K2058" i="24"/>
  <c r="L2058" i="24"/>
  <c r="L2094" i="24"/>
  <c r="K2094" i="24"/>
  <c r="L2142" i="24"/>
  <c r="K2142" i="24"/>
  <c r="L2178" i="24"/>
  <c r="K2178" i="24"/>
  <c r="L2334" i="24"/>
  <c r="K2334" i="24"/>
  <c r="L2382" i="24"/>
  <c r="K2382" i="24"/>
  <c r="K2466" i="24"/>
  <c r="L2466" i="24"/>
  <c r="L2610" i="24"/>
  <c r="K2610" i="24"/>
  <c r="L2634" i="24"/>
  <c r="K2634" i="24"/>
  <c r="L2658" i="24"/>
  <c r="K2658" i="24"/>
  <c r="L2766" i="24"/>
  <c r="K2766" i="24"/>
  <c r="L2802" i="24"/>
  <c r="K2802" i="24"/>
  <c r="L2826" i="24"/>
  <c r="K2826" i="24"/>
  <c r="L2838" i="24"/>
  <c r="K2838" i="24"/>
  <c r="L2874" i="24"/>
  <c r="K2874" i="24"/>
  <c r="L2910" i="24"/>
  <c r="K2910" i="24"/>
  <c r="K738" i="24"/>
  <c r="K297" i="24"/>
  <c r="K168" i="24"/>
  <c r="K478" i="24"/>
  <c r="L704" i="24"/>
  <c r="L845" i="24"/>
  <c r="K781" i="24"/>
  <c r="L781" i="24"/>
  <c r="L816" i="24"/>
  <c r="K816" i="24"/>
  <c r="L840" i="24"/>
  <c r="K840" i="24"/>
  <c r="L888" i="24"/>
  <c r="K888" i="24"/>
  <c r="K924" i="24"/>
  <c r="L924" i="24"/>
  <c r="K960" i="24"/>
  <c r="L960" i="24"/>
  <c r="K996" i="24"/>
  <c r="L996" i="24"/>
  <c r="L1044" i="24"/>
  <c r="K1044" i="24"/>
  <c r="K1080" i="24"/>
  <c r="L1080" i="24"/>
  <c r="K1128" i="24"/>
  <c r="L1128" i="24"/>
  <c r="L1176" i="24"/>
  <c r="K1176" i="24"/>
  <c r="L1212" i="24"/>
  <c r="K1212" i="24"/>
  <c r="K1236" i="24"/>
  <c r="L1236" i="24"/>
  <c r="L1260" i="24"/>
  <c r="K1260" i="24"/>
  <c r="L1296" i="24"/>
  <c r="K1296" i="24"/>
  <c r="L1332" i="24"/>
  <c r="K1332" i="24"/>
  <c r="K1380" i="24"/>
  <c r="L1380" i="24"/>
  <c r="K1524" i="24"/>
  <c r="L1524" i="24"/>
  <c r="L1548" i="24"/>
  <c r="K1548" i="24"/>
  <c r="K1572" i="24"/>
  <c r="L1572" i="24"/>
  <c r="K1608" i="24"/>
  <c r="L1608" i="24"/>
  <c r="K1644" i="24"/>
  <c r="L1644" i="24"/>
  <c r="L1668" i="24"/>
  <c r="K1668" i="24"/>
  <c r="L1716" i="24"/>
  <c r="K1716" i="24"/>
  <c r="L1752" i="24"/>
  <c r="K1752" i="24"/>
  <c r="K1800" i="24"/>
  <c r="L1800" i="24"/>
  <c r="K1836" i="24"/>
  <c r="L1836" i="24"/>
  <c r="L1872" i="24"/>
  <c r="K1872" i="24"/>
  <c r="L1908" i="24"/>
  <c r="K1908" i="24"/>
  <c r="K1944" i="24"/>
  <c r="L1944" i="24"/>
  <c r="L2076" i="24"/>
  <c r="K2076" i="24"/>
  <c r="L2112" i="24"/>
  <c r="K2112" i="24"/>
  <c r="L2148" i="24"/>
  <c r="K2148" i="24"/>
  <c r="L2196" i="24"/>
  <c r="K2196" i="24"/>
  <c r="K2364" i="24"/>
  <c r="L2364" i="24"/>
  <c r="L2412" i="24"/>
  <c r="K2412" i="24"/>
  <c r="K2496" i="24"/>
  <c r="L2496" i="24"/>
  <c r="K2712" i="24"/>
  <c r="L2712" i="24"/>
  <c r="L2760" i="24"/>
  <c r="K2760" i="24"/>
  <c r="K2808" i="24"/>
  <c r="L2808" i="24"/>
  <c r="L2832" i="24"/>
  <c r="K2832" i="24"/>
  <c r="L2880" i="24"/>
  <c r="K2880" i="24"/>
  <c r="L2" i="24"/>
  <c r="K2" i="24"/>
  <c r="L26" i="24"/>
  <c r="K26" i="24"/>
  <c r="L74" i="24"/>
  <c r="K74" i="24"/>
  <c r="L98" i="24"/>
  <c r="K98" i="24"/>
  <c r="L134" i="24"/>
  <c r="K134" i="24"/>
  <c r="K194" i="24"/>
  <c r="L194" i="24"/>
  <c r="L313" i="24"/>
  <c r="K313" i="24"/>
  <c r="L337" i="24"/>
  <c r="K337" i="24"/>
  <c r="L373" i="24"/>
  <c r="K373" i="24"/>
  <c r="K444" i="24"/>
  <c r="L444" i="24"/>
  <c r="K563" i="24"/>
  <c r="L563" i="24"/>
  <c r="L611" i="24"/>
  <c r="K611" i="24"/>
  <c r="K647" i="24"/>
  <c r="L647" i="24"/>
  <c r="L671" i="24"/>
  <c r="K671" i="24"/>
  <c r="L694" i="24"/>
  <c r="K694" i="24"/>
  <c r="L742" i="24"/>
  <c r="K742" i="24"/>
  <c r="L789" i="24"/>
  <c r="K789" i="24"/>
  <c r="L837" i="24"/>
  <c r="K837" i="24"/>
  <c r="L885" i="24"/>
  <c r="K885" i="24"/>
  <c r="L933" i="24"/>
  <c r="K933" i="24"/>
  <c r="L969" i="24"/>
  <c r="K969" i="24"/>
  <c r="K1017" i="24"/>
  <c r="L1017" i="24"/>
  <c r="K1053" i="24"/>
  <c r="L1053" i="24"/>
  <c r="L1101" i="24"/>
  <c r="K1101" i="24"/>
  <c r="L1161" i="24"/>
  <c r="L1197" i="24"/>
  <c r="K1197" i="24"/>
  <c r="L1233" i="24"/>
  <c r="K1233" i="24"/>
  <c r="L1305" i="24"/>
  <c r="L1353" i="24"/>
  <c r="K1353" i="24"/>
  <c r="L1401" i="24"/>
  <c r="K1401" i="24"/>
  <c r="L1461" i="24"/>
  <c r="K1461" i="24"/>
  <c r="L1509" i="24"/>
  <c r="K1509" i="24"/>
  <c r="L1545" i="24"/>
  <c r="K1545" i="24"/>
  <c r="K1593" i="24"/>
  <c r="L1593" i="24"/>
  <c r="L1653" i="24"/>
  <c r="L1701" i="24"/>
  <c r="K1701" i="24"/>
  <c r="L1737" i="24"/>
  <c r="K1737" i="24"/>
  <c r="L1809" i="24"/>
  <c r="L1857" i="24"/>
  <c r="K1857" i="24"/>
  <c r="L1905" i="24"/>
  <c r="K1905" i="24"/>
  <c r="L1953" i="24"/>
  <c r="K1953" i="24"/>
  <c r="L2013" i="24"/>
  <c r="L2049" i="24"/>
  <c r="K2049" i="24"/>
  <c r="L2097" i="24"/>
  <c r="K2097" i="24"/>
  <c r="K2157" i="24"/>
  <c r="L2157" i="24"/>
  <c r="L2205" i="24"/>
  <c r="K2205" i="24"/>
  <c r="K2253" i="24"/>
  <c r="L2253" i="24"/>
  <c r="L2301" i="24"/>
  <c r="K2301" i="24"/>
  <c r="L2361" i="24"/>
  <c r="L2409" i="24"/>
  <c r="K2409" i="24"/>
  <c r="L2421" i="24"/>
  <c r="K2421" i="24"/>
  <c r="L2457" i="24"/>
  <c r="K2457" i="24"/>
  <c r="L2529" i="24"/>
  <c r="L2589" i="24"/>
  <c r="L2637" i="24"/>
  <c r="K2637" i="24"/>
  <c r="L2685" i="24"/>
  <c r="K2685" i="24"/>
  <c r="L2721" i="24"/>
  <c r="K2721" i="24"/>
  <c r="K2769" i="24"/>
  <c r="L2769" i="24"/>
  <c r="L2817" i="24"/>
  <c r="K2817" i="24"/>
  <c r="L2853" i="24"/>
  <c r="K2853" i="24"/>
  <c r="L2901" i="24"/>
  <c r="K2901" i="24"/>
  <c r="K2529" i="24"/>
  <c r="L1569" i="24"/>
  <c r="L280" i="24"/>
  <c r="K280" i="24"/>
  <c r="L363" i="24"/>
  <c r="K363" i="24"/>
  <c r="L399" i="24"/>
  <c r="K399" i="24"/>
  <c r="K435" i="24"/>
  <c r="L435" i="24"/>
  <c r="K474" i="24"/>
  <c r="L474" i="24"/>
  <c r="K517" i="24"/>
  <c r="L517" i="24"/>
  <c r="K625" i="24"/>
  <c r="L625" i="24"/>
  <c r="L2749" i="24"/>
  <c r="K2749" i="24"/>
  <c r="L3" i="24"/>
  <c r="K3" i="24"/>
  <c r="L51" i="24"/>
  <c r="K51" i="24"/>
  <c r="L111" i="24"/>
  <c r="K171" i="24"/>
  <c r="L171" i="24"/>
  <c r="K219" i="24"/>
  <c r="L219" i="24"/>
  <c r="L267" i="24"/>
  <c r="K267" i="24"/>
  <c r="K326" i="24"/>
  <c r="K374" i="24"/>
  <c r="L374" i="24"/>
  <c r="K422" i="24"/>
  <c r="L422" i="24"/>
  <c r="L504" i="24"/>
  <c r="K504" i="24"/>
  <c r="L564" i="24"/>
  <c r="K564" i="24"/>
  <c r="L612" i="24"/>
  <c r="K660" i="24"/>
  <c r="L660" i="24"/>
  <c r="K719" i="24"/>
  <c r="K767" i="24"/>
  <c r="L767" i="24"/>
  <c r="L814" i="24"/>
  <c r="K814" i="24"/>
  <c r="L862" i="24"/>
  <c r="K862" i="24"/>
  <c r="K910" i="24"/>
  <c r="L910" i="24"/>
  <c r="K1054" i="24"/>
  <c r="L1054" i="24"/>
  <c r="L1090" i="24"/>
  <c r="K1090" i="24"/>
  <c r="L1138" i="24"/>
  <c r="K1138" i="24"/>
  <c r="K1174" i="24"/>
  <c r="L1174" i="24"/>
  <c r="K1210" i="24"/>
  <c r="L1210" i="24"/>
  <c r="L1246" i="24"/>
  <c r="K1246" i="24"/>
  <c r="L1294" i="24"/>
  <c r="K1294" i="24"/>
  <c r="K1330" i="24"/>
  <c r="L1330" i="24"/>
  <c r="K1366" i="24"/>
  <c r="L1366" i="24"/>
  <c r="L1402" i="24"/>
  <c r="K1402" i="24"/>
  <c r="K1486" i="24"/>
  <c r="L1486" i="24"/>
  <c r="L1882" i="24"/>
  <c r="K1882" i="24"/>
  <c r="K877" i="24"/>
  <c r="K2706" i="24"/>
  <c r="K2670" i="24"/>
  <c r="K2621" i="24"/>
  <c r="K1977" i="24"/>
  <c r="K1613" i="24"/>
  <c r="K1554" i="24"/>
  <c r="K1470" i="24"/>
  <c r="K1390" i="24"/>
  <c r="K1245" i="24"/>
  <c r="K994" i="24"/>
  <c r="K762" i="24"/>
  <c r="K655" i="24"/>
  <c r="K613" i="24"/>
  <c r="K499" i="24"/>
  <c r="K459" i="24"/>
  <c r="L982" i="24"/>
  <c r="L1344" i="24"/>
  <c r="L6" i="24"/>
  <c r="K6" i="24"/>
  <c r="K30" i="24"/>
  <c r="L30" i="24"/>
  <c r="L42" i="24"/>
  <c r="K42" i="24"/>
  <c r="K66" i="24"/>
  <c r="L66" i="24"/>
  <c r="L78" i="24"/>
  <c r="K78" i="24"/>
  <c r="K90" i="24"/>
  <c r="L90" i="24"/>
  <c r="L102" i="24"/>
  <c r="K102" i="24"/>
  <c r="L114" i="24"/>
  <c r="K114" i="24"/>
  <c r="K126" i="24"/>
  <c r="L126" i="24"/>
  <c r="L174" i="24"/>
  <c r="K174" i="24"/>
  <c r="L186" i="24"/>
  <c r="K186" i="24"/>
  <c r="K210" i="24"/>
  <c r="L210" i="24"/>
  <c r="K246" i="24"/>
  <c r="L246" i="24"/>
  <c r="K258" i="24"/>
  <c r="L258" i="24"/>
  <c r="L270" i="24"/>
  <c r="K270" i="24"/>
  <c r="L305" i="24"/>
  <c r="K305" i="24"/>
  <c r="K317" i="24"/>
  <c r="L317" i="24"/>
  <c r="L329" i="24"/>
  <c r="K329" i="24"/>
  <c r="L341" i="24"/>
  <c r="K341" i="24"/>
  <c r="L365" i="24"/>
  <c r="K365" i="24"/>
  <c r="L401" i="24"/>
  <c r="K401" i="24"/>
  <c r="L413" i="24"/>
  <c r="K413" i="24"/>
  <c r="K425" i="24"/>
  <c r="L425" i="24"/>
  <c r="L464" i="24"/>
  <c r="K464" i="24"/>
  <c r="K483" i="24"/>
  <c r="L483" i="24"/>
  <c r="L495" i="24"/>
  <c r="K495" i="24"/>
  <c r="L519" i="24"/>
  <c r="K519" i="24"/>
  <c r="K531" i="24"/>
  <c r="L531" i="24"/>
  <c r="K543" i="24"/>
  <c r="L543" i="24"/>
  <c r="L567" i="24"/>
  <c r="K567" i="24"/>
  <c r="L591" i="24"/>
  <c r="K591" i="24"/>
  <c r="L603" i="24"/>
  <c r="K603" i="24"/>
  <c r="L615" i="24"/>
  <c r="K615" i="24"/>
  <c r="K627" i="24"/>
  <c r="L627" i="24"/>
  <c r="K651" i="24"/>
  <c r="L651" i="24"/>
  <c r="L663" i="24"/>
  <c r="K663" i="24"/>
  <c r="L686" i="24"/>
  <c r="K686" i="24"/>
  <c r="L698" i="24"/>
  <c r="K698" i="24"/>
  <c r="L722" i="24"/>
  <c r="K722" i="24"/>
  <c r="L734" i="24"/>
  <c r="K734" i="24"/>
  <c r="L746" i="24"/>
  <c r="K746" i="24"/>
  <c r="L770" i="24"/>
  <c r="K770" i="24"/>
  <c r="L782" i="24"/>
  <c r="K782" i="24"/>
  <c r="K793" i="24"/>
  <c r="L793" i="24"/>
  <c r="K805" i="24"/>
  <c r="K817" i="24"/>
  <c r="L817" i="24"/>
  <c r="L829" i="24"/>
  <c r="K829" i="24"/>
  <c r="L841" i="24"/>
  <c r="K841" i="24"/>
  <c r="L853" i="24"/>
  <c r="K865" i="24"/>
  <c r="L865" i="24"/>
  <c r="L889" i="24"/>
  <c r="K901" i="24"/>
  <c r="L913" i="24"/>
  <c r="L925" i="24"/>
  <c r="K925" i="24"/>
  <c r="K937" i="24"/>
  <c r="K949" i="24"/>
  <c r="L949" i="24"/>
  <c r="K961" i="24"/>
  <c r="L961" i="24"/>
  <c r="L973" i="24"/>
  <c r="L985" i="24"/>
  <c r="K985" i="24"/>
  <c r="L997" i="24"/>
  <c r="K997" i="24"/>
  <c r="L1009" i="24"/>
  <c r="L1021" i="24"/>
  <c r="L1033" i="24"/>
  <c r="K1033" i="24"/>
  <c r="L1045" i="24"/>
  <c r="K1045" i="24"/>
  <c r="L1057" i="24"/>
  <c r="L1069" i="24"/>
  <c r="K1069" i="24"/>
  <c r="K1081" i="24"/>
  <c r="L1081" i="24"/>
  <c r="K1093" i="24"/>
  <c r="L1093" i="24"/>
  <c r="K1105" i="24"/>
  <c r="L1105" i="24"/>
  <c r="L1117" i="24"/>
  <c r="K1117" i="24"/>
  <c r="L1129" i="24"/>
  <c r="K1129" i="24"/>
  <c r="L1141" i="24"/>
  <c r="K1141" i="24"/>
  <c r="K1153" i="24"/>
  <c r="L1165" i="24"/>
  <c r="K1165" i="24"/>
  <c r="L1177" i="24"/>
  <c r="K1177" i="24"/>
  <c r="L1189" i="24"/>
  <c r="K1189" i="24"/>
  <c r="L1201" i="24"/>
  <c r="K1201" i="24"/>
  <c r="L1213" i="24"/>
  <c r="L1225" i="24"/>
  <c r="K1225" i="24"/>
  <c r="K1237" i="24"/>
  <c r="L1237" i="24"/>
  <c r="K1249" i="24"/>
  <c r="L1249" i="24"/>
  <c r="L1273" i="24"/>
  <c r="K1273" i="24"/>
  <c r="L1285" i="24"/>
  <c r="K1285" i="24"/>
  <c r="K1309" i="24"/>
  <c r="L1393" i="24"/>
  <c r="K1429" i="24"/>
  <c r="L1453" i="24"/>
  <c r="L1537" i="24"/>
  <c r="K1549" i="24"/>
  <c r="K1789" i="24"/>
  <c r="K1873" i="24"/>
  <c r="K1933" i="24"/>
  <c r="K1993" i="24"/>
  <c r="K2029" i="24"/>
  <c r="L2341" i="24"/>
  <c r="L2413" i="24"/>
  <c r="K2449" i="24"/>
  <c r="K2473" i="24"/>
  <c r="K2593" i="24"/>
  <c r="K2629" i="24"/>
  <c r="K2761" i="24"/>
  <c r="K2893" i="24"/>
  <c r="K2770" i="24"/>
  <c r="K2746" i="24"/>
  <c r="K2631" i="24"/>
  <c r="K2439" i="24"/>
  <c r="K2307" i="24"/>
  <c r="K1987" i="24"/>
  <c r="K1863" i="24"/>
  <c r="K1743" i="24"/>
  <c r="K1213" i="24"/>
  <c r="K1095" i="24"/>
  <c r="K675" i="24"/>
  <c r="K447" i="24"/>
  <c r="K138" i="24"/>
  <c r="L758" i="24"/>
  <c r="L806" i="24"/>
  <c r="L878" i="24"/>
  <c r="L1814" i="24"/>
  <c r="L2536" i="24"/>
  <c r="K2350" i="24"/>
  <c r="L2350" i="24"/>
  <c r="K2446" i="24"/>
  <c r="L2446" i="24"/>
  <c r="K2482" i="24"/>
  <c r="L2482" i="24"/>
  <c r="L2590" i="24"/>
  <c r="K2590" i="24"/>
  <c r="L2626" i="24"/>
  <c r="K2626" i="24"/>
  <c r="L2662" i="24"/>
  <c r="K2662" i="24"/>
  <c r="L7" i="24"/>
  <c r="K7" i="24"/>
  <c r="K19" i="24"/>
  <c r="L31" i="24"/>
  <c r="K31" i="24"/>
  <c r="L43" i="24"/>
  <c r="K43" i="24"/>
  <c r="L55" i="24"/>
  <c r="K55" i="24"/>
  <c r="K67" i="24"/>
  <c r="K79" i="24"/>
  <c r="L79" i="24"/>
  <c r="L91" i="24"/>
  <c r="K91" i="24"/>
  <c r="K103" i="24"/>
  <c r="L103" i="24"/>
  <c r="K115" i="24"/>
  <c r="L115" i="24"/>
  <c r="K127" i="24"/>
  <c r="L127" i="24"/>
  <c r="L139" i="24"/>
  <c r="K151" i="24"/>
  <c r="L163" i="24"/>
  <c r="K175" i="24"/>
  <c r="L175" i="24"/>
  <c r="K187" i="24"/>
  <c r="L187" i="24"/>
  <c r="L199" i="24"/>
  <c r="K211" i="24"/>
  <c r="K223" i="24"/>
  <c r="L223" i="24"/>
  <c r="K235" i="24"/>
  <c r="K247" i="24"/>
  <c r="L247" i="24"/>
  <c r="L259" i="24"/>
  <c r="K259" i="24"/>
  <c r="L271" i="24"/>
  <c r="K271" i="24"/>
  <c r="L282" i="24"/>
  <c r="K282" i="24"/>
  <c r="L294" i="24"/>
  <c r="K306" i="24"/>
  <c r="L306" i="24"/>
  <c r="L318" i="24"/>
  <c r="L330" i="24"/>
  <c r="K330" i="24"/>
  <c r="L342" i="24"/>
  <c r="K354" i="24"/>
  <c r="K366" i="24"/>
  <c r="L366" i="24"/>
  <c r="L378" i="24"/>
  <c r="K378" i="24"/>
  <c r="L390" i="24"/>
  <c r="K390" i="24"/>
  <c r="K402" i="24"/>
  <c r="L402" i="24"/>
  <c r="K414" i="24"/>
  <c r="L414" i="24"/>
  <c r="L426" i="24"/>
  <c r="K426" i="24"/>
  <c r="K438" i="24"/>
  <c r="L438" i="24"/>
  <c r="K456" i="24"/>
  <c r="K465" i="24"/>
  <c r="L465" i="24"/>
  <c r="L484" i="24"/>
  <c r="K496" i="24"/>
  <c r="L496" i="24"/>
  <c r="K508" i="24"/>
  <c r="K532" i="24"/>
  <c r="L532" i="24"/>
  <c r="L544" i="24"/>
  <c r="K544" i="24"/>
  <c r="L556" i="24"/>
  <c r="K556" i="24"/>
  <c r="K568" i="24"/>
  <c r="L568" i="24"/>
  <c r="K580" i="24"/>
  <c r="L580" i="24"/>
  <c r="L592" i="24"/>
  <c r="K604" i="24"/>
  <c r="L604" i="24"/>
  <c r="L616" i="24"/>
  <c r="K616" i="24"/>
  <c r="L628" i="24"/>
  <c r="K628" i="24"/>
  <c r="K640" i="24"/>
  <c r="L640" i="24"/>
  <c r="L652" i="24"/>
  <c r="K664" i="24"/>
  <c r="L664" i="24"/>
  <c r="K687" i="24"/>
  <c r="L687" i="24"/>
  <c r="K699" i="24"/>
  <c r="L699" i="24"/>
  <c r="K711" i="24"/>
  <c r="L723" i="24"/>
  <c r="K723" i="24"/>
  <c r="K735" i="24"/>
  <c r="L735" i="24"/>
  <c r="L747" i="24"/>
  <c r="K747" i="24"/>
  <c r="L759" i="24"/>
  <c r="K759" i="24"/>
  <c r="L771" i="24"/>
  <c r="K771" i="24"/>
  <c r="L783" i="24"/>
  <c r="K783" i="24"/>
  <c r="K818" i="24"/>
  <c r="L818" i="24"/>
  <c r="K830" i="24"/>
  <c r="L830" i="24"/>
  <c r="L842" i="24"/>
  <c r="K842" i="24"/>
  <c r="L854" i="24"/>
  <c r="K854" i="24"/>
  <c r="L866" i="24"/>
  <c r="K866" i="24"/>
  <c r="L890" i="24"/>
  <c r="K890" i="24"/>
  <c r="L902" i="24"/>
  <c r="K902" i="24"/>
  <c r="L926" i="24"/>
  <c r="K926" i="24"/>
  <c r="K950" i="24"/>
  <c r="L950" i="24"/>
  <c r="K962" i="24"/>
  <c r="L962" i="24"/>
  <c r="L1010" i="24"/>
  <c r="K1010" i="24"/>
  <c r="L1046" i="24"/>
  <c r="K1046" i="24"/>
  <c r="L1070" i="24"/>
  <c r="K1070" i="24"/>
  <c r="K1106" i="24"/>
  <c r="L1106" i="24"/>
  <c r="L1118" i="24"/>
  <c r="K1118" i="24"/>
  <c r="L1130" i="24"/>
  <c r="K1130" i="24"/>
  <c r="L1166" i="24"/>
  <c r="K1166" i="24"/>
  <c r="L1190" i="24"/>
  <c r="K1190" i="24"/>
  <c r="L1214" i="24"/>
  <c r="K1214" i="24"/>
  <c r="L1226" i="24"/>
  <c r="K1226" i="24"/>
  <c r="K1238" i="24"/>
  <c r="L1238" i="24"/>
  <c r="K1250" i="24"/>
  <c r="L1250" i="24"/>
  <c r="K1262" i="24"/>
  <c r="L1262" i="24"/>
  <c r="L1274" i="24"/>
  <c r="K1274" i="24"/>
  <c r="K1310" i="24"/>
  <c r="L1310" i="24"/>
  <c r="L1334" i="24"/>
  <c r="K1334" i="24"/>
  <c r="L1346" i="24"/>
  <c r="K1346" i="24"/>
  <c r="L1382" i="24"/>
  <c r="K1382" i="24"/>
  <c r="K1394" i="24"/>
  <c r="L1394" i="24"/>
  <c r="L1418" i="24"/>
  <c r="K1418" i="24"/>
  <c r="L1430" i="24"/>
  <c r="K1430" i="24"/>
  <c r="L1442" i="24"/>
  <c r="K1442" i="24"/>
  <c r="K1454" i="24"/>
  <c r="L1454" i="24"/>
  <c r="L1490" i="24"/>
  <c r="K1490" i="24"/>
  <c r="L1502" i="24"/>
  <c r="K1502" i="24"/>
  <c r="K1526" i="24"/>
  <c r="L1526" i="24"/>
  <c r="K1538" i="24"/>
  <c r="L1538" i="24"/>
  <c r="K1550" i="24"/>
  <c r="L1550" i="24"/>
  <c r="L1562" i="24"/>
  <c r="K1562" i="24"/>
  <c r="L1586" i="24"/>
  <c r="K1586" i="24"/>
  <c r="L1610" i="24"/>
  <c r="K1610" i="24"/>
  <c r="K1670" i="24"/>
  <c r="L1670" i="24"/>
  <c r="K1682" i="24"/>
  <c r="L1682" i="24"/>
  <c r="L1730" i="24"/>
  <c r="K1730" i="24"/>
  <c r="L1754" i="24"/>
  <c r="K1754" i="24"/>
  <c r="L1766" i="24"/>
  <c r="K1766" i="24"/>
  <c r="L1778" i="24"/>
  <c r="K1778" i="24"/>
  <c r="L1790" i="24"/>
  <c r="K1790" i="24"/>
  <c r="L1802" i="24"/>
  <c r="K1802" i="24"/>
  <c r="K1826" i="24"/>
  <c r="L1826" i="24"/>
  <c r="K1838" i="24"/>
  <c r="L1838" i="24"/>
  <c r="K1850" i="24"/>
  <c r="L1850" i="24"/>
  <c r="K1874" i="24"/>
  <c r="L1874" i="24"/>
  <c r="K1886" i="24"/>
  <c r="L1886" i="24"/>
  <c r="L1922" i="24"/>
  <c r="K1922" i="24"/>
  <c r="L1934" i="24"/>
  <c r="K1934" i="24"/>
  <c r="L1958" i="24"/>
  <c r="K1958" i="24"/>
  <c r="K1970" i="24"/>
  <c r="L1970" i="24"/>
  <c r="K1982" i="24"/>
  <c r="L1982" i="24"/>
  <c r="L1994" i="24"/>
  <c r="K1994" i="24"/>
  <c r="K2018" i="24"/>
  <c r="L2018" i="24"/>
  <c r="L2042" i="24"/>
  <c r="K2042" i="24"/>
  <c r="K2878" i="24"/>
  <c r="K2578" i="24"/>
  <c r="K1862" i="24"/>
  <c r="K1791" i="24"/>
  <c r="K1742" i="24"/>
  <c r="K1411" i="24"/>
  <c r="K1167" i="24"/>
  <c r="K1003" i="24"/>
  <c r="L1815" i="24"/>
  <c r="L2410" i="24"/>
  <c r="L2326" i="24"/>
  <c r="K2326" i="24"/>
  <c r="L2398" i="24"/>
  <c r="K2398" i="24"/>
  <c r="L2422" i="24"/>
  <c r="K2422" i="24"/>
  <c r="L2542" i="24"/>
  <c r="K2542" i="24"/>
  <c r="L2566" i="24"/>
  <c r="K2566" i="24"/>
  <c r="L2650" i="24"/>
  <c r="K2650" i="24"/>
  <c r="L2722" i="24"/>
  <c r="K2722" i="24"/>
  <c r="L2782" i="24"/>
  <c r="K2782" i="24"/>
  <c r="L2794" i="24"/>
  <c r="K2794" i="24"/>
  <c r="K2806" i="24"/>
  <c r="L2806" i="24"/>
  <c r="L2854" i="24"/>
  <c r="K2854" i="24"/>
  <c r="L2902" i="24"/>
  <c r="K2902" i="24"/>
  <c r="K2614" i="24"/>
  <c r="K2554" i="24"/>
  <c r="L8" i="24"/>
  <c r="K8" i="24"/>
  <c r="L20" i="24"/>
  <c r="K20" i="24"/>
  <c r="L32" i="24"/>
  <c r="K32" i="24"/>
  <c r="L44" i="24"/>
  <c r="K44" i="24"/>
  <c r="L56" i="24"/>
  <c r="K56" i="24"/>
  <c r="L68" i="24"/>
  <c r="K68" i="24"/>
  <c r="L80" i="24"/>
  <c r="K80" i="24"/>
  <c r="L92" i="24"/>
  <c r="K92" i="24"/>
  <c r="L104" i="24"/>
  <c r="K104" i="24"/>
  <c r="L116" i="24"/>
  <c r="K116" i="24"/>
  <c r="L128" i="24"/>
  <c r="K128" i="24"/>
  <c r="L140" i="24"/>
  <c r="K140" i="24"/>
  <c r="L152" i="24"/>
  <c r="K152" i="24"/>
  <c r="L164" i="24"/>
  <c r="K164" i="24"/>
  <c r="L176" i="24"/>
  <c r="K176" i="24"/>
  <c r="L188" i="24"/>
  <c r="K188" i="24"/>
  <c r="L200" i="24"/>
  <c r="K200" i="24"/>
  <c r="L212" i="24"/>
  <c r="K212" i="24"/>
  <c r="L224" i="24"/>
  <c r="K224" i="24"/>
  <c r="L236" i="24"/>
  <c r="K236" i="24"/>
  <c r="L248" i="24"/>
  <c r="K248" i="24"/>
  <c r="L260" i="24"/>
  <c r="K260" i="24"/>
  <c r="L272" i="24"/>
  <c r="K272" i="24"/>
  <c r="L283" i="24"/>
  <c r="K283" i="24"/>
  <c r="L295" i="24"/>
  <c r="K295" i="24"/>
  <c r="L307" i="24"/>
  <c r="K307" i="24"/>
  <c r="L319" i="24"/>
  <c r="K319" i="24"/>
  <c r="L331" i="24"/>
  <c r="K331" i="24"/>
  <c r="L343" i="24"/>
  <c r="K343" i="24"/>
  <c r="L355" i="24"/>
  <c r="K355" i="24"/>
  <c r="L367" i="24"/>
  <c r="K367" i="24"/>
  <c r="L379" i="24"/>
  <c r="K379" i="24"/>
  <c r="L391" i="24"/>
  <c r="K391" i="24"/>
  <c r="L403" i="24"/>
  <c r="K403" i="24"/>
  <c r="L415" i="24"/>
  <c r="K415" i="24"/>
  <c r="L427" i="24"/>
  <c r="K427" i="24"/>
  <c r="L439" i="24"/>
  <c r="K439" i="24"/>
  <c r="L448" i="24"/>
  <c r="K448" i="24"/>
  <c r="L457" i="24"/>
  <c r="K457" i="24"/>
  <c r="L466" i="24"/>
  <c r="K466" i="24"/>
  <c r="L485" i="24"/>
  <c r="K485" i="24"/>
  <c r="L497" i="24"/>
  <c r="K497" i="24"/>
  <c r="L509" i="24"/>
  <c r="K509" i="24"/>
  <c r="L521" i="24"/>
  <c r="K521" i="24"/>
  <c r="L533" i="24"/>
  <c r="K533" i="24"/>
  <c r="L545" i="24"/>
  <c r="K545" i="24"/>
  <c r="L557" i="24"/>
  <c r="K557" i="24"/>
  <c r="L569" i="24"/>
  <c r="K569" i="24"/>
  <c r="L581" i="24"/>
  <c r="K581" i="24"/>
  <c r="L593" i="24"/>
  <c r="K593" i="24"/>
  <c r="L605" i="24"/>
  <c r="K605" i="24"/>
  <c r="L617" i="24"/>
  <c r="K617" i="24"/>
  <c r="L629" i="24"/>
  <c r="K629" i="24"/>
  <c r="L641" i="24"/>
  <c r="K641" i="24"/>
  <c r="L653" i="24"/>
  <c r="K653" i="24"/>
  <c r="L665" i="24"/>
  <c r="K665" i="24"/>
  <c r="L677" i="24"/>
  <c r="K677" i="24"/>
  <c r="L688" i="24"/>
  <c r="K688" i="24"/>
  <c r="L700" i="24"/>
  <c r="K700" i="24"/>
  <c r="L712" i="24"/>
  <c r="K712" i="24"/>
  <c r="L724" i="24"/>
  <c r="L736" i="24"/>
  <c r="K736" i="24"/>
  <c r="L748" i="24"/>
  <c r="K748" i="24"/>
  <c r="L760" i="24"/>
  <c r="L772" i="24"/>
  <c r="K772" i="24"/>
  <c r="L795" i="24"/>
  <c r="K795" i="24"/>
  <c r="L807" i="24"/>
  <c r="K807" i="24"/>
  <c r="L819" i="24"/>
  <c r="K819" i="24"/>
  <c r="L831" i="24"/>
  <c r="K831" i="24"/>
  <c r="L843" i="24"/>
  <c r="K843" i="24"/>
  <c r="L855" i="24"/>
  <c r="K855" i="24"/>
  <c r="L867" i="24"/>
  <c r="K867" i="24"/>
  <c r="L879" i="24"/>
  <c r="K879" i="24"/>
  <c r="L891" i="24"/>
  <c r="K891" i="24"/>
  <c r="L903" i="24"/>
  <c r="K903" i="24"/>
  <c r="L927" i="24"/>
  <c r="K927" i="24"/>
  <c r="L963" i="24"/>
  <c r="K963" i="24"/>
  <c r="L975" i="24"/>
  <c r="K975" i="24"/>
  <c r="L987" i="24"/>
  <c r="K987" i="24"/>
  <c r="L1011" i="24"/>
  <c r="K1011" i="24"/>
  <c r="L1023" i="24"/>
  <c r="K1023" i="24"/>
  <c r="L1047" i="24"/>
  <c r="K1047" i="24"/>
  <c r="L1071" i="24"/>
  <c r="K1071" i="24"/>
  <c r="L1107" i="24"/>
  <c r="K1107" i="24"/>
  <c r="L1119" i="24"/>
  <c r="K1119" i="24"/>
  <c r="L1131" i="24"/>
  <c r="K1131" i="24"/>
  <c r="L1155" i="24"/>
  <c r="K1155" i="24"/>
  <c r="L1191" i="24"/>
  <c r="K1191" i="24"/>
  <c r="L1215" i="24"/>
  <c r="K1215" i="24"/>
  <c r="L1227" i="24"/>
  <c r="K1227" i="24"/>
  <c r="L1239" i="24"/>
  <c r="K1239" i="24"/>
  <c r="L1251" i="24"/>
  <c r="K1251" i="24"/>
  <c r="L1263" i="24"/>
  <c r="K1263" i="24"/>
  <c r="L1275" i="24"/>
  <c r="K1275" i="24"/>
  <c r="L1311" i="24"/>
  <c r="K1311" i="24"/>
  <c r="L1335" i="24"/>
  <c r="K1335" i="24"/>
  <c r="L1347" i="24"/>
  <c r="K1347" i="24"/>
  <c r="L1359" i="24"/>
  <c r="K1359" i="24"/>
  <c r="L1371" i="24"/>
  <c r="K1371" i="24"/>
  <c r="L1383" i="24"/>
  <c r="K1383" i="24"/>
  <c r="L1395" i="24"/>
  <c r="K1395" i="24"/>
  <c r="L1407" i="24"/>
  <c r="K1407" i="24"/>
  <c r="L1419" i="24"/>
  <c r="K1419" i="24"/>
  <c r="L1431" i="24"/>
  <c r="K1431" i="24"/>
  <c r="L1455" i="24"/>
  <c r="K1455" i="24"/>
  <c r="L1467" i="24"/>
  <c r="K1467" i="24"/>
  <c r="L1479" i="24"/>
  <c r="K1479" i="24"/>
  <c r="L1491" i="24"/>
  <c r="K1491" i="24"/>
  <c r="L1503" i="24"/>
  <c r="K1503" i="24"/>
  <c r="L1527" i="24"/>
  <c r="K1527" i="24"/>
  <c r="K1539" i="24"/>
  <c r="L1539" i="24"/>
  <c r="K1551" i="24"/>
  <c r="L1551" i="24"/>
  <c r="L1563" i="24"/>
  <c r="K1563" i="24"/>
  <c r="L1587" i="24"/>
  <c r="K1587" i="24"/>
  <c r="L1611" i="24"/>
  <c r="K1611" i="24"/>
  <c r="L1635" i="24"/>
  <c r="K1635" i="24"/>
  <c r="L1671" i="24"/>
  <c r="K1671" i="24"/>
  <c r="L1683" i="24"/>
  <c r="K1683" i="24"/>
  <c r="K1695" i="24"/>
  <c r="L1695" i="24"/>
  <c r="K1707" i="24"/>
  <c r="L1707" i="24"/>
  <c r="L1719" i="24"/>
  <c r="K1719" i="24"/>
  <c r="L1731" i="24"/>
  <c r="K1731" i="24"/>
  <c r="L1755" i="24"/>
  <c r="K1755" i="24"/>
  <c r="K1827" i="24"/>
  <c r="L1827" i="24"/>
  <c r="L1839" i="24"/>
  <c r="K1839" i="24"/>
  <c r="K1851" i="24"/>
  <c r="L1851" i="24"/>
  <c r="K1875" i="24"/>
  <c r="L1875" i="24"/>
  <c r="L1887" i="24"/>
  <c r="K1887" i="24"/>
  <c r="L1923" i="24"/>
  <c r="K1923" i="24"/>
  <c r="L1935" i="24"/>
  <c r="K1935" i="24"/>
  <c r="K1959" i="24"/>
  <c r="L1959" i="24"/>
  <c r="K1971" i="24"/>
  <c r="L1971" i="24"/>
  <c r="K1983" i="24"/>
  <c r="L1983" i="24"/>
  <c r="L2007" i="24"/>
  <c r="K2007" i="24"/>
  <c r="L2019" i="24"/>
  <c r="K2019" i="24"/>
  <c r="L2043" i="24"/>
  <c r="K2043" i="24"/>
  <c r="L2055" i="24"/>
  <c r="K2055" i="24"/>
  <c r="L2067" i="24"/>
  <c r="K2067" i="24"/>
  <c r="L2079" i="24"/>
  <c r="K2079" i="24"/>
  <c r="L2091" i="24"/>
  <c r="K2091" i="24"/>
  <c r="K2115" i="24"/>
  <c r="L2115" i="24"/>
  <c r="K2127" i="24"/>
  <c r="L2127" i="24"/>
  <c r="K2139" i="24"/>
  <c r="L2139" i="24"/>
  <c r="L2163" i="24"/>
  <c r="K2163" i="24"/>
  <c r="L2175" i="24"/>
  <c r="K2175" i="24"/>
  <c r="L2187" i="24"/>
  <c r="K2187" i="24"/>
  <c r="L2199" i="24"/>
  <c r="K2199" i="24"/>
  <c r="L2223" i="24"/>
  <c r="K2223" i="24"/>
  <c r="L2247" i="24"/>
  <c r="K2247" i="24"/>
  <c r="K2259" i="24"/>
  <c r="L2259" i="24"/>
  <c r="K2271" i="24"/>
  <c r="L2271" i="24"/>
  <c r="K2283" i="24"/>
  <c r="L2283" i="24"/>
  <c r="L2319" i="24"/>
  <c r="K2319" i="24"/>
  <c r="L2355" i="24"/>
  <c r="K2355" i="24"/>
  <c r="K2379" i="24"/>
  <c r="L2379" i="24"/>
  <c r="L2403" i="24"/>
  <c r="K2403" i="24"/>
  <c r="K2415" i="24"/>
  <c r="L2415" i="24"/>
  <c r="K2427" i="24"/>
  <c r="L2427" i="24"/>
  <c r="L2463" i="24"/>
  <c r="K2463" i="24"/>
  <c r="L2475" i="24"/>
  <c r="K2475" i="24"/>
  <c r="L2499" i="24"/>
  <c r="K2499" i="24"/>
  <c r="L2523" i="24"/>
  <c r="K2523" i="24"/>
  <c r="K2535" i="24"/>
  <c r="L2535" i="24"/>
  <c r="L2547" i="24"/>
  <c r="K2547" i="24"/>
  <c r="K2559" i="24"/>
  <c r="L2559" i="24"/>
  <c r="K2571" i="24"/>
  <c r="L2571" i="24"/>
  <c r="L2607" i="24"/>
  <c r="K2607" i="24"/>
  <c r="L2643" i="24"/>
  <c r="K2643" i="24"/>
  <c r="L2667" i="24"/>
  <c r="K2667" i="24"/>
  <c r="K2703" i="24"/>
  <c r="L2703" i="24"/>
  <c r="L2715" i="24"/>
  <c r="K2715" i="24"/>
  <c r="L2727" i="24"/>
  <c r="K2727" i="24"/>
  <c r="L2739" i="24"/>
  <c r="K2739" i="24"/>
  <c r="L2775" i="24"/>
  <c r="K2775" i="24"/>
  <c r="L2799" i="24"/>
  <c r="K2799" i="24"/>
  <c r="K2823" i="24"/>
  <c r="L2823" i="24"/>
  <c r="L2835" i="24"/>
  <c r="K2835" i="24"/>
  <c r="K2847" i="24"/>
  <c r="L2847" i="24"/>
  <c r="L2859" i="24"/>
  <c r="K2859" i="24"/>
  <c r="L2871" i="24"/>
  <c r="K2871" i="24"/>
  <c r="K2883" i="24"/>
  <c r="L2883" i="24"/>
  <c r="L2907" i="24"/>
  <c r="K2907" i="24"/>
  <c r="K2710" i="24"/>
  <c r="K2679" i="24"/>
  <c r="K2655" i="24"/>
  <c r="K2503" i="24"/>
  <c r="K2367" i="24"/>
  <c r="K2331" i="24"/>
  <c r="K2235" i="24"/>
  <c r="K2071" i="24"/>
  <c r="K2031" i="24"/>
  <c r="K1947" i="24"/>
  <c r="K1659" i="24"/>
  <c r="K1323" i="24"/>
  <c r="K1287" i="24"/>
  <c r="K1207" i="24"/>
  <c r="K999" i="24"/>
  <c r="K915" i="24"/>
  <c r="K592" i="24"/>
  <c r="K318" i="24"/>
  <c r="L710" i="24"/>
  <c r="L1298" i="24"/>
  <c r="L1515" i="24"/>
  <c r="K2338" i="24"/>
  <c r="L2338" i="24"/>
  <c r="L2362" i="24"/>
  <c r="K2362" i="24"/>
  <c r="L2374" i="24"/>
  <c r="K2374" i="24"/>
  <c r="L2458" i="24"/>
  <c r="K2458" i="24"/>
  <c r="L2470" i="24"/>
  <c r="K2470" i="24"/>
  <c r="L2506" i="24"/>
  <c r="K2506" i="24"/>
  <c r="L2518" i="24"/>
  <c r="K2518" i="24"/>
  <c r="L2602" i="24"/>
  <c r="K2602" i="24"/>
  <c r="L2638" i="24"/>
  <c r="K2638" i="24"/>
  <c r="L2686" i="24"/>
  <c r="K2686" i="24"/>
  <c r="L2758" i="24"/>
  <c r="K2758" i="24"/>
  <c r="L2890" i="24"/>
  <c r="K2890" i="24"/>
  <c r="K2830" i="24"/>
  <c r="L2494" i="24"/>
  <c r="K776" i="24"/>
  <c r="L776" i="24"/>
  <c r="K919" i="24"/>
  <c r="L919" i="24"/>
  <c r="L991" i="24"/>
  <c r="K991" i="24"/>
  <c r="L1075" i="24"/>
  <c r="K1075" i="24"/>
  <c r="L1135" i="24"/>
  <c r="K1135" i="24"/>
  <c r="L1279" i="24"/>
  <c r="K1279" i="24"/>
  <c r="K1375" i="24"/>
  <c r="L1375" i="24"/>
  <c r="L1423" i="24"/>
  <c r="K1423" i="24"/>
  <c r="L1543" i="24"/>
  <c r="K1543" i="24"/>
  <c r="L1567" i="24"/>
  <c r="K1567" i="24"/>
  <c r="L1579" i="24"/>
  <c r="K1579" i="24"/>
  <c r="K1627" i="24"/>
  <c r="L1627" i="24"/>
  <c r="L1723" i="24"/>
  <c r="K1723" i="24"/>
  <c r="K1783" i="24"/>
  <c r="L1783" i="24"/>
  <c r="L1795" i="24"/>
  <c r="K1795" i="24"/>
  <c r="L1843" i="24"/>
  <c r="K1843" i="24"/>
  <c r="L1927" i="24"/>
  <c r="K1927" i="24"/>
  <c r="K1999" i="24"/>
  <c r="L1999" i="24"/>
  <c r="K2083" i="24"/>
  <c r="L2083" i="24"/>
  <c r="L2227" i="24"/>
  <c r="K2227" i="24"/>
  <c r="L2275" i="24"/>
  <c r="K2275" i="24"/>
  <c r="L9" i="24"/>
  <c r="K21" i="24"/>
  <c r="K33" i="24"/>
  <c r="L33" i="24"/>
  <c r="K45" i="24"/>
  <c r="L45" i="24"/>
  <c r="K57" i="24"/>
  <c r="L57" i="24"/>
  <c r="L69" i="24"/>
  <c r="K69" i="24"/>
  <c r="K93" i="24"/>
  <c r="L93" i="24"/>
  <c r="L105" i="24"/>
  <c r="L117" i="24"/>
  <c r="K117" i="24"/>
  <c r="L129" i="24"/>
  <c r="K129" i="24"/>
  <c r="L141" i="24"/>
  <c r="K141" i="24"/>
  <c r="K153" i="24"/>
  <c r="L153" i="24"/>
  <c r="L165" i="24"/>
  <c r="L177" i="24"/>
  <c r="K177" i="24"/>
  <c r="L189" i="24"/>
  <c r="K189" i="24"/>
  <c r="L201" i="24"/>
  <c r="L213" i="24"/>
  <c r="K213" i="24"/>
  <c r="L225" i="24"/>
  <c r="K237" i="24"/>
  <c r="L249" i="24"/>
  <c r="K249" i="24"/>
  <c r="K261" i="24"/>
  <c r="K273" i="24"/>
  <c r="L273" i="24"/>
  <c r="L284" i="24"/>
  <c r="K284" i="24"/>
  <c r="L296" i="24"/>
  <c r="K308" i="24"/>
  <c r="L308" i="24"/>
  <c r="L320" i="24"/>
  <c r="K332" i="24"/>
  <c r="K344" i="24"/>
  <c r="L344" i="24"/>
  <c r="L356" i="24"/>
  <c r="L368" i="24"/>
  <c r="K368" i="24"/>
  <c r="K380" i="24"/>
  <c r="L380" i="24"/>
  <c r="K392" i="24"/>
  <c r="L392" i="24"/>
  <c r="K404" i="24"/>
  <c r="L416" i="24"/>
  <c r="K416" i="24"/>
  <c r="L428" i="24"/>
  <c r="K428" i="24"/>
  <c r="K449" i="24"/>
  <c r="L449" i="24"/>
  <c r="L467" i="24"/>
  <c r="L476" i="24"/>
  <c r="K476" i="24"/>
  <c r="L486" i="24"/>
  <c r="L498" i="24"/>
  <c r="K510" i="24"/>
  <c r="L522" i="24"/>
  <c r="K534" i="24"/>
  <c r="L534" i="24"/>
  <c r="K546" i="24"/>
  <c r="L546" i="24"/>
  <c r="K558" i="24"/>
  <c r="L558" i="24"/>
  <c r="L570" i="24"/>
  <c r="K570" i="24"/>
  <c r="K582" i="24"/>
  <c r="L582" i="24"/>
  <c r="L594" i="24"/>
  <c r="L606" i="24"/>
  <c r="K606" i="24"/>
  <c r="K618" i="24"/>
  <c r="L618" i="24"/>
  <c r="L630" i="24"/>
  <c r="K630" i="24"/>
  <c r="L642" i="24"/>
  <c r="K654" i="24"/>
  <c r="L654" i="24"/>
  <c r="L666" i="24"/>
  <c r="K666" i="24"/>
  <c r="L678" i="24"/>
  <c r="K689" i="24"/>
  <c r="L701" i="24"/>
  <c r="K701" i="24"/>
  <c r="K713" i="24"/>
  <c r="L713" i="24"/>
  <c r="L725" i="24"/>
  <c r="L737" i="24"/>
  <c r="K737" i="24"/>
  <c r="L749" i="24"/>
  <c r="L773" i="24"/>
  <c r="K773" i="24"/>
  <c r="L785" i="24"/>
  <c r="L796" i="24"/>
  <c r="K796" i="24"/>
  <c r="K808" i="24"/>
  <c r="L808" i="24"/>
  <c r="K820" i="24"/>
  <c r="L820" i="24"/>
  <c r="K832" i="24"/>
  <c r="K844" i="24"/>
  <c r="K856" i="24"/>
  <c r="L856" i="24"/>
  <c r="L868" i="24"/>
  <c r="L880" i="24"/>
  <c r="K880" i="24"/>
  <c r="L892" i="24"/>
  <c r="K892" i="24"/>
  <c r="L904" i="24"/>
  <c r="L916" i="24"/>
  <c r="L928" i="24"/>
  <c r="K928" i="24"/>
  <c r="L940" i="24"/>
  <c r="K940" i="24"/>
  <c r="L952" i="24"/>
  <c r="K964" i="24"/>
  <c r="K976" i="24"/>
  <c r="L976" i="24"/>
  <c r="K988" i="24"/>
  <c r="L988" i="24"/>
  <c r="L1000" i="24"/>
  <c r="K1000" i="24"/>
  <c r="L1012" i="24"/>
  <c r="K1012" i="24"/>
  <c r="L1024" i="24"/>
  <c r="K1024" i="24"/>
  <c r="L1036" i="24"/>
  <c r="K1048" i="24"/>
  <c r="L1048" i="24"/>
  <c r="L1060" i="24"/>
  <c r="L1072" i="24"/>
  <c r="K1072" i="24"/>
  <c r="L1084" i="24"/>
  <c r="K1084" i="24"/>
  <c r="L1108" i="24"/>
  <c r="K1108" i="24"/>
  <c r="K1120" i="24"/>
  <c r="L1120" i="24"/>
  <c r="K1132" i="24"/>
  <c r="L1132" i="24"/>
  <c r="K1144" i="24"/>
  <c r="L1144" i="24"/>
  <c r="L1168" i="24"/>
  <c r="K1168" i="24"/>
  <c r="L1180" i="24"/>
  <c r="L1192" i="24"/>
  <c r="K1192" i="24"/>
  <c r="L1204" i="24"/>
  <c r="L1216" i="24"/>
  <c r="K1216" i="24"/>
  <c r="L1228" i="24"/>
  <c r="K1228" i="24"/>
  <c r="L1240" i="24"/>
  <c r="L1252" i="24"/>
  <c r="K1252" i="24"/>
  <c r="K1264" i="24"/>
  <c r="L1264" i="24"/>
  <c r="L1276" i="24"/>
  <c r="K1276" i="24"/>
  <c r="K1288" i="24"/>
  <c r="L1288" i="24"/>
  <c r="L1312" i="24"/>
  <c r="L1324" i="24"/>
  <c r="L1336" i="24"/>
  <c r="K1336" i="24"/>
  <c r="L1348" i="24"/>
  <c r="L1360" i="24"/>
  <c r="L1384" i="24"/>
  <c r="L1396" i="24"/>
  <c r="K1396" i="24"/>
  <c r="K1408" i="24"/>
  <c r="K1420" i="24"/>
  <c r="L1420" i="24"/>
  <c r="K1432" i="24"/>
  <c r="L1432" i="24"/>
  <c r="L1444" i="24"/>
  <c r="L1456" i="24"/>
  <c r="K1456" i="24"/>
  <c r="K1468" i="24"/>
  <c r="L1468" i="24"/>
  <c r="L1480" i="24"/>
  <c r="K1480" i="24"/>
  <c r="L1492" i="24"/>
  <c r="K1492" i="24"/>
  <c r="L1504" i="24"/>
  <c r="K1504" i="24"/>
  <c r="K1516" i="24"/>
  <c r="L1528" i="24"/>
  <c r="K1528" i="24"/>
  <c r="K1540" i="24"/>
  <c r="L1540" i="24"/>
  <c r="K1552" i="24"/>
  <c r="L1552" i="24"/>
  <c r="L1564" i="24"/>
  <c r="K1564" i="24"/>
  <c r="L1576" i="24"/>
  <c r="K1576" i="24"/>
  <c r="K1588" i="24"/>
  <c r="L1588" i="24"/>
  <c r="L1600" i="24"/>
  <c r="K1600" i="24"/>
  <c r="L1612" i="24"/>
  <c r="K1612" i="24"/>
  <c r="K1624" i="24"/>
  <c r="L1624" i="24"/>
  <c r="L1636" i="24"/>
  <c r="K1636" i="24"/>
  <c r="L1648" i="24"/>
  <c r="K1648" i="24"/>
  <c r="K1660" i="24"/>
  <c r="L1660" i="24"/>
  <c r="L1672" i="24"/>
  <c r="K1672" i="24"/>
  <c r="L1684" i="24"/>
  <c r="K1696" i="24"/>
  <c r="L1696" i="24"/>
  <c r="K1708" i="24"/>
  <c r="L1708" i="24"/>
  <c r="L1720" i="24"/>
  <c r="K1720" i="24"/>
  <c r="L1732" i="24"/>
  <c r="K1732" i="24"/>
  <c r="L1744" i="24"/>
  <c r="L1756" i="24"/>
  <c r="K1756" i="24"/>
  <c r="L1768" i="24"/>
  <c r="L1780" i="24"/>
  <c r="L1792" i="24"/>
  <c r="L1804" i="24"/>
  <c r="L1816" i="24"/>
  <c r="K1816" i="24"/>
  <c r="L1828" i="24"/>
  <c r="K1840" i="24"/>
  <c r="L1840" i="24"/>
  <c r="K1852" i="24"/>
  <c r="L1852" i="24"/>
  <c r="K1864" i="24"/>
  <c r="L1864" i="24"/>
  <c r="L1876" i="24"/>
  <c r="K1876" i="24"/>
  <c r="L1888" i="24"/>
  <c r="K1900" i="24"/>
  <c r="L1912" i="24"/>
  <c r="L1924" i="24"/>
  <c r="L1936" i="24"/>
  <c r="K1936" i="24"/>
  <c r="L1948" i="24"/>
  <c r="L1960" i="24"/>
  <c r="K1960" i="24"/>
  <c r="L1972" i="24"/>
  <c r="K1984" i="24"/>
  <c r="L1984" i="24"/>
  <c r="K1996" i="24"/>
  <c r="K2008" i="24"/>
  <c r="L2008" i="24"/>
  <c r="L2020" i="24"/>
  <c r="K2020" i="24"/>
  <c r="L2032" i="24"/>
  <c r="L2044" i="24"/>
  <c r="K2044" i="24"/>
  <c r="L2068" i="24"/>
  <c r="L2080" i="24"/>
  <c r="K2080" i="24"/>
  <c r="L2092" i="24"/>
  <c r="L2104" i="24"/>
  <c r="K2104" i="24"/>
  <c r="K2116" i="24"/>
  <c r="L2116" i="24"/>
  <c r="L2128" i="24"/>
  <c r="K2128" i="24"/>
  <c r="K2140" i="24"/>
  <c r="L2140" i="24"/>
  <c r="K2152" i="24"/>
  <c r="L2152" i="24"/>
  <c r="L2164" i="24"/>
  <c r="K2164" i="24"/>
  <c r="L2176" i="24"/>
  <c r="L2188" i="24"/>
  <c r="K2188" i="24"/>
  <c r="K2200" i="24"/>
  <c r="L2200" i="24"/>
  <c r="L2212" i="24"/>
  <c r="L2224" i="24"/>
  <c r="K2224" i="24"/>
  <c r="K2236" i="24"/>
  <c r="L2236" i="24"/>
  <c r="L2248" i="24"/>
  <c r="K2248" i="24"/>
  <c r="L2260" i="24"/>
  <c r="K2272" i="24"/>
  <c r="L2272" i="24"/>
  <c r="L2284" i="24"/>
  <c r="K2284" i="24"/>
  <c r="K2296" i="24"/>
  <c r="L2296" i="24"/>
  <c r="L2308" i="24"/>
  <c r="L2320" i="24"/>
  <c r="K2320" i="24"/>
  <c r="L2332" i="24"/>
  <c r="K2332" i="24"/>
  <c r="L2344" i="24"/>
  <c r="L2356" i="24"/>
  <c r="L2368" i="24"/>
  <c r="L2380" i="24"/>
  <c r="K2380" i="24"/>
  <c r="L2392" i="24"/>
  <c r="L2404" i="24"/>
  <c r="K2404" i="24"/>
  <c r="K2416" i="24"/>
  <c r="L2416" i="24"/>
  <c r="K2428" i="24"/>
  <c r="L2428" i="24"/>
  <c r="K2440" i="24"/>
  <c r="L2440" i="24"/>
  <c r="L2452" i="24"/>
  <c r="L2464" i="24"/>
  <c r="L2476" i="24"/>
  <c r="K2476" i="24"/>
  <c r="L2488" i="24"/>
  <c r="L2500" i="24"/>
  <c r="K2500" i="24"/>
  <c r="L2512" i="24"/>
  <c r="L2524" i="24"/>
  <c r="K2524" i="24"/>
  <c r="L2548" i="24"/>
  <c r="K2548" i="24"/>
  <c r="K2560" i="24"/>
  <c r="L2560" i="24"/>
  <c r="K2572" i="24"/>
  <c r="L2572" i="24"/>
  <c r="K2584" i="24"/>
  <c r="L2584" i="24"/>
  <c r="L2596" i="24"/>
  <c r="L2608" i="24"/>
  <c r="K2608" i="24"/>
  <c r="L2620" i="24"/>
  <c r="K2632" i="24"/>
  <c r="L2632" i="24"/>
  <c r="L2644" i="24"/>
  <c r="K2644" i="24"/>
  <c r="L2656" i="24"/>
  <c r="L2668" i="24"/>
  <c r="K2668" i="24"/>
  <c r="K2680" i="24"/>
  <c r="L2680" i="24"/>
  <c r="L2692" i="24"/>
  <c r="L2704" i="24"/>
  <c r="K2704" i="24"/>
  <c r="L2716" i="24"/>
  <c r="K2716" i="24"/>
  <c r="L2728" i="24"/>
  <c r="K2728" i="24"/>
  <c r="L2740" i="24"/>
  <c r="K2740" i="24"/>
  <c r="L2752" i="24"/>
  <c r="L2764" i="24"/>
  <c r="L2776" i="24"/>
  <c r="K2776" i="24"/>
  <c r="L2788" i="24"/>
  <c r="L2800" i="24"/>
  <c r="L2824" i="24"/>
  <c r="L2836" i="24"/>
  <c r="K2836" i="24"/>
  <c r="L2848" i="24"/>
  <c r="K2860" i="24"/>
  <c r="L2860" i="24"/>
  <c r="L2872" i="24"/>
  <c r="K2872" i="24"/>
  <c r="K2884" i="24"/>
  <c r="L2884" i="24"/>
  <c r="L2896" i="24"/>
  <c r="L2908" i="24"/>
  <c r="K2908" i="24"/>
  <c r="K2896" i="24"/>
  <c r="K2788" i="24"/>
  <c r="K2764" i="24"/>
  <c r="K2734" i="24"/>
  <c r="K2599" i="24"/>
  <c r="K2464" i="24"/>
  <c r="K2434" i="24"/>
  <c r="K2295" i="24"/>
  <c r="K2030" i="24"/>
  <c r="K1946" i="24"/>
  <c r="K1779" i="24"/>
  <c r="K1478" i="24"/>
  <c r="K1444" i="24"/>
  <c r="K1322" i="24"/>
  <c r="K1286" i="24"/>
  <c r="K1204" i="24"/>
  <c r="K1123" i="24"/>
  <c r="K1083" i="24"/>
  <c r="K1036" i="24"/>
  <c r="K998" i="24"/>
  <c r="K914" i="24"/>
  <c r="K785" i="24"/>
  <c r="K437" i="24"/>
  <c r="K389" i="24"/>
  <c r="K225" i="24"/>
  <c r="K9" i="24"/>
  <c r="L711" i="24"/>
  <c r="L1516" i="24"/>
  <c r="L88" i="24"/>
  <c r="K244" i="24"/>
  <c r="L387" i="24"/>
  <c r="L673" i="24"/>
  <c r="K2762" i="24"/>
  <c r="L172" i="24"/>
  <c r="L315" i="24"/>
  <c r="K529" i="24"/>
  <c r="L756" i="24"/>
  <c r="K2798" i="24"/>
  <c r="K2570" i="24"/>
  <c r="K2174" i="24"/>
  <c r="K2090" i="24"/>
  <c r="K2054" i="24"/>
  <c r="K1297" i="24"/>
  <c r="L1309" i="24"/>
  <c r="L1321" i="24"/>
  <c r="L1333" i="24"/>
  <c r="L1345" i="24"/>
  <c r="L1357" i="24"/>
  <c r="K1357" i="24"/>
  <c r="L1369" i="24"/>
  <c r="K1369" i="24"/>
  <c r="K1381" i="24"/>
  <c r="L1381" i="24"/>
  <c r="K1393" i="24"/>
  <c r="L1417" i="24"/>
  <c r="K1417" i="24"/>
  <c r="L1429" i="24"/>
  <c r="L1441" i="24"/>
  <c r="K1441" i="24"/>
  <c r="L1465" i="24"/>
  <c r="L1477" i="24"/>
  <c r="L1489" i="24"/>
  <c r="L1501" i="24"/>
  <c r="K1501" i="24"/>
  <c r="L1513" i="24"/>
  <c r="K1513" i="24"/>
  <c r="K1525" i="24"/>
  <c r="L1525" i="24"/>
  <c r="K1537" i="24"/>
  <c r="L1549" i="24"/>
  <c r="L1561" i="24"/>
  <c r="L1573" i="24"/>
  <c r="K1573" i="24"/>
  <c r="L1585" i="24"/>
  <c r="K1585" i="24"/>
  <c r="L1597" i="24"/>
  <c r="L1609" i="24"/>
  <c r="K1609" i="24"/>
  <c r="L1621" i="24"/>
  <c r="L1633" i="24"/>
  <c r="K1633" i="24"/>
  <c r="K1645" i="24"/>
  <c r="L1645" i="24"/>
  <c r="K1657" i="24"/>
  <c r="K1669" i="24"/>
  <c r="K1681" i="24"/>
  <c r="L1681" i="24"/>
  <c r="K1693" i="24"/>
  <c r="L1693" i="24"/>
  <c r="L1705" i="24"/>
  <c r="L1717" i="24"/>
  <c r="K1729" i="24"/>
  <c r="L1729" i="24"/>
  <c r="L1741" i="24"/>
  <c r="L1753" i="24"/>
  <c r="K1753" i="24"/>
  <c r="K1765" i="24"/>
  <c r="L1765" i="24"/>
  <c r="L1777" i="24"/>
  <c r="K1777" i="24"/>
  <c r="L1789" i="24"/>
  <c r="L1801" i="24"/>
  <c r="K1801" i="24"/>
  <c r="K1813" i="24"/>
  <c r="K1825" i="24"/>
  <c r="L1825" i="24"/>
  <c r="L1837" i="24"/>
  <c r="K1837" i="24"/>
  <c r="L1849" i="24"/>
  <c r="L1861" i="24"/>
  <c r="L1873" i="24"/>
  <c r="L1885" i="24"/>
  <c r="L1897" i="24"/>
  <c r="K1897" i="24"/>
  <c r="L1909" i="24"/>
  <c r="L1921" i="24"/>
  <c r="L1933" i="24"/>
  <c r="K1945" i="24"/>
  <c r="L1945" i="24"/>
  <c r="L1957" i="24"/>
  <c r="K1957" i="24"/>
  <c r="K1969" i="24"/>
  <c r="L1969" i="24"/>
  <c r="L1981" i="24"/>
  <c r="K1981" i="24"/>
  <c r="L1993" i="24"/>
  <c r="L2005" i="24"/>
  <c r="L2017" i="24"/>
  <c r="L2029" i="24"/>
  <c r="L2041" i="24"/>
  <c r="K2041" i="24"/>
  <c r="L2053" i="24"/>
  <c r="L2065" i="24"/>
  <c r="K2065" i="24"/>
  <c r="L2077" i="24"/>
  <c r="K2089" i="24"/>
  <c r="L2089" i="24"/>
  <c r="K2101" i="24"/>
  <c r="L2101" i="24"/>
  <c r="L2113" i="24"/>
  <c r="K2113" i="24"/>
  <c r="L2125" i="24"/>
  <c r="K2125" i="24"/>
  <c r="L2137" i="24"/>
  <c r="L2149" i="24"/>
  <c r="K2149" i="24"/>
  <c r="L2161" i="24"/>
  <c r="L2173" i="24"/>
  <c r="L2185" i="24"/>
  <c r="K2185" i="24"/>
  <c r="L2197" i="24"/>
  <c r="L2209" i="24"/>
  <c r="K2209" i="24"/>
  <c r="L2221" i="24"/>
  <c r="L2233" i="24"/>
  <c r="K2233" i="24"/>
  <c r="K2245" i="24"/>
  <c r="L2245" i="24"/>
  <c r="K2257" i="24"/>
  <c r="L2257" i="24"/>
  <c r="K2269" i="24"/>
  <c r="L2269" i="24"/>
  <c r="L2281" i="24"/>
  <c r="K2293" i="24"/>
  <c r="L2305" i="24"/>
  <c r="K2305" i="24"/>
  <c r="L2317" i="24"/>
  <c r="L2329" i="24"/>
  <c r="K2341" i="24"/>
  <c r="L2353" i="24"/>
  <c r="L2365" i="24"/>
  <c r="L2377" i="24"/>
  <c r="K2377" i="24"/>
  <c r="K2389" i="24"/>
  <c r="L2389" i="24"/>
  <c r="K2401" i="24"/>
  <c r="L2401" i="24"/>
  <c r="L2425" i="24"/>
  <c r="L2437" i="24"/>
  <c r="K2437" i="24"/>
  <c r="L2449" i="24"/>
  <c r="L2461" i="24"/>
  <c r="L2473" i="24"/>
  <c r="L2485" i="24"/>
  <c r="K2497" i="24"/>
  <c r="L2497" i="24"/>
  <c r="L2509" i="24"/>
  <c r="K2521" i="24"/>
  <c r="L2521" i="24"/>
  <c r="L2533" i="24"/>
  <c r="K2533" i="24"/>
  <c r="K2545" i="24"/>
  <c r="L2545" i="24"/>
  <c r="L2557" i="24"/>
  <c r="K2557" i="24"/>
  <c r="L2569" i="24"/>
  <c r="L2581" i="24"/>
  <c r="L2593" i="24"/>
  <c r="L2605" i="24"/>
  <c r="K2617" i="24"/>
  <c r="L2617" i="24"/>
  <c r="L2629" i="24"/>
  <c r="L2653" i="24"/>
  <c r="L2665" i="24"/>
  <c r="K2665" i="24"/>
  <c r="L2677" i="24"/>
  <c r="K2677" i="24"/>
  <c r="L2689" i="24"/>
  <c r="K2689" i="24"/>
  <c r="L2701" i="24"/>
  <c r="L2725" i="24"/>
  <c r="L2737" i="24"/>
  <c r="L2761" i="24"/>
  <c r="L2773" i="24"/>
  <c r="L2785" i="24"/>
  <c r="L2797" i="24"/>
  <c r="L2809" i="24"/>
  <c r="K2821" i="24"/>
  <c r="L2821" i="24"/>
  <c r="L2833" i="24"/>
  <c r="K2833" i="24"/>
  <c r="L2869" i="24"/>
  <c r="K2869" i="24"/>
  <c r="L2881" i="24"/>
  <c r="L2893" i="24"/>
  <c r="L2905" i="24"/>
  <c r="K2797" i="24"/>
  <c r="K2738" i="24"/>
  <c r="K2701" i="24"/>
  <c r="K2569" i="24"/>
  <c r="K2522" i="24"/>
  <c r="K2198" i="24"/>
  <c r="K2173" i="24"/>
  <c r="K2053" i="24"/>
  <c r="K2017" i="24"/>
  <c r="K1333" i="24"/>
  <c r="L2102" i="24"/>
  <c r="L2066" i="24"/>
  <c r="K2066" i="24"/>
  <c r="K2126" i="24"/>
  <c r="L2126" i="24"/>
  <c r="L2150" i="24"/>
  <c r="K2150" i="24"/>
  <c r="L2210" i="24"/>
  <c r="K2210" i="24"/>
  <c r="L2246" i="24"/>
  <c r="K2246" i="24"/>
  <c r="K2258" i="24"/>
  <c r="L2258" i="24"/>
  <c r="K2270" i="24"/>
  <c r="L2270" i="24"/>
  <c r="L2306" i="24"/>
  <c r="K2306" i="24"/>
  <c r="L2342" i="24"/>
  <c r="K2342" i="24"/>
  <c r="L2354" i="24"/>
  <c r="K2354" i="24"/>
  <c r="L2390" i="24"/>
  <c r="K2390" i="24"/>
  <c r="L2402" i="24"/>
  <c r="K2402" i="24"/>
  <c r="K2414" i="24"/>
  <c r="L2414" i="24"/>
  <c r="K2426" i="24"/>
  <c r="L2426" i="24"/>
  <c r="L2462" i="24"/>
  <c r="K2462" i="24"/>
  <c r="K2498" i="24"/>
  <c r="L2498" i="24"/>
  <c r="L2534" i="24"/>
  <c r="K2534" i="24"/>
  <c r="L2558" i="24"/>
  <c r="K2558" i="24"/>
  <c r="K2618" i="24"/>
  <c r="L2618" i="24"/>
  <c r="L2666" i="24"/>
  <c r="K2666" i="24"/>
  <c r="K2690" i="24"/>
  <c r="L2690" i="24"/>
  <c r="L2702" i="24"/>
  <c r="K2702" i="24"/>
  <c r="K2726" i="24"/>
  <c r="L2726" i="24"/>
  <c r="L2774" i="24"/>
  <c r="K2774" i="24"/>
  <c r="K2822" i="24"/>
  <c r="L2822" i="24"/>
  <c r="L2834" i="24"/>
  <c r="K2834" i="24"/>
  <c r="L2846" i="24"/>
  <c r="K2846" i="24"/>
  <c r="K2870" i="24"/>
  <c r="K2737" i="24"/>
  <c r="K2606" i="24"/>
  <c r="K2197" i="24"/>
  <c r="K2138" i="24"/>
  <c r="K2078" i="24"/>
  <c r="K1489" i="24"/>
  <c r="L60" i="24"/>
  <c r="K60" i="24"/>
  <c r="L72" i="24"/>
  <c r="L108" i="24"/>
  <c r="K132" i="24"/>
  <c r="K144" i="24"/>
  <c r="L144" i="24"/>
  <c r="K204" i="24"/>
  <c r="K216" i="24"/>
  <c r="L216" i="24"/>
  <c r="L252" i="24"/>
  <c r="K276" i="24"/>
  <c r="L287" i="24"/>
  <c r="K287" i="24"/>
  <c r="L299" i="24"/>
  <c r="L359" i="24"/>
  <c r="K359" i="24"/>
  <c r="L371" i="24"/>
  <c r="L395" i="24"/>
  <c r="K419" i="24"/>
  <c r="K431" i="24"/>
  <c r="K442" i="24"/>
  <c r="L442" i="24"/>
  <c r="K489" i="24"/>
  <c r="K501" i="24"/>
  <c r="L501" i="24"/>
  <c r="L525" i="24"/>
  <c r="K549" i="24"/>
  <c r="L573" i="24"/>
  <c r="K573" i="24"/>
  <c r="L585" i="24"/>
  <c r="L645" i="24"/>
  <c r="K645" i="24"/>
  <c r="L657" i="24"/>
  <c r="L669" i="24"/>
  <c r="K692" i="24"/>
  <c r="L728" i="24"/>
  <c r="K728" i="24"/>
  <c r="K740" i="24"/>
  <c r="K752" i="24"/>
  <c r="L799" i="24"/>
  <c r="L811" i="24"/>
  <c r="L871" i="24"/>
  <c r="K871" i="24"/>
  <c r="K883" i="24"/>
  <c r="L883" i="24"/>
  <c r="K895" i="24"/>
  <c r="L943" i="24"/>
  <c r="L955" i="24"/>
  <c r="K1015" i="24"/>
  <c r="L1027" i="24"/>
  <c r="K1027" i="24"/>
  <c r="K1039" i="24"/>
  <c r="L1087" i="24"/>
  <c r="L1099" i="24"/>
  <c r="L1111" i="24"/>
  <c r="L1147" i="24"/>
  <c r="K1159" i="24"/>
  <c r="K1171" i="24"/>
  <c r="K1183" i="24"/>
  <c r="L1195" i="24"/>
  <c r="L1243" i="24"/>
  <c r="L1255" i="24"/>
  <c r="L1291" i="24"/>
  <c r="K1303" i="24"/>
  <c r="K1315" i="24"/>
  <c r="K1327" i="24"/>
  <c r="L1339" i="24"/>
  <c r="L1387" i="24"/>
  <c r="L1399" i="24"/>
  <c r="L1447" i="24"/>
  <c r="K1447" i="24"/>
  <c r="K1459" i="24"/>
  <c r="K1471" i="24"/>
  <c r="L1495" i="24"/>
  <c r="L1507" i="24"/>
  <c r="L1531" i="24"/>
  <c r="L1591" i="24"/>
  <c r="K1591" i="24"/>
  <c r="K1603" i="24"/>
  <c r="K1615" i="24"/>
  <c r="L1615" i="24"/>
  <c r="L1651" i="24"/>
  <c r="L1663" i="24"/>
  <c r="L1675" i="24"/>
  <c r="L1699" i="24"/>
  <c r="L1735" i="24"/>
  <c r="K1735" i="24"/>
  <c r="K1747" i="24"/>
  <c r="K1759" i="24"/>
  <c r="L1771" i="24"/>
  <c r="L1807" i="24"/>
  <c r="L1819" i="24"/>
  <c r="L1855" i="24"/>
  <c r="K1879" i="24"/>
  <c r="L1891" i="24"/>
  <c r="K1891" i="24"/>
  <c r="K1903" i="24"/>
  <c r="L1963" i="24"/>
  <c r="L1975" i="24"/>
  <c r="L2011" i="24"/>
  <c r="K2023" i="24"/>
  <c r="L2035" i="24"/>
  <c r="K2035" i="24"/>
  <c r="K2047" i="24"/>
  <c r="L2059" i="24"/>
  <c r="L2095" i="24"/>
  <c r="L2107" i="24"/>
  <c r="L2119" i="24"/>
  <c r="K2167" i="24"/>
  <c r="K2179" i="24"/>
  <c r="L2191" i="24"/>
  <c r="K2191" i="24"/>
  <c r="L2215" i="24"/>
  <c r="L2251" i="24"/>
  <c r="L2263" i="24"/>
  <c r="L2299" i="24"/>
  <c r="K2311" i="24"/>
  <c r="K2323" i="24"/>
  <c r="L2335" i="24"/>
  <c r="K2335" i="24"/>
  <c r="L2371" i="24"/>
  <c r="L2395" i="24"/>
  <c r="L2419" i="24"/>
  <c r="L2455" i="24"/>
  <c r="K2455" i="24"/>
  <c r="K2467" i="24"/>
  <c r="K2479" i="24"/>
  <c r="L2491" i="24"/>
  <c r="L2539" i="24"/>
  <c r="L2563" i="24"/>
  <c r="L2575" i="24"/>
  <c r="L2611" i="24"/>
  <c r="K2611" i="24"/>
  <c r="L2623" i="24"/>
  <c r="K2623" i="24"/>
  <c r="L2647" i="24"/>
  <c r="L2683" i="24"/>
  <c r="L2707" i="24"/>
  <c r="L2731" i="24"/>
  <c r="L2743" i="24"/>
  <c r="L2755" i="24"/>
  <c r="K2755" i="24"/>
  <c r="K2767" i="24"/>
  <c r="L2779" i="24"/>
  <c r="L2791" i="24"/>
  <c r="L2815" i="24"/>
  <c r="L2863" i="24"/>
  <c r="L2875" i="24"/>
  <c r="L2887" i="24"/>
  <c r="L2899" i="24"/>
  <c r="K2899" i="24"/>
  <c r="L2911" i="24"/>
  <c r="K2911" i="24"/>
  <c r="K2011" i="24"/>
  <c r="K1975" i="24"/>
  <c r="K1939" i="24"/>
  <c r="K1399" i="24"/>
  <c r="K609" i="24"/>
  <c r="L740" i="24"/>
  <c r="L1459" i="24"/>
  <c r="L1483" i="24"/>
  <c r="L911" i="24"/>
  <c r="K911" i="24"/>
  <c r="L2351" i="24"/>
  <c r="K2351" i="24"/>
  <c r="K61" i="24"/>
  <c r="K73" i="24"/>
  <c r="L73" i="24"/>
  <c r="L121" i="24"/>
  <c r="K133" i="24"/>
  <c r="K145" i="24"/>
  <c r="L145" i="24"/>
  <c r="L157" i="24"/>
  <c r="L217" i="24"/>
  <c r="K217" i="24"/>
  <c r="L229" i="24"/>
  <c r="L265" i="24"/>
  <c r="K288" i="24"/>
  <c r="K300" i="24"/>
  <c r="L300" i="24"/>
  <c r="K360" i="24"/>
  <c r="K372" i="24"/>
  <c r="L372" i="24"/>
  <c r="L408" i="24"/>
  <c r="K432" i="24"/>
  <c r="L443" i="24"/>
  <c r="K443" i="24"/>
  <c r="L453" i="24"/>
  <c r="L502" i="24"/>
  <c r="K502" i="24"/>
  <c r="L514" i="24"/>
  <c r="L538" i="24"/>
  <c r="K562" i="24"/>
  <c r="K574" i="24"/>
  <c r="K586" i="24"/>
  <c r="L586" i="24"/>
  <c r="K646" i="24"/>
  <c r="K658" i="24"/>
  <c r="L658" i="24"/>
  <c r="L681" i="24"/>
  <c r="K705" i="24"/>
  <c r="K717" i="24"/>
  <c r="K729" i="24"/>
  <c r="L729" i="24"/>
  <c r="K741" i="24"/>
  <c r="L741" i="24"/>
  <c r="K753" i="24"/>
  <c r="K765" i="24"/>
  <c r="K777" i="24"/>
  <c r="K788" i="24"/>
  <c r="K800" i="24"/>
  <c r="L800" i="24"/>
  <c r="K812" i="24"/>
  <c r="L812" i="24"/>
  <c r="L824" i="24"/>
  <c r="K824" i="24"/>
  <c r="K836" i="24"/>
  <c r="K848" i="24"/>
  <c r="K860" i="24"/>
  <c r="K872" i="24"/>
  <c r="K884" i="24"/>
  <c r="L884" i="24"/>
  <c r="K896" i="24"/>
  <c r="K908" i="24"/>
  <c r="K920" i="24"/>
  <c r="K932" i="24"/>
  <c r="K944" i="24"/>
  <c r="K956" i="24"/>
  <c r="L956" i="24"/>
  <c r="L968" i="24"/>
  <c r="K968" i="24"/>
  <c r="K980" i="24"/>
  <c r="K992" i="24"/>
  <c r="K1004" i="24"/>
  <c r="K1016" i="24"/>
  <c r="K1028" i="24"/>
  <c r="L1028" i="24"/>
  <c r="K1040" i="24"/>
  <c r="L1040" i="24"/>
  <c r="K1052" i="24"/>
  <c r="K1064" i="24"/>
  <c r="K1076" i="24"/>
  <c r="K1088" i="24"/>
  <c r="L1088" i="24"/>
  <c r="K1100" i="24"/>
  <c r="L1112" i="24"/>
  <c r="K1112" i="24"/>
  <c r="K1124" i="24"/>
  <c r="L1124" i="24"/>
  <c r="K1136" i="24"/>
  <c r="K1148" i="24"/>
  <c r="L1148" i="24"/>
  <c r="K1160" i="24"/>
  <c r="K1172" i="24"/>
  <c r="K1184" i="24"/>
  <c r="K1196" i="24"/>
  <c r="L1196" i="24"/>
  <c r="K1208" i="24"/>
  <c r="K1220" i="24"/>
  <c r="K1232" i="24"/>
  <c r="K1244" i="24"/>
  <c r="L1244" i="24"/>
  <c r="L1256" i="24"/>
  <c r="K1256" i="24"/>
  <c r="K1268" i="24"/>
  <c r="L1268" i="24"/>
  <c r="K1280" i="24"/>
  <c r="K1292" i="24"/>
  <c r="K1304" i="24"/>
  <c r="L1304" i="24"/>
  <c r="K1316" i="24"/>
  <c r="K1328" i="24"/>
  <c r="K1340" i="24"/>
  <c r="K1352" i="24"/>
  <c r="L1352" i="24"/>
  <c r="K1364" i="24"/>
  <c r="K1376" i="24"/>
  <c r="K1388" i="24"/>
  <c r="L1400" i="24"/>
  <c r="K1400" i="24"/>
  <c r="K1412" i="24"/>
  <c r="L1412" i="24"/>
  <c r="K1424" i="24"/>
  <c r="K1436" i="24"/>
  <c r="K1448" i="24"/>
  <c r="L1448" i="24"/>
  <c r="K1460" i="24"/>
  <c r="K1472" i="24"/>
  <c r="K1484" i="24"/>
  <c r="K1496" i="24"/>
  <c r="L1496" i="24"/>
  <c r="K1508" i="24"/>
  <c r="K1520" i="24"/>
  <c r="L1520" i="24"/>
  <c r="K1532" i="24"/>
  <c r="L1544" i="24"/>
  <c r="K1544" i="24"/>
  <c r="K1556" i="24"/>
  <c r="K1568" i="24"/>
  <c r="K1580" i="24"/>
  <c r="L1580" i="24"/>
  <c r="L1592" i="24"/>
  <c r="K1592" i="24"/>
  <c r="K1604" i="24"/>
  <c r="K1616" i="24"/>
  <c r="L1616" i="24"/>
  <c r="K1628" i="24"/>
  <c r="K1640" i="24"/>
  <c r="K1652" i="24"/>
  <c r="L1652" i="24"/>
  <c r="L1664" i="24"/>
  <c r="K1664" i="24"/>
  <c r="K1676" i="24"/>
  <c r="L1688" i="24"/>
  <c r="K1688" i="24"/>
  <c r="K1700" i="24"/>
  <c r="L1700" i="24"/>
  <c r="K1712" i="24"/>
  <c r="K1724" i="24"/>
  <c r="K1736" i="24"/>
  <c r="L1736" i="24"/>
  <c r="K1748" i="24"/>
  <c r="L1748" i="24"/>
  <c r="K1760" i="24"/>
  <c r="K1772" i="24"/>
  <c r="K1784" i="24"/>
  <c r="K1796" i="24"/>
  <c r="K1808" i="24"/>
  <c r="K1820" i="24"/>
  <c r="L1820" i="24"/>
  <c r="L1832" i="24"/>
  <c r="K1832" i="24"/>
  <c r="K1844" i="24"/>
  <c r="K1856" i="24"/>
  <c r="L1856" i="24"/>
  <c r="K1868" i="24"/>
  <c r="K1880" i="24"/>
  <c r="L1892" i="24"/>
  <c r="K1892" i="24"/>
  <c r="K1904" i="24"/>
  <c r="L1904" i="24"/>
  <c r="K1916" i="24"/>
  <c r="K1928" i="24"/>
  <c r="K1940" i="24"/>
  <c r="L1940" i="24"/>
  <c r="K1952" i="24"/>
  <c r="L1964" i="24"/>
  <c r="K1964" i="24"/>
  <c r="L1976" i="24"/>
  <c r="K1976" i="24"/>
  <c r="K1988" i="24"/>
  <c r="K2000" i="24"/>
  <c r="K2012" i="24"/>
  <c r="K2024" i="24"/>
  <c r="K2036" i="24"/>
  <c r="K2048" i="24"/>
  <c r="L2048" i="24"/>
  <c r="K2060" i="24"/>
  <c r="L2060" i="24"/>
  <c r="K2072" i="24"/>
  <c r="K2084" i="24"/>
  <c r="K2096" i="24"/>
  <c r="L2096" i="24"/>
  <c r="K2108" i="24"/>
  <c r="L2120" i="24"/>
  <c r="K2120" i="24"/>
  <c r="K2132" i="24"/>
  <c r="K2144" i="24"/>
  <c r="L2144" i="24"/>
  <c r="K2156" i="24"/>
  <c r="K2168" i="24"/>
  <c r="K2180" i="24"/>
  <c r="L2180" i="24"/>
  <c r="L2192" i="24"/>
  <c r="K2192" i="24"/>
  <c r="K2204" i="24"/>
  <c r="K2216" i="24"/>
  <c r="L2216" i="24"/>
  <c r="K2228" i="24"/>
  <c r="K2240" i="24"/>
  <c r="K2252" i="24"/>
  <c r="L2252" i="24"/>
  <c r="L2264" i="24"/>
  <c r="K2264" i="24"/>
  <c r="K2276" i="24"/>
  <c r="L2276" i="24"/>
  <c r="K2288" i="24"/>
  <c r="K2300" i="24"/>
  <c r="L2300" i="24"/>
  <c r="K2312" i="24"/>
  <c r="K2324" i="24"/>
  <c r="K2336" i="24"/>
  <c r="L2336" i="24"/>
  <c r="K2348" i="24"/>
  <c r="L2348" i="24"/>
  <c r="K2360" i="24"/>
  <c r="K2372" i="24"/>
  <c r="K2384" i="24"/>
  <c r="K2396" i="24"/>
  <c r="L2408" i="24"/>
  <c r="K2408" i="24"/>
  <c r="L2420" i="24"/>
  <c r="K2420" i="24"/>
  <c r="K2432" i="24"/>
  <c r="K2444" i="24"/>
  <c r="K2456" i="24"/>
  <c r="L2456" i="24"/>
  <c r="K2468" i="24"/>
  <c r="K2480" i="24"/>
  <c r="L2492" i="24"/>
  <c r="K2492" i="24"/>
  <c r="K2504" i="24"/>
  <c r="L2504" i="24"/>
  <c r="K2516" i="24"/>
  <c r="K2528" i="24"/>
  <c r="K2540" i="24"/>
  <c r="L2540" i="24"/>
  <c r="L2552" i="24"/>
  <c r="K2552" i="24"/>
  <c r="K2564" i="24"/>
  <c r="K2576" i="24"/>
  <c r="L2576" i="24"/>
  <c r="K2588" i="24"/>
  <c r="K2600" i="24"/>
  <c r="K2612" i="24"/>
  <c r="L2612" i="24"/>
  <c r="L2624" i="24"/>
  <c r="K2624" i="24"/>
  <c r="K2636" i="24"/>
  <c r="L2648" i="24"/>
  <c r="K2648" i="24"/>
  <c r="K2660" i="24"/>
  <c r="K2672" i="24"/>
  <c r="K2684" i="24"/>
  <c r="L2684" i="24"/>
  <c r="K2696" i="24"/>
  <c r="K2708" i="24"/>
  <c r="L2720" i="24"/>
  <c r="K2720" i="24"/>
  <c r="L2732" i="24"/>
  <c r="K2732" i="24"/>
  <c r="K2744" i="24"/>
  <c r="K2756" i="24"/>
  <c r="L2768" i="24"/>
  <c r="K2768" i="24"/>
  <c r="K2780" i="24"/>
  <c r="L2780" i="24"/>
  <c r="K2792" i="24"/>
  <c r="K2804" i="24"/>
  <c r="K2816" i="24"/>
  <c r="L2816" i="24"/>
  <c r="K2828" i="24"/>
  <c r="K2840" i="24"/>
  <c r="L2840" i="24"/>
  <c r="K2852" i="24"/>
  <c r="L2852" i="24"/>
  <c r="K2864" i="24"/>
  <c r="K2876" i="24"/>
  <c r="L2888" i="24"/>
  <c r="K2888" i="24"/>
  <c r="K2900" i="24"/>
  <c r="L2912" i="24"/>
  <c r="K2912" i="24"/>
  <c r="K2743" i="24"/>
  <c r="K2647" i="24"/>
  <c r="K2095" i="24"/>
  <c r="K2059" i="24"/>
  <c r="K1415" i="24"/>
  <c r="K943" i="24"/>
  <c r="K681" i="24"/>
  <c r="K395" i="24"/>
  <c r="K299" i="24"/>
  <c r="K265" i="24"/>
  <c r="L419" i="24"/>
  <c r="L574" i="24"/>
  <c r="L705" i="24"/>
  <c r="L932" i="24"/>
  <c r="L1064" i="24"/>
  <c r="L1315" i="24"/>
  <c r="L1460" i="24"/>
  <c r="L1484" i="24"/>
  <c r="L1916" i="24"/>
  <c r="L2828" i="24"/>
  <c r="L16" i="24"/>
  <c r="K40" i="24"/>
  <c r="L160" i="24"/>
  <c r="K184" i="24"/>
  <c r="L303" i="24"/>
  <c r="K327" i="24"/>
  <c r="K462" i="24"/>
  <c r="L577" i="24"/>
  <c r="K601" i="24"/>
  <c r="L720" i="24"/>
  <c r="L863" i="24"/>
  <c r="L1007" i="24"/>
  <c r="L1151" i="24"/>
  <c r="L1163" i="24"/>
  <c r="L1295" i="24"/>
  <c r="L1307" i="24"/>
  <c r="L1439" i="24"/>
  <c r="L1451" i="24"/>
  <c r="L1535" i="24"/>
  <c r="L1583" i="24"/>
  <c r="L1619" i="24"/>
  <c r="L1691" i="24"/>
  <c r="L1727" i="24"/>
  <c r="L1763" i="24"/>
  <c r="L1835" i="24"/>
  <c r="L1871" i="24"/>
  <c r="L1919" i="24"/>
  <c r="L1991" i="24"/>
  <c r="L2015" i="24"/>
  <c r="L2063" i="24"/>
  <c r="L2135" i="24"/>
  <c r="L2159" i="24"/>
  <c r="L2219" i="24"/>
  <c r="L2291" i="24"/>
  <c r="L2303" i="24"/>
  <c r="L2363" i="24"/>
  <c r="L2435" i="24"/>
  <c r="L2447" i="24"/>
  <c r="L2519" i="24"/>
  <c r="L2591" i="24"/>
  <c r="L2639" i="24"/>
  <c r="L2663" i="24"/>
  <c r="L2699" i="24"/>
  <c r="L2747" i="24"/>
  <c r="L2795" i="24"/>
  <c r="L2807" i="24"/>
  <c r="L2819" i="24"/>
  <c r="L2855" i="24"/>
  <c r="L2891" i="24"/>
  <c r="L2903" i="24"/>
  <c r="K2795" i="24"/>
  <c r="K2507" i="24"/>
  <c r="K2363" i="24"/>
  <c r="K2219" i="24"/>
  <c r="K1787" i="24"/>
  <c r="K1211" i="24"/>
  <c r="K673" i="24"/>
  <c r="K530" i="24"/>
  <c r="K387" i="24"/>
  <c r="K245" i="24"/>
  <c r="K160" i="24"/>
  <c r="K88" i="24"/>
  <c r="K17" i="24"/>
  <c r="L101" i="24"/>
  <c r="L244" i="24"/>
  <c r="L400" i="24"/>
  <c r="L462" i="24"/>
  <c r="L529" i="24"/>
  <c r="L685" i="24"/>
  <c r="L2231" i="24"/>
  <c r="L29" i="24"/>
  <c r="K53" i="24"/>
  <c r="L173" i="24"/>
  <c r="K197" i="24"/>
  <c r="L316" i="24"/>
  <c r="K340" i="24"/>
  <c r="L454" i="24"/>
  <c r="K475" i="24"/>
  <c r="L590" i="24"/>
  <c r="K614" i="24"/>
  <c r="L733" i="24"/>
  <c r="L876" i="24"/>
  <c r="L1020" i="24"/>
  <c r="L1164" i="24"/>
  <c r="L1308" i="24"/>
  <c r="L1452" i="24"/>
  <c r="L1620" i="24"/>
  <c r="L1692" i="24"/>
  <c r="L1920" i="24"/>
  <c r="L1992" i="24"/>
  <c r="L2220" i="24"/>
  <c r="L2292" i="24"/>
  <c r="L2520" i="24"/>
  <c r="L2592" i="24"/>
  <c r="L2700" i="24"/>
  <c r="L2856" i="24"/>
  <c r="K2807" i="24"/>
  <c r="K2663" i="24"/>
  <c r="K2519" i="24"/>
  <c r="K463" i="24"/>
  <c r="K315" i="24"/>
  <c r="K16" i="24"/>
  <c r="L601" i="24"/>
  <c r="L1596" i="24"/>
  <c r="L1740" i="24"/>
  <c r="L1884" i="24"/>
  <c r="L2028" i="24"/>
  <c r="L2172" i="24"/>
  <c r="L2316" i="24"/>
  <c r="L2460" i="24"/>
  <c r="L2676" i="24"/>
  <c r="L2748" i="24"/>
  <c r="L2820" i="2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<sst xmlns="http://schemas.openxmlformats.org/spreadsheetml/2006/main" count="27959" uniqueCount="12749">
  <si>
    <t>Elijah</t>
  </si>
  <si>
    <t>John 2:1-11</t>
  </si>
  <si>
    <t>John 4:46-54</t>
  </si>
  <si>
    <t>Matthew 8:14-15; Mark 1:29-31; Luke 4:38-39</t>
  </si>
  <si>
    <t>Luke 5:1-11</t>
  </si>
  <si>
    <t>Luke 7:11-17</t>
  </si>
  <si>
    <t>Mark 7:31-37</t>
  </si>
  <si>
    <t>Matthew 14:34-36; Mark 6:53-56</t>
  </si>
  <si>
    <t>Mark 8:22-26</t>
  </si>
  <si>
    <t>John 8:59</t>
  </si>
  <si>
    <t>Luke 14:1-6</t>
  </si>
  <si>
    <t>Luke 17:11-19</t>
  </si>
  <si>
    <t>John 21:1-14</t>
  </si>
  <si>
    <t>Acts 3:1-10</t>
  </si>
  <si>
    <t>Acts 5:1-11</t>
  </si>
  <si>
    <t>Acts 7:55-56</t>
  </si>
  <si>
    <t>Acts 19:11-12</t>
  </si>
  <si>
    <t>Acts 20:7-12</t>
  </si>
  <si>
    <t>Confusion of languages at Babel</t>
  </si>
  <si>
    <t>Genesis 11:1-9</t>
  </si>
  <si>
    <t>Genesis 19:11</t>
  </si>
  <si>
    <t>Genesis 19:24-25</t>
  </si>
  <si>
    <t>Genesis 19:26</t>
  </si>
  <si>
    <t>Exodus 12:29-30</t>
  </si>
  <si>
    <t>Exodus 15:23-25</t>
  </si>
  <si>
    <t>Leviticus 9:24</t>
  </si>
  <si>
    <t>Joshua 10:12-14</t>
  </si>
  <si>
    <t>2 Samuel 6:6-7</t>
  </si>
  <si>
    <t>1 Kings 17:4-6</t>
  </si>
  <si>
    <t>1 Kings 17:17-24</t>
  </si>
  <si>
    <t>2 Kings 2:11</t>
  </si>
  <si>
    <t>2 Kings 2:14</t>
  </si>
  <si>
    <t>2 Kings 2:24</t>
  </si>
  <si>
    <t>2 Kings 19:35</t>
  </si>
  <si>
    <t>Daniel 6:16-23</t>
  </si>
  <si>
    <t>Genesis 5:24</t>
  </si>
  <si>
    <t>Matthew 9:27-31</t>
  </si>
  <si>
    <t>Matthew 17:24-27</t>
  </si>
  <si>
    <t>John 9:1-41</t>
  </si>
  <si>
    <t>Exodus 13:21-22</t>
  </si>
  <si>
    <t>Numbers 21:6</t>
  </si>
  <si>
    <t>Deuteronomy 29:5</t>
  </si>
  <si>
    <t>Matthew 9:32-34</t>
  </si>
  <si>
    <t>Luke 13:10-17</t>
  </si>
  <si>
    <t>Divine Manifestation</t>
  </si>
  <si>
    <t>Matthew 2:1-12</t>
  </si>
  <si>
    <t>Matthew 27:51</t>
  </si>
  <si>
    <t>Matthew 27:52-53</t>
  </si>
  <si>
    <t>Acts 9:32-35</t>
  </si>
  <si>
    <t>Acts 9:36-43</t>
  </si>
  <si>
    <t>Acts 12:6-11</t>
  </si>
  <si>
    <t>Acts 14:8-10</t>
  </si>
  <si>
    <t>Divine Revelation</t>
  </si>
  <si>
    <t>God</t>
  </si>
  <si>
    <t>This format makes it easy to analyze patterns in biblical miracles, such as:</t>
  </si>
  <si>
    <t>The predominance of God working directly in Old Testament miracles</t>
  </si>
  <si>
    <t>The extensive healing ministry of Jesus in the New Testament</t>
  </si>
  <si>
    <t>The continuation of miraculous works through the apostles by God's power</t>
  </si>
  <si>
    <t>The distribution of different types of miracles across both testaments</t>
  </si>
  <si>
    <t>Jesus</t>
  </si>
  <si>
    <t>God the Father</t>
  </si>
  <si>
    <t>Holy Spirit</t>
  </si>
  <si>
    <t>Matthew 15:29-31</t>
  </si>
  <si>
    <t>Angel of the LORD</t>
  </si>
  <si>
    <t>Genesis 20:17-18</t>
  </si>
  <si>
    <t>Genesis 22:1-2</t>
  </si>
  <si>
    <t>Genesis 22:13</t>
  </si>
  <si>
    <t>Genesis 25:21</t>
  </si>
  <si>
    <t>Genesis 29:35</t>
  </si>
  <si>
    <t>Genesis 31:24</t>
  </si>
  <si>
    <t>Genesis 32:1-2</t>
  </si>
  <si>
    <t>Genesis 32:24-30</t>
  </si>
  <si>
    <t>Genesis 38:7</t>
  </si>
  <si>
    <t>Genesis 38:10</t>
  </si>
  <si>
    <t>Genesis 46:2-4</t>
  </si>
  <si>
    <t>Exodus 16:10</t>
  </si>
  <si>
    <t>Exodus 14:19-20</t>
  </si>
  <si>
    <t>Exodus 24:9-11</t>
  </si>
  <si>
    <t>Exodus 32:35</t>
  </si>
  <si>
    <t>Exodus 34:29-35</t>
  </si>
  <si>
    <t>Numbers 14:36-37</t>
  </si>
  <si>
    <t>Numbers 21:9</t>
  </si>
  <si>
    <t>Numbers 21:33-35</t>
  </si>
  <si>
    <t>Joshua</t>
  </si>
  <si>
    <t>Ramah</t>
  </si>
  <si>
    <t>1 Samuel 5:2-4</t>
  </si>
  <si>
    <t>1 Samuel 6:19</t>
  </si>
  <si>
    <t>Beth-shemesh</t>
  </si>
  <si>
    <t>1 Samuel 7:10-11</t>
  </si>
  <si>
    <t>1 Samuel 16:14</t>
  </si>
  <si>
    <t>1 Samuel 17:45-51</t>
  </si>
  <si>
    <t>Valley of Elah</t>
  </si>
  <si>
    <t>Keilah region</t>
  </si>
  <si>
    <t>1 Samuel 24:1-7</t>
  </si>
  <si>
    <t>1 Samuel 28:11-19</t>
  </si>
  <si>
    <t>Endor</t>
  </si>
  <si>
    <t>1 Samuel 30:7-8</t>
  </si>
  <si>
    <t>Ziklag</t>
  </si>
  <si>
    <t>Mount Gilboa</t>
  </si>
  <si>
    <t>c. 1105 BC</t>
  </si>
  <si>
    <t>c. 1095 BC</t>
  </si>
  <si>
    <t>c. 1075 BC</t>
  </si>
  <si>
    <t>c. 1055 BC</t>
  </si>
  <si>
    <t>c. 1050 BC</t>
  </si>
  <si>
    <t>c. 1025 BC</t>
  </si>
  <si>
    <t>c. 1020 BC</t>
  </si>
  <si>
    <t>c. 1017 BC</t>
  </si>
  <si>
    <t>c. 1015 BC</t>
  </si>
  <si>
    <t>c. 1010 BC</t>
  </si>
  <si>
    <t>Location</t>
  </si>
  <si>
    <t>Creation of the heavens and earth</t>
  </si>
  <si>
    <t>Beginning of time</t>
  </si>
  <si>
    <t>GOD</t>
  </si>
  <si>
    <t>God speaks light into existence</t>
  </si>
  <si>
    <t>Genesis 1:3</t>
  </si>
  <si>
    <t>Earth</t>
  </si>
  <si>
    <t>God speaks to separate waters and create firmament</t>
  </si>
  <si>
    <t>Genesis 1:6-8</t>
  </si>
  <si>
    <t>God speaks dry land and seas into existence</t>
  </si>
  <si>
    <t>Genesis 1:9-10</t>
  </si>
  <si>
    <t>God speaks vegetation into existence</t>
  </si>
  <si>
    <t>Genesis 1:11-13</t>
  </si>
  <si>
    <t>God speaks celestial bodies into existence</t>
  </si>
  <si>
    <t>Genesis 1:14-19</t>
  </si>
  <si>
    <t>Earth/Universe</t>
  </si>
  <si>
    <t>God speaks sea creatures and birds into existence</t>
  </si>
  <si>
    <t>God speaks land animals into existence</t>
  </si>
  <si>
    <t>God speaks to create man in His image</t>
  </si>
  <si>
    <t>Genesis 1:26-27</t>
  </si>
  <si>
    <t>God blesses and speaks to Adam and Eve</t>
  </si>
  <si>
    <t>Genesis 1:28-30</t>
  </si>
  <si>
    <t>Garden of Eden</t>
  </si>
  <si>
    <t>c. 4000 BC</t>
  </si>
  <si>
    <t>Formation of man from dust; breath of life</t>
  </si>
  <si>
    <t>Genesis 2:7</t>
  </si>
  <si>
    <t>God commands Adam about the trees</t>
  </si>
  <si>
    <t>Genesis 2:16-17</t>
  </si>
  <si>
    <t>Creation of woman from man's rib</t>
  </si>
  <si>
    <t>Genesis 2:21-22</t>
  </si>
  <si>
    <t>God calls to Adam after the fall</t>
  </si>
  <si>
    <t>Genesis 3:9</t>
  </si>
  <si>
    <t>God questions Adam and Eve about sin</t>
  </si>
  <si>
    <t>Genesis 3:11-13</t>
  </si>
  <si>
    <t>God curses the serpent</t>
  </si>
  <si>
    <t>Genesis 3:14-15</t>
  </si>
  <si>
    <t>God pronounces judgment on Eve</t>
  </si>
  <si>
    <t>Genesis 3:16</t>
  </si>
  <si>
    <t>God pronounces judgment on Adam</t>
  </si>
  <si>
    <t>Genesis 3:17-19</t>
  </si>
  <si>
    <t>God makes clothing for Adam and Eve</t>
  </si>
  <si>
    <t>Genesis 3:21</t>
  </si>
  <si>
    <t>God speaks about preventing access to tree of life</t>
  </si>
  <si>
    <t>Genesis 3:22</t>
  </si>
  <si>
    <t>Genesis 3:24</t>
  </si>
  <si>
    <t>East of Eden</t>
  </si>
  <si>
    <t>God speaks to Cain about his offering</t>
  </si>
  <si>
    <t>Genesis 4:6-7</t>
  </si>
  <si>
    <t>God questions Cain about Abel</t>
  </si>
  <si>
    <t>Genesis 4:11-12</t>
  </si>
  <si>
    <t>God puts a mark on Cain for protection</t>
  </si>
  <si>
    <t>Genesis 4:15</t>
  </si>
  <si>
    <t>Enoch walks with God and is taken up</t>
  </si>
  <si>
    <t>Genesis 6:13-21</t>
  </si>
  <si>
    <t>God commands Noah to enter the ark</t>
  </si>
  <si>
    <t>Genesis 7:1-4</t>
  </si>
  <si>
    <t>c. 2348 BC</t>
  </si>
  <si>
    <t>God shuts Noah in the ark</t>
  </si>
  <si>
    <t>Genesis 7:16</t>
  </si>
  <si>
    <t>The Great Flood</t>
  </si>
  <si>
    <t>Genesis 6:17-8:22</t>
  </si>
  <si>
    <t>Worldwide</t>
  </si>
  <si>
    <t>God remembers Noah and stops the flood</t>
  </si>
  <si>
    <t>Genesis 8:1</t>
  </si>
  <si>
    <t>c. 2347 BC</t>
  </si>
  <si>
    <t>God speaks to Noah after the flood</t>
  </si>
  <si>
    <t>Genesis 8:15-17</t>
  </si>
  <si>
    <t>God blesses Noah and his sons</t>
  </si>
  <si>
    <t>Genesis 9:1-7</t>
  </si>
  <si>
    <t>Genesis 9:8-17</t>
  </si>
  <si>
    <t>God calls Abram to leave his country</t>
  </si>
  <si>
    <t>Genesis 12:1-3</t>
  </si>
  <si>
    <t>God appears to Abram at Shechem</t>
  </si>
  <si>
    <t>Genesis 12:7</t>
  </si>
  <si>
    <t>Shechem</t>
  </si>
  <si>
    <t>Pharaoh's household plagued for taking Sarai</t>
  </si>
  <si>
    <t>Genesis 12:17</t>
  </si>
  <si>
    <t>Egypt</t>
  </si>
  <si>
    <t>Near Hebron</t>
  </si>
  <si>
    <t>God promises Abram countless descendants</t>
  </si>
  <si>
    <t>God's covenant ceremony with Abram</t>
  </si>
  <si>
    <t>Genesis 15:9-21</t>
  </si>
  <si>
    <t>Angel of the LORD appears to Hagar</t>
  </si>
  <si>
    <t>Genesis 16:7-14</t>
  </si>
  <si>
    <t>God appears to Abram at age 99</t>
  </si>
  <si>
    <t>Genesis 17:1</t>
  </si>
  <si>
    <t>God changes Abram's name to Abraham</t>
  </si>
  <si>
    <t>Genesis 17:5</t>
  </si>
  <si>
    <t>Genesis 17:15-19</t>
  </si>
  <si>
    <t>God speaks about Ishmael's future</t>
  </si>
  <si>
    <t>Genesis 17:20</t>
  </si>
  <si>
    <t>Three divine visitors appear to Abraham</t>
  </si>
  <si>
    <t>Genesis 18:1-2</t>
  </si>
  <si>
    <t>Mamre (near Hebron)</t>
  </si>
  <si>
    <t>Divine visitor promises Sarah a son</t>
  </si>
  <si>
    <t>Genesis 18:10-14</t>
  </si>
  <si>
    <t>God reveals plan to destroy Sodom</t>
  </si>
  <si>
    <t>Genesis 18:17-21</t>
  </si>
  <si>
    <t>Angels</t>
  </si>
  <si>
    <t>Angels strike Sodomites with blindness</t>
  </si>
  <si>
    <t>Sodom</t>
  </si>
  <si>
    <t>Destruction of Sodom and Gomorrah</t>
  </si>
  <si>
    <t>Sodom, Gomorrah, surrounding cities</t>
  </si>
  <si>
    <t>Lot's wife turned into pillar of salt</t>
  </si>
  <si>
    <t>Genesis 20:3-7</t>
  </si>
  <si>
    <t>Gerar</t>
  </si>
  <si>
    <t>God closes wombs in Abimelech's household</t>
  </si>
  <si>
    <t>God heals Abimelech's household of barrenness</t>
  </si>
  <si>
    <t>Genesis 20:17</t>
  </si>
  <si>
    <t>Sarah conceives Isaac at age 90</t>
  </si>
  <si>
    <t>Genesis 21:1-2</t>
  </si>
  <si>
    <t>Angel calls to Hagar in wilderness</t>
  </si>
  <si>
    <t>Wilderness of Beersheba</t>
  </si>
  <si>
    <t>Angel of GOD</t>
  </si>
  <si>
    <t>Genesis 21:19</t>
  </si>
  <si>
    <t>Angel stops Abraham from sacrificing Isaac</t>
  </si>
  <si>
    <t>Genesis 22:11-12</t>
  </si>
  <si>
    <t>Mount Moriah</t>
  </si>
  <si>
    <t>God provides ram for sacrifice</t>
  </si>
  <si>
    <t>Angel confirms God's covenant with Abraham</t>
  </si>
  <si>
    <t>Genesis 22:15-18</t>
  </si>
  <si>
    <t>Nahor (Mesopotamia)</t>
  </si>
  <si>
    <t>God answers prayer through Rebekah's actions</t>
  </si>
  <si>
    <t>Genesis 24:15-27</t>
  </si>
  <si>
    <t>Beersheba</t>
  </si>
  <si>
    <t>Genesis 26:24-25</t>
  </si>
  <si>
    <t>God appears to Jacob in dream at Bethel</t>
  </si>
  <si>
    <t>Genesis 28:12-15</t>
  </si>
  <si>
    <t>Bethel</t>
  </si>
  <si>
    <t>God opens Leah's womb; she conceives Reuben</t>
  </si>
  <si>
    <t>Genesis 29:31-32</t>
  </si>
  <si>
    <t>God enables Leah to conceive Simeon</t>
  </si>
  <si>
    <t>Genesis 29:33</t>
  </si>
  <si>
    <t>God enables Leah to conceive Levi</t>
  </si>
  <si>
    <t>Genesis 29:34</t>
  </si>
  <si>
    <t>God enables Leah to conceive Judah</t>
  </si>
  <si>
    <t>Genesis 30:17-18</t>
  </si>
  <si>
    <t>God enables Leah to conceive Zebulun</t>
  </si>
  <si>
    <t>Genesis 30:19-20</t>
  </si>
  <si>
    <t>Angel of God speaks to Jacob in dream</t>
  </si>
  <si>
    <t>God tells Jacob to return to his homeland</t>
  </si>
  <si>
    <t>Angels of God meet Jacob at Mahanaim</t>
  </si>
  <si>
    <t>Mahanaim</t>
  </si>
  <si>
    <t>Peniel (Jabbok ford)</t>
  </si>
  <si>
    <t>Jacob's name changed to Israel</t>
  </si>
  <si>
    <t>God kills Er for his wickedness</t>
  </si>
  <si>
    <t>Canaan</t>
  </si>
  <si>
    <t>God kills Onan for his wickedness</t>
  </si>
  <si>
    <t>God gives Joseph prophetic dreams</t>
  </si>
  <si>
    <t>Hebron valley</t>
  </si>
  <si>
    <t>God gives butler and baker dreams</t>
  </si>
  <si>
    <t>God gives Pharaoh prophetic dreams</t>
  </si>
  <si>
    <t>Genesis 41:1-7</t>
  </si>
  <si>
    <t>God speaks to Israel in visions about Egypt</t>
  </si>
  <si>
    <t>Egypt (Goshen)</t>
  </si>
  <si>
    <t>Genesis:</t>
  </si>
  <si>
    <t>The events are categorized into various types of divine intervention including:</t>
  </si>
  <si>
    <r>
      <t>Divine creation</t>
    </r>
    <r>
      <rPr>
        <sz val="11"/>
        <color theme="1"/>
        <rFont val="Calibri"/>
        <family val="2"/>
        <scheme val="minor"/>
      </rPr>
      <t xml:space="preserve"> - The fundamental acts of creating the universe and life</t>
    </r>
  </si>
  <si>
    <r>
      <t>Divine judgment</t>
    </r>
    <r>
      <rPr>
        <sz val="11"/>
        <color theme="1"/>
        <rFont val="Calibri"/>
        <family val="2"/>
        <scheme val="minor"/>
      </rPr>
      <t xml:space="preserve"> - Acts of judgment like the flood and Babel</t>
    </r>
  </si>
  <si>
    <r>
      <t>Divine provision</t>
    </r>
    <r>
      <rPr>
        <sz val="11"/>
        <color theme="1"/>
        <rFont val="Calibri"/>
        <family val="2"/>
        <scheme val="minor"/>
      </rPr>
      <t xml:space="preserve"> - Miraculous supply of needs like water and sacrifice</t>
    </r>
  </si>
  <si>
    <r>
      <t>Divine revelation</t>
    </r>
    <r>
      <rPr>
        <sz val="11"/>
        <color theme="1"/>
        <rFont val="Calibri"/>
        <family val="2"/>
        <scheme val="minor"/>
      </rPr>
      <t xml:space="preserve"> - Dreams, visions, and prophetic communications</t>
    </r>
  </si>
  <si>
    <r>
      <t>Divine protection</t>
    </r>
    <r>
      <rPr>
        <sz val="11"/>
        <color theme="1"/>
        <rFont val="Calibri"/>
        <family val="2"/>
        <scheme val="minor"/>
      </rPr>
      <t xml:space="preserve"> - Interventions to protect God's people</t>
    </r>
  </si>
  <si>
    <r>
      <t>Divine covenant</t>
    </r>
    <r>
      <rPr>
        <sz val="11"/>
        <color theme="1"/>
        <rFont val="Calibri"/>
        <family val="2"/>
        <scheme val="minor"/>
      </rPr>
      <t xml:space="preserve"> - Establishment of binding agreements with God</t>
    </r>
  </si>
  <si>
    <r>
      <t>Divine theophany</t>
    </r>
    <r>
      <rPr>
        <sz val="11"/>
        <color theme="1"/>
        <rFont val="Calibri"/>
        <family val="2"/>
        <scheme val="minor"/>
      </rPr>
      <t xml:space="preserve"> - Direct appearances or manifestations of God</t>
    </r>
  </si>
  <si>
    <t>The dates are based on traditional biblical chronology, with creation around 4000 BC and the patriarchal period spanning from about 2091 BC (Abraham's call) to 1860 BC (Jacob's death). These dates represent one scholarly approach to biblical chronology, though there are alternative dating systems used by different traditions.</t>
  </si>
  <si>
    <t>"Acts of God" is a comprehensive table containing the miracles, acts and communications of God compiled, verified and categorized by Rachel Kocheran using Claude (Anthropic's AI assistant).</t>
  </si>
  <si>
    <t>*</t>
  </si>
  <si>
    <t>* All dates are approximate</t>
  </si>
  <si>
    <t>a comprehensive table of all miracles, acts of God, and divine communications in the Book of Exodus. This covers 63 major supernatural events spanning from God hearing Israel's groaning in Egypt (c. 1526 BC) through the completion of the tabernacle and God's glory filling it (c. 1445 BC).</t>
  </si>
  <si>
    <t>Key categories included:</t>
  </si>
  <si>
    <t>Divine Judgments/Plagues:</t>
  </si>
  <si>
    <t>The ten plagues of Egypt, each specifically targeting Egyptian gods and demonstrating God's supremacy</t>
  </si>
  <si>
    <t>Pharaoh's heart being hardened as part of God's sovereign plan</t>
  </si>
  <si>
    <t>Divine Deliverances:</t>
  </si>
  <si>
    <t>The parting of the Red Sea and destruction of Egyptian army</t>
  </si>
  <si>
    <t>Protection through the pillar of cloud and fire</t>
  </si>
  <si>
    <t>Divine Provisions:</t>
  </si>
  <si>
    <t>Manna from heaven for 40 years</t>
  </si>
  <si>
    <t>Water from rocks, sweetening bitter water</t>
  </si>
  <si>
    <t>Quail in the wilderness</t>
  </si>
  <si>
    <t>Divine Revelations:</t>
  </si>
  <si>
    <t>The burning bush theophany</t>
  </si>
  <si>
    <t>God's self-revelation of His name (I AM)</t>
  </si>
  <si>
    <t>The giving of the Law at Mount Sinai</t>
  </si>
  <si>
    <t>Detailed tabernacle instructions</t>
  </si>
  <si>
    <t>Divine Theophanies:</t>
  </si>
  <si>
    <t>God's appearances on Mount Sinai with fire, smoke, and earthquakes</t>
  </si>
  <si>
    <t>Moses seeing God's back/goodness</t>
  </si>
  <si>
    <t>God's glory filling the completed tabernacle</t>
  </si>
  <si>
    <t>The table shows the progression from God's initial call to Moses through the establishment of the covenant relationship with Israel and the construction of the tabernacle as God's dwelling place among His people. The dates reflect the traditional biblical chronology placing the Exodus around 1446 BC.</t>
  </si>
  <si>
    <t>Exodus:</t>
  </si>
  <si>
    <t>*Genesis events updated to include the following: Abimelech's house healed of barrenness in Genesis 20, God warns Laban in a dream in 31, Angels of God meet Jacob in Mahanaim in 32, God kills Er and Onan, Judah's first- and secondborn, for their wickedness</t>
  </si>
  <si>
    <t>a comprehensive table of all the miracles and acts of God recorded in the Book of Genesis. The table spans from the creation of the universe to Jacob's prophetic blessings, covering approximately 2,140 years of biblical history according to traditional chronology.</t>
  </si>
  <si>
    <t>God hears the groaning of the Israelites</t>
  </si>
  <si>
    <t>Exodus 2:24-25</t>
  </si>
  <si>
    <t>c. 1526 BC</t>
  </si>
  <si>
    <t>Moses' staff becomes a serpent</t>
  </si>
  <si>
    <t>Exodus 4:9</t>
  </si>
  <si>
    <t>God appoints Aaron as Moses' spokesman</t>
  </si>
  <si>
    <t>Exodus 4:14-16</t>
  </si>
  <si>
    <t>God tells Moses to return to Egypt</t>
  </si>
  <si>
    <t>Exodus 4:19</t>
  </si>
  <si>
    <t>Midian</t>
  </si>
  <si>
    <t>God seeks to kill Moses for not circumcising son</t>
  </si>
  <si>
    <t>Exodus 4:24-26</t>
  </si>
  <si>
    <t>Journey to Egypt</t>
  </si>
  <si>
    <t>God tells Aaron to meet Moses in wilderness</t>
  </si>
  <si>
    <t>Exodus 4:27</t>
  </si>
  <si>
    <t>Wilderness/Mount Horeb</t>
  </si>
  <si>
    <t>Pharaoh's heart hardened by God</t>
  </si>
  <si>
    <t>c. 1446 BC</t>
  </si>
  <si>
    <t>Exodus 6:1-8</t>
  </si>
  <si>
    <t>First plague: Water turned to blood</t>
  </si>
  <si>
    <t>Egypt (Nile River)</t>
  </si>
  <si>
    <t>Second plague: Frogs cover the land</t>
  </si>
  <si>
    <t>Third plague: Gnats from dust</t>
  </si>
  <si>
    <t>Fourth plague: Swarms of flies</t>
  </si>
  <si>
    <t>Egypt (excluding Goshen)</t>
  </si>
  <si>
    <t>Fifth plague: Death of Egyptian livestock</t>
  </si>
  <si>
    <t>Sixth plague: Boils on man and beast</t>
  </si>
  <si>
    <t>Seventh plague: Hail destroys crops</t>
  </si>
  <si>
    <t>Eighth plague: Locusts devour remaining crops</t>
  </si>
  <si>
    <t>Ninth plague: Darkness covers Egypt</t>
  </si>
  <si>
    <t>God institutes the Passover</t>
  </si>
  <si>
    <t>Tenth plague: Death of firstborn</t>
  </si>
  <si>
    <t>Israelites plunder Egypt as God promised</t>
  </si>
  <si>
    <t>Exodus 12:35-36</t>
  </si>
  <si>
    <t>God leads with pillar of cloud and fire</t>
  </si>
  <si>
    <t>Wilderness</t>
  </si>
  <si>
    <t>God tells Moses to turn back toward Pi-hahiroth</t>
  </si>
  <si>
    <t>Exodus 14:1-4</t>
  </si>
  <si>
    <t>Pillar of cloud moves between armies</t>
  </si>
  <si>
    <t>Red Sea</t>
  </si>
  <si>
    <t>Moses parts the Red Sea</t>
  </si>
  <si>
    <t>Exodus 14:21-22</t>
  </si>
  <si>
    <t>Bitter waters at Marah made sweet</t>
  </si>
  <si>
    <t>Marah</t>
  </si>
  <si>
    <t>God promises health for obedience</t>
  </si>
  <si>
    <t>Wilderness of Sin</t>
  </si>
  <si>
    <t>Glory of the LORD appears in cloud</t>
  </si>
  <si>
    <t>God speaks about Sabbath rest</t>
  </si>
  <si>
    <t>Exodus 16:23-30</t>
  </si>
  <si>
    <t>Water flows from rock at Horeb</t>
  </si>
  <si>
    <t>Exodus 17:5-6</t>
  </si>
  <si>
    <t>Rephidim (Horeb)</t>
  </si>
  <si>
    <t>Victory over Amalekites through raised hands</t>
  </si>
  <si>
    <t>Exodus 17:8-13</t>
  </si>
  <si>
    <t>Rephidim</t>
  </si>
  <si>
    <t>Mount Sinai</t>
  </si>
  <si>
    <t>God tells Moses to consecrate the people</t>
  </si>
  <si>
    <t>Exodus 20:1-17</t>
  </si>
  <si>
    <t>God gives laws about altars</t>
  </si>
  <si>
    <t>Exodus 20:22-26</t>
  </si>
  <si>
    <t>God gives civil and ceremonial laws</t>
  </si>
  <si>
    <t>Exodus 21:1-23:19</t>
  </si>
  <si>
    <t>Exodus 23:20-33</t>
  </si>
  <si>
    <t>Moses, Aaron, and elders see God</t>
  </si>
  <si>
    <t>Exodus 24:12-18</t>
  </si>
  <si>
    <t>God gives detailed tabernacle instructions</t>
  </si>
  <si>
    <t>Exodus 25:1-31:18</t>
  </si>
  <si>
    <t>God gives Moses the stone tablets</t>
  </si>
  <si>
    <t>Exodus 31:18, 32:15-16</t>
  </si>
  <si>
    <t>God tells Moses about Israel's idolatry</t>
  </si>
  <si>
    <t>Exodus 32:7-10</t>
  </si>
  <si>
    <t>Exodus 32:11-14</t>
  </si>
  <si>
    <t>God sends plague for golden calf worship</t>
  </si>
  <si>
    <t>Israelite camp</t>
  </si>
  <si>
    <t>Tent of Meeting</t>
  </si>
  <si>
    <t>God writes new tablets</t>
  </si>
  <si>
    <t>Exodus 34:1-4</t>
  </si>
  <si>
    <t>God proclaims His name and character</t>
  </si>
  <si>
    <t>Exodus 34:5-7</t>
  </si>
  <si>
    <t>God makes covenant with Moses</t>
  </si>
  <si>
    <t>Exodus 34:10-28</t>
  </si>
  <si>
    <t>Mount Sinai/Israelite camp</t>
  </si>
  <si>
    <t>God's Spirit fills Bezalel with skill</t>
  </si>
  <si>
    <t>Exodus 35:30-35</t>
  </si>
  <si>
    <t>c. 1445 BC</t>
  </si>
  <si>
    <t>Exodus 40:34-38</t>
  </si>
  <si>
    <t>Exodus 40:36-38</t>
  </si>
  <si>
    <t>Wilderness travels</t>
  </si>
  <si>
    <t>Leviticus:</t>
  </si>
  <si>
    <t>a comprehensive table of all miracles, acts of God, and divine communications in the Book of Leviticus. This contains 41 entries covering the entire book, which primarily consists of God's detailed instructions to Moses and the priesthood.</t>
  </si>
  <si>
    <t>Key characteristics of Leviticus:</t>
  </si>
  <si>
    <t>Predominantly Divine Speech/Law:</t>
  </si>
  <si>
    <t>Most events are God speaking detailed laws and instructions to Moses</t>
  </si>
  <si>
    <t>The book begins with "The LORD called to Moses" and continues with extensive divine legislation</t>
  </si>
  <si>
    <t>Notable Miraculous Events:</t>
  </si>
  <si>
    <r>
      <t>Divine fire consuming Aaron's first offering</t>
    </r>
    <r>
      <rPr>
        <sz val="11"/>
        <color theme="1"/>
        <rFont val="Calibri"/>
        <family val="2"/>
        <scheme val="minor"/>
      </rPr>
      <t xml:space="preserve"> (Leviticus 9:24) - God's supernatural acceptance</t>
    </r>
  </si>
  <si>
    <r>
      <t>Fire from the LORD killing Nadab and Abihu</t>
    </r>
    <r>
      <rPr>
        <sz val="11"/>
        <color theme="1"/>
        <rFont val="Calibri"/>
        <family val="2"/>
        <scheme val="minor"/>
      </rPr>
      <t xml:space="preserve"> (Leviticus 10:2) - Divine judgment for unauthorized worship</t>
    </r>
  </si>
  <si>
    <r>
      <t>Execution of the blasphemer</t>
    </r>
    <r>
      <rPr>
        <sz val="11"/>
        <color theme="1"/>
        <rFont val="Calibri"/>
        <family val="2"/>
        <scheme val="minor"/>
      </rPr>
      <t xml:space="preserve"> (Leviticus 24:23) - Divine justice carried out</t>
    </r>
  </si>
  <si>
    <t>Major Categories:</t>
  </si>
  <si>
    <r>
      <t>Divine law/instruction</t>
    </r>
    <r>
      <rPr>
        <sz val="11"/>
        <color theme="1"/>
        <rFont val="Calibri"/>
        <family val="2"/>
        <scheme val="minor"/>
      </rPr>
      <t xml:space="preserve"> - The vast majority of content</t>
    </r>
  </si>
  <si>
    <r>
      <t>Divine institution</t>
    </r>
    <r>
      <rPr>
        <sz val="11"/>
        <color theme="1"/>
        <rFont val="Calibri"/>
        <family val="2"/>
        <scheme val="minor"/>
      </rPr>
      <t xml:space="preserve"> - Establishment of holy days, Sabbath years, Day of Atonement</t>
    </r>
  </si>
  <si>
    <r>
      <t>Divine promises/warnings</t>
    </r>
    <r>
      <rPr>
        <sz val="11"/>
        <color theme="1"/>
        <rFont val="Calibri"/>
        <family val="2"/>
        <scheme val="minor"/>
      </rPr>
      <t xml:space="preserve"> - Covenant blessings and curses (Chapter 26)</t>
    </r>
  </si>
  <si>
    <r>
      <t>Divine judgment</t>
    </r>
    <r>
      <rPr>
        <sz val="11"/>
        <color theme="1"/>
        <rFont val="Calibri"/>
        <family val="2"/>
        <scheme val="minor"/>
      </rPr>
      <t xml:space="preserve"> - Swift punishment for violations of holiness</t>
    </r>
  </si>
  <si>
    <r>
      <t>Divine holiness</t>
    </r>
    <r>
      <rPr>
        <sz val="11"/>
        <color theme="1"/>
        <rFont val="Calibri"/>
        <family val="2"/>
        <scheme val="minor"/>
      </rPr>
      <t xml:space="preserve"> - Repeated emphasis on God's holy character</t>
    </r>
  </si>
  <si>
    <t>Timeline and Location:</t>
  </si>
  <si>
    <t>All events occur around 1445 BC at the tabernacle/Mount Sinai</t>
  </si>
  <si>
    <t>This represents the period immediately after the tabernacle's completion</t>
  </si>
  <si>
    <t>The laws given here govern Israel's worship and daily life for centuries</t>
  </si>
  <si>
    <t>Leviticus demonstrates God's desire for a holy people and His detailed provision for maintaining fellowship with Him through proper worship, sacrifice, and moral conduct. The two dramatic judgments (fire consuming the offering and killing the disobedient priests) underscore the serious nature of approaching the holy God.</t>
  </si>
  <si>
    <t>Tabernacle</t>
  </si>
  <si>
    <t>God gives laws for burnt offerings</t>
  </si>
  <si>
    <t>God gives laws for grain offerings</t>
  </si>
  <si>
    <t>Leviticus 2:1-16</t>
  </si>
  <si>
    <t>God gives laws for peace offerings</t>
  </si>
  <si>
    <t>Leviticus 3:1-17</t>
  </si>
  <si>
    <t>God gives laws for sin offerings</t>
  </si>
  <si>
    <t>Leviticus 4:1-5:13</t>
  </si>
  <si>
    <t>God gives laws for trespass offerings</t>
  </si>
  <si>
    <t>Leviticus 5:14-6:7</t>
  </si>
  <si>
    <t>God gives laws for priestly duties</t>
  </si>
  <si>
    <t>Leviticus 6:8-7:38</t>
  </si>
  <si>
    <t>God commands consecration of Aaron and sons</t>
  </si>
  <si>
    <t>Leviticus 8:1-5</t>
  </si>
  <si>
    <t>Leviticus 10:3</t>
  </si>
  <si>
    <t>God speaks to Aaron about priestly conduct</t>
  </si>
  <si>
    <t>Leviticus 10:8-11</t>
  </si>
  <si>
    <t>God gives dietary laws (clean/unclean animals)</t>
  </si>
  <si>
    <t>Leviticus 11:1-47</t>
  </si>
  <si>
    <t>God gives laws for purification after childbirth</t>
  </si>
  <si>
    <t>Leviticus 12:1-8</t>
  </si>
  <si>
    <t>God gives laws for diagnosing leprosy</t>
  </si>
  <si>
    <t>Leviticus 13:1-59</t>
  </si>
  <si>
    <t>God gives laws for cleansing from leprosy</t>
  </si>
  <si>
    <t>Leviticus 14:1-57</t>
  </si>
  <si>
    <t>God gives laws for bodily discharges</t>
  </si>
  <si>
    <t>Leviticus 15:1-33</t>
  </si>
  <si>
    <t>God establishes Day of Atonement</t>
  </si>
  <si>
    <t>Leviticus 16:1-34</t>
  </si>
  <si>
    <t>God gives laws about eating blood</t>
  </si>
  <si>
    <t>Leviticus 17:1-16</t>
  </si>
  <si>
    <t>God gives laws about sexual conduct</t>
  </si>
  <si>
    <t>Leviticus 18:1-30</t>
  </si>
  <si>
    <t>God gives laws for holy living</t>
  </si>
  <si>
    <t>Leviticus 19:1-37</t>
  </si>
  <si>
    <t>God gives laws about capital punishments</t>
  </si>
  <si>
    <t>Leviticus 20:1-27</t>
  </si>
  <si>
    <t>God gives laws for priestly holiness</t>
  </si>
  <si>
    <t>Leviticus 21:1-24</t>
  </si>
  <si>
    <t>God gives laws about holy offerings</t>
  </si>
  <si>
    <t>Leviticus 22:1-33</t>
  </si>
  <si>
    <t>God establishes the feasts and holy days</t>
  </si>
  <si>
    <t>Leviticus 23:1-44</t>
  </si>
  <si>
    <t>God commands perpetual light in tabernacle</t>
  </si>
  <si>
    <t>Leviticus 24:1-4</t>
  </si>
  <si>
    <t>God commands showbread to be set before Him</t>
  </si>
  <si>
    <t>Leviticus 24:5-9</t>
  </si>
  <si>
    <t>God declares death penalty for blasphemy</t>
  </si>
  <si>
    <t>Leviticus 24:13-16</t>
  </si>
  <si>
    <t>God gives law of retaliation (eye for eye)</t>
  </si>
  <si>
    <t>Leviticus 24:17-22</t>
  </si>
  <si>
    <t>God establishes Sabbath and Jubilee years</t>
  </si>
  <si>
    <t>Leviticus 25:1-55</t>
  </si>
  <si>
    <t>God promises blessings for obedience</t>
  </si>
  <si>
    <t>God promises His presence among them</t>
  </si>
  <si>
    <t>Leviticus 26:11-12</t>
  </si>
  <si>
    <t>God warns of curses for disobedience</t>
  </si>
  <si>
    <t>Leviticus 26:14-39</t>
  </si>
  <si>
    <t>God promises restoration upon repentance</t>
  </si>
  <si>
    <t>God gives laws about vows and valuations</t>
  </si>
  <si>
    <t>Leviticus 27:1-34</t>
  </si>
  <si>
    <t>a comprehensive table of all miracles, acts of God, and divine communications in the Book of Deuteronomy. This contains 58 entries covering Moses' final speeches and God's interactions with Israel before entering the Promised Land.</t>
  </si>
  <si>
    <t>Key characteristics of Deuteronomy:</t>
  </si>
  <si>
    <t>Predominantly Recounted Divine Speech:</t>
  </si>
  <si>
    <t>Much of the book consists of Moses recounting what God previously said and did</t>
  </si>
  <si>
    <t>Contains extensive covenant renewal ceremonies and law repetition</t>
  </si>
  <si>
    <t>Serves as Moses' farewell address to the nation</t>
  </si>
  <si>
    <t>Notable Direct Divine Actions:</t>
  </si>
  <si>
    <r>
      <t>God appears in pillar of cloud</t>
    </r>
    <r>
      <rPr>
        <sz val="11"/>
        <color theme="1"/>
        <rFont val="Calibri"/>
        <family val="2"/>
        <scheme val="minor"/>
      </rPr>
      <t xml:space="preserve"> (Deuteronomy 31:15) - At the tabernacle entrance</t>
    </r>
  </si>
  <si>
    <r>
      <t>God shows Moses the Promised Land</t>
    </r>
    <r>
      <rPr>
        <sz val="11"/>
        <color theme="1"/>
        <rFont val="Calibri"/>
        <family val="2"/>
        <scheme val="minor"/>
      </rPr>
      <t xml:space="preserve"> (Deuteronomy 34:1-4) - From Mount Nebo</t>
    </r>
  </si>
  <si>
    <r>
      <t>God buries Moses</t>
    </r>
    <r>
      <rPr>
        <sz val="11"/>
        <color theme="1"/>
        <rFont val="Calibri"/>
        <family val="2"/>
        <scheme val="minor"/>
      </rPr>
      <t xml:space="preserve"> (Deuteronomy 34:5-6) - In an unknown location</t>
    </r>
  </si>
  <si>
    <r>
      <t>God preserves Moses' strength</t>
    </r>
    <r>
      <rPr>
        <sz val="11"/>
        <color theme="1"/>
        <rFont val="Calibri"/>
        <family val="2"/>
        <scheme val="minor"/>
      </rPr>
      <t xml:space="preserve"> (Deuteronomy 34:7) - Despite his 120 years</t>
    </r>
  </si>
  <si>
    <r>
      <t>Divine covenant/speech</t>
    </r>
    <r>
      <rPr>
        <sz val="11"/>
        <color theme="1"/>
        <rFont val="Calibri"/>
        <family val="2"/>
        <scheme val="minor"/>
      </rPr>
      <t xml:space="preserve"> - Extensive covenant blessings and curses</t>
    </r>
  </si>
  <si>
    <r>
      <t>Divine law/instruction</t>
    </r>
    <r>
      <rPr>
        <sz val="11"/>
        <color theme="1"/>
        <rFont val="Calibri"/>
        <family val="2"/>
        <scheme val="minor"/>
      </rPr>
      <t xml:space="preserve"> - Repetition and expansion of previous laws</t>
    </r>
  </si>
  <si>
    <r>
      <t>Divine prophecy</t>
    </r>
    <r>
      <rPr>
        <sz val="11"/>
        <color theme="1"/>
        <rFont val="Calibri"/>
        <family val="2"/>
        <scheme val="minor"/>
      </rPr>
      <t xml:space="preserve"> - Predictions about Israel's future rebellion and restoration</t>
    </r>
  </si>
  <si>
    <r>
      <t>Divine promise</t>
    </r>
    <r>
      <rPr>
        <sz val="11"/>
        <color theme="1"/>
        <rFont val="Calibri"/>
        <family val="2"/>
        <scheme val="minor"/>
      </rPr>
      <t xml:space="preserve"> - Assurances about the land and future blessings</t>
    </r>
  </si>
  <si>
    <r>
      <t>Divine warning</t>
    </r>
    <r>
      <rPr>
        <sz val="11"/>
        <color theme="1"/>
        <rFont val="Calibri"/>
        <family val="2"/>
        <scheme val="minor"/>
      </rPr>
      <t xml:space="preserve"> - Consequences for disobedience</t>
    </r>
  </si>
  <si>
    <t>Prophetic Elements:</t>
  </si>
  <si>
    <r>
      <t>Promise of the Prophet like Moses</t>
    </r>
    <r>
      <rPr>
        <sz val="11"/>
        <color theme="1"/>
        <rFont val="Calibri"/>
        <family val="2"/>
        <scheme val="minor"/>
      </rPr>
      <t xml:space="preserve"> (Deuteronomy 18:15-19) - Messianic prophecy</t>
    </r>
  </si>
  <si>
    <r>
      <t>Predictions of exile and restoration</t>
    </r>
    <r>
      <rPr>
        <sz val="11"/>
        <color theme="1"/>
        <rFont val="Calibri"/>
        <family val="2"/>
        <scheme val="minor"/>
      </rPr>
      <t xml:space="preserve"> (Deuteronomy 30:1-10)</t>
    </r>
  </si>
  <si>
    <r>
      <t>The Song of Moses</t>
    </r>
    <r>
      <rPr>
        <sz val="11"/>
        <color theme="1"/>
        <rFont val="Calibri"/>
        <family val="2"/>
        <scheme val="minor"/>
      </rPr>
      <t xml:space="preserve"> (Deuteronomy 32) - Prophetic song about Israel's future</t>
    </r>
  </si>
  <si>
    <t>All events occur around 1406 BC on the Plains of Moab</t>
  </si>
  <si>
    <t>This represents the final month of Moses' life</t>
  </si>
  <si>
    <t>The culmination of 40 years in the wilderness</t>
  </si>
  <si>
    <t>Deuteronomy demonstrates God's faithfulness to His covenant while preparing Israel for life in the Promised Land. The book emphasizes the choice between blessing and curse, life and death, setting the stage for Israel's conquest under Joshua's leadership.</t>
  </si>
  <si>
    <t>Numbers:</t>
  </si>
  <si>
    <t>a comprehensive table of all miracles, acts of God, and divine communications in the Book of Numbers. This contains 103 entries covering the 38-year wilderness journey from Mount Sinai to the Plains of Moab.</t>
  </si>
  <si>
    <t>Key characteristics of Numbers:</t>
  </si>
  <si>
    <t>Major Miraculous Events:</t>
  </si>
  <si>
    <r>
      <t>Fire of the LORD at Taberah</t>
    </r>
    <r>
      <rPr>
        <sz val="11"/>
        <color theme="1"/>
        <rFont val="Calibri"/>
        <family val="2"/>
        <scheme val="minor"/>
      </rPr>
      <t xml:space="preserve"> - Divine judgment for complaining</t>
    </r>
  </si>
  <si>
    <r>
      <t>70 elders receive the Spirit and prophesy</t>
    </r>
    <r>
      <rPr>
        <sz val="11"/>
        <color theme="1"/>
        <rFont val="Calibri"/>
        <family val="2"/>
        <scheme val="minor"/>
      </rPr>
      <t xml:space="preserve"> - Divine empowerment for leadership</t>
    </r>
  </si>
  <si>
    <r>
      <t>Miriam struck with leprosy and healed</t>
    </r>
    <r>
      <rPr>
        <sz val="11"/>
        <color theme="1"/>
        <rFont val="Calibri"/>
        <family val="2"/>
        <scheme val="minor"/>
      </rPr>
      <t xml:space="preserve"> - Divine judgment and mercy</t>
    </r>
  </si>
  <si>
    <r>
      <t>Earth swallows Korah's rebellion</t>
    </r>
    <r>
      <rPr>
        <sz val="11"/>
        <color theme="1"/>
        <rFont val="Calibri"/>
        <family val="2"/>
        <scheme val="minor"/>
      </rPr>
      <t xml:space="preserve"> - Supernatural judgment</t>
    </r>
  </si>
  <si>
    <r>
      <t>Aaron's rod buds with almonds</t>
    </r>
    <r>
      <rPr>
        <sz val="11"/>
        <color theme="1"/>
        <rFont val="Calibri"/>
        <family val="2"/>
        <scheme val="minor"/>
      </rPr>
      <t xml:space="preserve"> - Divine authentication of priesthood</t>
    </r>
  </si>
  <si>
    <r>
      <t>Water from the rock at Kadesh</t>
    </r>
    <r>
      <rPr>
        <sz val="11"/>
        <color theme="1"/>
        <rFont val="Calibri"/>
        <family val="2"/>
        <scheme val="minor"/>
      </rPr>
      <t xml:space="preserve"> - Divine provision despite Moses' disobedience</t>
    </r>
  </si>
  <si>
    <r>
      <t>Bronze serpent healing</t>
    </r>
    <r>
      <rPr>
        <sz val="11"/>
        <color theme="1"/>
        <rFont val="Calibri"/>
        <family val="2"/>
        <scheme val="minor"/>
      </rPr>
      <t xml:space="preserve"> - Divine remedy for serpent bites</t>
    </r>
  </si>
  <si>
    <r>
      <t>Balaam's donkey speaks</t>
    </r>
    <r>
      <rPr>
        <sz val="11"/>
        <color theme="1"/>
        <rFont val="Calibri"/>
        <family val="2"/>
        <scheme val="minor"/>
      </rPr>
      <t xml:space="preserve"> - Miraculous animal speech</t>
    </r>
  </si>
  <si>
    <r>
      <t>Balaam's forced blessing</t>
    </r>
    <r>
      <rPr>
        <sz val="11"/>
        <color theme="1"/>
        <rFont val="Calibri"/>
        <family val="2"/>
        <scheme val="minor"/>
      </rPr>
      <t xml:space="preserve"> - Divine control over pagan prophet</t>
    </r>
  </si>
  <si>
    <t>Patterns of Divine Action:</t>
  </si>
  <si>
    <r>
      <t>Divine guidance</t>
    </r>
    <r>
      <rPr>
        <sz val="11"/>
        <color theme="1"/>
        <rFont val="Calibri"/>
        <family val="2"/>
        <scheme val="minor"/>
      </rPr>
      <t xml:space="preserve"> through cloud and fire</t>
    </r>
  </si>
  <si>
    <r>
      <t>Divine judgment</t>
    </r>
    <r>
      <rPr>
        <sz val="11"/>
        <color theme="1"/>
        <rFont val="Calibri"/>
        <family val="2"/>
        <scheme val="minor"/>
      </rPr>
      <t xml:space="preserve"> for rebellion and sin</t>
    </r>
  </si>
  <si>
    <r>
      <t>Divine provision</t>
    </r>
    <r>
      <rPr>
        <sz val="11"/>
        <color theme="1"/>
        <rFont val="Calibri"/>
        <family val="2"/>
        <scheme val="minor"/>
      </rPr>
      <t xml:space="preserve"> of manna, quail, and water</t>
    </r>
  </si>
  <si>
    <r>
      <t>Divine protection</t>
    </r>
    <r>
      <rPr>
        <sz val="11"/>
        <color theme="1"/>
        <rFont val="Calibri"/>
        <family val="2"/>
        <scheme val="minor"/>
      </rPr>
      <t xml:space="preserve"> and military victories</t>
    </r>
  </si>
  <si>
    <r>
      <t>Divine law-giving</t>
    </r>
    <r>
      <rPr>
        <sz val="11"/>
        <color theme="1"/>
        <rFont val="Calibri"/>
        <family val="2"/>
        <scheme val="minor"/>
      </rPr>
      <t xml:space="preserve"> for the new generation</t>
    </r>
  </si>
  <si>
    <t>Timeline:</t>
  </si>
  <si>
    <t>Begins c. 1444 BC at Mount Sinai</t>
  </si>
  <si>
    <t>Covers the 38 years of wilderness wandering</t>
  </si>
  <si>
    <t>Ends c. 1406 BC on the Plains of Moab</t>
  </si>
  <si>
    <t>Geographic Progression:</t>
  </si>
  <si>
    <t>From Mount Sinai through various wilderness locations</t>
  </si>
  <si>
    <t>Key stops: Taberah, Kibroth-hattaavah, Hazeroth, Kadesh-barnea</t>
  </si>
  <si>
    <t>Final location: Plains of Moab, ready to enter Canaan</t>
  </si>
  <si>
    <t>Numbers demonstrates both God's faithfulness in providing for His people and His holiness in judging sin, preparing the new generation to inherit the Promised Land under Joshua's leadership.</t>
  </si>
  <si>
    <t>Deuteronomy:</t>
  </si>
  <si>
    <t>* Deuteronomy events updated to include the following: Israelites' clothes don't wear out in wilderness in Deuteronomy 29:5</t>
  </si>
  <si>
    <t>Wilderness of Sinai</t>
  </si>
  <si>
    <t>God commands census of fighting men</t>
  </si>
  <si>
    <t>God gives arrangement of tribal camps</t>
  </si>
  <si>
    <t>Numbers 2:1-34</t>
  </si>
  <si>
    <t>God separates Levites for His service</t>
  </si>
  <si>
    <t>Numbers 3:5-51</t>
  </si>
  <si>
    <t>God gives duties to Levitical families</t>
  </si>
  <si>
    <t>Numbers 4:1-49</t>
  </si>
  <si>
    <t>God gives laws for unclean persons</t>
  </si>
  <si>
    <t>Numbers 5:1-4</t>
  </si>
  <si>
    <t>God gives law of restitution</t>
  </si>
  <si>
    <t>Numbers 5:5-10</t>
  </si>
  <si>
    <t>God gives trial by ordeal for adultery</t>
  </si>
  <si>
    <t>Numbers 5:11-31</t>
  </si>
  <si>
    <t>God gives Nazirite vow laws</t>
  </si>
  <si>
    <t>Numbers 6:1-21</t>
  </si>
  <si>
    <t>Numbers 6:22-27</t>
  </si>
  <si>
    <t>Numbers 7:1-89</t>
  </si>
  <si>
    <t>Numbers 7:89</t>
  </si>
  <si>
    <t>God gives instructions for lighting lamps</t>
  </si>
  <si>
    <t>Numbers 8:1-4</t>
  </si>
  <si>
    <t>God commands consecration of Levites</t>
  </si>
  <si>
    <t>Numbers 8:5-26</t>
  </si>
  <si>
    <t>God establishes second Passover</t>
  </si>
  <si>
    <t>Numbers 9:1-14</t>
  </si>
  <si>
    <t>Numbers 9:15-23</t>
  </si>
  <si>
    <t>God commands making of silver trumpets</t>
  </si>
  <si>
    <t>Numbers 10:1-10</t>
  </si>
  <si>
    <t>Cloud lifts and Israel begins journey</t>
  </si>
  <si>
    <t>Numbers 10:11-28</t>
  </si>
  <si>
    <t>Fire of the LORD burns at Taberah</t>
  </si>
  <si>
    <t>Taberah</t>
  </si>
  <si>
    <t>Numbers 11:2</t>
  </si>
  <si>
    <t>People</t>
  </si>
  <si>
    <t>God promises meat and appoints 70 elders</t>
  </si>
  <si>
    <t>Numbers 11:16-25</t>
  </si>
  <si>
    <t>Numbers 11:25</t>
  </si>
  <si>
    <t>Camp of Israel</t>
  </si>
  <si>
    <t>Eldad and Medad prophesy in camp</t>
  </si>
  <si>
    <t>Numbers 11:26-29</t>
  </si>
  <si>
    <t>Wind brings quail from the sea</t>
  </si>
  <si>
    <t>Numbers 11:31</t>
  </si>
  <si>
    <t>People struck with plague because of craving</t>
  </si>
  <si>
    <t>Numbers 11:33-34</t>
  </si>
  <si>
    <t>Kibroth-hattaavah</t>
  </si>
  <si>
    <t>Hazeroth</t>
  </si>
  <si>
    <t>God suddenly calls Moses, Aaron, Miriam</t>
  </si>
  <si>
    <t>Numbers 12:4</t>
  </si>
  <si>
    <t>God descends in pillar of cloud</t>
  </si>
  <si>
    <t>Numbers 12:5</t>
  </si>
  <si>
    <t>Tabernacle door</t>
  </si>
  <si>
    <t>God defends Moses and rebukes Miriam/Aaron</t>
  </si>
  <si>
    <t>Numbers 12:6-9</t>
  </si>
  <si>
    <t>Numbers 12:10</t>
  </si>
  <si>
    <t>Numbers 12:13</t>
  </si>
  <si>
    <t>God heals Miriam after seven days</t>
  </si>
  <si>
    <t>Numbers 12:14-15</t>
  </si>
  <si>
    <t>God commands sending of twelve spies</t>
  </si>
  <si>
    <t>Numbers 13:1-3</t>
  </si>
  <si>
    <t>Wilderness of Paran</t>
  </si>
  <si>
    <t>Kadesh-barnea</t>
  </si>
  <si>
    <t>Glory of the LORD appears to all</t>
  </si>
  <si>
    <t>Numbers 14:10</t>
  </si>
  <si>
    <t>God threatens to destroy Israel</t>
  </si>
  <si>
    <t>Numbers 14:11-12</t>
  </si>
  <si>
    <t>Numbers 14:20-35</t>
  </si>
  <si>
    <t>Ten faithless spies die of plague</t>
  </si>
  <si>
    <t>Israelites presumptuously attack and are defeated</t>
  </si>
  <si>
    <t>Numbers 14:39-45</t>
  </si>
  <si>
    <t>Hormah</t>
  </si>
  <si>
    <t>God gives laws about offerings in the land</t>
  </si>
  <si>
    <t>Numbers 15:1-31</t>
  </si>
  <si>
    <t>Man found gathering sticks on Sabbath</t>
  </si>
  <si>
    <t>Numbers 15:32-36</t>
  </si>
  <si>
    <t>Israelites/GOD</t>
  </si>
  <si>
    <t>God commands tassels on garment corners</t>
  </si>
  <si>
    <t>Numbers 15:37-41</t>
  </si>
  <si>
    <t>Numbers 16:20-21</t>
  </si>
  <si>
    <t>Numbers 16:31-33</t>
  </si>
  <si>
    <t>Fire consumes 250 men offering incense</t>
  </si>
  <si>
    <t>Numbers 16:35</t>
  </si>
  <si>
    <t>God commands bronze censers be hammered into covering</t>
  </si>
  <si>
    <t>Numbers 16:36-40</t>
  </si>
  <si>
    <t>Glory of the LORD appears</t>
  </si>
  <si>
    <t>Numbers 16:42</t>
  </si>
  <si>
    <t>Numbers 16:44-45</t>
  </si>
  <si>
    <t>Plague begins among the people</t>
  </si>
  <si>
    <t>Numbers 16:46-47</t>
  </si>
  <si>
    <t>Aaron makes atonement; plague stops</t>
  </si>
  <si>
    <t>Numbers 16:47-48</t>
  </si>
  <si>
    <t>14,700 die in plague</t>
  </si>
  <si>
    <t>Numbers 16:49</t>
  </si>
  <si>
    <t>God commands test of Aaron's authority</t>
  </si>
  <si>
    <t>Numbers 17:1-9</t>
  </si>
  <si>
    <t>Aaron's rod buds, blossoms, bears almonds</t>
  </si>
  <si>
    <t>Numbers 17:8</t>
  </si>
  <si>
    <t>Numbers 17:10</t>
  </si>
  <si>
    <t>God gives laws about priestly duties</t>
  </si>
  <si>
    <t>Numbers 18:1-32</t>
  </si>
  <si>
    <t>God gives laws about red heifer sacrifice</t>
  </si>
  <si>
    <t>Numbers 19:1-22</t>
  </si>
  <si>
    <t>Kadesh</t>
  </si>
  <si>
    <t>c. 1407 BC</t>
  </si>
  <si>
    <t>Human need</t>
  </si>
  <si>
    <t>God tells Moses to speak to the rock</t>
  </si>
  <si>
    <t>Numbers 20:7-8</t>
  </si>
  <si>
    <t>Numbers 20:11</t>
  </si>
  <si>
    <t>Water flows abundantly from rock</t>
  </si>
  <si>
    <t>Numbers 20:12</t>
  </si>
  <si>
    <t>Edom</t>
  </si>
  <si>
    <t>Mount Hor</t>
  </si>
  <si>
    <t>God delivers Canaanites to Israel</t>
  </si>
  <si>
    <t>Numbers 21:3</t>
  </si>
  <si>
    <t>God commands bronze serpent be made</t>
  </si>
  <si>
    <t>Numbers 21:8</t>
  </si>
  <si>
    <t>Looking at bronze serpent brings healing</t>
  </si>
  <si>
    <t>God gives Israel victory over Sihon</t>
  </si>
  <si>
    <t>Numbers 21:21-32</t>
  </si>
  <si>
    <t>Amorite territory</t>
  </si>
  <si>
    <t>God gives Israel victory over Og</t>
  </si>
  <si>
    <t>Bashan</t>
  </si>
  <si>
    <t>Moab</t>
  </si>
  <si>
    <t>God speaks to Balaam in night</t>
  </si>
  <si>
    <t>Numbers 22:9-12</t>
  </si>
  <si>
    <t>Pethor (Mesopotamia)</t>
  </si>
  <si>
    <t>God allows Balaam to go with conditions</t>
  </si>
  <si>
    <t>Numbers 22:20</t>
  </si>
  <si>
    <t>Pethor</t>
  </si>
  <si>
    <t>Angel of the LORD blocks Balaam's path</t>
  </si>
  <si>
    <t>Journey to Moab</t>
  </si>
  <si>
    <t>Donkey speaks to Balaam</t>
  </si>
  <si>
    <t>God opens Balaam's eyes to see angel</t>
  </si>
  <si>
    <t>Numbers 22:31</t>
  </si>
  <si>
    <t>Angel rebukes Balaam</t>
  </si>
  <si>
    <t>Numbers 22:32-35</t>
  </si>
  <si>
    <t>God puts words in Balaam's mouth</t>
  </si>
  <si>
    <t>Balaam blesses Israel instead of cursing</t>
  </si>
  <si>
    <t>Moab (various high places)</t>
  </si>
  <si>
    <t>Spirit of God comes upon Balaam</t>
  </si>
  <si>
    <t>Numbers 24:2</t>
  </si>
  <si>
    <t>Shittim</t>
  </si>
  <si>
    <t>God's anger burns against Israel</t>
  </si>
  <si>
    <t>Numbers 25:3-4</t>
  </si>
  <si>
    <t>Plague begins among Israel</t>
  </si>
  <si>
    <t>Numbers 25:8-9</t>
  </si>
  <si>
    <t>Plague stops when Phinehas acts</t>
  </si>
  <si>
    <t>Numbers 25:8</t>
  </si>
  <si>
    <t>24,000 die in plague</t>
  </si>
  <si>
    <t>Numbers 25:9</t>
  </si>
  <si>
    <t>God makes covenant of peace with Phinehas</t>
  </si>
  <si>
    <t>Numbers 25:10-13</t>
  </si>
  <si>
    <t>God commands second census</t>
  </si>
  <si>
    <t>Numbers 26:1-65</t>
  </si>
  <si>
    <t>Plains of Moab</t>
  </si>
  <si>
    <t>c. 1406 BC</t>
  </si>
  <si>
    <t>God establishes inheritance law for daughters</t>
  </si>
  <si>
    <t>Numbers 27:6-11</t>
  </si>
  <si>
    <t>God tells Moses to view the land</t>
  </si>
  <si>
    <t>Numbers 27:12-14</t>
  </si>
  <si>
    <t>God appoints Joshua as Moses' successor</t>
  </si>
  <si>
    <t>Numbers 27:18-23</t>
  </si>
  <si>
    <t>God gives laws about offerings and vows</t>
  </si>
  <si>
    <t>Numbers 28:1-30:16</t>
  </si>
  <si>
    <t>Numbers 31:1-2</t>
  </si>
  <si>
    <t>Israel defeats Midian completely</t>
  </si>
  <si>
    <t>Numbers 31:7-11</t>
  </si>
  <si>
    <t>Midianite territory</t>
  </si>
  <si>
    <t>God gives laws about dividing spoils</t>
  </si>
  <si>
    <t>Numbers 31:25-54</t>
  </si>
  <si>
    <t>Numbers 33:1-49</t>
  </si>
  <si>
    <t>God gives commands for conquering Canaan</t>
  </si>
  <si>
    <t>Numbers 33:50-56</t>
  </si>
  <si>
    <t>God establishes boundaries of Promised Land</t>
  </si>
  <si>
    <t>Numbers 34:1-29</t>
  </si>
  <si>
    <t>God commands cities for Levites</t>
  </si>
  <si>
    <t>Numbers 35:1-8</t>
  </si>
  <si>
    <t>God establishes cities of refuge</t>
  </si>
  <si>
    <t>Numbers 35:9-34</t>
  </si>
  <si>
    <t>God gives final inheritance laws</t>
  </si>
  <si>
    <t>Numbers 36:1-13</t>
  </si>
  <si>
    <t>Deuteronomy 4:12, 15, 33, 36</t>
  </si>
  <si>
    <t>God warns about idolatry and exile</t>
  </si>
  <si>
    <t>Deuteronomy 4:25-28</t>
  </si>
  <si>
    <t>God promises restoration from exile</t>
  </si>
  <si>
    <t>Deuteronomy 4:29-31</t>
  </si>
  <si>
    <t>God chose Israel from all nations</t>
  </si>
  <si>
    <t>Deuteronomy 4:37</t>
  </si>
  <si>
    <t>Moses recalls Ten Commandments from God</t>
  </si>
  <si>
    <t>Deuteronomy 5:4-21</t>
  </si>
  <si>
    <t>God speaks from midst of fire (recalled)</t>
  </si>
  <si>
    <t>Deuteronomy 5:4, 22, 24, 26</t>
  </si>
  <si>
    <t>God writes Ten Commandments on stone</t>
  </si>
  <si>
    <t>Deuteronomy 5:22</t>
  </si>
  <si>
    <t>God commands Israel to love Him completely</t>
  </si>
  <si>
    <t>Deuteronomy 6:4-9</t>
  </si>
  <si>
    <t>God warns about forgetting Him in prosperity</t>
  </si>
  <si>
    <t>Deuteronomy 6:10-15</t>
  </si>
  <si>
    <t>God promises to drive out nations</t>
  </si>
  <si>
    <t>Deuteronomy 7:1-5</t>
  </si>
  <si>
    <t>God declares Israel His chosen people</t>
  </si>
  <si>
    <t>Deuteronomy 7:6-8</t>
  </si>
  <si>
    <t>Deuteronomy 7:12-16</t>
  </si>
  <si>
    <t>God promises to send hornets against enemies</t>
  </si>
  <si>
    <t>Deuteronomy 7:20</t>
  </si>
  <si>
    <t>God recalls 40 years of wilderness provision</t>
  </si>
  <si>
    <t>Deuteronomy 8:2-4</t>
  </si>
  <si>
    <t>God promises a land flowing with milk and honey</t>
  </si>
  <si>
    <t>Deuteronomy 8:7-10</t>
  </si>
  <si>
    <t>God warns against pride in prosperity</t>
  </si>
  <si>
    <t>Deuteronomy 8:11-20</t>
  </si>
  <si>
    <t>God promises to destroy nations before Israel</t>
  </si>
  <si>
    <t>Deuteronomy 9:3-5</t>
  </si>
  <si>
    <t>Deuteronomy 9:7-21</t>
  </si>
  <si>
    <t>God commands new stone tablets be made</t>
  </si>
  <si>
    <t>Deuteronomy 10:1-5</t>
  </si>
  <si>
    <t>Deuteronomy 10:8</t>
  </si>
  <si>
    <t>God requires fear, love, and service</t>
  </si>
  <si>
    <t>Deuteronomy 10:12-13</t>
  </si>
  <si>
    <t>God promises rain for obedience</t>
  </si>
  <si>
    <t>God warns of drought for disobedience</t>
  </si>
  <si>
    <t>Deuteronomy 11:16-17</t>
  </si>
  <si>
    <t>God promises to enlarge Israel's borders</t>
  </si>
  <si>
    <t>Deuteronomy 11:22-25</t>
  </si>
  <si>
    <t>God sets blessing and curse before Israel</t>
  </si>
  <si>
    <t>Deuteronomy 11:26-28</t>
  </si>
  <si>
    <t>God commands central place of worship</t>
  </si>
  <si>
    <t>Deuteronomy 12:5-14</t>
  </si>
  <si>
    <t>God gives laws about clean and unclean food</t>
  </si>
  <si>
    <t>Deuteronomy 14:3-21</t>
  </si>
  <si>
    <t>God establishes tithing laws</t>
  </si>
  <si>
    <t>Deuteronomy 14:22-29</t>
  </si>
  <si>
    <t>God commands year of release</t>
  </si>
  <si>
    <t>God establishes Passover and feast days</t>
  </si>
  <si>
    <t>Deuteronomy 16:1-17</t>
  </si>
  <si>
    <t>God establishes justice system and judges</t>
  </si>
  <si>
    <t>Deuteronomy 16:18-20</t>
  </si>
  <si>
    <t>God gives laws about kings</t>
  </si>
  <si>
    <t>Deuteronomy 17:14-20</t>
  </si>
  <si>
    <t>God establishes Levitical priesthood</t>
  </si>
  <si>
    <t>Deuteronomy 18:1-8</t>
  </si>
  <si>
    <t>God promises to raise up a Prophet like Moses</t>
  </si>
  <si>
    <t>Deuteronomy 18:15-19</t>
  </si>
  <si>
    <t>God gives laws about witnesses and testimony</t>
  </si>
  <si>
    <t>Deuteronomy 19:15-21</t>
  </si>
  <si>
    <t>God gives laws about warfare</t>
  </si>
  <si>
    <t>Deuteronomy 20:1-20</t>
  </si>
  <si>
    <t>God promises to fight for Israel</t>
  </si>
  <si>
    <t>Deuteronomy 20:4</t>
  </si>
  <si>
    <t>Deuteronomy 21:1-25:19</t>
  </si>
  <si>
    <t>God commands firstfruits offering declaration</t>
  </si>
  <si>
    <t>Deuteronomy 26:1-11</t>
  </si>
  <si>
    <t>God commands tithe declaration</t>
  </si>
  <si>
    <t>Deuteronomy 26:12-15</t>
  </si>
  <si>
    <t>God establishes covenant with this generation</t>
  </si>
  <si>
    <t>Deuteronomy 26:16-19</t>
  </si>
  <si>
    <t>God commands law to be written on stones</t>
  </si>
  <si>
    <t>Deuteronomy 27:1-8</t>
  </si>
  <si>
    <t>God pronounces curses for disobedience</t>
  </si>
  <si>
    <t>Deuteronomy 27:15-26</t>
  </si>
  <si>
    <t>Deuteronomy 28:1-14</t>
  </si>
  <si>
    <t>Deuteronomy 28:15-68</t>
  </si>
  <si>
    <t>God speaks of future restoration</t>
  </si>
  <si>
    <t>Deuteronomy 30:1-10</t>
  </si>
  <si>
    <t>God sets life and death before Israel</t>
  </si>
  <si>
    <t>Deuteronomy 30:11-20</t>
  </si>
  <si>
    <t>God tells Moses his death is near</t>
  </si>
  <si>
    <t>Deuteronomy 31:2, 14</t>
  </si>
  <si>
    <t>God appears in pillar of cloud at tabernacle</t>
  </si>
  <si>
    <t>Deuteronomy 31:15</t>
  </si>
  <si>
    <t>Tabernacle entrance</t>
  </si>
  <si>
    <t>God predicts Israel's future rebellion</t>
  </si>
  <si>
    <t>Deuteronomy 31:16-18</t>
  </si>
  <si>
    <t>God commands Moses to write a song</t>
  </si>
  <si>
    <t>God commissions Joshua as leader</t>
  </si>
  <si>
    <t>Deuteronomy 31:23</t>
  </si>
  <si>
    <t>Moses speaks prophetic song from God</t>
  </si>
  <si>
    <t>Deuteronomy 32:1-43</t>
  </si>
  <si>
    <t>God commands Moses to view land before death</t>
  </si>
  <si>
    <t>Deuteronomy 32:48-52</t>
  </si>
  <si>
    <t>Moses blesses tribes by God's Spirit</t>
  </si>
  <si>
    <t>Deuteronomy 33:1-29</t>
  </si>
  <si>
    <t>God shows Moses all the promised land</t>
  </si>
  <si>
    <t>Deuteronomy 34:1-4</t>
  </si>
  <si>
    <t>Mount Nebo</t>
  </si>
  <si>
    <t>God buries Moses in unknown valley</t>
  </si>
  <si>
    <t>Deuteronomy 34:5-6</t>
  </si>
  <si>
    <t>Moab (valley opposite Beth-peor)</t>
  </si>
  <si>
    <t>Moses' eyes undimmed and vigor unabated</t>
  </si>
  <si>
    <t>Deuteronomy 34:7</t>
  </si>
  <si>
    <t>Joshua:</t>
  </si>
  <si>
    <t>Key miraculous events in Joshua:</t>
  </si>
  <si>
    <t>Major Divine Interventions:</t>
  </si>
  <si>
    <r>
      <t>Jordan River parting</t>
    </r>
    <r>
      <rPr>
        <sz val="11"/>
        <color theme="1"/>
        <rFont val="Calibri"/>
        <family val="2"/>
        <scheme val="minor"/>
      </rPr>
      <t xml:space="preserve"> (Joshua 3:15-17) - Miraculous crossing on dry ground</t>
    </r>
  </si>
  <si>
    <r>
      <t>Walls of Jericho falling</t>
    </r>
    <r>
      <rPr>
        <sz val="11"/>
        <color theme="1"/>
        <rFont val="Calibri"/>
        <family val="2"/>
        <scheme val="minor"/>
      </rPr>
      <t xml:space="preserve"> (Joshua 6:20) - Supernatural destruction after seven days</t>
    </r>
  </si>
  <si>
    <r>
      <t>Sun and moon standing still</t>
    </r>
    <r>
      <rPr>
        <sz val="11"/>
        <color theme="1"/>
        <rFont val="Calibri"/>
        <family val="2"/>
        <scheme val="minor"/>
      </rPr>
      <t xml:space="preserve"> (Joshua 10:12-14) - Cosmic miracle during battle</t>
    </r>
  </si>
  <si>
    <r>
      <t>Divine hailstones</t>
    </r>
    <r>
      <rPr>
        <sz val="11"/>
        <color theme="1"/>
        <rFont val="Calibri"/>
        <family val="2"/>
        <scheme val="minor"/>
      </rPr>
      <t xml:space="preserve"> (Joshua 10:11) - Supernatural warfare killing more than swords</t>
    </r>
  </si>
  <si>
    <r>
      <t>Commander of LORD's army appearing</t>
    </r>
    <r>
      <rPr>
        <sz val="11"/>
        <color theme="1"/>
        <rFont val="Calibri"/>
        <family val="2"/>
        <scheme val="minor"/>
      </rPr>
      <t xml:space="preserve"> (Joshua 5:13-15) - Divine theophany</t>
    </r>
  </si>
  <si>
    <t>Divine Warfare and Strategy:</t>
  </si>
  <si>
    <t>God providing detailed battle plans for Jericho and Ai</t>
  </si>
  <si>
    <t>Divine hardening of Canaanite hearts for judgment</t>
  </si>
  <si>
    <t>Supernatural victories throughout the conquest</t>
  </si>
  <si>
    <t>God fighting directly for Israel</t>
  </si>
  <si>
    <t>Divine Guidance and Communication:</t>
  </si>
  <si>
    <t>Continuous divine instruction throughout the conquest</t>
  </si>
  <si>
    <t>God's promises of presence and victory</t>
  </si>
  <si>
    <t>Strategic revelations for military campaigns</t>
  </si>
  <si>
    <t>Covenant renewal ceremonies</t>
  </si>
  <si>
    <t>Divine Judgment:</t>
  </si>
  <si>
    <t>Punishment for Achan's disobedience</t>
  </si>
  <si>
    <t>Defeat at Ai due to sin in the camp</t>
  </si>
  <si>
    <t>Complete destruction of Canaanite cities as commanded</t>
  </si>
  <si>
    <t>Timeline Progression:</t>
  </si>
  <si>
    <r>
      <t>1406 BC</t>
    </r>
    <r>
      <rPr>
        <sz val="11"/>
        <color theme="1"/>
        <rFont val="Calibri"/>
        <family val="2"/>
        <scheme val="minor"/>
      </rPr>
      <t>: Jordan crossing, Jericho's fall, initial conquests</t>
    </r>
  </si>
  <si>
    <r>
      <t>1405-1404 BC</t>
    </r>
    <r>
      <rPr>
        <sz val="11"/>
        <color theme="1"/>
        <rFont val="Calibri"/>
        <family val="2"/>
        <scheme val="minor"/>
      </rPr>
      <t>: Southern and northern campaigns</t>
    </r>
  </si>
  <si>
    <r>
      <t>1400 BC</t>
    </r>
    <r>
      <rPr>
        <sz val="11"/>
        <color theme="1"/>
        <rFont val="Calibri"/>
        <family val="2"/>
        <scheme val="minor"/>
      </rPr>
      <t>: Land division and rest from war</t>
    </r>
  </si>
  <si>
    <r>
      <t>1390 BC</t>
    </r>
    <r>
      <rPr>
        <sz val="11"/>
        <color theme="1"/>
        <rFont val="Calibri"/>
        <family val="2"/>
        <scheme val="minor"/>
      </rPr>
      <t>: Joshua's farewell and death</t>
    </r>
  </si>
  <si>
    <t>Categories of Divine Action:</t>
  </si>
  <si>
    <r>
      <t>Divine warfare</t>
    </r>
    <r>
      <rPr>
        <sz val="11"/>
        <color theme="1"/>
        <rFont val="Calibri"/>
        <family val="2"/>
        <scheme val="minor"/>
      </rPr>
      <t xml:space="preserve"> - Supernatural military interventions</t>
    </r>
  </si>
  <si>
    <r>
      <t>Divine faithfulness</t>
    </r>
    <r>
      <rPr>
        <sz val="11"/>
        <color theme="1"/>
        <rFont val="Calibri"/>
        <family val="2"/>
        <scheme val="minor"/>
      </rPr>
      <t xml:space="preserve"> - Fulfillment of all promises to Abraham</t>
    </r>
  </si>
  <si>
    <r>
      <t>Divine guidance</t>
    </r>
    <r>
      <rPr>
        <sz val="11"/>
        <color theme="1"/>
        <rFont val="Calibri"/>
        <family val="2"/>
        <scheme val="minor"/>
      </rPr>
      <t xml:space="preserve"> - Constant direction and strategy</t>
    </r>
  </si>
  <si>
    <r>
      <t>Divine judgment</t>
    </r>
    <r>
      <rPr>
        <sz val="11"/>
        <color theme="1"/>
        <rFont val="Calibri"/>
        <family val="2"/>
        <scheme val="minor"/>
      </rPr>
      <t xml:space="preserve"> - Punishment of sin and enemies</t>
    </r>
  </si>
  <si>
    <r>
      <t>Divine provision</t>
    </r>
    <r>
      <rPr>
        <sz val="11"/>
        <color theme="1"/>
        <rFont val="Calibri"/>
        <family val="2"/>
        <scheme val="minor"/>
      </rPr>
      <t xml:space="preserve"> - Rest, land, and peace for Israel</t>
    </r>
  </si>
  <si>
    <t>The book demonstrates God's faithfulness in fulfilling His covenant promises while establishing Israel in the Promised Land through miraculous interventions and military victories.</t>
  </si>
  <si>
    <t>a comprehensive table of all miracles, acts of God, and divine communications in the Book of Joshua. This contains 74 entries covering the conquest and settlement of the Promised Land from 1406-1390 BC.</t>
  </si>
  <si>
    <t>Confirm dates</t>
  </si>
  <si>
    <t>Confirm Locations</t>
  </si>
  <si>
    <t>Confirm category</t>
  </si>
  <si>
    <t>Confirm scripture</t>
  </si>
  <si>
    <t>God speaks to Joshua after Moses' death</t>
  </si>
  <si>
    <t>Joshua 1:1-9</t>
  </si>
  <si>
    <t>Plains of Moab/Jordan River</t>
  </si>
  <si>
    <t>God promises to be with Joshua</t>
  </si>
  <si>
    <t>Joshua 1:5, 9</t>
  </si>
  <si>
    <t>God commands Joshua to be strong and courageous</t>
  </si>
  <si>
    <t>Joshua 1:6-7, 9</t>
  </si>
  <si>
    <t>God promises success in keeping the law</t>
  </si>
  <si>
    <t>Joshua 1:7-8</t>
  </si>
  <si>
    <t>Rahab hides Israelite spies</t>
  </si>
  <si>
    <t>Joshua 2:1-7</t>
  </si>
  <si>
    <t>Jericho</t>
  </si>
  <si>
    <t>Rahab</t>
  </si>
  <si>
    <t>God protects spies through Rahab</t>
  </si>
  <si>
    <t>Joshua 2:8-21</t>
  </si>
  <si>
    <t>Spies escape by God's providence</t>
  </si>
  <si>
    <t>Joshua 2:15-24</t>
  </si>
  <si>
    <t>Jericho/wilderness</t>
  </si>
  <si>
    <t>God commands Israel to cross Jordan</t>
  </si>
  <si>
    <t>Joshua 3:1-4</t>
  </si>
  <si>
    <t>Jordan River</t>
  </si>
  <si>
    <t>God promises to exalt Joshua before Israel</t>
  </si>
  <si>
    <t>Joshua 3:7</t>
  </si>
  <si>
    <t>God commands priests to carry ark to Jordan</t>
  </si>
  <si>
    <t>Joshua 3:8</t>
  </si>
  <si>
    <t>Jordan River stops flowing when priests enter</t>
  </si>
  <si>
    <t>Joshua 3:15-17</t>
  </si>
  <si>
    <t>Jordan River at Jericho</t>
  </si>
  <si>
    <t>All Israel crosses on dry ground</t>
  </si>
  <si>
    <t>Joshua 3:17</t>
  </si>
  <si>
    <t>God commands twelve stones as memorial</t>
  </si>
  <si>
    <t>Joshua 4:1-9</t>
  </si>
  <si>
    <t>Jordan River/Gilgal</t>
  </si>
  <si>
    <t>Jordan returns to its course after crossing</t>
  </si>
  <si>
    <t>Joshua 4:18</t>
  </si>
  <si>
    <t>God exalts Joshua in sight of all Israel</t>
  </si>
  <si>
    <t>Joshua 4:14</t>
  </si>
  <si>
    <t>God commands circumcision of new generation</t>
  </si>
  <si>
    <t>Joshua 5:2-3</t>
  </si>
  <si>
    <t>Gilgal</t>
  </si>
  <si>
    <t>Reproach of Egypt rolled away at Gilgal</t>
  </si>
  <si>
    <t>Joshua 5:9</t>
  </si>
  <si>
    <t>Manna ceases after eating produce of land</t>
  </si>
  <si>
    <t>Joshua 5:12</t>
  </si>
  <si>
    <t>Commander of LORD's army appears to Joshua</t>
  </si>
  <si>
    <t>Joshua 5:13-15</t>
  </si>
  <si>
    <t>Near Jericho</t>
  </si>
  <si>
    <t>Commander of LORD's army</t>
  </si>
  <si>
    <t>God gives strategy for conquering Jericho</t>
  </si>
  <si>
    <t>Joshua 6:2-5</t>
  </si>
  <si>
    <t>Walls of Jericho fall after seven days</t>
  </si>
  <si>
    <t>Joshua 6:20</t>
  </si>
  <si>
    <t>Rahab and family saved from destruction</t>
  </si>
  <si>
    <t>Joshua 6:17, 23, 25</t>
  </si>
  <si>
    <t>Joshua curses rebuilder of Jericho</t>
  </si>
  <si>
    <t>Joshua 6:26</t>
  </si>
  <si>
    <t>God's anger burns against Israel for Achan's sin</t>
  </si>
  <si>
    <t>Joshua 7:1</t>
  </si>
  <si>
    <t>Jericho/Ai</t>
  </si>
  <si>
    <t>Israel defeated at Ai due to sin</t>
  </si>
  <si>
    <t>Joshua 7:4-5</t>
  </si>
  <si>
    <t>Ai</t>
  </si>
  <si>
    <t>God reveals there is sin in the camp</t>
  </si>
  <si>
    <t>Joshua 7:10-15</t>
  </si>
  <si>
    <t>God identifies Achan through sacred lots</t>
  </si>
  <si>
    <t>Joshua 7:16-18</t>
  </si>
  <si>
    <t>Achan and family stoned in Valley of Achor</t>
  </si>
  <si>
    <t>Joshua 7:24-26</t>
  </si>
  <si>
    <t>Valley of Achor</t>
  </si>
  <si>
    <t>God tells Joshua not to fear or be dismayed</t>
  </si>
  <si>
    <t>Joshua 8:1</t>
  </si>
  <si>
    <t>God gives strategy for conquering Ai</t>
  </si>
  <si>
    <t>Joshua 8:1-2</t>
  </si>
  <si>
    <t>God delivers Ai into Joshua's hand</t>
  </si>
  <si>
    <t>Joshua 8:7, 18</t>
  </si>
  <si>
    <t>Joshua stretches out spear at God's command</t>
  </si>
  <si>
    <t>Joshua 8:18, 26</t>
  </si>
  <si>
    <t>Ai completely destroyed as God commanded</t>
  </si>
  <si>
    <t>Joshua 8:24-29</t>
  </si>
  <si>
    <t>c. 1405 BC</t>
  </si>
  <si>
    <t>Sun and moon stand still at Gibeon</t>
  </si>
  <si>
    <t>Gibeon/Aijalon</t>
  </si>
  <si>
    <t>God fights for Israel at Gibeon</t>
  </si>
  <si>
    <t>Joshua 10:14</t>
  </si>
  <si>
    <t>Gibeon</t>
  </si>
  <si>
    <t>God hurls large hailstones on enemies</t>
  </si>
  <si>
    <t>Joshua 10:11</t>
  </si>
  <si>
    <t>Descent of Beth-horon</t>
  </si>
  <si>
    <t>More die from hailstones than sword</t>
  </si>
  <si>
    <t>Makkedah</t>
  </si>
  <si>
    <t>God delivers five kings to Joshua</t>
  </si>
  <si>
    <t>Joshua 10:19, 24-25</t>
  </si>
  <si>
    <t>God gives Joshua victory over southern cities</t>
  </si>
  <si>
    <t>Joshua 10:28-43</t>
  </si>
  <si>
    <t>Southern Canaan</t>
  </si>
  <si>
    <t>Waters of Merom</t>
  </si>
  <si>
    <t>c. 1404 BC</t>
  </si>
  <si>
    <t>God tells Joshua not to fear great army</t>
  </si>
  <si>
    <t>Joshua 11:6</t>
  </si>
  <si>
    <t>Near Merom</t>
  </si>
  <si>
    <t>God promises victory over northern alliance</t>
  </si>
  <si>
    <t>God delivers northern army to Joshua</t>
  </si>
  <si>
    <t>Joshua 11:7-8</t>
  </si>
  <si>
    <t>Joshua burns Hazor as God commanded</t>
  </si>
  <si>
    <t>Joshua 11:9-13</t>
  </si>
  <si>
    <t>Hazor</t>
  </si>
  <si>
    <t>God hardens hearts of Canaanites for war</t>
  </si>
  <si>
    <t>Joshua 11:20</t>
  </si>
  <si>
    <t>Throughout Canaan</t>
  </si>
  <si>
    <t>c. 1406-1400 BC</t>
  </si>
  <si>
    <t>God gives rest to Israel from war</t>
  </si>
  <si>
    <t>Joshua 11:23</t>
  </si>
  <si>
    <t>c. 1400 BC</t>
  </si>
  <si>
    <t>God commands division of the land</t>
  </si>
  <si>
    <t>Joshua 13:1-7</t>
  </si>
  <si>
    <t>God speaks about remaining unconquered land</t>
  </si>
  <si>
    <t>Joshua 13:1</t>
  </si>
  <si>
    <t>Caleb receives Hebron as inheritance</t>
  </si>
  <si>
    <t>Joshua 14:6-15</t>
  </si>
  <si>
    <t>God preserved Caleb's strength for 45 years</t>
  </si>
  <si>
    <t>Joshua 14:10-11</t>
  </si>
  <si>
    <t>Land has rest from war</t>
  </si>
  <si>
    <t>Joshua 14:15</t>
  </si>
  <si>
    <t>Cities of refuge established by God's command</t>
  </si>
  <si>
    <t>Joshua 20:1-9</t>
  </si>
  <si>
    <t>Six cities in Canaan</t>
  </si>
  <si>
    <t>Levitical cities given as God commanded</t>
  </si>
  <si>
    <t>Joshua 21:1-45</t>
  </si>
  <si>
    <t>God gives Israel all the land He promised</t>
  </si>
  <si>
    <t>Joshua 21:43</t>
  </si>
  <si>
    <t>God gives Israel rest on every side</t>
  </si>
  <si>
    <t>Joshua 21:44</t>
  </si>
  <si>
    <t>Not one good promise of God fails</t>
  </si>
  <si>
    <t>Joshua 21:45</t>
  </si>
  <si>
    <t>Jordan River region</t>
  </si>
  <si>
    <t>c. 1399 BC</t>
  </si>
  <si>
    <t>Shiloh</t>
  </si>
  <si>
    <t>God prevents civil war through understanding</t>
  </si>
  <si>
    <t>Joshua 22:30-34</t>
  </si>
  <si>
    <t>Probably Shiloh</t>
  </si>
  <si>
    <t>c. 1390 BC</t>
  </si>
  <si>
    <t>Joshua recounts God's faithfulness</t>
  </si>
  <si>
    <t>Joshua 23:3-5</t>
  </si>
  <si>
    <t>Joshua warns about consequences of apostasy</t>
  </si>
  <si>
    <t>Joshua 23:11-16</t>
  </si>
  <si>
    <t>God sent hornets to drive out enemies</t>
  </si>
  <si>
    <t>Joshua 24:12</t>
  </si>
  <si>
    <t>Canaan (recounting conquest)</t>
  </si>
  <si>
    <t>Joshua renews covenant at Shechem</t>
  </si>
  <si>
    <t>Joshua 24:25-28</t>
  </si>
  <si>
    <t>* Joshua events updated to include: Hornets drive out Israel's enemies in Joshua 24:12</t>
  </si>
  <si>
    <t>1 Samuel:</t>
  </si>
  <si>
    <t>Key miraculous events in 1 Samuel:</t>
  </si>
  <si>
    <t>Divine Interventions:</t>
  </si>
  <si>
    <r>
      <t>Hannah's miraculous conception</t>
    </r>
    <r>
      <rPr>
        <sz val="11"/>
        <color theme="1"/>
        <rFont val="Calibri"/>
        <family val="2"/>
        <scheme val="minor"/>
      </rPr>
      <t xml:space="preserve"> - After years of barrenness</t>
    </r>
  </si>
  <si>
    <r>
      <t>Samuel's prophetic calling</t>
    </r>
    <r>
      <rPr>
        <sz val="11"/>
        <color theme="1"/>
        <rFont val="Calibri"/>
        <family val="2"/>
        <scheme val="minor"/>
      </rPr>
      <t xml:space="preserve"> - God speaking to the child three times</t>
    </r>
  </si>
  <si>
    <r>
      <t>Ark's supernatural effects</t>
    </r>
    <r>
      <rPr>
        <sz val="11"/>
        <color theme="1"/>
        <rFont val="Calibri"/>
        <family val="2"/>
        <scheme val="minor"/>
      </rPr>
      <t xml:space="preserve"> - Defeating Dagon, causing plagues among Philistines</t>
    </r>
  </si>
  <si>
    <r>
      <t>Thunder at Mizpah</t>
    </r>
    <r>
      <rPr>
        <sz val="11"/>
        <color theme="1"/>
        <rFont val="Calibri"/>
        <family val="2"/>
        <scheme val="minor"/>
      </rPr>
      <t xml:space="preserve"> - Divine warfare routing the Philistines</t>
    </r>
  </si>
  <si>
    <r>
      <t>David's victory over Goliath</t>
    </r>
    <r>
      <rPr>
        <sz val="11"/>
        <color theme="1"/>
        <rFont val="Calibri"/>
        <family val="2"/>
        <scheme val="minor"/>
      </rPr>
      <t xml:space="preserve"> - Divine deliverance through faith</t>
    </r>
  </si>
  <si>
    <r>
      <t>Samuel's spirit appearing</t>
    </r>
    <r>
      <rPr>
        <sz val="11"/>
        <color theme="1"/>
        <rFont val="Calibri"/>
        <family val="2"/>
        <scheme val="minor"/>
      </rPr>
      <t xml:space="preserve"> - Supernatural manifestation at Endor</t>
    </r>
  </si>
  <si>
    <r>
      <t>God's revelation to Samuel</t>
    </r>
    <r>
      <rPr>
        <sz val="11"/>
        <color theme="1"/>
        <rFont val="Calibri"/>
        <family val="2"/>
        <scheme val="minor"/>
      </rPr>
      <t xml:space="preserve"> about Saul's coming</t>
    </r>
  </si>
  <si>
    <r>
      <t>Divine lots and ephod consultations</t>
    </r>
    <r>
      <rPr>
        <sz val="11"/>
        <color theme="1"/>
        <rFont val="Calibri"/>
        <family val="2"/>
        <scheme val="minor"/>
      </rPr>
      <t xml:space="preserve"> - Supernatural guidance system</t>
    </r>
  </si>
  <si>
    <r>
      <t>Prophetic warnings and instructions</t>
    </r>
    <r>
      <rPr>
        <sz val="11"/>
        <color theme="1"/>
        <rFont val="Calibri"/>
        <family val="2"/>
        <scheme val="minor"/>
      </rPr>
      <t xml:space="preserve"> throughout the narrative</t>
    </r>
  </si>
  <si>
    <t>God's direction in anointing both Saul and David</t>
  </si>
  <si>
    <r>
      <t>Judgment on Eli's house</t>
    </r>
    <r>
      <rPr>
        <sz val="11"/>
        <color theme="1"/>
        <rFont val="Calibri"/>
        <family val="2"/>
        <scheme val="minor"/>
      </rPr>
      <t xml:space="preserve"> for dishonoring God</t>
    </r>
  </si>
  <si>
    <r>
      <t>Philistine plagues</t>
    </r>
    <r>
      <rPr>
        <sz val="11"/>
        <color theme="1"/>
        <rFont val="Calibri"/>
        <family val="2"/>
        <scheme val="minor"/>
      </rPr>
      <t xml:space="preserve"> for capturing the ark</t>
    </r>
  </si>
  <si>
    <r>
      <t>Death of Beth-shemesh men</t>
    </r>
    <r>
      <rPr>
        <sz val="11"/>
        <color theme="1"/>
        <rFont val="Calibri"/>
        <family val="2"/>
        <scheme val="minor"/>
      </rPr>
      <t xml:space="preserve"> for irreverent handling of ark</t>
    </r>
  </si>
  <si>
    <r>
      <t>God's departure from Saul</t>
    </r>
    <r>
      <rPr>
        <sz val="11"/>
        <color theme="1"/>
        <rFont val="Calibri"/>
        <family val="2"/>
        <scheme val="minor"/>
      </rPr>
      <t xml:space="preserve"> and sending of distressing spirit</t>
    </r>
  </si>
  <si>
    <r>
      <t>Nabal's sudden death</t>
    </r>
    <r>
      <rPr>
        <sz val="11"/>
        <color theme="1"/>
        <rFont val="Calibri"/>
        <family val="2"/>
        <scheme val="minor"/>
      </rPr>
      <t xml:space="preserve"> for insulting David</t>
    </r>
  </si>
  <si>
    <t>Saul's predicted and fulfilled death</t>
  </si>
  <si>
    <t>Divine Protection and Providence:</t>
  </si>
  <si>
    <r>
      <t>Continuous protection of David</t>
    </r>
    <r>
      <rPr>
        <sz val="11"/>
        <color theme="1"/>
        <rFont val="Calibri"/>
        <family val="2"/>
        <scheme val="minor"/>
      </rPr>
      <t xml:space="preserve"> from Saul's attempts</t>
    </r>
  </si>
  <si>
    <r>
      <t>Divine timing</t>
    </r>
    <r>
      <rPr>
        <sz val="11"/>
        <color theme="1"/>
        <rFont val="Calibri"/>
        <family val="2"/>
        <scheme val="minor"/>
      </rPr>
      <t xml:space="preserve"> in deliverances and escapes</t>
    </r>
  </si>
  <si>
    <r>
      <t>God's presence with David</t>
    </r>
    <r>
      <rPr>
        <sz val="11"/>
        <color theme="1"/>
        <rFont val="Calibri"/>
        <family val="2"/>
        <scheme val="minor"/>
      </rPr>
      <t xml:space="preserve"> making him successful</t>
    </r>
  </si>
  <si>
    <r>
      <t>Divine concealment</t>
    </r>
    <r>
      <rPr>
        <sz val="11"/>
        <color theme="1"/>
        <rFont val="Calibri"/>
        <family val="2"/>
        <scheme val="minor"/>
      </rPr>
      <t xml:space="preserve"> of David in wilderness</t>
    </r>
  </si>
  <si>
    <r>
      <t>1105-1075 BC</t>
    </r>
    <r>
      <rPr>
        <sz val="11"/>
        <color theme="1"/>
        <rFont val="Calibri"/>
        <family val="2"/>
        <scheme val="minor"/>
      </rPr>
      <t>: Samuel's early ministry, Eli's judgment</t>
    </r>
  </si>
  <si>
    <r>
      <t>1075-1055 BC</t>
    </r>
    <r>
      <rPr>
        <sz val="11"/>
        <color theme="1"/>
        <rFont val="Calibri"/>
        <family val="2"/>
        <scheme val="minor"/>
      </rPr>
      <t>: Ark narrative, Philistine troubles</t>
    </r>
  </si>
  <si>
    <r>
      <t>1055-1050 BC</t>
    </r>
    <r>
      <rPr>
        <sz val="11"/>
        <color theme="1"/>
        <rFont val="Calibri"/>
        <family val="2"/>
        <scheme val="minor"/>
      </rPr>
      <t>: Samuel's judgeship, Israel's victory</t>
    </r>
  </si>
  <si>
    <r>
      <t>1050-1025 BC</t>
    </r>
    <r>
      <rPr>
        <sz val="11"/>
        <color theme="1"/>
        <rFont val="Calibri"/>
        <family val="2"/>
        <scheme val="minor"/>
      </rPr>
      <t>: Saul's reign begins, early success</t>
    </r>
  </si>
  <si>
    <r>
      <t>1025-1010 BC</t>
    </r>
    <r>
      <rPr>
        <sz val="11"/>
        <color theme="1"/>
        <rFont val="Calibri"/>
        <family val="2"/>
        <scheme val="minor"/>
      </rPr>
      <t>: David's rise, Saul's decline and death</t>
    </r>
  </si>
  <si>
    <t>The book demonstrates the transition from theocracy under the judges to monarchy, showing God's sovereignty in choosing and rejecting kings while maintaining His covenant faithfulness to His people.</t>
  </si>
  <si>
    <t>a comprehensive table of all miracles, acts of God, and divine communications in 1 Samuel. This contains 64 entries covering approximately 95 years from Samuel's birth (c. 1105 BC) to Saul's death (c. 1010 BC).</t>
  </si>
  <si>
    <t>* 1 Samuel events updated to include the following event: Thunder and rain during harvest time in 1 Samuel 12:18</t>
  </si>
  <si>
    <t>God hears Hannah's prayer for a child</t>
  </si>
  <si>
    <t>Hannah conceives and bears Samuel</t>
  </si>
  <si>
    <t>Samuel grows and finds favor with God</t>
  </si>
  <si>
    <t>1 Samuel 2:21, 26</t>
  </si>
  <si>
    <t>Shiloh/Ramah</t>
  </si>
  <si>
    <t>c. 1100-1095 BC</t>
  </si>
  <si>
    <t>God reveals judgment on Eli's house</t>
  </si>
  <si>
    <t>1 Samuel 2:27-36</t>
  </si>
  <si>
    <t>c. 1097 BC</t>
  </si>
  <si>
    <t>Man of GOD</t>
  </si>
  <si>
    <t>God calls Samuel three times in night</t>
  </si>
  <si>
    <t>1 Samuel 3:4-10</t>
  </si>
  <si>
    <t>God reveals judgment on Eli's house to Samuel</t>
  </si>
  <si>
    <t>Samuel established as prophet of the LORD</t>
  </si>
  <si>
    <t>1 Samuel 3:19-21</t>
  </si>
  <si>
    <t>Throughout Israel</t>
  </si>
  <si>
    <t>c. 1095-1075 BC</t>
  </si>
  <si>
    <t>God appears to Samuel at Shiloh</t>
  </si>
  <si>
    <t>1 Samuel 3:21</t>
  </si>
  <si>
    <t>Philistines capture ark in battle</t>
  </si>
  <si>
    <t>1 Samuel 4:10-11</t>
  </si>
  <si>
    <t>Eli dies when hearing of ark's capture</t>
  </si>
  <si>
    <t>1 Samuel 4:17-18</t>
  </si>
  <si>
    <t>Ichabod born; glory departed from Israel</t>
  </si>
  <si>
    <t>1 Samuel 4:19-22</t>
  </si>
  <si>
    <t>Ashdod</t>
  </si>
  <si>
    <t>Dagon falls before ark twice</t>
  </si>
  <si>
    <t>1 Samuel 5:6-7</t>
  </si>
  <si>
    <t>1 Samuel 5:8-9</t>
  </si>
  <si>
    <t>Gath</t>
  </si>
  <si>
    <t>1 Samuel 5:10-12</t>
  </si>
  <si>
    <t>Ekron</t>
  </si>
  <si>
    <t>Philistine cities</t>
  </si>
  <si>
    <t>God blesses ark's presence at Kirjath-jearim</t>
  </si>
  <si>
    <t>1 Samuel 7:1-2</t>
  </si>
  <si>
    <t>Kirjath-jearim</t>
  </si>
  <si>
    <t>c. 1075-1055 BC</t>
  </si>
  <si>
    <t>Samuel calls Israel to put away foreign gods</t>
  </si>
  <si>
    <t>1 Samuel 7:3-4</t>
  </si>
  <si>
    <t>God thunders against Philistines at Mizpah</t>
  </si>
  <si>
    <t>1 Samuel 7:10</t>
  </si>
  <si>
    <t>Mizpah</t>
  </si>
  <si>
    <t>Philistines defeated and confused by God</t>
  </si>
  <si>
    <t>Philistines subdued; cities restored</t>
  </si>
  <si>
    <t>1 Samuel 7:13-14</t>
  </si>
  <si>
    <t>God reveals Saul's coming to Samuel</t>
  </si>
  <si>
    <t>1 Samuel 9:15-16</t>
  </si>
  <si>
    <t>Samuel finds Saul by God's direction</t>
  </si>
  <si>
    <t>Samuel anoints Saul as king</t>
  </si>
  <si>
    <t>1 Samuel 10:1</t>
  </si>
  <si>
    <t>God gives Saul three confirming signs</t>
  </si>
  <si>
    <t>Spirit of God comes upon Saul</t>
  </si>
  <si>
    <t>1 Samuel 10:9-10</t>
  </si>
  <si>
    <t>Saul prophesies among the prophets</t>
  </si>
  <si>
    <t>1 Samuel 10:10-13</t>
  </si>
  <si>
    <t>God changes Saul's heart</t>
  </si>
  <si>
    <t>1 Samuel 10:9</t>
  </si>
  <si>
    <t>Lot falls on Saul when hidden</t>
  </si>
  <si>
    <t>1 Samuel 10:20-21</t>
  </si>
  <si>
    <t>God reveals Saul's hiding place</t>
  </si>
  <si>
    <t>1 Samuel 10:22</t>
  </si>
  <si>
    <t>1 Samuel 12:17-18</t>
  </si>
  <si>
    <t>Gibeah</t>
  </si>
  <si>
    <t>God directs Samuel to Jesse's house</t>
  </si>
  <si>
    <t>1 Samuel 16:1-3</t>
  </si>
  <si>
    <t>Bethlehem</t>
  </si>
  <si>
    <t>God rejects Jesse's older sons</t>
  </si>
  <si>
    <t>1 Samuel 16:6-10</t>
  </si>
  <si>
    <t>God chooses David from among brothers</t>
  </si>
  <si>
    <t>1 Samuel 16:11-12</t>
  </si>
  <si>
    <t>Samuel anoints David; Spirit comes upon him</t>
  </si>
  <si>
    <t>1 Samuel 16:13</t>
  </si>
  <si>
    <t>David kills Goliath in God's name</t>
  </si>
  <si>
    <t>God is with David in all his ways</t>
  </si>
  <si>
    <t>1 Samuel 18:12, 14, 28</t>
  </si>
  <si>
    <t>Various locations</t>
  </si>
  <si>
    <t>c. 1025-1020 BC</t>
  </si>
  <si>
    <t>God delivers David from Saul's spear</t>
  </si>
  <si>
    <t>c. 1024-1020 BC</t>
  </si>
  <si>
    <t>c. 1018-1017 BC</t>
  </si>
  <si>
    <t>God warns David about Keilah's betrayal</t>
  </si>
  <si>
    <t>1 Samuel 23:10-12</t>
  </si>
  <si>
    <t>Keilah</t>
  </si>
  <si>
    <t>1 Samuel 23:14</t>
  </si>
  <si>
    <t>Wilderness of Ziph</t>
  </si>
  <si>
    <t>c. 1017-1015 BC</t>
  </si>
  <si>
    <t>c. 1016 BC</t>
  </si>
  <si>
    <t>God delivers David through Philistine raid</t>
  </si>
  <si>
    <t>Wilderness of Maon</t>
  </si>
  <si>
    <t>God convicts Saul through David's mercy</t>
  </si>
  <si>
    <t>1 Samuel 24:16-20</t>
  </si>
  <si>
    <t>En-gedi</t>
  </si>
  <si>
    <t>c. 1012 BC</t>
  </si>
  <si>
    <t>God strikes Nabal dead</t>
  </si>
  <si>
    <t>1 Samuel 25:38</t>
  </si>
  <si>
    <t>Carmel/Maon</t>
  </si>
  <si>
    <t>God provides Abigail as wife for David</t>
  </si>
  <si>
    <t>1 Samuel 25:39-42</t>
  </si>
  <si>
    <t>Carmel</t>
  </si>
  <si>
    <t>1 Samuel 26:7-12</t>
  </si>
  <si>
    <t>God causes deep sleep on Saul's camp</t>
  </si>
  <si>
    <t>1 Samuel 26:12</t>
  </si>
  <si>
    <t>1 Samuel 28:19</t>
  </si>
  <si>
    <t>God promises David will recover all</t>
  </si>
  <si>
    <t>David recovers all from Amalekite raid</t>
  </si>
  <si>
    <t>1 Samuel 30:17-20</t>
  </si>
  <si>
    <t>Amalekite territory</t>
  </si>
  <si>
    <t>1 Samuel 31:1-7</t>
  </si>
  <si>
    <t>* All results were validated, amended and/or supplemented as necessary to ensure an accurate and comprehensive data set.</t>
  </si>
  <si>
    <t>Compile miracles, etc.</t>
  </si>
  <si>
    <t>2 Samuel:</t>
  </si>
  <si>
    <t>a comprehensive table of all miracles, acts of God, and divine communications in 2 Samuel. This contains 95 entries covering David's 40-year reign from c. 1010-970 BC.</t>
  </si>
  <si>
    <t>Key miraculous events in 2 Samuel:</t>
  </si>
  <si>
    <r>
      <t>Uzzah's instant death</t>
    </r>
    <r>
      <rPr>
        <sz val="11"/>
        <color theme="1"/>
        <rFont val="Calibri"/>
        <family val="2"/>
        <scheme val="minor"/>
      </rPr>
      <t xml:space="preserve"> - Divine judgment for touching the ark</t>
    </r>
  </si>
  <si>
    <r>
      <t>Divine military strategies</t>
    </r>
    <r>
      <rPr>
        <sz val="11"/>
        <color theme="1"/>
        <rFont val="Calibri"/>
        <family val="2"/>
        <scheme val="minor"/>
      </rPr>
      <t xml:space="preserve"> - God giving specific battle plans to David</t>
    </r>
  </si>
  <si>
    <r>
      <t>Marching in mulberry trees</t>
    </r>
    <r>
      <rPr>
        <sz val="11"/>
        <color theme="1"/>
        <rFont val="Calibri"/>
        <family val="2"/>
        <scheme val="minor"/>
      </rPr>
      <t xml:space="preserve"> - Supernatural sign for attacking Philistines</t>
    </r>
  </si>
  <si>
    <r>
      <t>Nathan's prophetic confrontation</t>
    </r>
    <r>
      <rPr>
        <sz val="11"/>
        <color theme="1"/>
        <rFont val="Calibri"/>
        <family val="2"/>
        <scheme val="minor"/>
      </rPr>
      <t xml:space="preserve"> - Divine revelation of David's sin</t>
    </r>
  </si>
  <si>
    <r>
      <t>Forest devouring Absalom's army</t>
    </r>
    <r>
      <rPr>
        <sz val="11"/>
        <color theme="1"/>
        <rFont val="Calibri"/>
        <family val="2"/>
        <scheme val="minor"/>
      </rPr>
      <t xml:space="preserve"> - Nature supernaturally joining the battle</t>
    </r>
  </si>
  <si>
    <r>
      <t>Angel stopping plague</t>
    </r>
    <r>
      <rPr>
        <sz val="11"/>
        <color theme="1"/>
        <rFont val="Calibri"/>
        <family val="2"/>
        <scheme val="minor"/>
      </rPr>
      <t xml:space="preserve"> - Divine mercy halting judgment</t>
    </r>
  </si>
  <si>
    <t>Divine Covenants and Promises:</t>
  </si>
  <si>
    <r>
      <t>Davidic Covenant</t>
    </r>
    <r>
      <rPr>
        <sz val="11"/>
        <color theme="1"/>
        <rFont val="Calibri"/>
        <family val="2"/>
        <scheme val="minor"/>
      </rPr>
      <t xml:space="preserve"> - God's eternal promise through Nathan</t>
    </r>
  </si>
  <si>
    <r>
      <t>Promise of temple builder</t>
    </r>
    <r>
      <rPr>
        <sz val="11"/>
        <color theme="1"/>
        <rFont val="Calibri"/>
        <family val="2"/>
        <scheme val="minor"/>
      </rPr>
      <t xml:space="preserve"> - Solomon designated to build God's house</t>
    </r>
  </si>
  <si>
    <r>
      <t>Eternal throne promise</t>
    </r>
    <r>
      <rPr>
        <sz val="11"/>
        <color theme="1"/>
        <rFont val="Calibri"/>
        <family val="2"/>
        <scheme val="minor"/>
      </rPr>
      <t xml:space="preserve"> - Messianic covenant with David's lineage</t>
    </r>
  </si>
  <si>
    <r>
      <t>Continuous divine inquiries</t>
    </r>
    <r>
      <rPr>
        <sz val="11"/>
        <color theme="1"/>
        <rFont val="Calibri"/>
        <family val="2"/>
        <scheme val="minor"/>
      </rPr>
      <t xml:space="preserve"> - God guiding David's military decisions</t>
    </r>
  </si>
  <si>
    <t>Prophetic messages through Nathan and Gad</t>
  </si>
  <si>
    <t>Divine inspiration for psalms and prophecies</t>
  </si>
  <si>
    <r>
      <t>Strategic divine interventions</t>
    </r>
    <r>
      <rPr>
        <sz val="11"/>
        <color theme="1"/>
        <rFont val="Calibri"/>
        <family val="2"/>
        <scheme val="minor"/>
      </rPr>
      <t xml:space="preserve"> in political situations</t>
    </r>
  </si>
  <si>
    <r>
      <t>Civil war consequences</t>
    </r>
    <r>
      <rPr>
        <sz val="11"/>
        <color theme="1"/>
        <rFont val="Calibri"/>
        <family val="2"/>
        <scheme val="minor"/>
      </rPr>
      <t xml:space="preserve"> - Divine justice playing out through human actions</t>
    </r>
  </si>
  <si>
    <r>
      <t>Bathsheba affair aftermath</t>
    </r>
    <r>
      <rPr>
        <sz val="11"/>
        <color theme="1"/>
        <rFont val="Calibri"/>
        <family val="2"/>
        <scheme val="minor"/>
      </rPr>
      <t xml:space="preserve"> - Child's death and family troubles</t>
    </r>
  </si>
  <si>
    <r>
      <t>Three-year famine</t>
    </r>
    <r>
      <rPr>
        <sz val="11"/>
        <color theme="1"/>
        <rFont val="Calibri"/>
        <family val="2"/>
        <scheme val="minor"/>
      </rPr>
      <t xml:space="preserve"> - Judgment for Saul's treatment of Gibeonites</t>
    </r>
  </si>
  <si>
    <r>
      <t>Census plague</t>
    </r>
    <r>
      <rPr>
        <sz val="11"/>
        <color theme="1"/>
        <rFont val="Calibri"/>
        <family val="2"/>
        <scheme val="minor"/>
      </rPr>
      <t xml:space="preserve"> - 70,000 deaths for David's pride</t>
    </r>
  </si>
  <si>
    <t>Divine Protection and Provision:</t>
  </si>
  <si>
    <r>
      <t>Constant preservation of David</t>
    </r>
    <r>
      <rPr>
        <sz val="11"/>
        <color theme="1"/>
        <rFont val="Calibri"/>
        <family val="2"/>
        <scheme val="minor"/>
      </rPr>
      <t xml:space="preserve"> throughout conflicts</t>
    </r>
  </si>
  <si>
    <t>Divine favor in establishing kingdom</t>
  </si>
  <si>
    <t>Protection from giants and enemies</t>
  </si>
  <si>
    <t>Providential escape from Absalom's rebellion</t>
  </si>
  <si>
    <r>
      <t>1010-1003 BC</t>
    </r>
    <r>
      <rPr>
        <sz val="11"/>
        <color theme="1"/>
        <rFont val="Calibri"/>
        <family val="2"/>
        <scheme val="minor"/>
      </rPr>
      <t>: David's rise to full kingship</t>
    </r>
  </si>
  <si>
    <r>
      <t>1003-995 BC</t>
    </r>
    <r>
      <rPr>
        <sz val="11"/>
        <color theme="1"/>
        <rFont val="Calibri"/>
        <family val="2"/>
        <scheme val="minor"/>
      </rPr>
      <t>: Establishing the kingdom, capturing Jerusalem</t>
    </r>
  </si>
  <si>
    <r>
      <t>999 BC</t>
    </r>
    <r>
      <rPr>
        <sz val="11"/>
        <color theme="1"/>
        <rFont val="Calibri"/>
        <family val="2"/>
        <scheme val="minor"/>
      </rPr>
      <t>: Davidic Covenant establishment</t>
    </r>
  </si>
  <si>
    <r>
      <t>991-990 BC</t>
    </r>
    <r>
      <rPr>
        <sz val="11"/>
        <color theme="1"/>
        <rFont val="Calibri"/>
        <family val="2"/>
        <scheme val="minor"/>
      </rPr>
      <t>: Bathsheba affair and consequences</t>
    </r>
  </si>
  <si>
    <r>
      <t>979 BC</t>
    </r>
    <r>
      <rPr>
        <sz val="11"/>
        <color theme="1"/>
        <rFont val="Calibri"/>
        <family val="2"/>
        <scheme val="minor"/>
      </rPr>
      <t>: Absalom's rebellion and defeat</t>
    </r>
  </si>
  <si>
    <r>
      <t>975-969 BC</t>
    </r>
    <r>
      <rPr>
        <sz val="11"/>
        <color theme="1"/>
        <rFont val="Calibri"/>
        <family val="2"/>
        <scheme val="minor"/>
      </rPr>
      <t>: Later reign challenges and final events</t>
    </r>
  </si>
  <si>
    <t>The book demonstrates God's faithfulness to His covenant while maintaining His holiness in judgment, showing both His mercy and justice throughout David's complex reign as Israel's greatest king.</t>
  </si>
  <si>
    <t>2 Samuel 2:1</t>
  </si>
  <si>
    <t>God directs David to go to Hebron</t>
  </si>
  <si>
    <t>Men of Judah anoint David king</t>
  </si>
  <si>
    <t>2 Samuel 2:4</t>
  </si>
  <si>
    <t>Hebron</t>
  </si>
  <si>
    <t>God blesses David's reign over Judah</t>
  </si>
  <si>
    <t>2 Samuel 2:4-7</t>
  </si>
  <si>
    <t>c. 1010-1003 BC</t>
  </si>
  <si>
    <t>Civil war between houses of Saul and David</t>
  </si>
  <si>
    <t>2 Samuel 3:1</t>
  </si>
  <si>
    <t>GOD's sovereign will</t>
  </si>
  <si>
    <t>David grows stronger; Saul's house weaker</t>
  </si>
  <si>
    <t>Abner killed by Joab for revenge</t>
  </si>
  <si>
    <t>2 Samuel 3:27-30</t>
  </si>
  <si>
    <t>c. 1005 BC</t>
  </si>
  <si>
    <t>Joab</t>
  </si>
  <si>
    <t>David curses Joab's house for bloodshed</t>
  </si>
  <si>
    <t>2 Samuel 3:28-29</t>
  </si>
  <si>
    <t>David by GOD's justice</t>
  </si>
  <si>
    <t>Ish-bosheth murdered by his captains</t>
  </si>
  <si>
    <t>2 Samuel 4:5-8</t>
  </si>
  <si>
    <t>c. 1003 BC</t>
  </si>
  <si>
    <t>Rechab and Baanah</t>
  </si>
  <si>
    <t>David executes murderers of Ish-bosheth</t>
  </si>
  <si>
    <t>2 Samuel 4:9-12</t>
  </si>
  <si>
    <t>David by divine justice</t>
  </si>
  <si>
    <t>All tribes of Israel anoint David king</t>
  </si>
  <si>
    <t>2 Samuel 5:1-3</t>
  </si>
  <si>
    <t>Tribes of Israel by GOD's will</t>
  </si>
  <si>
    <t>David captures Jerusalem from Jebusites</t>
  </si>
  <si>
    <t>2 Samuel 5:6-8</t>
  </si>
  <si>
    <t>Jerusalem</t>
  </si>
  <si>
    <t>David becomes great; LORD God of hosts with him</t>
  </si>
  <si>
    <t>2 Samuel 5:10</t>
  </si>
  <si>
    <t>Hiram sends materials for David's house</t>
  </si>
  <si>
    <t>2 Samuel 5:11</t>
  </si>
  <si>
    <t>c. 1002 BC</t>
  </si>
  <si>
    <t>Hiram by GOD's providence</t>
  </si>
  <si>
    <t>David realizes God established him as king</t>
  </si>
  <si>
    <t>2 Samuel 5:12</t>
  </si>
  <si>
    <t>God gives David more wives and children</t>
  </si>
  <si>
    <t>2 Samuel 5:13-16</t>
  </si>
  <si>
    <t>c. 1002-995 BC</t>
  </si>
  <si>
    <t>David inquires about fighting Philistines</t>
  </si>
  <si>
    <t>2 Samuel 5:19</t>
  </si>
  <si>
    <t>God promises to deliver Philistines to David</t>
  </si>
  <si>
    <t>David defeats Philistines at Baal-perazim</t>
  </si>
  <si>
    <t>2 Samuel 5:20</t>
  </si>
  <si>
    <t>Baal-perazim</t>
  </si>
  <si>
    <t>David inquires again about Philistine attack</t>
  </si>
  <si>
    <t>2 Samuel 5:23</t>
  </si>
  <si>
    <t>God gives different strategy for second battle</t>
  </si>
  <si>
    <t>2 Samuel 5:23-24</t>
  </si>
  <si>
    <t>God promises sign of marching in mulberry trees</t>
  </si>
  <si>
    <t>2 Samuel 5:24</t>
  </si>
  <si>
    <t>Valley of Rephaim</t>
  </si>
  <si>
    <t>David hears marching and defeats Philistines</t>
  </si>
  <si>
    <t>2 Samuel 5:24-25</t>
  </si>
  <si>
    <t>David gathers chosen men to bring up ark</t>
  </si>
  <si>
    <t>2 Samuel 6:1-2</t>
  </si>
  <si>
    <t>Baale-judah</t>
  </si>
  <si>
    <t>c. 1000 BC</t>
  </si>
  <si>
    <t>David by divine calling</t>
  </si>
  <si>
    <t>Uzzah touches ark and dies instantly</t>
  </si>
  <si>
    <t>Threshing floor of Nachon</t>
  </si>
  <si>
    <t>David afraid and angry about Uzzah's death</t>
  </si>
  <si>
    <t>2 Samuel 6:8-9</t>
  </si>
  <si>
    <t>Near Jerusalem</t>
  </si>
  <si>
    <t>God blesses Obed-edom's house for housing ark</t>
  </si>
  <si>
    <t>2 Samuel 6:11</t>
  </si>
  <si>
    <t>House of Obed-edom</t>
  </si>
  <si>
    <t>David brings ark to Jerusalem with sacrifices</t>
  </si>
  <si>
    <t>2 Samuel 6:12-15</t>
  </si>
  <si>
    <t>Michal despises David's worship and is barren</t>
  </si>
  <si>
    <t>2 Samuel 6:16, 20-23</t>
  </si>
  <si>
    <t>David desires to build house for the LORD</t>
  </si>
  <si>
    <t>2 Samuel 7:1-3</t>
  </si>
  <si>
    <t>c. 999 BC</t>
  </si>
  <si>
    <t>David to Nathan</t>
  </si>
  <si>
    <t>Nathan initially approves David's plan</t>
  </si>
  <si>
    <t>2 Samuel 7:3</t>
  </si>
  <si>
    <t>Nathan</t>
  </si>
  <si>
    <t>God speaks to Nathan about David's request</t>
  </si>
  <si>
    <t>2 Samuel 7:4-17</t>
  </si>
  <si>
    <t>God establishes Davidic covenant</t>
  </si>
  <si>
    <t>2 Samuel 7:8-16</t>
  </si>
  <si>
    <t>God promises David's son will build temple</t>
  </si>
  <si>
    <t>2 Samuel 7:12-13</t>
  </si>
  <si>
    <t>God promises David's throne will be eternal</t>
  </si>
  <si>
    <t>2 Samuel 7:13, 16</t>
  </si>
  <si>
    <t>Nathan delivers God's message to David</t>
  </si>
  <si>
    <t>2 Samuel 7:17</t>
  </si>
  <si>
    <t>Nathan by GOD's command</t>
  </si>
  <si>
    <t>David prays thanksgiving for God's promises</t>
  </si>
  <si>
    <t>2 Samuel 7:18-29</t>
  </si>
  <si>
    <t>God gives David victory over many nations</t>
  </si>
  <si>
    <t>2 Samuel 8:1-14</t>
  </si>
  <si>
    <t>c. 999-990 BC</t>
  </si>
  <si>
    <t>LORD preserves David wherever he goes</t>
  </si>
  <si>
    <t>2 Samuel 8:6, 14</t>
  </si>
  <si>
    <t>Various battle locations</t>
  </si>
  <si>
    <t>David shows kindness to Mephibosheth</t>
  </si>
  <si>
    <t>2 Samuel 9:1-13</t>
  </si>
  <si>
    <t>c. 995 BC</t>
  </si>
  <si>
    <t>David by divine mercy</t>
  </si>
  <si>
    <t>God delivers Ammonites and Syrians to David</t>
  </si>
  <si>
    <t>2 Samuel 10:9-19</t>
  </si>
  <si>
    <t>Ammonite/Syrian territory</t>
  </si>
  <si>
    <t>c. 992 BC</t>
  </si>
  <si>
    <t>David commits adultery with Bathsheba</t>
  </si>
  <si>
    <t>2 Samuel 11:2-4</t>
  </si>
  <si>
    <t>c. 991 BC</t>
  </si>
  <si>
    <t>David</t>
  </si>
  <si>
    <t>God allows Bathsheba to conceive</t>
  </si>
  <si>
    <t>2 Samuel 11:5</t>
  </si>
  <si>
    <t>David arranges Uriah's death in battle</t>
  </si>
  <si>
    <t>2 Samuel 11:14-17</t>
  </si>
  <si>
    <t>Rabbah</t>
  </si>
  <si>
    <t>Thing David did displeased the LORD</t>
  </si>
  <si>
    <t>2 Samuel 11:27</t>
  </si>
  <si>
    <t>God sends Nathan to confront David</t>
  </si>
  <si>
    <t>2 Samuel 12:1</t>
  </si>
  <si>
    <t>c. 990 BC</t>
  </si>
  <si>
    <t>Nathan delivers parable of rich man's theft</t>
  </si>
  <si>
    <t>2 Samuel 12:1-4</t>
  </si>
  <si>
    <t>Nathan by GOD's direction</t>
  </si>
  <si>
    <t>God reveals David's sin through Nathan</t>
  </si>
  <si>
    <t>2 Samuel 12:7-12</t>
  </si>
  <si>
    <t>God pronounces judgment on David's house</t>
  </si>
  <si>
    <t>2 Samuel 12:10-12</t>
  </si>
  <si>
    <t>David confesses his sin to the LORD</t>
  </si>
  <si>
    <t>2 Samuel 12:13</t>
  </si>
  <si>
    <t>God forgives David but child will die</t>
  </si>
  <si>
    <t>2 Samuel 12:13-14</t>
  </si>
  <si>
    <t>LORD strikes child of David and Bathsheba</t>
  </si>
  <si>
    <t>2 Samuel 12:15</t>
  </si>
  <si>
    <t>David fasts and prays for dying child</t>
  </si>
  <si>
    <t>2 Samuel 12:16-17</t>
  </si>
  <si>
    <t>Child dies on seventh day as prophesied</t>
  </si>
  <si>
    <t>2 Samuel 12:18</t>
  </si>
  <si>
    <t>David worships after child's death</t>
  </si>
  <si>
    <t>2 Samuel 12:20</t>
  </si>
  <si>
    <t>God blesses David and Bathsheba with Solomon</t>
  </si>
  <si>
    <t>2 Samuel 12:24</t>
  </si>
  <si>
    <t>God loves Solomon and names him Jedidiah</t>
  </si>
  <si>
    <t>2 Samuel 12:24-25</t>
  </si>
  <si>
    <t>God gives David victory over Rabbah</t>
  </si>
  <si>
    <t>2 Samuel 12:26-31</t>
  </si>
  <si>
    <t>Amnon rapes his sister Tamar</t>
  </si>
  <si>
    <t>2 Samuel 13:1-14</t>
  </si>
  <si>
    <t>c. 988 BC</t>
  </si>
  <si>
    <t>Amnon</t>
  </si>
  <si>
    <t>Absalom kills Amnon for raping Tamar</t>
  </si>
  <si>
    <t>2 Samuel 13:28-29</t>
  </si>
  <si>
    <t>Baal-hazor</t>
  </si>
  <si>
    <t>c. 986 BC</t>
  </si>
  <si>
    <t>Absalom</t>
  </si>
  <si>
    <t>Wise woman of Tekoa sent by Joab</t>
  </si>
  <si>
    <t>2 Samuel 14:1-20</t>
  </si>
  <si>
    <t>c. 983 BC</t>
  </si>
  <si>
    <t>Joab through woman</t>
  </si>
  <si>
    <t>David allows Absalom to return to Jerusalem</t>
  </si>
  <si>
    <t>2 Samuel 14:21-24</t>
  </si>
  <si>
    <t>Absalom rebels against David</t>
  </si>
  <si>
    <t>2 Samuel 15:10-12</t>
  </si>
  <si>
    <t>c. 979 BC</t>
  </si>
  <si>
    <t>David flees Jerusalem from Absalom</t>
  </si>
  <si>
    <t>2 Samuel 15:13-17</t>
  </si>
  <si>
    <t>Jerusalem/wilderness</t>
  </si>
  <si>
    <t>God preserves David through loyal followers</t>
  </si>
  <si>
    <t>2 Samuel 15:18-22</t>
  </si>
  <si>
    <t>Mount of Olives</t>
  </si>
  <si>
    <t>David weeps ascending Mount of Olives</t>
  </si>
  <si>
    <t>2 Samuel 15:30</t>
  </si>
  <si>
    <t>God turns Ahithophel's counsel to foolishness</t>
  </si>
  <si>
    <t>2 Samuel 15:31</t>
  </si>
  <si>
    <t>GOD in response to David's prayer</t>
  </si>
  <si>
    <t>Hushai sent to defeat Ahithophel's counsel</t>
  </si>
  <si>
    <t>2 Samuel 15:32-37</t>
  </si>
  <si>
    <t>Shimei curses David with stones</t>
  </si>
  <si>
    <t>2 Samuel 16:5-8</t>
  </si>
  <si>
    <t>Bahurim</t>
  </si>
  <si>
    <t>Shimei</t>
  </si>
  <si>
    <t>David accepts cursing as possibly from LORD</t>
  </si>
  <si>
    <t>2 Samuel 16:10-12</t>
  </si>
  <si>
    <t>God causes Absalom to follow Hushai's counsel</t>
  </si>
  <si>
    <t>2 Samuel 17:14</t>
  </si>
  <si>
    <t>LORD defeats Ahithophel's good counsel</t>
  </si>
  <si>
    <t>Ahithophel hangs himself when counsel rejected</t>
  </si>
  <si>
    <t>2 Samuel 17:23</t>
  </si>
  <si>
    <t>Giloh</t>
  </si>
  <si>
    <t>Ahithophel</t>
  </si>
  <si>
    <t>David crosses Jordan and gathers army</t>
  </si>
  <si>
    <t>2 Samuel 17:22-29</t>
  </si>
  <si>
    <t>David's army defeats Absalom's forces</t>
  </si>
  <si>
    <t>2 Samuel 18:6-8</t>
  </si>
  <si>
    <t>Forest of Ephraim</t>
  </si>
  <si>
    <t>Forest devours more than sword</t>
  </si>
  <si>
    <t>2 Samuel 18:8</t>
  </si>
  <si>
    <t>Absalom caught by hair in oak tree</t>
  </si>
  <si>
    <t>2 Samuel 18:9</t>
  </si>
  <si>
    <t>Joab kills Absalom against David's orders</t>
  </si>
  <si>
    <t>2 Samuel 18:14-15</t>
  </si>
  <si>
    <t>David mourns excessively for Absalom</t>
  </si>
  <si>
    <t>2 Samuel 18:33-19:4</t>
  </si>
  <si>
    <t>God restores David to throne through people</t>
  </si>
  <si>
    <t>2 Samuel 19:9-15</t>
  </si>
  <si>
    <t>Sheba rebels against David</t>
  </si>
  <si>
    <t>2 Samuel 20:1-2</t>
  </si>
  <si>
    <t>c. 978 BC</t>
  </si>
  <si>
    <t>Sheba</t>
  </si>
  <si>
    <t>God delivers Sheba into David's hand</t>
  </si>
  <si>
    <t>2 Samuel 20:4-22</t>
  </si>
  <si>
    <t>Abel-beth-maachah</t>
  </si>
  <si>
    <t>Three years of famine for Saul's sin</t>
  </si>
  <si>
    <t>2 Samuel 21:1</t>
  </si>
  <si>
    <t>c. 975-973 BC</t>
  </si>
  <si>
    <t>David inquires about cause of famine</t>
  </si>
  <si>
    <t>c. 975 BC</t>
  </si>
  <si>
    <t>God reveals famine due to Saul's treatment of Gibeonites</t>
  </si>
  <si>
    <t>Seven of Saul's descendants executed</t>
  </si>
  <si>
    <t>2 Samuel 21:6-9</t>
  </si>
  <si>
    <t>Hill before the LORD</t>
  </si>
  <si>
    <t>c. 973 BC</t>
  </si>
  <si>
    <t>Gibeonites by divine justice</t>
  </si>
  <si>
    <t>Famine ends after Saul's sin is addressed</t>
  </si>
  <si>
    <t>2 Samuel 21:14</t>
  </si>
  <si>
    <t>God delivers David from Philistine giants</t>
  </si>
  <si>
    <t>2 Samuel 21:15-22</t>
  </si>
  <si>
    <t>Various Philistine battles</t>
  </si>
  <si>
    <t>c. 975-970 BC</t>
  </si>
  <si>
    <t>David's men save him from giant Ishbi-benob</t>
  </si>
  <si>
    <t>2 Samuel 21:16-17</t>
  </si>
  <si>
    <t>Gob</t>
  </si>
  <si>
    <t>God gives victory over multiple giants</t>
  </si>
  <si>
    <t>2 Samuel 21:18-22</t>
  </si>
  <si>
    <t>Gob/Gath</t>
  </si>
  <si>
    <t>David sings song of deliverance</t>
  </si>
  <si>
    <t>2 Samuel 22:1-51</t>
  </si>
  <si>
    <t>c. 970 BC</t>
  </si>
  <si>
    <t>David by GOD's inspiration</t>
  </si>
  <si>
    <t>God is David's rock, fortress, and deliverer</t>
  </si>
  <si>
    <t>2 Samuel 22:2-3</t>
  </si>
  <si>
    <t>Throughout David's life</t>
  </si>
  <si>
    <t>Various times</t>
  </si>
  <si>
    <t>God saves David from all his enemies</t>
  </si>
  <si>
    <t>2 Samuel 22:1, 4, 49</t>
  </si>
  <si>
    <t>Throughout David's reign</t>
  </si>
  <si>
    <t>Last words of David by inspiration</t>
  </si>
  <si>
    <t>2 Samuel 23:1-7</t>
  </si>
  <si>
    <t>Spirit of the LORD speaks through David</t>
  </si>
  <si>
    <t>2 Samuel 23:2</t>
  </si>
  <si>
    <t>Satan moves David to number Israel</t>
  </si>
  <si>
    <t>2 Samuel 24:1</t>
  </si>
  <si>
    <t>c. 969 BC</t>
  </si>
  <si>
    <t>Satan with GOD's permission</t>
  </si>
  <si>
    <t>David orders census against Joab's advice</t>
  </si>
  <si>
    <t>2 Samuel 24:2-4</t>
  </si>
  <si>
    <t>David's heart condemns him after census</t>
  </si>
  <si>
    <t>2 Samuel 24:10</t>
  </si>
  <si>
    <t>David confesses sin of taking census</t>
  </si>
  <si>
    <t>God sends Gad to offer David three punishments</t>
  </si>
  <si>
    <t>2 Samuel 24:11-13</t>
  </si>
  <si>
    <t>David chooses to fall into God's hands</t>
  </si>
  <si>
    <t>2 Samuel 24:14</t>
  </si>
  <si>
    <t>LORD sends pestilence; 70,000 die</t>
  </si>
  <si>
    <t>2 Samuel 24:15</t>
  </si>
  <si>
    <t>Angel of LORD stops plague at threshing floor</t>
  </si>
  <si>
    <t>2 Samuel 24:16</t>
  </si>
  <si>
    <t>Jerusalem (Araunah's threshing floor)</t>
  </si>
  <si>
    <t>David sees angel with drawn sword</t>
  </si>
  <si>
    <t>2 Samuel 24:17</t>
  </si>
  <si>
    <t>David intercedes for people's punishment</t>
  </si>
  <si>
    <t>God commands altar on Araunah's threshing floor</t>
  </si>
  <si>
    <t>2 Samuel 24:18</t>
  </si>
  <si>
    <t>David builds altar and offers sacrifices</t>
  </si>
  <si>
    <t>2 Samuel 24:25</t>
  </si>
  <si>
    <t>Jerusalem (future temple site)</t>
  </si>
  <si>
    <t>LORD heeds prayers; plague withdrawn</t>
  </si>
  <si>
    <t>1 Kings:</t>
  </si>
  <si>
    <t>Key miraculous events in 1 Kings:</t>
  </si>
  <si>
    <t>Major Divine Manifestations:</t>
  </si>
  <si>
    <r>
      <t>God's temple theophany</t>
    </r>
    <r>
      <rPr>
        <sz val="11"/>
        <color theme="1"/>
        <rFont val="Calibri"/>
        <family val="2"/>
        <scheme val="minor"/>
      </rPr>
      <t xml:space="preserve"> - Glory filling the temple, fire consuming sacrifices</t>
    </r>
  </si>
  <si>
    <r>
      <t>Solomon's wisdom gift</t>
    </r>
    <r>
      <rPr>
        <sz val="11"/>
        <color theme="1"/>
        <rFont val="Calibri"/>
        <family val="2"/>
        <scheme val="minor"/>
      </rPr>
      <t xml:space="preserve"> - Supernatural intellectual abilities beyond all nations</t>
    </r>
  </si>
  <si>
    <r>
      <t>Elijah's miracles</t>
    </r>
    <r>
      <rPr>
        <sz val="11"/>
        <color theme="1"/>
        <rFont val="Calibri"/>
        <family val="2"/>
        <scheme val="minor"/>
      </rPr>
      <t xml:space="preserve"> - Ravens feeding him, widow's oil/flour never failing, raising the dead</t>
    </r>
  </si>
  <si>
    <r>
      <t>Mount Carmel contest</t>
    </r>
    <r>
      <rPr>
        <sz val="11"/>
        <color theme="1"/>
        <rFont val="Calibri"/>
        <family val="2"/>
        <scheme val="minor"/>
      </rPr>
      <t xml:space="preserve"> - Fire consuming water-soaked sacrifice, defeating Baal's prophets</t>
    </r>
  </si>
  <si>
    <r>
      <t>Divine weather control</t>
    </r>
    <r>
      <rPr>
        <sz val="11"/>
        <color theme="1"/>
        <rFont val="Calibri"/>
        <family val="2"/>
        <scheme val="minor"/>
      </rPr>
      <t xml:space="preserve"> - 3.5-year drought and its supernatural ending</t>
    </r>
  </si>
  <si>
    <t>Prophetic Fulfillments:</t>
  </si>
  <si>
    <r>
      <t>Kingdom division</t>
    </r>
    <r>
      <rPr>
        <sz val="11"/>
        <color theme="1"/>
        <rFont val="Calibri"/>
        <family val="2"/>
        <scheme val="minor"/>
      </rPr>
      <t xml:space="preserve"> - Exact fulfillment of Ahijah's prophecy through Rehoboam's folly</t>
    </r>
  </si>
  <si>
    <r>
      <t>Jeroboam's dynasty destruction</t>
    </r>
    <r>
      <rPr>
        <sz val="11"/>
        <color theme="1"/>
        <rFont val="Calibri"/>
        <family val="2"/>
        <scheme val="minor"/>
      </rPr>
      <t xml:space="preserve"> - Multiple prophetic judgments precisely fulfilled</t>
    </r>
  </si>
  <si>
    <r>
      <t>Jericho's curse</t>
    </r>
    <r>
      <rPr>
        <sz val="11"/>
        <color theme="1"/>
        <rFont val="Calibri"/>
        <family val="2"/>
        <scheme val="minor"/>
      </rPr>
      <t xml:space="preserve"> - Hiel loses sons rebuilding the city as Joshua prophesied</t>
    </r>
  </si>
  <si>
    <r>
      <t>Ahab's death</t>
    </r>
    <r>
      <rPr>
        <sz val="11"/>
        <color theme="1"/>
        <rFont val="Calibri"/>
        <family val="2"/>
        <scheme val="minor"/>
      </rPr>
      <t xml:space="preserve"> - Random arrow fulfilling Micaiah's specific prophecy</t>
    </r>
  </si>
  <si>
    <t>Divine Judgments:</t>
  </si>
  <si>
    <r>
      <t>Solomon's apostasy consequences</t>
    </r>
    <r>
      <rPr>
        <sz val="11"/>
        <color theme="1"/>
        <rFont val="Calibri"/>
        <family val="2"/>
        <scheme val="minor"/>
      </rPr>
      <t xml:space="preserve"> - Kingdom torn away for idolatry</t>
    </r>
  </si>
  <si>
    <r>
      <t>Dynastic destructions</t>
    </r>
    <r>
      <rPr>
        <sz val="11"/>
        <color theme="1"/>
        <rFont val="Calibri"/>
        <family val="2"/>
        <scheme val="minor"/>
      </rPr>
      <t xml:space="preserve"> - Jeroboam's, Baasha's houses completely eliminated</t>
    </r>
  </si>
  <si>
    <r>
      <t>Drought judgment</t>
    </r>
    <r>
      <rPr>
        <sz val="11"/>
        <color theme="1"/>
        <rFont val="Calibri"/>
        <family val="2"/>
        <scheme val="minor"/>
      </rPr>
      <t xml:space="preserve"> - Environmental consequence for Ahab's Baal worship</t>
    </r>
  </si>
  <si>
    <r>
      <t>Individual deaths</t>
    </r>
    <r>
      <rPr>
        <sz val="11"/>
        <color theme="1"/>
        <rFont val="Calibri"/>
        <family val="2"/>
        <scheme val="minor"/>
      </rPr>
      <t xml:space="preserve"> - Uzzah-like instant deaths for disobedience</t>
    </r>
  </si>
  <si>
    <r>
      <t>Remnant preservation</t>
    </r>
    <r>
      <rPr>
        <sz val="11"/>
        <color theme="1"/>
        <rFont val="Calibri"/>
        <family val="2"/>
        <scheme val="minor"/>
      </rPr>
      <t xml:space="preserve"> - 7,000 faithful Israelites, 100 hidden prophets</t>
    </r>
  </si>
  <si>
    <r>
      <t>Miraculous sustenance</t>
    </r>
    <r>
      <rPr>
        <sz val="11"/>
        <color theme="1"/>
        <rFont val="Calibri"/>
        <family val="2"/>
        <scheme val="minor"/>
      </rPr>
      <t xml:space="preserve"> - Ravens, widow's provisions, angel's food</t>
    </r>
  </si>
  <si>
    <r>
      <t>Military victories</t>
    </r>
    <r>
      <rPr>
        <sz val="11"/>
        <color theme="1"/>
        <rFont val="Calibri"/>
        <family val="2"/>
        <scheme val="minor"/>
      </rPr>
      <t xml:space="preserve"> - Strategic supernatural interventions in battles</t>
    </r>
  </si>
  <si>
    <t>Communication Methods:</t>
  </si>
  <si>
    <r>
      <t>Dreams and visions</t>
    </r>
    <r>
      <rPr>
        <sz val="11"/>
        <color theme="1"/>
        <rFont val="Calibri"/>
        <family val="2"/>
        <scheme val="minor"/>
      </rPr>
      <t xml:space="preserve"> - God appearing to Solomon</t>
    </r>
  </si>
  <si>
    <r>
      <t>Prophetic word</t>
    </r>
    <r>
      <rPr>
        <sz val="11"/>
        <color theme="1"/>
        <rFont val="Calibri"/>
        <family val="2"/>
        <scheme val="minor"/>
      </rPr>
      <t xml:space="preserve"> - Through Nathan, Ahijah, Elijah, Micaiah</t>
    </r>
  </si>
  <si>
    <r>
      <t>Signs and wonders</t>
    </r>
    <r>
      <rPr>
        <sz val="11"/>
        <color theme="1"/>
        <rFont val="Calibri"/>
        <family val="2"/>
        <scheme val="minor"/>
      </rPr>
      <t xml:space="preserve"> - Split altars, withered hands, supernatural fire</t>
    </r>
  </si>
  <si>
    <r>
      <t>Still small voice</t>
    </r>
    <r>
      <rPr>
        <sz val="11"/>
        <color theme="1"/>
        <rFont val="Calibri"/>
        <family val="2"/>
        <scheme val="minor"/>
      </rPr>
      <t xml:space="preserve"> - God's gentle communication with Elijah</t>
    </r>
  </si>
  <si>
    <r>
      <t>970-930 BC</t>
    </r>
    <r>
      <rPr>
        <sz val="11"/>
        <color theme="1"/>
        <rFont val="Calibri"/>
        <family val="2"/>
        <scheme val="minor"/>
      </rPr>
      <t>: Solomon's reign - wisdom, temple, apostasy</t>
    </r>
  </si>
  <si>
    <r>
      <t>930 BC</t>
    </r>
    <r>
      <rPr>
        <sz val="11"/>
        <color theme="1"/>
        <rFont val="Calibri"/>
        <family val="2"/>
        <scheme val="minor"/>
      </rPr>
      <t>: Kingdom division fulfilling prophecy</t>
    </r>
  </si>
  <si>
    <r>
      <t>930-886 BC</t>
    </r>
    <r>
      <rPr>
        <sz val="11"/>
        <color theme="1"/>
        <rFont val="Calibri"/>
        <family val="2"/>
        <scheme val="minor"/>
      </rPr>
      <t>: Northern kingdom instability, dynastic changes</t>
    </r>
  </si>
  <si>
    <r>
      <t>874-853 BC</t>
    </r>
    <r>
      <rPr>
        <sz val="11"/>
        <color theme="1"/>
        <rFont val="Calibri"/>
        <family val="2"/>
        <scheme val="minor"/>
      </rPr>
      <t>: Ahab's reign, Elijah's ministry, confrontations</t>
    </r>
  </si>
  <si>
    <r>
      <t>Divine wisdom/gifts</t>
    </r>
    <r>
      <rPr>
        <sz val="11"/>
        <color theme="1"/>
        <rFont val="Calibri"/>
        <family val="2"/>
        <scheme val="minor"/>
      </rPr>
      <t xml:space="preserve"> - Supernatural intellectual and creative abilities</t>
    </r>
  </si>
  <si>
    <r>
      <t>Divine judgment</t>
    </r>
    <r>
      <rPr>
        <sz val="11"/>
        <color theme="1"/>
        <rFont val="Calibri"/>
        <family val="2"/>
        <scheme val="minor"/>
      </rPr>
      <t xml:space="preserve"> - Swift punishment for apostasy and disobedience</t>
    </r>
  </si>
  <si>
    <r>
      <t>Divine warfare</t>
    </r>
    <r>
      <rPr>
        <sz val="11"/>
        <color theme="1"/>
        <rFont val="Calibri"/>
        <family val="2"/>
        <scheme val="minor"/>
      </rPr>
      <t xml:space="preserve"> - Strategic military interventions</t>
    </r>
  </si>
  <si>
    <r>
      <t>Divine provision</t>
    </r>
    <r>
      <rPr>
        <sz val="11"/>
        <color theme="1"/>
        <rFont val="Calibri"/>
        <family val="2"/>
        <scheme val="minor"/>
      </rPr>
      <t xml:space="preserve"> - Miraculous sustenance during trials</t>
    </r>
  </si>
  <si>
    <r>
      <t>Divine prophecy</t>
    </r>
    <r>
      <rPr>
        <sz val="11"/>
        <color theme="1"/>
        <rFont val="Calibri"/>
        <family val="2"/>
        <scheme val="minor"/>
      </rPr>
      <t xml:space="preserve"> - Detailed predictions precisely fulfilled</t>
    </r>
  </si>
  <si>
    <t>The book demonstrates the consequences of abandoning God's covenant while showcasing His power through faithful prophets like Elijah, establishing the pattern of prophetic ministry that would continue throughout Israel's history.</t>
  </si>
  <si>
    <t>a comprehensive table of all miracles, acts of God, and divine communications in 1 Kings. This contains 141 entries covering approximately 117 years from Solomon's reign (c. 970 BC) to Ahaziah's early reign (c. 852 BC).</t>
  </si>
  <si>
    <t>2 Kings:</t>
  </si>
  <si>
    <t>Major miraculous events in 2 Kings:</t>
  </si>
  <si>
    <t>Elijah and Elisha's Miracles:</t>
  </si>
  <si>
    <r>
      <t>Elijah's translation</t>
    </r>
    <r>
      <rPr>
        <sz val="11"/>
        <color theme="1"/>
        <rFont val="Calibri"/>
        <family val="2"/>
        <scheme val="minor"/>
      </rPr>
      <t xml:space="preserve"> - Taken up by whirlwind in chariot of fire</t>
    </r>
  </si>
  <si>
    <r>
      <t>Jordan River parting</t>
    </r>
    <r>
      <rPr>
        <sz val="11"/>
        <color theme="1"/>
        <rFont val="Calibri"/>
        <family val="2"/>
        <scheme val="minor"/>
      </rPr>
      <t xml:space="preserve"> - Both Elijah and Elisha dividing waters</t>
    </r>
  </si>
  <si>
    <r>
      <t>Elisha's resurrection miracle</t>
    </r>
    <r>
      <rPr>
        <sz val="11"/>
        <color theme="1"/>
        <rFont val="Calibri"/>
        <family val="2"/>
        <scheme val="minor"/>
      </rPr>
      <t xml:space="preserve"> - Raising the Shunammite's son</t>
    </r>
  </si>
  <si>
    <r>
      <t>Multiplication miracles</t>
    </r>
    <r>
      <rPr>
        <sz val="11"/>
        <color theme="1"/>
        <rFont val="Calibri"/>
        <family val="2"/>
        <scheme val="minor"/>
      </rPr>
      <t xml:space="preserve"> - Widow's oil, feeding 100 men with 20 loaves</t>
    </r>
  </si>
  <si>
    <r>
      <t>Healing miracles</t>
    </r>
    <r>
      <rPr>
        <sz val="11"/>
        <color theme="1"/>
        <rFont val="Calibri"/>
        <family val="2"/>
        <scheme val="minor"/>
      </rPr>
      <t xml:space="preserve"> - Naaman's leprosy, poisoned stew, bad water</t>
    </r>
  </si>
  <si>
    <r>
      <t>Military miracles</t>
    </r>
    <r>
      <rPr>
        <sz val="11"/>
        <color theme="1"/>
        <rFont val="Calibri"/>
        <family val="2"/>
        <scheme val="minor"/>
      </rPr>
      <t xml:space="preserve"> - Blinding Syrian army, floating axe head</t>
    </r>
  </si>
  <si>
    <r>
      <t>Posthumous miracle</t>
    </r>
    <r>
      <rPr>
        <sz val="11"/>
        <color theme="1"/>
        <rFont val="Calibri"/>
        <family val="2"/>
        <scheme val="minor"/>
      </rPr>
      <t xml:space="preserve"> - Dead man revived by touching Elisha's bones</t>
    </r>
  </si>
  <si>
    <r>
      <t>Northern Kingdom's fall</t>
    </r>
    <r>
      <rPr>
        <sz val="11"/>
        <color theme="1"/>
        <rFont val="Calibri"/>
        <family val="2"/>
        <scheme val="minor"/>
      </rPr>
      <t xml:space="preserve"> - 722 BC exile to Assyria for persistent idolatry</t>
    </r>
  </si>
  <si>
    <r>
      <t>Southern Kingdom's destruction</t>
    </r>
    <r>
      <rPr>
        <sz val="11"/>
        <color theme="1"/>
        <rFont val="Calibri"/>
        <family val="2"/>
        <scheme val="minor"/>
      </rPr>
      <t xml:space="preserve"> - 586 BC Babylonian exile for covenant breaking</t>
    </r>
  </si>
  <si>
    <r>
      <t>Individual judgments</t>
    </r>
    <r>
      <rPr>
        <sz val="11"/>
        <color theme="1"/>
        <rFont val="Calibri"/>
        <family val="2"/>
        <scheme val="minor"/>
      </rPr>
      <t xml:space="preserve"> - Fire consuming Ahaziah's men, bears mauling mockers</t>
    </r>
  </si>
  <si>
    <r>
      <t>Dynastic destructions</t>
    </r>
    <r>
      <rPr>
        <sz val="11"/>
        <color theme="1"/>
        <rFont val="Calibri"/>
        <family val="2"/>
        <scheme val="minor"/>
      </rPr>
      <t xml:space="preserve"> - Complete elimination of Ahab's house through Jehu</t>
    </r>
  </si>
  <si>
    <r>
      <t>Sennacherib's defeat</t>
    </r>
    <r>
      <rPr>
        <sz val="11"/>
        <color theme="1"/>
        <rFont val="Calibri"/>
        <family val="2"/>
        <scheme val="minor"/>
      </rPr>
      <t xml:space="preserve"> - Angel killing 185,000 Assyrians in one night</t>
    </r>
  </si>
  <si>
    <r>
      <t>Hezekiah's healing</t>
    </r>
    <r>
      <rPr>
        <sz val="11"/>
        <color theme="1"/>
        <rFont val="Calibri"/>
        <family val="2"/>
        <scheme val="minor"/>
      </rPr>
      <t xml:space="preserve"> - 15 years added to life with supernatural sign</t>
    </r>
  </si>
  <si>
    <r>
      <t>Samaria's relief</t>
    </r>
    <r>
      <rPr>
        <sz val="11"/>
        <color theme="1"/>
        <rFont val="Calibri"/>
        <family val="2"/>
        <scheme val="minor"/>
      </rPr>
      <t xml:space="preserve"> - Syrian army fleeing due to divine audio illusion</t>
    </r>
  </si>
  <si>
    <r>
      <t>Preservation of remnant</t>
    </r>
    <r>
      <rPr>
        <sz val="11"/>
        <color theme="1"/>
        <rFont val="Calibri"/>
        <family val="2"/>
        <scheme val="minor"/>
      </rPr>
      <t xml:space="preserve"> - Various escapes and survivals</t>
    </r>
  </si>
  <si>
    <r>
      <t>Jeroboam's altar prophecy</t>
    </r>
    <r>
      <rPr>
        <sz val="11"/>
        <color theme="1"/>
        <rFont val="Calibri"/>
        <family val="2"/>
        <scheme val="minor"/>
      </rPr>
      <t xml:space="preserve"> - 300+ year fulfillment through Josiah</t>
    </r>
  </si>
  <si>
    <r>
      <t>Temple destruction</t>
    </r>
    <r>
      <rPr>
        <sz val="11"/>
        <color theme="1"/>
        <rFont val="Calibri"/>
        <family val="2"/>
        <scheme val="minor"/>
      </rPr>
      <t xml:space="preserve"> - Multiple warnings precisely fulfilled</t>
    </r>
  </si>
  <si>
    <r>
      <t>Dynastic judgments</t>
    </r>
    <r>
      <rPr>
        <sz val="11"/>
        <color theme="1"/>
        <rFont val="Calibri"/>
        <family val="2"/>
        <scheme val="minor"/>
      </rPr>
      <t xml:space="preserve"> - Exact fulfillment of generational curses</t>
    </r>
  </si>
  <si>
    <r>
      <t>Exile predictions</t>
    </r>
    <r>
      <rPr>
        <sz val="11"/>
        <color theme="1"/>
        <rFont val="Calibri"/>
        <family val="2"/>
        <scheme val="minor"/>
      </rPr>
      <t xml:space="preserve"> - Detailed fulfillment of prophetic warnings</t>
    </r>
  </si>
  <si>
    <r>
      <t>852-796 BC</t>
    </r>
    <r>
      <rPr>
        <sz val="11"/>
        <color theme="1"/>
        <rFont val="Calibri"/>
        <family val="2"/>
        <scheme val="minor"/>
      </rPr>
      <t>: Elijah/Elisha era, Jehu's revolution</t>
    </r>
  </si>
  <si>
    <r>
      <t>796-715 BC</t>
    </r>
    <r>
      <rPr>
        <sz val="11"/>
        <color theme="1"/>
        <rFont val="Calibri"/>
        <family val="2"/>
        <scheme val="minor"/>
      </rPr>
      <t>: Divided kingdom struggles, Assyrian pressure</t>
    </r>
  </si>
  <si>
    <r>
      <t>715-640 BC</t>
    </r>
    <r>
      <rPr>
        <sz val="11"/>
        <color theme="1"/>
        <rFont val="Calibri"/>
        <family val="2"/>
        <scheme val="minor"/>
      </rPr>
      <t>: Hezekiah's reforms, Assyrian crisis, Manasseh's apostasy</t>
    </r>
  </si>
  <si>
    <r>
      <t>640-586 BC</t>
    </r>
    <r>
      <rPr>
        <sz val="11"/>
        <color theme="1"/>
        <rFont val="Calibri"/>
        <family val="2"/>
        <scheme val="minor"/>
      </rPr>
      <t>: Josiah's reforms, final decline, Babylonian conquest</t>
    </r>
  </si>
  <si>
    <r>
      <t>586-560 BC</t>
    </r>
    <r>
      <rPr>
        <sz val="11"/>
        <color theme="1"/>
        <rFont val="Calibri"/>
        <family val="2"/>
        <scheme val="minor"/>
      </rPr>
      <t>: Exile period, remnant struggles, hope's glimmer</t>
    </r>
  </si>
  <si>
    <r>
      <t>Divine miracles</t>
    </r>
    <r>
      <rPr>
        <sz val="11"/>
        <color theme="1"/>
        <rFont val="Calibri"/>
        <family val="2"/>
        <scheme val="minor"/>
      </rPr>
      <t xml:space="preserve"> - Supernatural interventions through prophets</t>
    </r>
  </si>
  <si>
    <r>
      <t>Divine judgment</t>
    </r>
    <r>
      <rPr>
        <sz val="11"/>
        <color theme="1"/>
        <rFont val="Calibri"/>
        <family val="2"/>
        <scheme val="minor"/>
      </rPr>
      <t xml:space="preserve"> - Progressive punishment culminating in exile</t>
    </r>
  </si>
  <si>
    <r>
      <t>Divine preservation</t>
    </r>
    <r>
      <rPr>
        <sz val="11"/>
        <color theme="1"/>
        <rFont val="Calibri"/>
        <family val="2"/>
        <scheme val="minor"/>
      </rPr>
      <t xml:space="preserve"> - Protection of faithful remnant and Davidic line</t>
    </r>
  </si>
  <si>
    <r>
      <t>Divine prophecy</t>
    </r>
    <r>
      <rPr>
        <sz val="11"/>
        <color theme="1"/>
        <rFont val="Calibri"/>
        <family val="2"/>
        <scheme val="minor"/>
      </rPr>
      <t xml:space="preserve"> - Detailed predictions spanning centuries</t>
    </r>
  </si>
  <si>
    <r>
      <t>Divine sovereignty</t>
    </r>
    <r>
      <rPr>
        <sz val="11"/>
        <color theme="1"/>
        <rFont val="Calibri"/>
        <family val="2"/>
        <scheme val="minor"/>
      </rPr>
      <t xml:space="preserve"> - Control over international politics and warfare</t>
    </r>
  </si>
  <si>
    <t>The book demonstrates the consequences of covenant unfaithfulness while showcasing God's power through His prophets, ultimately leading to the exile but ending with a note of hope in Jehoiachin's restoration.</t>
  </si>
  <si>
    <t>1 Kings 13:2</t>
  </si>
  <si>
    <t>* 1 Kings events updated to include prophecy of Josiah's birth in 1 Kings 13:2</t>
  </si>
  <si>
    <t>David charges Solomon to keep God's statutes</t>
  </si>
  <si>
    <t>1 Kings 2:1-4</t>
  </si>
  <si>
    <t>David by GOD's direction</t>
  </si>
  <si>
    <t>God promises to establish Solomon's throne forever</t>
  </si>
  <si>
    <t>1 Kings 2:4</t>
  </si>
  <si>
    <t>Solomon executes Adonijah for treason</t>
  </si>
  <si>
    <t>1 Kings 2:13-25</t>
  </si>
  <si>
    <t>Solomon by divine justice</t>
  </si>
  <si>
    <t>Solomon removes Abiathar from priesthood</t>
  </si>
  <si>
    <t>1 Kings 2:26-27</t>
  </si>
  <si>
    <t>Solomon fulfilling GOD's word</t>
  </si>
  <si>
    <t>Fulfillment of prophecy against Eli's house</t>
  </si>
  <si>
    <t>1 Kings 2:27</t>
  </si>
  <si>
    <t>Solomon executes Joab for bloodshed</t>
  </si>
  <si>
    <t>1 Kings 2:28-34</t>
  </si>
  <si>
    <t>God appears to Solomon in dream at Gibeon</t>
  </si>
  <si>
    <t>1 Kings 3:5</t>
  </si>
  <si>
    <t>Solomon asks for wisdom to judge people</t>
  </si>
  <si>
    <t>1 Kings 3:6-9</t>
  </si>
  <si>
    <t>God grants Solomon wisdom and much more</t>
  </si>
  <si>
    <t>1 Kings 3:10-14</t>
  </si>
  <si>
    <t>God promises Solomon long life for obedience</t>
  </si>
  <si>
    <t>1 Kings 3:14</t>
  </si>
  <si>
    <t>Solomon judges between two mothers</t>
  </si>
  <si>
    <t>1 Kings 3:16-28</t>
  </si>
  <si>
    <t>All Israel sees God's wisdom in Solomon</t>
  </si>
  <si>
    <t>1 Kings 3:28</t>
  </si>
  <si>
    <t>God gives Solomon exceeding great wisdom</t>
  </si>
  <si>
    <t>1 Kings 4:29-34</t>
  </si>
  <si>
    <t>c. 969-930 BC</t>
  </si>
  <si>
    <t>Solomon's wisdom exceeds all eastern wisdom</t>
  </si>
  <si>
    <t>1 Kings 4:30-31</t>
  </si>
  <si>
    <t>God enables Solomon to speak 3,000 proverbs</t>
  </si>
  <si>
    <t>1 Kings 4:32</t>
  </si>
  <si>
    <t>God enables Solomon to compose 1,005 songs</t>
  </si>
  <si>
    <t>People come from all nations to hear Solomon</t>
  </si>
  <si>
    <t>1 Kings 4:34</t>
  </si>
  <si>
    <t>God gives Solomon peace on all sides</t>
  </si>
  <si>
    <t>1 Kings 4:24</t>
  </si>
  <si>
    <t>Throughout Solomon's kingdom</t>
  </si>
  <si>
    <t>Hiram rejoices and blesses God for Solomon</t>
  </si>
  <si>
    <t>1 Kings 5:7</t>
  </si>
  <si>
    <t>Tyre</t>
  </si>
  <si>
    <t>c. 968 BC</t>
  </si>
  <si>
    <t>Hiram acknowledging GOD</t>
  </si>
  <si>
    <t>God enables completion of temple construction</t>
  </si>
  <si>
    <t>1 Kings 6:9-38</t>
  </si>
  <si>
    <t>c. 966-959 BC</t>
  </si>
  <si>
    <t>Word of the LORD comes to Solomon during building</t>
  </si>
  <si>
    <t>1 Kings 6:11-13</t>
  </si>
  <si>
    <t>c. 962 BC</t>
  </si>
  <si>
    <t>God promises to dwell among Israel</t>
  </si>
  <si>
    <t>1 Kings 6:13</t>
  </si>
  <si>
    <t>Solomon completes temple in seven years</t>
  </si>
  <si>
    <t>1 Kings 6:38</t>
  </si>
  <si>
    <t>c. 959 BC</t>
  </si>
  <si>
    <t>Fire comes down from heaven at dedication</t>
  </si>
  <si>
    <t>1 Kings 8:10-11</t>
  </si>
  <si>
    <t>Jerusalem (Temple)</t>
  </si>
  <si>
    <t>Glory of the LORD fills the temple</t>
  </si>
  <si>
    <t>Priests cannot minister due to God's glory</t>
  </si>
  <si>
    <t>1 Kings 8:11</t>
  </si>
  <si>
    <t>Solomon prays dedication prayer</t>
  </si>
  <si>
    <t>1 Kings 8:22-53</t>
  </si>
  <si>
    <t>God hears Solomon's prayer from heaven</t>
  </si>
  <si>
    <t>1 Kings 8:30, 32, 34, 36, 39, 43, 45, 49</t>
  </si>
  <si>
    <t>Heaven/Temple</t>
  </si>
  <si>
    <t>Fire consumes burnt offering and sacrifices</t>
  </si>
  <si>
    <t>1 Kings 8:54-64</t>
  </si>
  <si>
    <t>People worship when they see God's glory</t>
  </si>
  <si>
    <t>1 Kings 8:66</t>
  </si>
  <si>
    <t>God appears to Solomon second time</t>
  </si>
  <si>
    <t>1 Kings 9:2</t>
  </si>
  <si>
    <t>c. 958 BC</t>
  </si>
  <si>
    <t>God confirms hearing Solomon's prayer</t>
  </si>
  <si>
    <t>1 Kings 9:3</t>
  </si>
  <si>
    <t>God consecrates temple for His name</t>
  </si>
  <si>
    <t>God promises to establish Solomon's throne</t>
  </si>
  <si>
    <t>1 Kings 9:4-5</t>
  </si>
  <si>
    <t>God warns of consequences for turning away</t>
  </si>
  <si>
    <t>1 Kings 9:6-9</t>
  </si>
  <si>
    <t>Queen of Sheba tests Solomon's wisdom</t>
  </si>
  <si>
    <t>1 Kings 10:1-3</t>
  </si>
  <si>
    <t>c. 950 BC</t>
  </si>
  <si>
    <t>Queen of Sheba</t>
  </si>
  <si>
    <t>Queen amazed by God's wisdom in Solomon</t>
  </si>
  <si>
    <t>1 Kings 10:4-9</t>
  </si>
  <si>
    <t>Queen blesses God for loving Israel</t>
  </si>
  <si>
    <t>1 Kings 10:9</t>
  </si>
  <si>
    <t>Queen acknowledging GOD</t>
  </si>
  <si>
    <t>God gives Solomon unprecedented wealth</t>
  </si>
  <si>
    <t>1 Kings 10:14-29</t>
  </si>
  <si>
    <t>Solomon's heart turns from the LORD</t>
  </si>
  <si>
    <t>1 Kings 11:1-8</t>
  </si>
  <si>
    <t>c. 940-930 BC</t>
  </si>
  <si>
    <t>Solomon</t>
  </si>
  <si>
    <t>God's anger burns against Solomon</t>
  </si>
  <si>
    <t>1 Kings 11:9</t>
  </si>
  <si>
    <t>c. 935 BC</t>
  </si>
  <si>
    <t>God appears to Solomon and pronounces judgment</t>
  </si>
  <si>
    <t>1 Kings 11:9-13</t>
  </si>
  <si>
    <t>God promises to tear kingdom from Solomon</t>
  </si>
  <si>
    <t>1 Kings 11:11-13</t>
  </si>
  <si>
    <t>God will give ten tribes to Solomon's servant</t>
  </si>
  <si>
    <t>1 Kings 11:11, 31</t>
  </si>
  <si>
    <t>God raises up Hadad as adversary</t>
  </si>
  <si>
    <t>1 Kings 11:14, 23</t>
  </si>
  <si>
    <t>Edom/Syria</t>
  </si>
  <si>
    <t>God raises up Rezon as adversary</t>
  </si>
  <si>
    <t>1 Kings 11:23-25</t>
  </si>
  <si>
    <t>Syria</t>
  </si>
  <si>
    <t>Prophet Ahijah meets Jeroboam in field</t>
  </si>
  <si>
    <t>1 Kings 11:29</t>
  </si>
  <si>
    <t>Outside Jerusalem</t>
  </si>
  <si>
    <t>Ahijah by GOD's direction</t>
  </si>
  <si>
    <t>Ahijah tears garment into twelve pieces</t>
  </si>
  <si>
    <t>1 Kings 11:30</t>
  </si>
  <si>
    <t>Ahijah</t>
  </si>
  <si>
    <t>God promises ten tribes to Jeroboam</t>
  </si>
  <si>
    <t>1 Kings 11:31, 35</t>
  </si>
  <si>
    <t>God explains reasons for dividing kingdom</t>
  </si>
  <si>
    <t>1 Kings 11:33</t>
  </si>
  <si>
    <t>God promises to establish Jeroboam's house</t>
  </si>
  <si>
    <t>1 Kings 11:38</t>
  </si>
  <si>
    <t>Solomon seeks to kill Jeroboam</t>
  </si>
  <si>
    <t>1 Kings 11:40</t>
  </si>
  <si>
    <t>Jeroboam flees to Egypt for protection</t>
  </si>
  <si>
    <t>Jeroboam by GOD's providence</t>
  </si>
  <si>
    <t>Solomon dies after 40-year reign</t>
  </si>
  <si>
    <t>1 Kings 11:41-43</t>
  </si>
  <si>
    <t>c. 930 BC</t>
  </si>
  <si>
    <t>Rehoboam rejects elders' wise counsel</t>
  </si>
  <si>
    <t>1 Kings 12:6-15</t>
  </si>
  <si>
    <t>Rehoboam</t>
  </si>
  <si>
    <t>God causes kingdom division through Rehoboam's folly</t>
  </si>
  <si>
    <t>1 Kings 12:15</t>
  </si>
  <si>
    <t>Ten tribes revolt and make Jeroboam king</t>
  </si>
  <si>
    <t>1 Kings 12:16-20</t>
  </si>
  <si>
    <t>Ten tribes by GOD's will</t>
  </si>
  <si>
    <t>God forbids Rehoboam from fighting Israel</t>
  </si>
  <si>
    <t>1 Kings 12:22-24</t>
  </si>
  <si>
    <t>Shemaiah delivers God's message about division</t>
  </si>
  <si>
    <t>Shemaiah</t>
  </si>
  <si>
    <t>People obey God's word through Shemaiah</t>
  </si>
  <si>
    <t>1 Kings 12:24</t>
  </si>
  <si>
    <t>Jeroboam makes golden calves for worship</t>
  </si>
  <si>
    <t>1 Kings 12:26-30</t>
  </si>
  <si>
    <t>Bethel/Dan</t>
  </si>
  <si>
    <t>Jeroboam</t>
  </si>
  <si>
    <t>Jeroboam establishes false priesthood</t>
  </si>
  <si>
    <t>1 Kings 12:31</t>
  </si>
  <si>
    <t>Northern Israel</t>
  </si>
  <si>
    <t>Man of God prophesies against Jeroboam's altar</t>
  </si>
  <si>
    <t>1 Kings 13:1-2</t>
  </si>
  <si>
    <t>c. 929 BC</t>
  </si>
  <si>
    <t>Man of GOD from Judah</t>
  </si>
  <si>
    <t>God prophesies Josiah will be born and sacrifice priests</t>
  </si>
  <si>
    <t>God gives sign: altar split and ashes poured out</t>
  </si>
  <si>
    <t>1 Kings 13:3, 5</t>
  </si>
  <si>
    <t>Jeroboam's hand withers when stretched out</t>
  </si>
  <si>
    <t>1 Kings 13:4</t>
  </si>
  <si>
    <t>Man of God prays; Jeroboam's hand restored</t>
  </si>
  <si>
    <t>1 Kings 13:6</t>
  </si>
  <si>
    <t>God commands man of God not to eat or drink</t>
  </si>
  <si>
    <t>1 Kings 13:8-9</t>
  </si>
  <si>
    <t>Old prophet lies to man of God</t>
  </si>
  <si>
    <t>1 Kings 13:11-19</t>
  </si>
  <si>
    <t>Old prophet</t>
  </si>
  <si>
    <t>God speaks judgment through old prophet</t>
  </si>
  <si>
    <t>1 Kings 13:20-22</t>
  </si>
  <si>
    <t>Lion kills disobedient man of God</t>
  </si>
  <si>
    <t>1 Kings 13:23-24</t>
  </si>
  <si>
    <t>Road from Bethel</t>
  </si>
  <si>
    <t>Lion stands by body without eating it</t>
  </si>
  <si>
    <t>1 Kings 13:25-28</t>
  </si>
  <si>
    <t>Old prophet buries man of God properly</t>
  </si>
  <si>
    <t>1 Kings 13:29-30</t>
  </si>
  <si>
    <t>Prophet confirms his prophecy will come true</t>
  </si>
  <si>
    <t>1 Kings 13:32</t>
  </si>
  <si>
    <t>Old prophet acknowledging GOD</t>
  </si>
  <si>
    <t>Jeroboam continues in evil despite signs</t>
  </si>
  <si>
    <t>1 Kings 13:33-34</t>
  </si>
  <si>
    <t>Jeroboam's wife disguises herself to see Ahijah</t>
  </si>
  <si>
    <t>1 Kings 14:1-3</t>
  </si>
  <si>
    <t>c. 928 BC</t>
  </si>
  <si>
    <t>Jeroboam's wife</t>
  </si>
  <si>
    <t>God tells Ahijah about coming disguised woman</t>
  </si>
  <si>
    <t>1 Kings 14:5</t>
  </si>
  <si>
    <t>Ahijah delivers judgment on Jeroboam's house</t>
  </si>
  <si>
    <t>1 Kings 14:6-16</t>
  </si>
  <si>
    <t>God will cut off every male from Jeroboam</t>
  </si>
  <si>
    <t>1 Kings 14:10-11</t>
  </si>
  <si>
    <t>God will give Israel up for Jeroboam's sins</t>
  </si>
  <si>
    <t>1 Kings 14:15-16</t>
  </si>
  <si>
    <t>Child dies when mother reaches threshold</t>
  </si>
  <si>
    <t>1 Kings 14:17</t>
  </si>
  <si>
    <t>Tirzah</t>
  </si>
  <si>
    <t>All Israel mourns for child as prophesied</t>
  </si>
  <si>
    <t>1 Kings 14:18</t>
  </si>
  <si>
    <t>Israelites by GOD's will</t>
  </si>
  <si>
    <t>Shishak of Egypt attacks Rehoboam</t>
  </si>
  <si>
    <t>1 Kings 14:25-26</t>
  </si>
  <si>
    <t>c. 925 BC</t>
  </si>
  <si>
    <t>Shishak by GOD's permission</t>
  </si>
  <si>
    <t>God allows temple treasures to be taken</t>
  </si>
  <si>
    <t>1 Kings 14:26</t>
  </si>
  <si>
    <t>Abijam does evil in sight of the LORD</t>
  </si>
  <si>
    <t>1 Kings 15:3</t>
  </si>
  <si>
    <t>c. 913-911 BC</t>
  </si>
  <si>
    <t>Abijam</t>
  </si>
  <si>
    <t>God preserves David's lineage for covenant</t>
  </si>
  <si>
    <t>1 Kings 15:4-5</t>
  </si>
  <si>
    <t>c. 911 BC</t>
  </si>
  <si>
    <t>Asa does right in eyes of the LORD</t>
  </si>
  <si>
    <t>1 Kings 15:11</t>
  </si>
  <si>
    <t>c. 911-870 BC</t>
  </si>
  <si>
    <t>Asa by GOD's grace</t>
  </si>
  <si>
    <t>God gives Asa rest from enemies</t>
  </si>
  <si>
    <t>1 Kings 15:16-22</t>
  </si>
  <si>
    <t>Judah</t>
  </si>
  <si>
    <t>Nadab does evil like his father Jeroboam</t>
  </si>
  <si>
    <t>1 Kings 15:25-26</t>
  </si>
  <si>
    <t>c. 910-909 BC</t>
  </si>
  <si>
    <t>Nadab</t>
  </si>
  <si>
    <t>Baasha kills Nadab and destroys Jeroboam's house</t>
  </si>
  <si>
    <t>1 Kings 15:27-30</t>
  </si>
  <si>
    <t>Gibbethon</t>
  </si>
  <si>
    <t>c. 909 BC</t>
  </si>
  <si>
    <t>Baasha by GOD's judgment</t>
  </si>
  <si>
    <t>God fulfills Ahijah's prophecy through Baasha</t>
  </si>
  <si>
    <t>1 Kings 15:29</t>
  </si>
  <si>
    <t>Word of the LORD comes against Baasha</t>
  </si>
  <si>
    <t>1 Kings 16:1-4</t>
  </si>
  <si>
    <t>c. 905 BC</t>
  </si>
  <si>
    <t>God promises to destroy Baasha's house</t>
  </si>
  <si>
    <t>1 Kings 16:2-4</t>
  </si>
  <si>
    <t>Elah does evil and Zimri kills him</t>
  </si>
  <si>
    <t>1 Kings 16:8-10</t>
  </si>
  <si>
    <t>c. 886 BC</t>
  </si>
  <si>
    <t>Zimri by GOD's judgment</t>
  </si>
  <si>
    <t>Zimri destroys all house of Baasha</t>
  </si>
  <si>
    <t>1 Kings 16:11-12</t>
  </si>
  <si>
    <t>God fulfills Jehu's prophecy through Zimri</t>
  </si>
  <si>
    <t>1 Kings 16:12</t>
  </si>
  <si>
    <t>Zimri burns palace and dies after 7 days</t>
  </si>
  <si>
    <t>1 Kings 16:15-18</t>
  </si>
  <si>
    <t>Zimri</t>
  </si>
  <si>
    <t>Civil war between Omri and Tibni</t>
  </si>
  <si>
    <t>1 Kings 16:21-22</t>
  </si>
  <si>
    <t>c. 886-880 BC</t>
  </si>
  <si>
    <t>GOD's sovereignty</t>
  </si>
  <si>
    <t>Omri prevails and becomes king</t>
  </si>
  <si>
    <t>1 Kings 16:22</t>
  </si>
  <si>
    <t>c. 880 BC</t>
  </si>
  <si>
    <t>Omri does worse evil than all before him</t>
  </si>
  <si>
    <t>1 Kings 16:25</t>
  </si>
  <si>
    <t>Samaria</t>
  </si>
  <si>
    <t>c. 880-874 BC</t>
  </si>
  <si>
    <t>Omri</t>
  </si>
  <si>
    <t>Ahab does more evil than all before him</t>
  </si>
  <si>
    <t>1 Kings 16:30</t>
  </si>
  <si>
    <t>c. 874-853 BC</t>
  </si>
  <si>
    <t>Ahab</t>
  </si>
  <si>
    <t>Ahab marries Jezebel and serves Baal</t>
  </si>
  <si>
    <t>1 Kings 16:31</t>
  </si>
  <si>
    <t>c. 874 BC</t>
  </si>
  <si>
    <t>Hiel rebuilds Jericho; loses sons as cursed</t>
  </si>
  <si>
    <t>1 Kings 16:34</t>
  </si>
  <si>
    <t>c. 870 BC</t>
  </si>
  <si>
    <t>Elijah appears and prophesies drought</t>
  </si>
  <si>
    <t>1 Kings 17:1</t>
  </si>
  <si>
    <t>Before Ahab in Samaria</t>
  </si>
  <si>
    <t>c. 869 BC</t>
  </si>
  <si>
    <t>God commands Elijah to hide by Brook Cherith</t>
  </si>
  <si>
    <t>1 Kings 17:2-3</t>
  </si>
  <si>
    <t>Brook Cherith</t>
  </si>
  <si>
    <t>Ravens feed Elijah bread and meat daily</t>
  </si>
  <si>
    <t>c. 869-868 BC</t>
  </si>
  <si>
    <t>Brook dries up during drought</t>
  </si>
  <si>
    <t>1 Kings 17:7</t>
  </si>
  <si>
    <t>c. 868 BC</t>
  </si>
  <si>
    <t>Natural consequence of GOD's judgment</t>
  </si>
  <si>
    <t>God sends Elijah to widow of Zarephath</t>
  </si>
  <si>
    <t>1 Kings 17:8-9</t>
  </si>
  <si>
    <t>Zarephath</t>
  </si>
  <si>
    <t>Widow's flour and oil never fail</t>
  </si>
  <si>
    <t>1 Kings 17:10-16</t>
  </si>
  <si>
    <t>c. 868-866 BC</t>
  </si>
  <si>
    <t>Widow's son dies of illness</t>
  </si>
  <si>
    <t>1 Kings 17:17</t>
  </si>
  <si>
    <t>c. 867 BC</t>
  </si>
  <si>
    <t>Natural death</t>
  </si>
  <si>
    <t>Elijah raises widow's son from dead</t>
  </si>
  <si>
    <t>Widow recognizes Elijah as man of God</t>
  </si>
  <si>
    <t>1 Kings 17:24</t>
  </si>
  <si>
    <t>Widow acknowledging GOD</t>
  </si>
  <si>
    <t>God tells Elijah to show himself to Ahab</t>
  </si>
  <si>
    <t>1 Kings 18:1</t>
  </si>
  <si>
    <t>c. 866 BC</t>
  </si>
  <si>
    <t>God promises to send rain on earth</t>
  </si>
  <si>
    <t>Severe famine throughout Samaria</t>
  </si>
  <si>
    <t>1 Kings 18:2</t>
  </si>
  <si>
    <t>Samaria/Israel</t>
  </si>
  <si>
    <t>c. 869-866 BC</t>
  </si>
  <si>
    <t>Obadiah hides 100 prophets from Jezebel</t>
  </si>
  <si>
    <t>1 Kings 18:3-4</t>
  </si>
  <si>
    <t>Obadiah by GOD's grace</t>
  </si>
  <si>
    <t>God provides caves and food for hidden prophets</t>
  </si>
  <si>
    <t>1 Kings 18:4</t>
  </si>
  <si>
    <t>Samaria hills</t>
  </si>
  <si>
    <t>Elijah meets Obadiah and sends message to Ahab</t>
  </si>
  <si>
    <t>1 Kings 18:7-16</t>
  </si>
  <si>
    <t>Samaria territory</t>
  </si>
  <si>
    <t>Ahab accuses Elijah of troubling Israel</t>
  </si>
  <si>
    <t>1 Kings 18:17</t>
  </si>
  <si>
    <t>Elijah challenges 450 prophets of Baal</t>
  </si>
  <si>
    <t>1 Kings 18:19-24</t>
  </si>
  <si>
    <t>Mount Carmel</t>
  </si>
  <si>
    <t>Elijah by GOD's direction</t>
  </si>
  <si>
    <t>Baal's prophets call all day with no answer</t>
  </si>
  <si>
    <t>1 Kings 18:25-29</t>
  </si>
  <si>
    <t>Prophets of Baal</t>
  </si>
  <si>
    <t>Elijah repairs altar of the LORD</t>
  </si>
  <si>
    <t>1 Kings 18:30-32</t>
  </si>
  <si>
    <t>Elijah soaks sacrifice and altar with water</t>
  </si>
  <si>
    <t>1 Kings 18:33-35</t>
  </si>
  <si>
    <t>Fire of LORD consumes sacrifice, wood, stones, dust</t>
  </si>
  <si>
    <t>1 Kings 18:36-38</t>
  </si>
  <si>
    <t>Fire licks up water in the trench</t>
  </si>
  <si>
    <t>1 Kings 18:38</t>
  </si>
  <si>
    <t>All people fall and worship the LORD</t>
  </si>
  <si>
    <t>1 Kings 18:39</t>
  </si>
  <si>
    <t>People execute all prophets of Baal</t>
  </si>
  <si>
    <t>1 Kings 18:40</t>
  </si>
  <si>
    <t>Brook Kishon</t>
  </si>
  <si>
    <t>People by GOD's justice</t>
  </si>
  <si>
    <t>Elijah prays seven times for rain</t>
  </si>
  <si>
    <t>1 Kings 18:41-44</t>
  </si>
  <si>
    <t>Small cloud appears and great rain comes</t>
  </si>
  <si>
    <t>1 Kings 18:44-45</t>
  </si>
  <si>
    <t>Mount Carmel/Jezreel</t>
  </si>
  <si>
    <t>Hand of LORD enables Elijah to outrun chariot</t>
  </si>
  <si>
    <t>1 Kings 18:46</t>
  </si>
  <si>
    <t>Jezreel</t>
  </si>
  <si>
    <t>Jezebel threatens to kill Elijah</t>
  </si>
  <si>
    <t>1 Kings 19:1-2</t>
  </si>
  <si>
    <t>Jezebel</t>
  </si>
  <si>
    <t>Elijah flees in fear to Beersheba</t>
  </si>
  <si>
    <t>1 Kings 19:3</t>
  </si>
  <si>
    <t>Angel provides food and water for Elijah</t>
  </si>
  <si>
    <t>1 Kings 19:5-8</t>
  </si>
  <si>
    <t>Wilderness south of Beersheba</t>
  </si>
  <si>
    <t>Elijah travels 40 days to Horeb on angel's food</t>
  </si>
  <si>
    <t>1 Kings 19:8</t>
  </si>
  <si>
    <t>Mount Horeb</t>
  </si>
  <si>
    <t>God asks Elijah what he's doing at Horeb</t>
  </si>
  <si>
    <t>1 Kings 19:9, 13</t>
  </si>
  <si>
    <t>Great wind, earthquake, fire, but God not in them</t>
  </si>
  <si>
    <t>1 Kings 19:11-12</t>
  </si>
  <si>
    <t>God speaks in still small voice</t>
  </si>
  <si>
    <t>1 Kings 19:12</t>
  </si>
  <si>
    <t>God gives Elijah three tasks</t>
  </si>
  <si>
    <t>1 Kings 19:15-16</t>
  </si>
  <si>
    <t>God reserves 7,000 who haven't bowed to Baal</t>
  </si>
  <si>
    <t>1 Kings 19:18</t>
  </si>
  <si>
    <t>Elijah calls Elisha to follow him</t>
  </si>
  <si>
    <t>1 Kings 19:19-21</t>
  </si>
  <si>
    <t>Abel-meholah</t>
  </si>
  <si>
    <t>Ben-hadad besieges Samaria</t>
  </si>
  <si>
    <t>1 Kings 20:1</t>
  </si>
  <si>
    <t>c. 855 BC</t>
  </si>
  <si>
    <t>Ben-hadad</t>
  </si>
  <si>
    <t>Prophet promises God will deliver Ben-hadad</t>
  </si>
  <si>
    <t>1 Kings 20:13-14</t>
  </si>
  <si>
    <t>A prophet by GOD</t>
  </si>
  <si>
    <t>Israel defeats Syria with few men</t>
  </si>
  <si>
    <t>1 Kings 20:15-21</t>
  </si>
  <si>
    <t>Prophet warns Ahab of Syrian return</t>
  </si>
  <si>
    <t>1 Kings 20:22</t>
  </si>
  <si>
    <t>A prophet</t>
  </si>
  <si>
    <t>Syrians return thinking God only of hills</t>
  </si>
  <si>
    <t>1 Kings 20:23-25</t>
  </si>
  <si>
    <t>c. 854 BC</t>
  </si>
  <si>
    <t>Syrian counselors</t>
  </si>
  <si>
    <t>Man of God prophesies greater victory</t>
  </si>
  <si>
    <t>1 Kings 20:28</t>
  </si>
  <si>
    <t>Aphek</t>
  </si>
  <si>
    <t>Israel kills 100,000 Syrian footmen</t>
  </si>
  <si>
    <t>1 Kings 20:29</t>
  </si>
  <si>
    <t>Wall falls on 27,000 remaining Syrians</t>
  </si>
  <si>
    <t>1 Kings 20:30</t>
  </si>
  <si>
    <t>Ahab spares Ben-hadad against God's will</t>
  </si>
  <si>
    <t>1 Kings 20:31-34</t>
  </si>
  <si>
    <t>Prophet condemns Ahab for sparing Ben-hadad</t>
  </si>
  <si>
    <t>1 Kings 20:35-43</t>
  </si>
  <si>
    <t>On road to Samaria</t>
  </si>
  <si>
    <t>A prophet by GOD's word</t>
  </si>
  <si>
    <t>Lion kills prophet's companion for disobedience</t>
  </si>
  <si>
    <t>1 Kings 20:36</t>
  </si>
  <si>
    <t>Near Samaria</t>
  </si>
  <si>
    <t>Prophet disguises himself to confront Ahab</t>
  </si>
  <si>
    <t>1 Kings 20:37-41</t>
  </si>
  <si>
    <t>Road to Samaria</t>
  </si>
  <si>
    <t>God pronounces Ahab's life forfeit</t>
  </si>
  <si>
    <t>1 Kings 20:42</t>
  </si>
  <si>
    <t>Ahab covets Naboth's vineyard</t>
  </si>
  <si>
    <t>1 Kings 21:1-4</t>
  </si>
  <si>
    <t>c. 853 BC</t>
  </si>
  <si>
    <t>Jezebel arranges Naboth's murder</t>
  </si>
  <si>
    <t>1 Kings 21:5-14</t>
  </si>
  <si>
    <t>God sends Elijah to confront Ahab</t>
  </si>
  <si>
    <t>1 Kings 21:17-19</t>
  </si>
  <si>
    <t>Naboth's vineyard</t>
  </si>
  <si>
    <t>Elijah prophesies dogs will lick Ahab's blood</t>
  </si>
  <si>
    <t>1 Kings 21:19</t>
  </si>
  <si>
    <t>God pronounces total judgment on Ahab's house</t>
  </si>
  <si>
    <t>1 Kings 21:20-24</t>
  </si>
  <si>
    <t>Ahab humbles himself before the LORD</t>
  </si>
  <si>
    <t>1 Kings 21:27-29</t>
  </si>
  <si>
    <t>God postpones judgment to Ahab's son's days</t>
  </si>
  <si>
    <t>1 Kings 21:29</t>
  </si>
  <si>
    <t>Jehoshaphat joins Ahab against Syria</t>
  </si>
  <si>
    <t>1 Kings 22:1-4</t>
  </si>
  <si>
    <t>Jerusalem/Samaria</t>
  </si>
  <si>
    <t>Jehoshaphat and Ahab</t>
  </si>
  <si>
    <t>Jehoshaphat requests inquiry of the LORD</t>
  </si>
  <si>
    <t>1 Kings 22:5</t>
  </si>
  <si>
    <t>Jehoshaphat</t>
  </si>
  <si>
    <t>400 false prophets promise victory</t>
  </si>
  <si>
    <t>1 Kings 22:6, 10-12</t>
  </si>
  <si>
    <t>False prophets</t>
  </si>
  <si>
    <t>Micaiah prophesies Ahab's defeat and death</t>
  </si>
  <si>
    <t>1 Kings 22:13-28</t>
  </si>
  <si>
    <t>God allows lying spirit in false prophets</t>
  </si>
  <si>
    <t>1 Kings 22:19-23</t>
  </si>
  <si>
    <t>Zedekiah strikes Micaiah for true prophecy</t>
  </si>
  <si>
    <t>1 Kings 22:24</t>
  </si>
  <si>
    <t>Zedekiah</t>
  </si>
  <si>
    <t>Ahab disguises himself in battle</t>
  </si>
  <si>
    <t>1 Kings 22:30</t>
  </si>
  <si>
    <t>Ramoth-gilead</t>
  </si>
  <si>
    <t>Random arrow kills Ahab as prophesied</t>
  </si>
  <si>
    <t>1 Kings 22:34-35</t>
  </si>
  <si>
    <t>Dogs lick Ahab's blood as Elijah prophesied</t>
  </si>
  <si>
    <t>1 Kings 22:38</t>
  </si>
  <si>
    <t>Jehoshaphat does right in LORD's sight</t>
  </si>
  <si>
    <t>1 Kings 22:43</t>
  </si>
  <si>
    <t>c. 873-848 BC</t>
  </si>
  <si>
    <t>Jehoshaphat by GOD's grace</t>
  </si>
  <si>
    <t>Ahaziah does evil like his parents</t>
  </si>
  <si>
    <t>1 Kings 22:52-53</t>
  </si>
  <si>
    <t>c. 853-852 BC</t>
  </si>
  <si>
    <t>Ahaziah</t>
  </si>
  <si>
    <t>Ahaziah provokes God to anger like father</t>
  </si>
  <si>
    <t>1 Kings 22:53</t>
  </si>
  <si>
    <t>a comprehensive table of all miracles, acts of God, and divine communications in 2 Kings. This contains 268 entries covering approximately 300 years from Elijah's final ministry (c. 852-560 BC) to the Babylonian exile and beyond (c. 560 BC).</t>
  </si>
  <si>
    <r>
      <t>God's patience</t>
    </r>
    <r>
      <rPr>
        <sz val="11"/>
        <color theme="1"/>
        <rFont val="Calibri"/>
        <family val="2"/>
        <scheme val="minor"/>
      </rPr>
      <t xml:space="preserve"> through multiple warnings and reformations</t>
    </r>
  </si>
  <si>
    <r>
      <t>Divine justice</t>
    </r>
    <r>
      <rPr>
        <sz val="11"/>
        <color theme="1"/>
        <rFont val="Calibri"/>
        <family val="2"/>
        <scheme val="minor"/>
      </rPr>
      <t xml:space="preserve"> in the ultimate exile of both kingdoms</t>
    </r>
  </si>
  <si>
    <r>
      <t>Prophetic fulfillment</t>
    </r>
    <r>
      <rPr>
        <sz val="11"/>
        <color theme="1"/>
        <rFont val="Calibri"/>
        <family val="2"/>
        <scheme val="minor"/>
      </rPr>
      <t xml:space="preserve"> across centuries (like Josiah's prophecy)</t>
    </r>
  </si>
  <si>
    <r>
      <t>God's sovereignty</t>
    </r>
    <r>
      <rPr>
        <sz val="11"/>
        <color theme="1"/>
        <rFont val="Calibri"/>
        <family val="2"/>
        <scheme val="minor"/>
      </rPr>
      <t xml:space="preserve"> over international politics and warfare</t>
    </r>
  </si>
  <si>
    <r>
      <t>Hope preserved</t>
    </r>
    <r>
      <rPr>
        <sz val="11"/>
        <color theme="1"/>
        <rFont val="Calibri"/>
        <family val="2"/>
        <scheme val="minor"/>
      </rPr>
      <t xml:space="preserve"> through the Davidic line even in exile</t>
    </r>
  </si>
  <si>
    <t>This comprehensive view shows the complete trajectory from Elijah's ministry through the exile and the first glimmer of restoration hope.</t>
  </si>
  <si>
    <t>It also demonstrates:</t>
  </si>
  <si>
    <t>Angel tells Elijah to intercept messengers</t>
  </si>
  <si>
    <t>2 Kings 1:3</t>
  </si>
  <si>
    <t>c. 852 BC</t>
  </si>
  <si>
    <t>Elijah prophesies Ahaziah will not recover</t>
  </si>
  <si>
    <t>2 Kings 1:3-4</t>
  </si>
  <si>
    <t>On road to Ekron</t>
  </si>
  <si>
    <t>Fire consumes first captain and his 50 men</t>
  </si>
  <si>
    <t>2 Kings 1:10</t>
  </si>
  <si>
    <t>Hill where Elijah sat</t>
  </si>
  <si>
    <t>Second captain and 50 also consumed by fire</t>
  </si>
  <si>
    <t>2 Kings 1:11-12</t>
  </si>
  <si>
    <t>Angel tells Elijah to go with third captain</t>
  </si>
  <si>
    <t>2 Kings 1:15</t>
  </si>
  <si>
    <t>Elijah delivers judgment directly to Ahaziah</t>
  </si>
  <si>
    <t>2 Kings 1:16</t>
  </si>
  <si>
    <t>Samaria palace</t>
  </si>
  <si>
    <t>Ahaziah dies as Elijah prophesied</t>
  </si>
  <si>
    <t>2 Kings 1:17</t>
  </si>
  <si>
    <t>Sons of prophets know Elijah will be taken</t>
  </si>
  <si>
    <t>2 Kings 2:3, 5</t>
  </si>
  <si>
    <t>Bethel and Jericho</t>
  </si>
  <si>
    <t>c. 851 BC</t>
  </si>
  <si>
    <t>Elijah divides Jordan with his mantle</t>
  </si>
  <si>
    <t>2 Kings 2:8</t>
  </si>
  <si>
    <t>Elijah and Elisha cross Jordan on dry ground</t>
  </si>
  <si>
    <t>Chariot and horses of fire separate them</t>
  </si>
  <si>
    <t>East of Jordan</t>
  </si>
  <si>
    <t>Elijah taken up by whirlwind of fire into heaven</t>
  </si>
  <si>
    <t>Elisha receives Elijah's mantle</t>
  </si>
  <si>
    <t>2 Kings 2:13</t>
  </si>
  <si>
    <t>Elisha divides Jordan with Elijah's mantle</t>
  </si>
  <si>
    <t>Elisha heals bad water with salt</t>
  </si>
  <si>
    <t>2 Kings 2:20-22</t>
  </si>
  <si>
    <t>Jericho spring</t>
  </si>
  <si>
    <t>Water remains wholesome permanently</t>
  </si>
  <si>
    <t>2 Kings 2:22</t>
  </si>
  <si>
    <t>Two bears maul 42 young mockers</t>
  </si>
  <si>
    <t>Near Bethel</t>
  </si>
  <si>
    <t>Hand of LORD comes upon Elisha</t>
  </si>
  <si>
    <t>2 Kings 3:15</t>
  </si>
  <si>
    <t>Wilderness of Edom</t>
  </si>
  <si>
    <t>c. 850 BC</t>
  </si>
  <si>
    <t>God promises water without wind or rain</t>
  </si>
  <si>
    <t>2 Kings 3:16-17</t>
  </si>
  <si>
    <t>God promises victory over Moab</t>
  </si>
  <si>
    <t>2 Kings 3:18-19</t>
  </si>
  <si>
    <t>Water fills ditches in morning</t>
  </si>
  <si>
    <t>2 Kings 3:20</t>
  </si>
  <si>
    <t>Moabites see red water like blood</t>
  </si>
  <si>
    <t>2 Kings 3:21-23</t>
  </si>
  <si>
    <t>Moab border</t>
  </si>
  <si>
    <t>Israel defeats overconfident Moabites</t>
  </si>
  <si>
    <t>2 Kings 3:24-25</t>
  </si>
  <si>
    <t>Moab territory</t>
  </si>
  <si>
    <t>Elisha multiplies widow's oil</t>
  </si>
  <si>
    <t>2 Kings 4:2-7</t>
  </si>
  <si>
    <t>Widow's home</t>
  </si>
  <si>
    <t>Oil stops flowing when vessels full</t>
  </si>
  <si>
    <t>2 Kings 4:6</t>
  </si>
  <si>
    <t>Elisha promises son to barren woman</t>
  </si>
  <si>
    <t>2 Kings 4:11-16</t>
  </si>
  <si>
    <t>Shunem</t>
  </si>
  <si>
    <t>c. 849 BC</t>
  </si>
  <si>
    <t>Woman conceives and bears son as promised</t>
  </si>
  <si>
    <t>2 Kings 4:17</t>
  </si>
  <si>
    <t>c. 848 BC</t>
  </si>
  <si>
    <t>Elisha sees woman's bitter soul from distance</t>
  </si>
  <si>
    <t>2 Kings 4:27</t>
  </si>
  <si>
    <t>c. 838 BC</t>
  </si>
  <si>
    <t>Elisha prays and raises child from dead</t>
  </si>
  <si>
    <t>2 Kings 4:32-35</t>
  </si>
  <si>
    <t>Child sneezes seven times and opens eyes</t>
  </si>
  <si>
    <t>2 Kings 4:35</t>
  </si>
  <si>
    <t>Elisha neutralizes poisoned stew with flour</t>
  </si>
  <si>
    <t>2 Kings 4:41</t>
  </si>
  <si>
    <t>c. 847 BC</t>
  </si>
  <si>
    <t>Elisha feeds 100 men with 20 loaves</t>
  </si>
  <si>
    <t>2 Kings 4:43-44</t>
  </si>
  <si>
    <t>Men eat and have leftovers as promised</t>
  </si>
  <si>
    <t>2 Kings 4:44</t>
  </si>
  <si>
    <t>Naaman dips seven times and is healed of leprosy</t>
  </si>
  <si>
    <t>2 Kings 5:14</t>
  </si>
  <si>
    <t>c. 846 BC</t>
  </si>
  <si>
    <t>Naaman's flesh becomes like child's</t>
  </si>
  <si>
    <t>Elisha knows Gehazi's deception by revelation</t>
  </si>
  <si>
    <t>2 Kings 5:25-26</t>
  </si>
  <si>
    <t>Elisha's house</t>
  </si>
  <si>
    <t>Gehazi struck with Naaman's leprosy</t>
  </si>
  <si>
    <t>2 Kings 5:27</t>
  </si>
  <si>
    <t>Elisha makes iron axe head float</t>
  </si>
  <si>
    <t>2 Kings 6:6-7</t>
  </si>
  <si>
    <t>c. 845 BC</t>
  </si>
  <si>
    <t>Elisha warns king of Israel of ambushes</t>
  </si>
  <si>
    <t>2 Kings 6:9-10</t>
  </si>
  <si>
    <t>c. 844 BC</t>
  </si>
  <si>
    <t>King of Israel repeatedly avoids Syrian traps</t>
  </si>
  <si>
    <t>2 Kings 6:10</t>
  </si>
  <si>
    <t>Elisha prays for servant's eyes to be opened</t>
  </si>
  <si>
    <t>2 Kings 6:17</t>
  </si>
  <si>
    <t>Dothan</t>
  </si>
  <si>
    <t>Servant sees horses and chariots of fire</t>
  </si>
  <si>
    <t>Dothan mountains</t>
  </si>
  <si>
    <t>God strikes Syrian army with blindness</t>
  </si>
  <si>
    <t>2 Kings 6:18</t>
  </si>
  <si>
    <t>Syrian army finds themselves in Samaria</t>
  </si>
  <si>
    <t>2 Kings 6:20</t>
  </si>
  <si>
    <t>Syrian raids cease after this mercy</t>
  </si>
  <si>
    <t>2 Kings 6:23</t>
  </si>
  <si>
    <t>Syria/Israel border</t>
  </si>
  <si>
    <t>Elisha prophesies abundance by tomorrow</t>
  </si>
  <si>
    <t>2 Kings 7:1</t>
  </si>
  <si>
    <t>c. 843 BC</t>
  </si>
  <si>
    <t>Elisha predicts captain will see but not eat</t>
  </si>
  <si>
    <t>2 Kings 7:2</t>
  </si>
  <si>
    <t>God makes Syrians hear army approaching</t>
  </si>
  <si>
    <t>2 Kings 7:6</t>
  </si>
  <si>
    <t>Syrian camp</t>
  </si>
  <si>
    <t>People plunder Syrian camp as prophesied</t>
  </si>
  <si>
    <t>2 Kings 7:16</t>
  </si>
  <si>
    <t>People of Samaria</t>
  </si>
  <si>
    <t>Doubting captain trampled at gate</t>
  </si>
  <si>
    <t>2 Kings 7:17, 20</t>
  </si>
  <si>
    <t>Samaria gate</t>
  </si>
  <si>
    <t>Captain sees abundance but doesn't eat</t>
  </si>
  <si>
    <t>2 Kings 7:20</t>
  </si>
  <si>
    <t>Elisha warns Shunammite of seven-year famine</t>
  </si>
  <si>
    <t>2 Kings 8:1</t>
  </si>
  <si>
    <t>c. 842 BC</t>
  </si>
  <si>
    <t>Woman arrives while Gehazi speaks of her</t>
  </si>
  <si>
    <t>2 Kings 8:5</t>
  </si>
  <si>
    <t>c. 835 BC</t>
  </si>
  <si>
    <t>GOD's timing</t>
  </si>
  <si>
    <t>Elisha tells Hazael king will recover but die</t>
  </si>
  <si>
    <t>2 Kings 8:10</t>
  </si>
  <si>
    <t>Damascus</t>
  </si>
  <si>
    <t>c. 841 BC</t>
  </si>
  <si>
    <t>Elisha prophesies Hazael will become king</t>
  </si>
  <si>
    <t>2 Kings 8:13</t>
  </si>
  <si>
    <t>God preserves Judah for David's sake</t>
  </si>
  <si>
    <t>2 Kings 8:19</t>
  </si>
  <si>
    <t>c. 848-841 BC</t>
  </si>
  <si>
    <t>Prophet anoints Jehu king over Israel</t>
  </si>
  <si>
    <t>2 Kings 9:6</t>
  </si>
  <si>
    <t>God commissions Jehu to destroy Ahab's house</t>
  </si>
  <si>
    <t>2 Kings 9:7-10</t>
  </si>
  <si>
    <t>Dogs eat Jezebel's body as prophesied</t>
  </si>
  <si>
    <t>2 Kings 9:35-37</t>
  </si>
  <si>
    <t>Only skull, feet, palms remain of Jezebel</t>
  </si>
  <si>
    <t>2 Kings 9:35</t>
  </si>
  <si>
    <t>God commends Jehu for destroying Ahab's house</t>
  </si>
  <si>
    <t>2 Kings 10:30</t>
  </si>
  <si>
    <t>God promises Jehu's sons to fourth generation</t>
  </si>
  <si>
    <t>God begins to cut off parts of Israel</t>
  </si>
  <si>
    <t>2 Kings 10:32</t>
  </si>
  <si>
    <t>Eastern Israel</t>
  </si>
  <si>
    <t>c. 841-814 BC</t>
  </si>
  <si>
    <t>Hazael defeats Israel in all their territory</t>
  </si>
  <si>
    <t>2 Kings 10:32-33</t>
  </si>
  <si>
    <t>Jehosheba saves baby Joash from massacre</t>
  </si>
  <si>
    <t>2 Kings 11:2</t>
  </si>
  <si>
    <t>Jerusalem palace</t>
  </si>
  <si>
    <t>Jehosheba by GOD's providence</t>
  </si>
  <si>
    <t>2 Kings 13:3</t>
  </si>
  <si>
    <t>c. 814-798 BC</t>
  </si>
  <si>
    <t>God delivers Israel into Syria's hand</t>
  </si>
  <si>
    <t>God gives Israel a savior from Syria</t>
  </si>
  <si>
    <t>2 Kings 13:5</t>
  </si>
  <si>
    <t>c. 800 BC</t>
  </si>
  <si>
    <t>Elisha gives symbolic arrow shooting test</t>
  </si>
  <si>
    <t>2 Kings 13:15-19</t>
  </si>
  <si>
    <t>c. 790 BC</t>
  </si>
  <si>
    <t>Elisha by GOD's direction</t>
  </si>
  <si>
    <t>Elisha prophesies three victories over Syria</t>
  </si>
  <si>
    <t>2 Kings 13:19</t>
  </si>
  <si>
    <t>Dead man revives touching Elisha's bones</t>
  </si>
  <si>
    <t>2 Kings 13:21</t>
  </si>
  <si>
    <t>Elisha's tomb</t>
  </si>
  <si>
    <t>c. 789 BC</t>
  </si>
  <si>
    <t>Revived man stands on his feet</t>
  </si>
  <si>
    <t>God shows mercy to Israel for covenant</t>
  </si>
  <si>
    <t>2 Kings 13:23</t>
  </si>
  <si>
    <t>c. 790-782 BC</t>
  </si>
  <si>
    <t>Joash defeats Ben-hadad three times</t>
  </si>
  <si>
    <t>2 Kings 13:25</t>
  </si>
  <si>
    <t>Various battles</t>
  </si>
  <si>
    <t>c. 785-782 BC</t>
  </si>
  <si>
    <t>Israel recovers cities from Syria</t>
  </si>
  <si>
    <t>God causes this confrontation for judgment</t>
  </si>
  <si>
    <t>2 Kings 14:11</t>
  </si>
  <si>
    <t>Judah defeated before Israel at Beth-shemesh</t>
  </si>
  <si>
    <t>2 Kings 14:12</t>
  </si>
  <si>
    <t>Jeroboam II restores Israel's borders</t>
  </si>
  <si>
    <t>2 Kings 14:25</t>
  </si>
  <si>
    <t>c. 793-753 BC</t>
  </si>
  <si>
    <t>God fulfills Jonah's prophecy through Jeroboam</t>
  </si>
  <si>
    <t>God sees Israel's bitter affliction</t>
  </si>
  <si>
    <t>2 Kings 14:26</t>
  </si>
  <si>
    <t>God saves Israel by Jeroboam's hand</t>
  </si>
  <si>
    <t>2 Kings 14:27</t>
  </si>
  <si>
    <t>God strikes Azariah with leprosy</t>
  </si>
  <si>
    <t>2 Kings 15:5</t>
  </si>
  <si>
    <t>c. 750 BC</t>
  </si>
  <si>
    <t>God fulfills promise to Jehu's fourth generation</t>
  </si>
  <si>
    <t>2 Kings 15:12</t>
  </si>
  <si>
    <t>c. 753 BC</t>
  </si>
  <si>
    <t>Pul (Tiglath-pileser) invades Israel</t>
  </si>
  <si>
    <t>2 Kings 15:19</t>
  </si>
  <si>
    <t>c. 745 BC</t>
  </si>
  <si>
    <t>Assyria by GOD's judgment</t>
  </si>
  <si>
    <t>Tiglath-pileser invades in Pekah's days</t>
  </si>
  <si>
    <t>2 Kings 15:29</t>
  </si>
  <si>
    <t>c. 734 BC</t>
  </si>
  <si>
    <t>Assyrians carry away northern tribes</t>
  </si>
  <si>
    <t>Galilee and Transjordan</t>
  </si>
  <si>
    <t>God begins sending Syria and Israel against Judah</t>
  </si>
  <si>
    <t>2 Kings 15:37</t>
  </si>
  <si>
    <t>c. 735 BC</t>
  </si>
  <si>
    <t>Syria and Israel besiege Jerusalem</t>
  </si>
  <si>
    <t>2 Kings 16:5</t>
  </si>
  <si>
    <t>Syria and Israel by GOD's judgment</t>
  </si>
  <si>
    <t>Assyrians besiege Samaria three years</t>
  </si>
  <si>
    <t>2 Kings 17:5</t>
  </si>
  <si>
    <t>c. 725-722 BC</t>
  </si>
  <si>
    <t>Assyrians carry Israel away captive</t>
  </si>
  <si>
    <t>2 Kings 17:6</t>
  </si>
  <si>
    <t>Samaria to Assyria</t>
  </si>
  <si>
    <t>c. 722 BC</t>
  </si>
  <si>
    <t>God explains reasons for Israel's exile</t>
  </si>
  <si>
    <t>2 Kings 17:7-23</t>
  </si>
  <si>
    <t>Historical explanation</t>
  </si>
  <si>
    <t>God warned Israel through prophets</t>
  </si>
  <si>
    <t>2 Kings 17:13</t>
  </si>
  <si>
    <t>c. 930-722 BC</t>
  </si>
  <si>
    <t>God very angry and removed Israel</t>
  </si>
  <si>
    <t>2 Kings 17:18</t>
  </si>
  <si>
    <t>Only tribe of Judah left in land</t>
  </si>
  <si>
    <t>Lions kill some new settlers</t>
  </si>
  <si>
    <t>2 Kings 17:25</t>
  </si>
  <si>
    <t>c. 721 BC</t>
  </si>
  <si>
    <t>LORD is with Hezekiah; he prospers</t>
  </si>
  <si>
    <t>2 Kings 18:7</t>
  </si>
  <si>
    <t>c. 715-686 BC</t>
  </si>
  <si>
    <t>Hezekiah defeats Philistines to Gaza</t>
  </si>
  <si>
    <t>2 Kings 18:8</t>
  </si>
  <si>
    <t>Philistine territory</t>
  </si>
  <si>
    <t>c. 701 BC</t>
  </si>
  <si>
    <t>Isaiah prophesies Assyrian defeat</t>
  </si>
  <si>
    <t>2 Kings 19:6-7</t>
  </si>
  <si>
    <t>God promises spirit and rumor to turn back king</t>
  </si>
  <si>
    <t>2 Kings 19:7</t>
  </si>
  <si>
    <t>God responds through Isaiah</t>
  </si>
  <si>
    <t>2 Kings 19:20</t>
  </si>
  <si>
    <t>God mocks Sennacherib through Isaiah</t>
  </si>
  <si>
    <t>2 Kings 19:21-28</t>
  </si>
  <si>
    <t>God promises sign of recovery</t>
  </si>
  <si>
    <t>2 Kings 19:29-31</t>
  </si>
  <si>
    <t>God promises to defend Jerusalem</t>
  </si>
  <si>
    <t>2 Kings 19:32-34</t>
  </si>
  <si>
    <t>Angel of LORD kills 185,000 Assyrians</t>
  </si>
  <si>
    <t>Assyrian camp</t>
  </si>
  <si>
    <t>Sennacherib killed by sons while worshipping</t>
  </si>
  <si>
    <t>2 Kings 19:37</t>
  </si>
  <si>
    <t>Nineveh temple</t>
  </si>
  <si>
    <t>c. 681 BC</t>
  </si>
  <si>
    <t>Adrammelech and Sharezer</t>
  </si>
  <si>
    <t>Isaiah prophesies Hezekiah will die</t>
  </si>
  <si>
    <t>2 Kings 20:1</t>
  </si>
  <si>
    <t>c. 703 BC</t>
  </si>
  <si>
    <t>God hears prayer and adds 15 years to Hezekiah's life</t>
  </si>
  <si>
    <t>2 Kings 20:4-6</t>
  </si>
  <si>
    <t>God promises to deliver from Assyrian king</t>
  </si>
  <si>
    <t>2 Kings 20:6</t>
  </si>
  <si>
    <t>Isaiah applies fig poultice for healing</t>
  </si>
  <si>
    <t>2 Kings 20:7</t>
  </si>
  <si>
    <t>Isaiah by GOD's direction</t>
  </si>
  <si>
    <t>God offers choice of shadow moving</t>
  </si>
  <si>
    <t>2 Kings 20:9-10</t>
  </si>
  <si>
    <t>Shadow goes backward ten degrees</t>
  </si>
  <si>
    <t>2 Kings 20:11</t>
  </si>
  <si>
    <t>Isaiah prophesies Babylonian captivity</t>
  </si>
  <si>
    <t>2 Kings 20:14-18</t>
  </si>
  <si>
    <t>c. 702 BC</t>
  </si>
  <si>
    <t>God speaks judgment through prophets</t>
  </si>
  <si>
    <t>2 Kings 21:10-15</t>
  </si>
  <si>
    <t>c. 680 BC</t>
  </si>
  <si>
    <t>God promises to wipe Jerusalem like dish</t>
  </si>
  <si>
    <t>2 Kings 21:13</t>
  </si>
  <si>
    <t>Hilkiah finds book of the law</t>
  </si>
  <si>
    <t>2 Kings 22:8</t>
  </si>
  <si>
    <t>Jerusalem temple</t>
  </si>
  <si>
    <t>c. 622 BC</t>
  </si>
  <si>
    <t>Hilkiah by GOD's providence</t>
  </si>
  <si>
    <t>Huldah prophesies judgment on Jerusalem</t>
  </si>
  <si>
    <t>2 Kings 22:15-17</t>
  </si>
  <si>
    <t>Huldah promises Josiah will die in peace</t>
  </si>
  <si>
    <t>2 Kings 22:18-20</t>
  </si>
  <si>
    <t>Josiah burns bones on altar fulfilling prophecy</t>
  </si>
  <si>
    <t>2 Kings 23:16</t>
  </si>
  <si>
    <t>Josiah</t>
  </si>
  <si>
    <t>God preserves tomb of man of God</t>
  </si>
  <si>
    <t>2 Kings 23:17-18</t>
  </si>
  <si>
    <t>Greatest Passover since judges' time</t>
  </si>
  <si>
    <t>2 Kings 23:22</t>
  </si>
  <si>
    <t>God's wrath still burns against Judah</t>
  </si>
  <si>
    <t>2 Kings 23:26</t>
  </si>
  <si>
    <t>God determines to remove Judah like Israel</t>
  </si>
  <si>
    <t>2 Kings 23:27</t>
  </si>
  <si>
    <t>God sends raiders against Jehoiakim</t>
  </si>
  <si>
    <t>2 Kings 24:2</t>
  </si>
  <si>
    <t>c. 602-598 BC</t>
  </si>
  <si>
    <t>Various nations by GOD's command</t>
  </si>
  <si>
    <t>God brings judgment for Manasseh's sins</t>
  </si>
  <si>
    <t>2 Kings 24:3-4</t>
  </si>
  <si>
    <t>Nebuchadnezzar carries away treasures</t>
  </si>
  <si>
    <t>2 Kings 24:13</t>
  </si>
  <si>
    <t>Jerusalem to Babylon</t>
  </si>
  <si>
    <t>c. 597 BC</t>
  </si>
  <si>
    <t>Nebuchadnezzar by GOD's judgment</t>
  </si>
  <si>
    <t>God fulfills Solomon's temple prophecy</t>
  </si>
  <si>
    <t>10,000 captives taken to Babylon</t>
  </si>
  <si>
    <t>2 Kings 24:14</t>
  </si>
  <si>
    <t>Only poorest people left in land</t>
  </si>
  <si>
    <t>God's anger causes Jerusalem's exile</t>
  </si>
  <si>
    <t>2 Kings 24:20</t>
  </si>
  <si>
    <t>c. 597-586 BC</t>
  </si>
  <si>
    <t>Nebuchadnezzar besieges Jerusalem again</t>
  </si>
  <si>
    <t>2 Kings 25:1</t>
  </si>
  <si>
    <t>c. 588-586 BC</t>
  </si>
  <si>
    <t>Babylon by GOD's judgment</t>
  </si>
  <si>
    <t>Nebuzaradan burns temple and palace</t>
  </si>
  <si>
    <t>2 Kings 25:9</t>
  </si>
  <si>
    <t>c. 586 BC</t>
  </si>
  <si>
    <t>Babylonians by GOD's judgment</t>
  </si>
  <si>
    <t>Remaining people carried away captive</t>
  </si>
  <si>
    <t>2 Kings 25:11</t>
  </si>
  <si>
    <t>Nebuzaradan by GOD's judgment</t>
  </si>
  <si>
    <t>Judah completely carried away from land</t>
  </si>
  <si>
    <t>2 Kings 25:21</t>
  </si>
  <si>
    <t>Judah to Babylon</t>
  </si>
  <si>
    <t>1 Chronicles 10:13-14</t>
  </si>
  <si>
    <t>God kills Saul for unfaithfulness</t>
  </si>
  <si>
    <t>God turns kingdom to David</t>
  </si>
  <si>
    <t>1 Chronicles 10:14</t>
  </si>
  <si>
    <t>Israel</t>
  </si>
  <si>
    <t>All Israel comes to make David king</t>
  </si>
  <si>
    <t>1 Chronicles 11:1-3</t>
  </si>
  <si>
    <t>David captures Jerusalem as God promised</t>
  </si>
  <si>
    <t>1 Chronicles 11:4-9</t>
  </si>
  <si>
    <t>LORD of hosts was with David</t>
  </si>
  <si>
    <t>1 Chronicles 11:9</t>
  </si>
  <si>
    <t>God gives David mighty men</t>
  </si>
  <si>
    <t>1 Chronicles 11:10-47</t>
  </si>
  <si>
    <t>c. 1003-970 BC</t>
  </si>
  <si>
    <t>Spirit came upon Amasai</t>
  </si>
  <si>
    <t>1 Chronicles 12:18</t>
  </si>
  <si>
    <t>God helps David against raiders</t>
  </si>
  <si>
    <t>1 Chronicles 12:22</t>
  </si>
  <si>
    <t>Ziklag area</t>
  </si>
  <si>
    <t>God breaks out against Uzzah</t>
  </si>
  <si>
    <t>1 Chronicles 13:10-11</t>
  </si>
  <si>
    <t>Threshing floor of Chidon</t>
  </si>
  <si>
    <t>Uzzah dies touching the ark</t>
  </si>
  <si>
    <t>1 Chronicles 13:10</t>
  </si>
  <si>
    <t>David becomes afraid of God</t>
  </si>
  <si>
    <t>1 Chronicles 13:12</t>
  </si>
  <si>
    <t>God blesses Obed-edom's house</t>
  </si>
  <si>
    <t>1 Chronicles 13:14</t>
  </si>
  <si>
    <t>God establishes David's kingdom</t>
  </si>
  <si>
    <t>1 Chronicles 14:2</t>
  </si>
  <si>
    <t>God gives David more children</t>
  </si>
  <si>
    <t>1 Chronicles 14:3-7</t>
  </si>
  <si>
    <t>David inquires of God about Philistines</t>
  </si>
  <si>
    <t>1 Chronicles 14:10</t>
  </si>
  <si>
    <t>God promises to deliver Philistines</t>
  </si>
  <si>
    <t>God breaks out against enemies</t>
  </si>
  <si>
    <t>1 Chronicles 14:11</t>
  </si>
  <si>
    <t>David inquires of God again</t>
  </si>
  <si>
    <t>1 Chronicles 14:14</t>
  </si>
  <si>
    <t>God gives different battle strategy</t>
  </si>
  <si>
    <t>1 Chronicles 14:14-15</t>
  </si>
  <si>
    <t>God goes out before David to battle</t>
  </si>
  <si>
    <t>1 Chronicles 14:15</t>
  </si>
  <si>
    <t>God strikes Philistine army</t>
  </si>
  <si>
    <t>1 Chronicles 14:16</t>
  </si>
  <si>
    <t>Gibeon to Gezer</t>
  </si>
  <si>
    <t>David's fame spreads to all nations</t>
  </si>
  <si>
    <t>1 Chronicles 14:17</t>
  </si>
  <si>
    <t>All nations</t>
  </si>
  <si>
    <t>LORD brings fear of David on nations</t>
  </si>
  <si>
    <t>Spirit of God comes on Azariah</t>
  </si>
  <si>
    <t>1 Chronicles 15:1</t>
  </si>
  <si>
    <t>God helps Levites carrying ark</t>
  </si>
  <si>
    <t>1 Chronicles 15:26</t>
  </si>
  <si>
    <t>God enables successful ark transport</t>
  </si>
  <si>
    <t>1 Chronicles 15:28-29</t>
  </si>
  <si>
    <t>Nathan initially approves temple plan</t>
  </si>
  <si>
    <t>1 Chronicles 17:1-2</t>
  </si>
  <si>
    <t>Word of God comes to Nathan</t>
  </si>
  <si>
    <t>1 Chronicles 17:3</t>
  </si>
  <si>
    <t>God speaks His covenant with David</t>
  </si>
  <si>
    <t>1 Chronicles 17:4-15</t>
  </si>
  <si>
    <t>1 Chronicles 17:11-12</t>
  </si>
  <si>
    <t>God establishes David's throne forever</t>
  </si>
  <si>
    <t>1 Chronicles 17:14</t>
  </si>
  <si>
    <t>Nathan tells David all the vision</t>
  </si>
  <si>
    <t>1 Chronicles 17:15</t>
  </si>
  <si>
    <t>1 Chronicles 17:16-27</t>
  </si>
  <si>
    <t>1 Chronicles 18:6, 13</t>
  </si>
  <si>
    <t>God gives David victory over all enemies</t>
  </si>
  <si>
    <t>1 Chronicles 18:1-17</t>
  </si>
  <si>
    <t>Satan stands up against Israel</t>
  </si>
  <si>
    <t>1 Chronicles 21:1</t>
  </si>
  <si>
    <t>Satan provokes David to number Israel</t>
  </si>
  <si>
    <t>Satan</t>
  </si>
  <si>
    <t>David's heart condemns him</t>
  </si>
  <si>
    <t>1 Chronicles 21:8</t>
  </si>
  <si>
    <t>David confesses sin to the LORD</t>
  </si>
  <si>
    <t>God sends Gad to offer three judgments</t>
  </si>
  <si>
    <t>1 Chronicles 21:9-12</t>
  </si>
  <si>
    <t>1 Chronicles 21:13</t>
  </si>
  <si>
    <t>LORD sends pestilence on Israel</t>
  </si>
  <si>
    <t>1 Chronicles 21:14</t>
  </si>
  <si>
    <t>70,000 men die in plague</t>
  </si>
  <si>
    <t>God sends angel to destroy Jerusalem</t>
  </si>
  <si>
    <t>1 Chronicles 21:15</t>
  </si>
  <si>
    <t>LORD sees and relents from destruction</t>
  </si>
  <si>
    <t>Angel stands at Ornan's threshing floor</t>
  </si>
  <si>
    <t>1 Chronicles 21:15-16</t>
  </si>
  <si>
    <t>Ornan's threshing floor</t>
  </si>
  <si>
    <t>David and elders see the angel</t>
  </si>
  <si>
    <t>1 Chronicles 21:16</t>
  </si>
  <si>
    <t>Angel has drawn sword toward Jerusalem</t>
  </si>
  <si>
    <t>David intercedes for the people</t>
  </si>
  <si>
    <t>1 Chronicles 21:17</t>
  </si>
  <si>
    <t>Angel commands Gad to tell David</t>
  </si>
  <si>
    <t>1 Chronicles 21:18</t>
  </si>
  <si>
    <t>Angel through Gad</t>
  </si>
  <si>
    <t>God commands altar at threshing floor</t>
  </si>
  <si>
    <t>Fire comes down from heaven</t>
  </si>
  <si>
    <t>1 Chronicles 21:26</t>
  </si>
  <si>
    <t>Fire consumes burnt offering</t>
  </si>
  <si>
    <t>LORD commands angel to sheath sword</t>
  </si>
  <si>
    <t>1 Chronicles 21:27</t>
  </si>
  <si>
    <t>Angel puts sword back in sheath</t>
  </si>
  <si>
    <t>David recognizes this as temple site</t>
  </si>
  <si>
    <t>1 Chronicles 22:1</t>
  </si>
  <si>
    <t>David by divine indication</t>
  </si>
  <si>
    <t>God gives David rest from enemies</t>
  </si>
  <si>
    <t>1 Chronicles 22:9</t>
  </si>
  <si>
    <t>c. 970-969 BC</t>
  </si>
  <si>
    <t>God promises Solomon will build temple</t>
  </si>
  <si>
    <t>1 Chronicles 22:10</t>
  </si>
  <si>
    <t>God establishes Solomon's throne forever</t>
  </si>
  <si>
    <t>David charges Solomon with God's will</t>
  </si>
  <si>
    <t>1 Chronicles 22:11-16</t>
  </si>
  <si>
    <t>LORD gives Solomon wisdom and understanding</t>
  </si>
  <si>
    <t>1 Chronicles 22:12</t>
  </si>
  <si>
    <t>God's Spirit stirs up tribal leaders</t>
  </si>
  <si>
    <t>1 Chronicles 23:2</t>
  </si>
  <si>
    <t>David organizes Levites by God's direction</t>
  </si>
  <si>
    <t>1 Chronicles 23:3-32</t>
  </si>
  <si>
    <t>David by GOD's guidance</t>
  </si>
  <si>
    <t>David establishes temple service by revelation</t>
  </si>
  <si>
    <t>1 Chronicles 24:1-31</t>
  </si>
  <si>
    <t>God directs the casting of lots</t>
  </si>
  <si>
    <t>1 Chronicles 24:5</t>
  </si>
  <si>
    <t>Lots fall by God's sovereignty</t>
  </si>
  <si>
    <t>1 Chronicles 24:7-18</t>
  </si>
  <si>
    <t>David appoints musicians by God's command</t>
  </si>
  <si>
    <t>1 Chronicles 25:1-31</t>
  </si>
  <si>
    <t>Sons of Asaph prophesy with instruments</t>
  </si>
  <si>
    <t>1 Chronicles 25:1-3</t>
  </si>
  <si>
    <t>All musicians appointed by lots from God</t>
  </si>
  <si>
    <t>1 Chronicles 25:8</t>
  </si>
  <si>
    <t>David appoints gatekeepers by divine plan</t>
  </si>
  <si>
    <t>1 Chronicles 26:1-32</t>
  </si>
  <si>
    <t>Spirit of God comes on Jahaziel</t>
  </si>
  <si>
    <t>1 Chronicles 20:14</t>
  </si>
  <si>
    <t>God gives detailed temple plans to David</t>
  </si>
  <si>
    <t>1 Chronicles 28:11-19</t>
  </si>
  <si>
    <t>All written by God's hand upon David</t>
  </si>
  <si>
    <t>1 Chronicles 28:19</t>
  </si>
  <si>
    <t>God will not leave Solomon until work finished</t>
  </si>
  <si>
    <t>1 Chronicles 28:20</t>
  </si>
  <si>
    <t>People give willingly by God's influence</t>
  </si>
  <si>
    <t>1 Chronicles 29:6-9</t>
  </si>
  <si>
    <t>David blesses the LORD before assembly</t>
  </si>
  <si>
    <t>1 Chronicles 29:10-19</t>
  </si>
  <si>
    <t>God owns everything in heaven and earth</t>
  </si>
  <si>
    <t>1 Chronicles 29:11</t>
  </si>
  <si>
    <t>Riches and honor come from God</t>
  </si>
  <si>
    <t>1 Chronicles 29:12</t>
  </si>
  <si>
    <t>God tests hearts and has pleasure in uprightness</t>
  </si>
  <si>
    <t>1 Chronicles 29:17</t>
  </si>
  <si>
    <t>Solomon sits on throne of the LORD</t>
  </si>
  <si>
    <t>1 Chronicles 29:23</t>
  </si>
  <si>
    <t>LORD makes Solomon exceedingly great</t>
  </si>
  <si>
    <t>1 Chronicles 29:25</t>
  </si>
  <si>
    <t>God gives Solomon royal majesty</t>
  </si>
  <si>
    <t>1 Chronicles:</t>
  </si>
  <si>
    <t>a comprehensive table of all miracles, acts of God, and divine communications in 1 Chronicles. This contains 64 entries covering the reign of David and the transition to Solomon (c. 1010-970 BC).</t>
  </si>
  <si>
    <t>Key characteristics of 1 Chronicles:</t>
  </si>
  <si>
    <t>Major Divine Acts:</t>
  </si>
  <si>
    <r>
      <t>Uzzah's death</t>
    </r>
    <r>
      <rPr>
        <sz val="11"/>
        <color theme="1"/>
        <rFont val="Calibri"/>
        <family val="2"/>
        <scheme val="minor"/>
      </rPr>
      <t xml:space="preserve"> - Divine judgment for touching the ark</t>
    </r>
  </si>
  <si>
    <r>
      <t>David's military victories</t>
    </r>
    <r>
      <rPr>
        <sz val="11"/>
        <color theme="1"/>
        <rFont val="Calibri"/>
        <family val="2"/>
        <scheme val="minor"/>
      </rPr>
      <t xml:space="preserve"> - God fighting for and with David</t>
    </r>
  </si>
  <si>
    <r>
      <t>Census plague</t>
    </r>
    <r>
      <rPr>
        <sz val="11"/>
        <color theme="1"/>
        <rFont val="Calibri"/>
        <family val="2"/>
        <scheme val="minor"/>
      </rPr>
      <t xml:space="preserve"> - 70,000 deaths, angel with drawn sword, divine fire</t>
    </r>
  </si>
  <si>
    <r>
      <t>Temple plans revelation</t>
    </r>
    <r>
      <rPr>
        <sz val="11"/>
        <color theme="1"/>
        <rFont val="Calibri"/>
        <family val="2"/>
        <scheme val="minor"/>
      </rPr>
      <t xml:space="preserve"> - Detailed architectural instructions from God</t>
    </r>
  </si>
  <si>
    <t>Divine Communications:</t>
  </si>
  <si>
    <r>
      <t>Nathan's prophecy</t>
    </r>
    <r>
      <rPr>
        <sz val="11"/>
        <color theme="1"/>
        <rFont val="Calibri"/>
        <family val="2"/>
        <scheme val="minor"/>
      </rPr>
      <t xml:space="preserve"> - Davidic covenant and temple promise</t>
    </r>
  </si>
  <si>
    <r>
      <t>Gad's messages</t>
    </r>
    <r>
      <rPr>
        <sz val="11"/>
        <color theme="1"/>
        <rFont val="Calibri"/>
        <family val="2"/>
        <scheme val="minor"/>
      </rPr>
      <t xml:space="preserve"> - Judgment options and altar commands</t>
    </r>
  </si>
  <si>
    <r>
      <t>Spirit-inspired prophecy</t>
    </r>
    <r>
      <rPr>
        <sz val="11"/>
        <color theme="1"/>
        <rFont val="Calibri"/>
        <family val="2"/>
        <scheme val="minor"/>
      </rPr>
      <t xml:space="preserve"> - Through Amasai, Azariah, Jahaziel, and musicians</t>
    </r>
  </si>
  <si>
    <r>
      <t>Direct divine instruction</t>
    </r>
    <r>
      <rPr>
        <sz val="11"/>
        <color theme="1"/>
        <rFont val="Calibri"/>
        <family val="2"/>
        <scheme val="minor"/>
      </rPr>
      <t xml:space="preserve"> - Temple organization and worship</t>
    </r>
  </si>
  <si>
    <t>Divine Appointments:</t>
  </si>
  <si>
    <r>
      <t>David as king</t>
    </r>
    <r>
      <rPr>
        <sz val="11"/>
        <color theme="1"/>
        <rFont val="Calibri"/>
        <family val="2"/>
        <scheme val="minor"/>
      </rPr>
      <t xml:space="preserve"> - God's sovereign choice and establishment</t>
    </r>
  </si>
  <si>
    <r>
      <t>Solomon's succession</t>
    </r>
    <r>
      <rPr>
        <sz val="11"/>
        <color theme="1"/>
        <rFont val="Calibri"/>
        <family val="2"/>
        <scheme val="minor"/>
      </rPr>
      <t xml:space="preserve"> - Divine selection and empowerment</t>
    </r>
  </si>
  <si>
    <r>
      <t>Levitical organization</t>
    </r>
    <r>
      <rPr>
        <sz val="11"/>
        <color theme="1"/>
        <rFont val="Calibri"/>
        <family val="2"/>
        <scheme val="minor"/>
      </rPr>
      <t xml:space="preserve"> - Detailed temple service by divine direction</t>
    </r>
  </si>
  <si>
    <r>
      <t>Sacred lots</t>
    </r>
    <r>
      <rPr>
        <sz val="11"/>
        <color theme="1"/>
        <rFont val="Calibri"/>
        <family val="2"/>
        <scheme val="minor"/>
      </rPr>
      <t xml:space="preserve"> - Divine guidance in appointments</t>
    </r>
  </si>
  <si>
    <r>
      <t>Military victories</t>
    </r>
    <r>
      <rPr>
        <sz val="11"/>
        <color theme="1"/>
        <rFont val="Calibri"/>
        <family val="2"/>
        <scheme val="minor"/>
      </rPr>
      <t xml:space="preserve"> - God's presence in battle</t>
    </r>
  </si>
  <si>
    <r>
      <t>Temple resources</t>
    </r>
    <r>
      <rPr>
        <sz val="11"/>
        <color theme="1"/>
        <rFont val="Calibri"/>
        <family val="2"/>
        <scheme val="minor"/>
      </rPr>
      <t xml:space="preserve"> - Supernatural provision and willing hearts</t>
    </r>
  </si>
  <si>
    <r>
      <t>Wisdom and skills</t>
    </r>
    <r>
      <rPr>
        <sz val="11"/>
        <color theme="1"/>
        <rFont val="Calibri"/>
        <family val="2"/>
        <scheme val="minor"/>
      </rPr>
      <t xml:space="preserve"> - Divine gifts for temple construction</t>
    </r>
  </si>
  <si>
    <r>
      <t>Rest from enemies</t>
    </r>
    <r>
      <rPr>
        <sz val="11"/>
        <color theme="1"/>
        <rFont val="Calibri"/>
        <family val="2"/>
        <scheme val="minor"/>
      </rPr>
      <t xml:space="preserve"> - God's peace and security</t>
    </r>
  </si>
  <si>
    <t>Timeline Focus:</t>
  </si>
  <si>
    <t>Primarily covers David's reign from 1010-970 BC</t>
  </si>
  <si>
    <t>Emphasizes temple preparation and religious organization</t>
  </si>
  <si>
    <t>Concludes with Solomon's divine appointment and early blessing</t>
  </si>
  <si>
    <r>
      <t>Divine sovereignty</t>
    </r>
    <r>
      <rPr>
        <sz val="11"/>
        <color theme="1"/>
        <rFont val="Calibri"/>
        <family val="2"/>
        <scheme val="minor"/>
      </rPr>
      <t xml:space="preserve"> - God's control over kingdoms and succession</t>
    </r>
  </si>
  <si>
    <r>
      <t>Divine presence</t>
    </r>
    <r>
      <rPr>
        <sz val="11"/>
        <color theme="1"/>
        <rFont val="Calibri"/>
        <family val="2"/>
        <scheme val="minor"/>
      </rPr>
      <t xml:space="preserve"> - God's active involvement in David's reign</t>
    </r>
  </si>
  <si>
    <r>
      <t>Divine revelation</t>
    </r>
    <r>
      <rPr>
        <sz val="11"/>
        <color theme="1"/>
        <rFont val="Calibri"/>
        <family val="2"/>
        <scheme val="minor"/>
      </rPr>
      <t xml:space="preserve"> - Detailed instructions for worship and temple</t>
    </r>
  </si>
  <si>
    <r>
      <t>Divine judgment</t>
    </r>
    <r>
      <rPr>
        <sz val="11"/>
        <color theme="1"/>
        <rFont val="Calibri"/>
        <family val="2"/>
        <scheme val="minor"/>
      </rPr>
      <t xml:space="preserve"> - Swift punishment for irreverence and disobedience</t>
    </r>
  </si>
  <si>
    <r>
      <t>Divine covenant</t>
    </r>
    <r>
      <rPr>
        <sz val="11"/>
        <color theme="1"/>
        <rFont val="Calibri"/>
        <family val="2"/>
        <scheme val="minor"/>
      </rPr>
      <t xml:space="preserve"> - Eternal promises to David's lineage</t>
    </r>
  </si>
  <si>
    <t>1 Chronicles emphasizes God's active role in establishing David's kingdom and preparing for the temple, showing divine involvement in both political and religious spheres of Israel's life.</t>
  </si>
  <si>
    <t>2 Chronicles:</t>
  </si>
  <si>
    <t>a comprehensive table of all miracles, acts of God, and divine communications in 2 Chronicles. This contains 87 entries covering the period from Solomon's reign to the Persian restoration decree (c. 969-538 BC).</t>
  </si>
  <si>
    <t>Key characteristics of 2 Chronicles:</t>
  </si>
  <si>
    <r>
      <t>Solomon's temple dedication</t>
    </r>
    <r>
      <rPr>
        <sz val="11"/>
        <color theme="1"/>
        <rFont val="Calibri"/>
        <family val="2"/>
        <scheme val="minor"/>
      </rPr>
      <t xml:space="preserve"> - Fire from heaven, glory filling temple, divine presence</t>
    </r>
  </si>
  <si>
    <r>
      <t>God's appearances to Solomon</t>
    </r>
    <r>
      <rPr>
        <sz val="11"/>
        <color theme="1"/>
        <rFont val="Calibri"/>
        <family val="2"/>
        <scheme val="minor"/>
      </rPr>
      <t xml:space="preserve"> - Dreams at Gibeon, night vision after temple dedication</t>
    </r>
  </si>
  <si>
    <r>
      <t>Miraculous military victories</t>
    </r>
    <r>
      <rPr>
        <sz val="11"/>
        <color theme="1"/>
        <rFont val="Calibri"/>
        <family val="2"/>
        <scheme val="minor"/>
      </rPr>
      <t xml:space="preserve"> - God fighting battles, enemies destroying each other</t>
    </r>
  </si>
  <si>
    <r>
      <t>Divine judgments</t>
    </r>
    <r>
      <rPr>
        <sz val="11"/>
        <color theme="1"/>
        <rFont val="Calibri"/>
        <family val="2"/>
        <scheme val="minor"/>
      </rPr>
      <t xml:space="preserve"> - Leprosy on Uzziah, defeat of disobedient kings</t>
    </r>
  </si>
  <si>
    <t>Prophetic Ministry:</t>
  </si>
  <si>
    <r>
      <t>Multiple prophets</t>
    </r>
    <r>
      <rPr>
        <sz val="11"/>
        <color theme="1"/>
        <rFont val="Calibri"/>
        <family val="2"/>
        <scheme val="minor"/>
      </rPr>
      <t xml:space="preserve"> - Shemaiah, Azariah, Hanani, Jahaziel, Jehu, Oded, Huldah</t>
    </r>
  </si>
  <si>
    <r>
      <t>Spirit empowerment</t>
    </r>
    <r>
      <rPr>
        <sz val="11"/>
        <color theme="1"/>
        <rFont val="Calibri"/>
        <family val="2"/>
        <scheme val="minor"/>
      </rPr>
      <t xml:space="preserve"> - Divine inspiration and prophetic utterances</t>
    </r>
  </si>
  <si>
    <r>
      <t>Warnings and rebukes</t>
    </r>
    <r>
      <rPr>
        <sz val="11"/>
        <color theme="1"/>
        <rFont val="Calibri"/>
        <family val="2"/>
        <scheme val="minor"/>
      </rPr>
      <t xml:space="preserve"> - Consistent divine communication through messengers</t>
    </r>
  </si>
  <si>
    <r>
      <t>Fulfilled prophecies</t>
    </r>
    <r>
      <rPr>
        <sz val="11"/>
        <color theme="1"/>
        <rFont val="Calibri"/>
        <family val="2"/>
        <scheme val="minor"/>
      </rPr>
      <t xml:space="preserve"> - Kingdom division, military defeats, restoration</t>
    </r>
  </si>
  <si>
    <t>Divine Discipline and Mercy:</t>
  </si>
  <si>
    <r>
      <t>Conditional blessings</t>
    </r>
    <r>
      <rPr>
        <sz val="11"/>
        <color theme="1"/>
        <rFont val="Calibri"/>
        <family val="2"/>
        <scheme val="minor"/>
      </rPr>
      <t xml:space="preserve"> - God's presence based on faithfulness</t>
    </r>
  </si>
  <si>
    <r>
      <t>Disciplinary invasions</t>
    </r>
    <r>
      <rPr>
        <sz val="11"/>
        <color theme="1"/>
        <rFont val="Calibri"/>
        <family val="2"/>
        <scheme val="minor"/>
      </rPr>
      <t xml:space="preserve"> - Foreign armies as instruments of judgment</t>
    </r>
  </si>
  <si>
    <r>
      <t>Restoration after repentance</t>
    </r>
    <r>
      <rPr>
        <sz val="11"/>
        <color theme="1"/>
        <rFont val="Calibri"/>
        <family val="2"/>
        <scheme val="minor"/>
      </rPr>
      <t xml:space="preserve"> - Divine mercy following humility</t>
    </r>
  </si>
  <si>
    <r>
      <t>Testing of hearts</t>
    </r>
    <r>
      <rPr>
        <sz val="11"/>
        <color theme="1"/>
        <rFont val="Calibri"/>
        <family val="2"/>
        <scheme val="minor"/>
      </rPr>
      <t xml:space="preserve"> - God proving character and faith</t>
    </r>
  </si>
  <si>
    <t>Notable Patterns:</t>
  </si>
  <si>
    <r>
      <t>Seek the LORD and prosper</t>
    </r>
    <r>
      <rPr>
        <sz val="11"/>
        <color theme="1"/>
        <rFont val="Calibri"/>
        <family val="2"/>
        <scheme val="minor"/>
      </rPr>
      <t xml:space="preserve"> - Repeated theme of blessing following faithfulness</t>
    </r>
  </si>
  <si>
    <r>
      <t>Pride leads to fall</t>
    </r>
    <r>
      <rPr>
        <sz val="11"/>
        <color theme="1"/>
        <rFont val="Calibri"/>
        <family val="2"/>
        <scheme val="minor"/>
      </rPr>
      <t xml:space="preserve"> - Divine humbling of proud kings</t>
    </r>
  </si>
  <si>
    <r>
      <t>God fights for the faithful</t>
    </r>
    <r>
      <rPr>
        <sz val="11"/>
        <color theme="1"/>
        <rFont val="Calibri"/>
        <family val="2"/>
        <scheme val="minor"/>
      </rPr>
      <t xml:space="preserve"> - Supernatural military interventions</t>
    </r>
  </si>
  <si>
    <r>
      <t>Prophetic guidance</t>
    </r>
    <r>
      <rPr>
        <sz val="11"/>
        <color theme="1"/>
        <rFont val="Calibri"/>
        <family val="2"/>
        <scheme val="minor"/>
      </rPr>
      <t xml:space="preserve"> - Continuous divine communication through messengers</t>
    </r>
  </si>
  <si>
    <r>
      <t>970-930 BC</t>
    </r>
    <r>
      <rPr>
        <sz val="11"/>
        <color theme="1"/>
        <rFont val="Calibri"/>
        <family val="2"/>
        <scheme val="minor"/>
      </rPr>
      <t>: Solomon's glorious reign and temple</t>
    </r>
  </si>
  <si>
    <r>
      <t>930-722 BC</t>
    </r>
    <r>
      <rPr>
        <sz val="11"/>
        <color theme="1"/>
        <rFont val="Calibri"/>
        <family val="2"/>
        <scheme val="minor"/>
      </rPr>
      <t>: Divided kingdom period with various kings</t>
    </r>
  </si>
  <si>
    <r>
      <t>715-586 BC</t>
    </r>
    <r>
      <rPr>
        <sz val="11"/>
        <color theme="1"/>
        <rFont val="Calibri"/>
        <family val="2"/>
        <scheme val="minor"/>
      </rPr>
      <t>: Final period including Hezekiah's reforms through exile</t>
    </r>
  </si>
  <si>
    <r>
      <t>538 BC</t>
    </r>
    <r>
      <rPr>
        <sz val="11"/>
        <color theme="1"/>
        <rFont val="Calibri"/>
        <family val="2"/>
        <scheme val="minor"/>
      </rPr>
      <t>: Persian restoration beginning</t>
    </r>
  </si>
  <si>
    <r>
      <t>Divine theophany</t>
    </r>
    <r>
      <rPr>
        <sz val="11"/>
        <color theme="1"/>
        <rFont val="Calibri"/>
        <family val="2"/>
        <scheme val="minor"/>
      </rPr>
      <t xml:space="preserve"> - Direct appearances and visions</t>
    </r>
  </si>
  <si>
    <r>
      <t>Divine judgment</t>
    </r>
    <r>
      <rPr>
        <sz val="11"/>
        <color theme="1"/>
        <rFont val="Calibri"/>
        <family val="2"/>
        <scheme val="minor"/>
      </rPr>
      <t xml:space="preserve"> - Diseases, defeats, and disciplines</t>
    </r>
  </si>
  <si>
    <r>
      <t>Divine blessing</t>
    </r>
    <r>
      <rPr>
        <sz val="11"/>
        <color theme="1"/>
        <rFont val="Calibri"/>
        <family val="2"/>
        <scheme val="minor"/>
      </rPr>
      <t xml:space="preserve"> - Prosperity, peace, and protection</t>
    </r>
  </si>
  <si>
    <r>
      <t>Divine prophecy</t>
    </r>
    <r>
      <rPr>
        <sz val="11"/>
        <color theme="1"/>
        <rFont val="Calibri"/>
        <family val="2"/>
        <scheme val="minor"/>
      </rPr>
      <t xml:space="preserve"> - Future revelations and warnings</t>
    </r>
  </si>
  <si>
    <r>
      <t>Divine sovereignty</t>
    </r>
    <r>
      <rPr>
        <sz val="11"/>
        <color theme="1"/>
        <rFont val="Calibri"/>
        <family val="2"/>
        <scheme val="minor"/>
      </rPr>
      <t xml:space="preserve"> - Control over nations and rulers</t>
    </r>
  </si>
  <si>
    <t>2 Chronicles emphasizes God's active involvement in Judah's history, showing how faithfulness brings blessing while apostasy brings judgment, ultimately leading to hope through divine restoration.</t>
  </si>
  <si>
    <t>2 Chronicles 1:7</t>
  </si>
  <si>
    <t>Solomon asks for wisdom and knowledge</t>
  </si>
  <si>
    <t>2 Chronicles 1:8-10</t>
  </si>
  <si>
    <t>2 Chronicles 1:11-12</t>
  </si>
  <si>
    <t>2 Chronicles 1:12</t>
  </si>
  <si>
    <t>God enables Solomon to complete temple</t>
  </si>
  <si>
    <t>2 Chronicles 5:1</t>
  </si>
  <si>
    <t>Cloud fills the house of the LORD</t>
  </si>
  <si>
    <t>2 Chronicles 5:13-14</t>
  </si>
  <si>
    <t>2 Chronicles 5:14</t>
  </si>
  <si>
    <t>Priests cannot stand to minister</t>
  </si>
  <si>
    <t>2 Chronicles 7:1</t>
  </si>
  <si>
    <t>Glory of the LORD fills the house</t>
  </si>
  <si>
    <t>2 Chronicles 7:1-2</t>
  </si>
  <si>
    <t>Priests cannot enter temple due to glory</t>
  </si>
  <si>
    <t>2 Chronicles 7:2</t>
  </si>
  <si>
    <t>All people see fire and glory come down</t>
  </si>
  <si>
    <t>2 Chronicles 7:3</t>
  </si>
  <si>
    <t>People bow and worship seeing God's glory</t>
  </si>
  <si>
    <t>God appears to Solomon by night</t>
  </si>
  <si>
    <t>2 Chronicles 7:12</t>
  </si>
  <si>
    <t>God confirms He has heard Solomon's prayer</t>
  </si>
  <si>
    <t>God chooses this place for sacrifice</t>
  </si>
  <si>
    <t>God promises to hear prayers at this place</t>
  </si>
  <si>
    <t>2 Chronicles 7:13-16</t>
  </si>
  <si>
    <t>God establishes covenant with Solomon</t>
  </si>
  <si>
    <t>2 Chronicles 7:17-18</t>
  </si>
  <si>
    <t>God warns of consequences for disobedience</t>
  </si>
  <si>
    <t>2 Chronicles 7:19-22</t>
  </si>
  <si>
    <t>Queen of Sheba recognizes God's wisdom</t>
  </si>
  <si>
    <t>2 Chronicles 9:8</t>
  </si>
  <si>
    <t>God stirs up adversaries against Solomon</t>
  </si>
  <si>
    <t>2 Chronicles 9:29</t>
  </si>
  <si>
    <t>Prophet Ahijah gives prophecy to Jeroboam</t>
  </si>
  <si>
    <t>2 Chronicles 10:15</t>
  </si>
  <si>
    <t>God causes kingdom division through folly</t>
  </si>
  <si>
    <t>God forbids war against Israel</t>
  </si>
  <si>
    <t>2 Chronicles 11:2-4</t>
  </si>
  <si>
    <t>Shemaiah delivers God's word about division</t>
  </si>
  <si>
    <t>Judah obeys God's word through Shemaiah</t>
  </si>
  <si>
    <t>2 Chronicles 11:4</t>
  </si>
  <si>
    <t>God strengthens Rehoboam's kingdom</t>
  </si>
  <si>
    <t>2 Chronicles 11:17</t>
  </si>
  <si>
    <t>c. 930-925 BC</t>
  </si>
  <si>
    <t>God allows Shishak to invade for discipline</t>
  </si>
  <si>
    <t>2 Chronicles 12:2</t>
  </si>
  <si>
    <t>Egypt to Jerusalem</t>
  </si>
  <si>
    <t>Shemaiah explains God's judgment</t>
  </si>
  <si>
    <t>2 Chronicles 12:5-6</t>
  </si>
  <si>
    <t>Leaders humble themselves before God</t>
  </si>
  <si>
    <t>2 Chronicles 12:6</t>
  </si>
  <si>
    <t>God's wrath turns away due to humility</t>
  </si>
  <si>
    <t>2 Chronicles 12:7</t>
  </si>
  <si>
    <t>God provides some deliverance</t>
  </si>
  <si>
    <t>God allows Shishak to take temple treasures</t>
  </si>
  <si>
    <t>2 Chronicles 12:9</t>
  </si>
  <si>
    <t>Spirit of God comes upon Azariah</t>
  </si>
  <si>
    <t>2 Chronicles 15:1</t>
  </si>
  <si>
    <t>c. 896 BC</t>
  </si>
  <si>
    <t>Azariah prophesies to Asa</t>
  </si>
  <si>
    <t>2 Chronicles 15:2-7</t>
  </si>
  <si>
    <t>Meeting Asa</t>
  </si>
  <si>
    <t>God promises to be with those who seek Him</t>
  </si>
  <si>
    <t>2 Chronicles 15:2</t>
  </si>
  <si>
    <t>Asa encouraged by prophecy removes idols</t>
  </si>
  <si>
    <t>2 Chronicles 15:8</t>
  </si>
  <si>
    <t>People seek the LORD with all their heart</t>
  </si>
  <si>
    <t>2 Chronicles 15:12-15</t>
  </si>
  <si>
    <t>c. 895 BC</t>
  </si>
  <si>
    <t>People of Judah</t>
  </si>
  <si>
    <t>God is found by them when they seek Him</t>
  </si>
  <si>
    <t>2 Chronicles 15:15</t>
  </si>
  <si>
    <t>God gives them rest from enemies</t>
  </si>
  <si>
    <t>Hanani rebukes Asa for trusting Syria</t>
  </si>
  <si>
    <t>2 Chronicles 16:7-9</t>
  </si>
  <si>
    <t>c. 885 BC</t>
  </si>
  <si>
    <t>God's eyes run to and fro seeking faithful</t>
  </si>
  <si>
    <t>2 Chronicles 16:9</t>
  </si>
  <si>
    <t>Throughout earth</t>
  </si>
  <si>
    <t>God promises wars for Asa's foolishness</t>
  </si>
  <si>
    <t>God strikes Asa with foot disease</t>
  </si>
  <si>
    <t>2 Chronicles 16:12</t>
  </si>
  <si>
    <t>c. 887 BC</t>
  </si>
  <si>
    <t>Spirit of God comes upon Jahaziel</t>
  </si>
  <si>
    <t>2 Chronicles 20:14</t>
  </si>
  <si>
    <t>Jahaziel prophesies victory over invaders</t>
  </si>
  <si>
    <t>2 Chronicles 20:15-17</t>
  </si>
  <si>
    <t>God promises to fight the battle</t>
  </si>
  <si>
    <t>2 Chronicles 20:15</t>
  </si>
  <si>
    <t>Judah worships before going to battle</t>
  </si>
  <si>
    <t>2 Chronicles 20:18-19</t>
  </si>
  <si>
    <t>God sets ambushes against invading armies</t>
  </si>
  <si>
    <t>2 Chronicles 20:22</t>
  </si>
  <si>
    <t>Wilderness of Tekoa</t>
  </si>
  <si>
    <t>Enemies destroy each other</t>
  </si>
  <si>
    <t>2 Chronicles 20:23</t>
  </si>
  <si>
    <t>So much spoil it takes three days to gather</t>
  </si>
  <si>
    <t>2 Chronicles 20:25</t>
  </si>
  <si>
    <t>Valley of Berachah</t>
  </si>
  <si>
    <t>People bless the LORD in valley</t>
  </si>
  <si>
    <t>2 Chronicles 20:26</t>
  </si>
  <si>
    <t>Fear of God falls on surrounding kingdoms</t>
  </si>
  <si>
    <t>2 Chronicles 20:29</t>
  </si>
  <si>
    <t>Surrounding nations</t>
  </si>
  <si>
    <t>God gives Jehoshaphat rest from enemies</t>
  </si>
  <si>
    <t>2 Chronicles 20:30</t>
  </si>
  <si>
    <t>Prophet Jehu rebukes Jehoshaphat</t>
  </si>
  <si>
    <t>2 Chronicles 19:2-3</t>
  </si>
  <si>
    <t>God finds some good in Jehoshaphat</t>
  </si>
  <si>
    <t>2 Chronicles 19:3</t>
  </si>
  <si>
    <t>God destroys ships at Ezion-geber</t>
  </si>
  <si>
    <t>2 Chronicles 20:37</t>
  </si>
  <si>
    <t>Ezion-geber</t>
  </si>
  <si>
    <t>Eliezer prophesies against ship alliance</t>
  </si>
  <si>
    <t>Spirit of God comes upon Zechariah</t>
  </si>
  <si>
    <t>2 Chronicles 24:20</t>
  </si>
  <si>
    <t>c. 796 BC</t>
  </si>
  <si>
    <t>Zechariah rebukes people for transgression</t>
  </si>
  <si>
    <t>Jerusalem temple court</t>
  </si>
  <si>
    <t>God forsakes people because they forsook Him</t>
  </si>
  <si>
    <t>People stone Zechariah in temple court</t>
  </si>
  <si>
    <t>2 Chronicles 24:21</t>
  </si>
  <si>
    <t>Zechariah calls on God to see and require</t>
  </si>
  <si>
    <t>2 Chronicles 24:22</t>
  </si>
  <si>
    <t>Syrian army comes against Judah</t>
  </si>
  <si>
    <t>2 Chronicles 24:23-24</t>
  </si>
  <si>
    <t>Syria by GOD's judgment</t>
  </si>
  <si>
    <t>Small Syrian army defeats large Judah army</t>
  </si>
  <si>
    <t>2 Chronicles 24:24</t>
  </si>
  <si>
    <t>God delivers Judah into Syria's hand</t>
  </si>
  <si>
    <t>God judges Joash for killing Zechariah</t>
  </si>
  <si>
    <t>2 Chronicles 24:25</t>
  </si>
  <si>
    <t>Prophet comes to Amaziah about Edom gods</t>
  </si>
  <si>
    <t>2 Chronicles 25:15-16</t>
  </si>
  <si>
    <t>Prophet warns Amaziah about idol worship</t>
  </si>
  <si>
    <t>2 Chronicles 25:15</t>
  </si>
  <si>
    <t>Amaziah threatens prophet to be silent</t>
  </si>
  <si>
    <t>2 Chronicles 25:16</t>
  </si>
  <si>
    <t>Amaziah</t>
  </si>
  <si>
    <t>Prophet predicts God will destroy Amaziah</t>
  </si>
  <si>
    <t>God stirs up Amaziah to fight Israel</t>
  </si>
  <si>
    <t>2 Chronicles 25:20</t>
  </si>
  <si>
    <t>God causes defeat to deliver them to enemies</t>
  </si>
  <si>
    <t>Man of God warns Uzziah about pride</t>
  </si>
  <si>
    <t>2 Chronicles 26:16-18</t>
  </si>
  <si>
    <t>Azariah the priest</t>
  </si>
  <si>
    <t>God strikes Uzziah with leprosy</t>
  </si>
  <si>
    <t>2 Chronicles 26:19-21</t>
  </si>
  <si>
    <t>Leprosy appears on Uzziah's forehead</t>
  </si>
  <si>
    <t>2 Chronicles 26:19</t>
  </si>
  <si>
    <t>Priests thrust Uzziah out of temple</t>
  </si>
  <si>
    <t>2 Chronicles 26:20</t>
  </si>
  <si>
    <t>Priests by GOD's judgment</t>
  </si>
  <si>
    <t>Uzziah remains leper until death</t>
  </si>
  <si>
    <t>2 Chronicles 26:21</t>
  </si>
  <si>
    <t>c. 750-740 BC</t>
  </si>
  <si>
    <t>God helps Uzziah against enemies</t>
  </si>
  <si>
    <t>2 Chronicles 26:7</t>
  </si>
  <si>
    <t>c. 792-750 BC</t>
  </si>
  <si>
    <t>God makes Uzziah's fame spread far</t>
  </si>
  <si>
    <t>2 Chronicles 26:8, 15</t>
  </si>
  <si>
    <t>Throughout region</t>
  </si>
  <si>
    <t>God helps Uzziah until he becomes strong</t>
  </si>
  <si>
    <t>2 Chronicles 26:15</t>
  </si>
  <si>
    <t>Prophet Oded confronts returning army</t>
  </si>
  <si>
    <t>2 Chronicles 28:9-11</t>
  </si>
  <si>
    <t>God's wrath burns against Israel</t>
  </si>
  <si>
    <t>2 Chronicles 28:9</t>
  </si>
  <si>
    <t>Oded warns about God's fierce wrath</t>
  </si>
  <si>
    <t>2 Chronicles 28:11</t>
  </si>
  <si>
    <t>Some Israelite leaders obey prophet</t>
  </si>
  <si>
    <t>2 Chronicles 28:12-15</t>
  </si>
  <si>
    <t>God brings Judah low through Ahaz</t>
  </si>
  <si>
    <t>2 Chronicles 28:19</t>
  </si>
  <si>
    <t>c. 735-715 BC</t>
  </si>
  <si>
    <t>God tests Hezekiah with Babylonian envoys</t>
  </si>
  <si>
    <t>2 Chronicles 32:31</t>
  </si>
  <si>
    <t>God leaves Hezekiah to test his heart</t>
  </si>
  <si>
    <t>Hezekiah humbles himself for pride</t>
  </si>
  <si>
    <t>2 Chronicles 32:26</t>
  </si>
  <si>
    <t>God's wrath doesn't come in Hezekiah's days</t>
  </si>
  <si>
    <t>God gives Hezekiah great riches and honor</t>
  </si>
  <si>
    <t>2 Chronicles 32:27-29</t>
  </si>
  <si>
    <t>God provides cities and flocks for Hezekiah</t>
  </si>
  <si>
    <t>2 Chronicles 32:29</t>
  </si>
  <si>
    <t>Hezekiah stops upper Gihon spring</t>
  </si>
  <si>
    <t>2 Chronicles 32:30</t>
  </si>
  <si>
    <t>Hezekiah by GOD's wisdom</t>
  </si>
  <si>
    <t>God prospers Hezekiah in all his works</t>
  </si>
  <si>
    <t>2 Chronicles 34:22-28</t>
  </si>
  <si>
    <t>2 Chronicles 34:28</t>
  </si>
  <si>
    <t>Josiah keeps greatest Passover since Samuel</t>
  </si>
  <si>
    <t>2 Chronicles 35:18</t>
  </si>
  <si>
    <t>Josiah by GOD's direction</t>
  </si>
  <si>
    <t>God speaks through Necho to Josiah</t>
  </si>
  <si>
    <t>2 Chronicles 35:21</t>
  </si>
  <si>
    <t>Megiddo</t>
  </si>
  <si>
    <t>c. 609 BC</t>
  </si>
  <si>
    <t>Josiah doesn't listen to God's words</t>
  </si>
  <si>
    <t>2 Chronicles 35:22</t>
  </si>
  <si>
    <t>God allows Josiah to be killed in battle</t>
  </si>
  <si>
    <t>2 Chronicles 35:23-24</t>
  </si>
  <si>
    <t>God stirs up spirit of Cyrus</t>
  </si>
  <si>
    <t>2 Chronicles 36:22</t>
  </si>
  <si>
    <t>Persia</t>
  </si>
  <si>
    <t>c. 538 BC</t>
  </si>
  <si>
    <t>Cyrus proclaims temple rebuilding</t>
  </si>
  <si>
    <t>2 Chronicles 36:23</t>
  </si>
  <si>
    <t>Persian Empire</t>
  </si>
  <si>
    <t>Cyrus by GOD's direction</t>
  </si>
  <si>
    <t>God fulfills Jeremiah's prophecy through Cyrus</t>
  </si>
  <si>
    <t>2 Chronicles 36:21-22</t>
  </si>
  <si>
    <t>Babylon/Persia</t>
  </si>
  <si>
    <t>Judges:</t>
  </si>
  <si>
    <t>a comprehensive table of all miracles, acts of God, and divine communications in the Book of Judges. This contains 113 entries covering the period from Israel's settlement in Canaan through the chaotic time before the monarchy (c. 1390-1050 BC).</t>
  </si>
  <si>
    <t>Key characteristics of Judges:</t>
  </si>
  <si>
    <r>
      <t>Angel of the LORD appearances</t>
    </r>
    <r>
      <rPr>
        <sz val="11"/>
        <color theme="1"/>
        <rFont val="Calibri"/>
        <family val="2"/>
        <scheme val="minor"/>
      </rPr>
      <t xml:space="preserve"> - To Israel at Bochim, Gideon, Manoah's family</t>
    </r>
  </si>
  <si>
    <r>
      <t>Spirit empowerment</t>
    </r>
    <r>
      <rPr>
        <sz val="11"/>
        <color theme="1"/>
        <rFont val="Calibri"/>
        <family val="2"/>
        <scheme val="minor"/>
      </rPr>
      <t xml:space="preserve"> - Divine enablement of judges for deliverance</t>
    </r>
  </si>
  <si>
    <r>
      <t>Supernatural strength</t>
    </r>
    <r>
      <rPr>
        <sz val="11"/>
        <color theme="1"/>
        <rFont val="Calibri"/>
        <family val="2"/>
        <scheme val="minor"/>
      </rPr>
      <t xml:space="preserve"> - Samson's miraculous feats of power</t>
    </r>
  </si>
  <si>
    <r>
      <t>Divine warfare</t>
    </r>
    <r>
      <rPr>
        <sz val="11"/>
        <color theme="1"/>
        <rFont val="Calibri"/>
        <family val="2"/>
        <scheme val="minor"/>
      </rPr>
      <t xml:space="preserve"> - God confusing enemies, causing self-destruction</t>
    </r>
  </si>
  <si>
    <r>
      <t>Natural miracles</t>
    </r>
    <r>
      <rPr>
        <sz val="11"/>
        <color theme="1"/>
        <rFont val="Calibri"/>
        <family val="2"/>
        <scheme val="minor"/>
      </rPr>
      <t xml:space="preserve"> - Fire from heaven, water from jawbone, fleece signs</t>
    </r>
  </si>
  <si>
    <t>Cyclical Pattern:</t>
  </si>
  <si>
    <r>
      <t>Sin</t>
    </r>
    <r>
      <rPr>
        <sz val="11"/>
        <color theme="1"/>
        <rFont val="Calibri"/>
        <family val="2"/>
        <scheme val="minor"/>
      </rPr>
      <t xml:space="preserve"> - Israel forsakes God and serves idols</t>
    </r>
  </si>
  <si>
    <r>
      <t>Servitude</t>
    </r>
    <r>
      <rPr>
        <sz val="11"/>
        <color theme="1"/>
        <rFont val="Calibri"/>
        <family val="2"/>
        <scheme val="minor"/>
      </rPr>
      <t xml:space="preserve"> - God delivers them to oppressing nations</t>
    </r>
  </si>
  <si>
    <r>
      <t>Supplication</t>
    </r>
    <r>
      <rPr>
        <sz val="11"/>
        <color theme="1"/>
        <rFont val="Calibri"/>
        <family val="2"/>
        <scheme val="minor"/>
      </rPr>
      <t xml:space="preserve"> - Israel cries out to God for deliverance</t>
    </r>
  </si>
  <si>
    <r>
      <t>Salvation</t>
    </r>
    <r>
      <rPr>
        <sz val="11"/>
        <color theme="1"/>
        <rFont val="Calibri"/>
        <family val="2"/>
        <scheme val="minor"/>
      </rPr>
      <t xml:space="preserve"> - God raises up judges to deliver them</t>
    </r>
  </si>
  <si>
    <r>
      <t>Silence</t>
    </r>
    <r>
      <rPr>
        <sz val="11"/>
        <color theme="1"/>
        <rFont val="Calibri"/>
        <family val="2"/>
        <scheme val="minor"/>
      </rPr>
      <t xml:space="preserve"> - Period of rest and peace</t>
    </r>
  </si>
  <si>
    <r>
      <t>Prophetic messages</t>
    </r>
    <r>
      <rPr>
        <sz val="11"/>
        <color theme="1"/>
        <rFont val="Calibri"/>
        <family val="2"/>
        <scheme val="minor"/>
      </rPr>
      <t xml:space="preserve"> - Through various unnamed prophets</t>
    </r>
  </si>
  <si>
    <r>
      <t>Angel appearances</t>
    </r>
    <r>
      <rPr>
        <sz val="11"/>
        <color theme="1"/>
        <rFont val="Calibri"/>
        <family val="2"/>
        <scheme val="minor"/>
      </rPr>
      <t xml:space="preserve"> - Direct divine messengers with instructions</t>
    </r>
  </si>
  <si>
    <r>
      <t>Dreams and signs</t>
    </r>
    <r>
      <rPr>
        <sz val="11"/>
        <color theme="1"/>
        <rFont val="Calibri"/>
        <family val="2"/>
        <scheme val="minor"/>
      </rPr>
      <t xml:space="preserve"> - Supernatural revelations and confirmations</t>
    </r>
  </si>
  <si>
    <r>
      <t>Priestly inquiries</t>
    </r>
    <r>
      <rPr>
        <sz val="11"/>
        <color theme="1"/>
        <rFont val="Calibri"/>
        <family val="2"/>
        <scheme val="minor"/>
      </rPr>
      <t xml:space="preserve"> - Seeking God's will through proper channels</t>
    </r>
  </si>
  <si>
    <t>Notable Judges and Miracles:</t>
  </si>
  <si>
    <r>
      <t>Othniel</t>
    </r>
    <r>
      <rPr>
        <sz val="11"/>
        <color theme="1"/>
        <rFont val="Calibri"/>
        <family val="2"/>
        <scheme val="minor"/>
      </rPr>
      <t xml:space="preserve"> - Spirit empowerment and victory</t>
    </r>
  </si>
  <si>
    <r>
      <t>Ehud</t>
    </r>
    <r>
      <rPr>
        <sz val="11"/>
        <color theme="1"/>
        <rFont val="Calibri"/>
        <family val="2"/>
        <scheme val="minor"/>
      </rPr>
      <t xml:space="preserve"> - Divine mission to assassinate Eglon</t>
    </r>
  </si>
  <si>
    <r>
      <t>Deborah</t>
    </r>
    <r>
      <rPr>
        <sz val="11"/>
        <color theme="1"/>
        <rFont val="Calibri"/>
        <family val="2"/>
        <scheme val="minor"/>
      </rPr>
      <t xml:space="preserve"> - Prophetic leadership and cosmic warfare</t>
    </r>
  </si>
  <si>
    <r>
      <t>Gideon</t>
    </r>
    <r>
      <rPr>
        <sz val="11"/>
        <color theme="1"/>
        <rFont val="Calibri"/>
        <family val="2"/>
        <scheme val="minor"/>
      </rPr>
      <t xml:space="preserve"> - Multiple signs, army reduction, enemy confusion</t>
    </r>
  </si>
  <si>
    <r>
      <t>Samson</t>
    </r>
    <r>
      <rPr>
        <sz val="11"/>
        <color theme="1"/>
        <rFont val="Calibri"/>
        <family val="2"/>
        <scheme val="minor"/>
      </rPr>
      <t xml:space="preserve"> - Supernatural strength, final temple destruction</t>
    </r>
  </si>
  <si>
    <t>Divine Testing and Discipline:</t>
  </si>
  <si>
    <r>
      <t>Nations left to test Israel</t>
    </r>
    <r>
      <rPr>
        <sz val="11"/>
        <color theme="1"/>
        <rFont val="Calibri"/>
        <family val="2"/>
        <scheme val="minor"/>
      </rPr>
      <t xml:space="preserve"> - Divine educational tool</t>
    </r>
  </si>
  <si>
    <r>
      <t>Enemies strengthened</t>
    </r>
    <r>
      <rPr>
        <sz val="11"/>
        <color theme="1"/>
        <rFont val="Calibri"/>
        <family val="2"/>
        <scheme val="minor"/>
      </rPr>
      <t xml:space="preserve"> - God using foreign powers for discipline</t>
    </r>
  </si>
  <si>
    <r>
      <t>Withdrawal of blessing</t>
    </r>
    <r>
      <rPr>
        <sz val="11"/>
        <color theme="1"/>
        <rFont val="Calibri"/>
        <family val="2"/>
        <scheme val="minor"/>
      </rPr>
      <t xml:space="preserve"> - Consequences for disobedience</t>
    </r>
  </si>
  <si>
    <r>
      <t>Mercy after repentance</t>
    </r>
    <r>
      <rPr>
        <sz val="11"/>
        <color theme="1"/>
        <rFont val="Calibri"/>
        <family val="2"/>
        <scheme val="minor"/>
      </rPr>
      <t xml:space="preserve"> - Divine compassion following genuine turning</t>
    </r>
  </si>
  <si>
    <r>
      <t>1390-1366 BC</t>
    </r>
    <r>
      <rPr>
        <sz val="11"/>
        <color theme="1"/>
        <rFont val="Calibri"/>
        <family val="2"/>
        <scheme val="minor"/>
      </rPr>
      <t>: Othniel's deliverance from Mesopotamia</t>
    </r>
  </si>
  <si>
    <r>
      <t>1326-1308 BC</t>
    </r>
    <r>
      <rPr>
        <sz val="11"/>
        <color theme="1"/>
        <rFont val="Calibri"/>
        <family val="2"/>
        <scheme val="minor"/>
      </rPr>
      <t>: Ehud's deliverance from Moab</t>
    </r>
  </si>
  <si>
    <r>
      <t>1196-1156 BC</t>
    </r>
    <r>
      <rPr>
        <sz val="11"/>
        <color theme="1"/>
        <rFont val="Calibri"/>
        <family val="2"/>
        <scheme val="minor"/>
      </rPr>
      <t>: Deborah and Barak vs. Canaanites</t>
    </r>
  </si>
  <si>
    <r>
      <t>1149-1109 BC</t>
    </r>
    <r>
      <rPr>
        <sz val="11"/>
        <color theme="1"/>
        <rFont val="Calibri"/>
        <family val="2"/>
        <scheme val="minor"/>
      </rPr>
      <t>: Gideon vs. Midianites</t>
    </r>
  </si>
  <si>
    <r>
      <t>1075-1035 BC</t>
    </r>
    <r>
      <rPr>
        <sz val="11"/>
        <color theme="1"/>
        <rFont val="Calibri"/>
        <family val="2"/>
        <scheme val="minor"/>
      </rPr>
      <t>: Samson vs. Philistines</t>
    </r>
  </si>
  <si>
    <r>
      <t>1050 BC</t>
    </r>
    <r>
      <rPr>
        <sz val="11"/>
        <color theme="1"/>
        <rFont val="Calibri"/>
        <family val="2"/>
        <scheme val="minor"/>
      </rPr>
      <t>: Civil war against Benjamin</t>
    </r>
  </si>
  <si>
    <r>
      <t>Divine empowerment</t>
    </r>
    <r>
      <rPr>
        <sz val="11"/>
        <color theme="1"/>
        <rFont val="Calibri"/>
        <family val="2"/>
        <scheme val="minor"/>
      </rPr>
      <t xml:space="preserve"> - Spirit coming upon judges</t>
    </r>
  </si>
  <si>
    <r>
      <t>Divine signs</t>
    </r>
    <r>
      <rPr>
        <sz val="11"/>
        <color theme="1"/>
        <rFont val="Calibri"/>
        <family val="2"/>
        <scheme val="minor"/>
      </rPr>
      <t xml:space="preserve"> - Miraculous confirmations and guidance</t>
    </r>
  </si>
  <si>
    <r>
      <t>Divine judgment</t>
    </r>
    <r>
      <rPr>
        <sz val="11"/>
        <color theme="1"/>
        <rFont val="Calibri"/>
        <family val="2"/>
        <scheme val="minor"/>
      </rPr>
      <t xml:space="preserve"> - Punishment for sin and rebellion</t>
    </r>
  </si>
  <si>
    <r>
      <t>Divine deliverance</t>
    </r>
    <r>
      <rPr>
        <sz val="11"/>
        <color theme="1"/>
        <rFont val="Calibri"/>
        <family val="2"/>
        <scheme val="minor"/>
      </rPr>
      <t xml:space="preserve"> - Rescue from oppression</t>
    </r>
  </si>
  <si>
    <r>
      <t>Divine testing</t>
    </r>
    <r>
      <rPr>
        <sz val="11"/>
        <color theme="1"/>
        <rFont val="Calibri"/>
        <family val="2"/>
        <scheme val="minor"/>
      </rPr>
      <t xml:space="preserve"> - Proving faithfulness and character</t>
    </r>
  </si>
  <si>
    <t>The book demonstrates God's faithfulness despite Israel's repeated unfaithfulness, showing how divine mercy and justice work together in the covenant relationship.</t>
  </si>
  <si>
    <t>Ruth:</t>
  </si>
  <si>
    <t>Angel of the LORD appears to Israel</t>
  </si>
  <si>
    <t>Bochim</t>
  </si>
  <si>
    <t>Judges 2:1-3</t>
  </si>
  <si>
    <t>God raises up judges to deliver Israel</t>
  </si>
  <si>
    <t>Judges 2:16</t>
  </si>
  <si>
    <t>c. 1390-1050 BC</t>
  </si>
  <si>
    <t>LORD is with judge and delivers from enemies</t>
  </si>
  <si>
    <t>Judges 2:18</t>
  </si>
  <si>
    <t>God leaves nations to test Israel</t>
  </si>
  <si>
    <t>LORD sells Israel to Cushan-rishathaim</t>
  </si>
  <si>
    <t>Judges 3:8</t>
  </si>
  <si>
    <t>c. 1374 BC</t>
  </si>
  <si>
    <t>Judges 3:9</t>
  </si>
  <si>
    <t>c. 1366 BC</t>
  </si>
  <si>
    <t>God raises up Othniel as deliverer</t>
  </si>
  <si>
    <t>Spirit of the LORD comes upon Othniel</t>
  </si>
  <si>
    <t>Judges 3:10</t>
  </si>
  <si>
    <t>Othniel judges Israel and goes to war</t>
  </si>
  <si>
    <t>Israel/Mesopotamia</t>
  </si>
  <si>
    <t>LORD delivers Cushan-rishathaim to Othniel</t>
  </si>
  <si>
    <t>Mesopotamia</t>
  </si>
  <si>
    <t>Land has rest for forty years</t>
  </si>
  <si>
    <t>Judges 3:11</t>
  </si>
  <si>
    <t>c. 1366-1326 BC</t>
  </si>
  <si>
    <t>LORD strengthens Eglon against Israel</t>
  </si>
  <si>
    <t>Judges 3:12</t>
  </si>
  <si>
    <t>Moab/Israel</t>
  </si>
  <si>
    <t>c. 1326 BC</t>
  </si>
  <si>
    <t>Judges 3:15</t>
  </si>
  <si>
    <t>c. 1308 BC</t>
  </si>
  <si>
    <t>God raises up Ehud as deliverer</t>
  </si>
  <si>
    <t>Ehud kills Eglon by divine mission</t>
  </si>
  <si>
    <t>Judges 3:15-30</t>
  </si>
  <si>
    <t>Israel captures fords and defeats Moab</t>
  </si>
  <si>
    <t>Judges 3:28-29</t>
  </si>
  <si>
    <t>Jordan fords</t>
  </si>
  <si>
    <t>Judges 3:30</t>
  </si>
  <si>
    <t>c. 1308-1228 BC</t>
  </si>
  <si>
    <t>Judges 3:31</t>
  </si>
  <si>
    <t>c. 1228 BC</t>
  </si>
  <si>
    <t>LORD sells Israel to Jabin for twenty years</t>
  </si>
  <si>
    <t>Judges 4:1-2</t>
  </si>
  <si>
    <t>Israel/Canaan</t>
  </si>
  <si>
    <t>c. 1216-1196 BC</t>
  </si>
  <si>
    <t>c. 1196 BC</t>
  </si>
  <si>
    <t>God raises up Deborah as judge</t>
  </si>
  <si>
    <t>Judges 4:4</t>
  </si>
  <si>
    <t>God commands Barak to fight Sisera</t>
  </si>
  <si>
    <t>Mount Tabor</t>
  </si>
  <si>
    <t>God promises to deliver Sisera to Barak</t>
  </si>
  <si>
    <t>Judges 4:7</t>
  </si>
  <si>
    <t>LORD confuses Sisera's army</t>
  </si>
  <si>
    <t>Judges 4:15</t>
  </si>
  <si>
    <t>River Kishon</t>
  </si>
  <si>
    <t>God delivers all Sisera's army to Israel</t>
  </si>
  <si>
    <t>Valley of Jezreel</t>
  </si>
  <si>
    <t>Stars fight from heaven against Sisera</t>
  </si>
  <si>
    <t>Judges 5:20</t>
  </si>
  <si>
    <t>River Kishon sweeps enemies away</t>
  </si>
  <si>
    <t>Judges 5:21</t>
  </si>
  <si>
    <t>Jael kills Sisera fulfilling prophecy</t>
  </si>
  <si>
    <t>Judges 4:17-22</t>
  </si>
  <si>
    <t>Jael's tent</t>
  </si>
  <si>
    <t>Judges 5:31</t>
  </si>
  <si>
    <t>c. 1196-1156 BC</t>
  </si>
  <si>
    <t>LORD delivers Israel to Midian for seven years</t>
  </si>
  <si>
    <t>Judges 6:1</t>
  </si>
  <si>
    <t>c. 1156-1149 BC</t>
  </si>
  <si>
    <t>Israel greatly impoverished by Midian</t>
  </si>
  <si>
    <t>Judges 6:2-6</t>
  </si>
  <si>
    <t>c. 1149 BC</t>
  </si>
  <si>
    <t>God sends prophet to rebuke Israel</t>
  </si>
  <si>
    <t>Judges 6:8-10</t>
  </si>
  <si>
    <t>Prophet explains God's past deliverance</t>
  </si>
  <si>
    <t>Judges 6:8-9</t>
  </si>
  <si>
    <t>Angel of the LORD appears to Gideon</t>
  </si>
  <si>
    <t>Judges 6:11-12</t>
  </si>
  <si>
    <t>Ophrah</t>
  </si>
  <si>
    <t>Judges 6:12</t>
  </si>
  <si>
    <t>Angel promises LORD is with Gideon</t>
  </si>
  <si>
    <t>God commissions Gideon to save Israel</t>
  </si>
  <si>
    <t>Judges 6:14</t>
  </si>
  <si>
    <t>God promises to be with Gideon</t>
  </si>
  <si>
    <t>Judges 6:16</t>
  </si>
  <si>
    <t>Fire consumes Gideon's offering</t>
  </si>
  <si>
    <t>Angel vanishes from Gideon's sight</t>
  </si>
  <si>
    <t>Judges 6:21</t>
  </si>
  <si>
    <t>God reassures Gideon he will not die</t>
  </si>
  <si>
    <t>Judges 6:23</t>
  </si>
  <si>
    <t>God commands Gideon to destroy Baal altar</t>
  </si>
  <si>
    <t>Judges 6:25-26</t>
  </si>
  <si>
    <t>Spirit of the LORD comes upon Gideon</t>
  </si>
  <si>
    <t>Judges 6:34</t>
  </si>
  <si>
    <t>Judges 6:34-35</t>
  </si>
  <si>
    <t>Manasseh/surrounding tribes</t>
  </si>
  <si>
    <t>Judges 6:38</t>
  </si>
  <si>
    <t>Judges 6:40</t>
  </si>
  <si>
    <t>God tells Gideon his army is too large</t>
  </si>
  <si>
    <t>Spring of Harod</t>
  </si>
  <si>
    <t>God reduces army to prevent Israel's boasting</t>
  </si>
  <si>
    <t>Judges 7:4-7</t>
  </si>
  <si>
    <t>300 men selected by divine criteria</t>
  </si>
  <si>
    <t>Judges 7:7</t>
  </si>
  <si>
    <t>God promises victory with 300 men</t>
  </si>
  <si>
    <t>God commands Gideon to go down to camp</t>
  </si>
  <si>
    <t>Judges 7:9</t>
  </si>
  <si>
    <t>Midianite camp</t>
  </si>
  <si>
    <t>Judges 7:13-14</t>
  </si>
  <si>
    <t>God causes Midianites to fight each other</t>
  </si>
  <si>
    <t>Judges 7:22</t>
  </si>
  <si>
    <t>Israel pursues and captures Midianite princes</t>
  </si>
  <si>
    <t>Judges 7:25</t>
  </si>
  <si>
    <t>Judges 8:28</t>
  </si>
  <si>
    <t>c. 1149-1109 BC</t>
  </si>
  <si>
    <t>c. 1126 BC</t>
  </si>
  <si>
    <t>God sends evil spirit between Abimelech and Shechem</t>
  </si>
  <si>
    <t>God brings violence back on Abimelech</t>
  </si>
  <si>
    <t>Judges 9:56-57</t>
  </si>
  <si>
    <t>Thebez</t>
  </si>
  <si>
    <t>c. 1123 BC</t>
  </si>
  <si>
    <t>God raises up Tola to save Israel</t>
  </si>
  <si>
    <t>Judges 10:1</t>
  </si>
  <si>
    <t>Shamir</t>
  </si>
  <si>
    <t>c. 1120 BC</t>
  </si>
  <si>
    <t>God raises up Jair as judge</t>
  </si>
  <si>
    <t>Judges 10:3</t>
  </si>
  <si>
    <t>Gilead</t>
  </si>
  <si>
    <t>LORD sells Israel to Philistines and Ammonites</t>
  </si>
  <si>
    <t>Judges 10:7</t>
  </si>
  <si>
    <t>c. 1096 BC</t>
  </si>
  <si>
    <t>Israel serves enemies for eighteen years</t>
  </si>
  <si>
    <t>Judges 10:8</t>
  </si>
  <si>
    <t>c. 1096-1078 BC</t>
  </si>
  <si>
    <t>c. 1078 BC</t>
  </si>
  <si>
    <t>Judges 10:11-14</t>
  </si>
  <si>
    <t>Judges 10:16</t>
  </si>
  <si>
    <t>God's soul is grieved with Israel's misery</t>
  </si>
  <si>
    <t>Spirit of the LORD comes upon Jephthah</t>
  </si>
  <si>
    <t>Judges 11:29</t>
  </si>
  <si>
    <t>LORD delivers Ammonites to Jephthah</t>
  </si>
  <si>
    <t>Judges 11:32-33</t>
  </si>
  <si>
    <t>Ammonite territory</t>
  </si>
  <si>
    <t>Angel of the LORD appears to Manoah's wife</t>
  </si>
  <si>
    <t>Judges 13:3</t>
  </si>
  <si>
    <t>Zorah</t>
  </si>
  <si>
    <t>Angel announces Samson's birth</t>
  </si>
  <si>
    <t>Judges 13:3-5</t>
  </si>
  <si>
    <t>Judges 13:4-5</t>
  </si>
  <si>
    <t>Angel promises son will begin to deliver Israel</t>
  </si>
  <si>
    <t>Judges 13:5</t>
  </si>
  <si>
    <t>Judges 13:9</t>
  </si>
  <si>
    <t>Angel repeats instructions to Manoah</t>
  </si>
  <si>
    <t>Judges 13:13-14</t>
  </si>
  <si>
    <t>Angel ascends in flame of sacrifice</t>
  </si>
  <si>
    <t>Judges 13:20</t>
  </si>
  <si>
    <t>Judges 13:24</t>
  </si>
  <si>
    <t>LORD blesses Samson as he grows</t>
  </si>
  <si>
    <t>Spirit of the LORD begins to move Samson</t>
  </si>
  <si>
    <t>Judges 13:25</t>
  </si>
  <si>
    <t>Mahaneh-dan</t>
  </si>
  <si>
    <t>c. 1055-1035 BC</t>
  </si>
  <si>
    <t>Samson tears lion apart with bare hands</t>
  </si>
  <si>
    <t>Judges 14:6</t>
  </si>
  <si>
    <t>Vineyards of Timnah</t>
  </si>
  <si>
    <t>Samson kills 30 Philistines for wedding debt</t>
  </si>
  <si>
    <t>Judges 14:19</t>
  </si>
  <si>
    <t>Ashkelon</t>
  </si>
  <si>
    <t>Samson finds honey in lion's carcass</t>
  </si>
  <si>
    <t>Judges 14:8-9</t>
  </si>
  <si>
    <t>Timnah road</t>
  </si>
  <si>
    <t>Judges 15:15-16</t>
  </si>
  <si>
    <t>Ramath-lehi</t>
  </si>
  <si>
    <t>Judges 15:18-19</t>
  </si>
  <si>
    <t>Lehi</t>
  </si>
  <si>
    <t>Samson carries away Gaza's gates</t>
  </si>
  <si>
    <t>Judges 16:3</t>
  </si>
  <si>
    <t>Gaza to Hebron</t>
  </si>
  <si>
    <t>c. 1040 BC</t>
  </si>
  <si>
    <t>Judges 16:19-20</t>
  </si>
  <si>
    <t>Gaza</t>
  </si>
  <si>
    <t>c. 1035 BC</t>
  </si>
  <si>
    <t>Samson's hair begins to grow in prison</t>
  </si>
  <si>
    <t>Judges 16:22</t>
  </si>
  <si>
    <t>Gaza prison</t>
  </si>
  <si>
    <t>Dagon's temple</t>
  </si>
  <si>
    <t>Judges 16:28-30</t>
  </si>
  <si>
    <t>Judges 16:30</t>
  </si>
  <si>
    <t>Micah</t>
  </si>
  <si>
    <t>Judges 20:18</t>
  </si>
  <si>
    <t>Judges 20:21, 25</t>
  </si>
  <si>
    <t>God promises to deliver Benjamin</t>
  </si>
  <si>
    <t>Judges 20:28</t>
  </si>
  <si>
    <t>Judges 20:35</t>
  </si>
  <si>
    <t>Gibeah area</t>
  </si>
  <si>
    <t>Key characteristics of Ruth:</t>
  </si>
  <si>
    <t>Divine Providence (Primary Theme):</t>
  </si>
  <si>
    <r>
      <t>Famine and restoration</t>
    </r>
    <r>
      <rPr>
        <sz val="11"/>
        <color theme="1"/>
        <rFont val="Calibri"/>
        <family val="2"/>
        <scheme val="minor"/>
      </rPr>
      <t xml:space="preserve"> - God using circumstances to orchestrate events</t>
    </r>
  </si>
  <si>
    <r>
      <t>"Chance" meetings</t>
    </r>
    <r>
      <rPr>
        <sz val="11"/>
        <color theme="1"/>
        <rFont val="Calibri"/>
        <family val="2"/>
        <scheme val="minor"/>
      </rPr>
      <t xml:space="preserve"> - Ruth "happening" to come to Boaz's field</t>
    </r>
  </si>
  <si>
    <r>
      <t>Perfect timing</t>
    </r>
    <r>
      <rPr>
        <sz val="11"/>
        <color theme="1"/>
        <rFont val="Calibri"/>
        <family val="2"/>
        <scheme val="minor"/>
      </rPr>
      <t xml:space="preserve"> - Arrival during harvest, meeting at gate</t>
    </r>
  </si>
  <si>
    <r>
      <t>Family lineage</t>
    </r>
    <r>
      <rPr>
        <sz val="11"/>
        <color theme="1"/>
        <rFont val="Calibri"/>
        <family val="2"/>
        <scheme val="minor"/>
      </rPr>
      <t xml:space="preserve"> - Establishing Davidic line through foreign woman</t>
    </r>
  </si>
  <si>
    <t>Divine Provision:</t>
  </si>
  <si>
    <r>
      <t>Ending famine</t>
    </r>
    <r>
      <rPr>
        <sz val="11"/>
        <color theme="1"/>
        <rFont val="Calibri"/>
        <family val="2"/>
        <scheme val="minor"/>
      </rPr>
      <t xml:space="preserve"> - God visiting His people with bread</t>
    </r>
  </si>
  <si>
    <r>
      <t>Abundant gleaning</t>
    </r>
    <r>
      <rPr>
        <sz val="11"/>
        <color theme="1"/>
        <rFont val="Calibri"/>
        <family val="2"/>
        <scheme val="minor"/>
      </rPr>
      <t xml:space="preserve"> - Supernatural provision through Ruth's work</t>
    </r>
  </si>
  <si>
    <r>
      <t>Kinsman-redeemer</t>
    </r>
    <r>
      <rPr>
        <sz val="11"/>
        <color theme="1"/>
        <rFont val="Calibri"/>
        <family val="2"/>
        <scheme val="minor"/>
      </rPr>
      <t xml:space="preserve"> - God providing Boaz as protector and provider</t>
    </r>
  </si>
  <si>
    <r>
      <t>Fertility miracle</t>
    </r>
    <r>
      <rPr>
        <sz val="11"/>
        <color theme="1"/>
        <rFont val="Calibri"/>
        <family val="2"/>
        <scheme val="minor"/>
      </rPr>
      <t xml:space="preserve"> - God enabling Ruth to conceive</t>
    </r>
  </si>
  <si>
    <t>Human Faith Responses:</t>
  </si>
  <si>
    <r>
      <t>Ruth's conversion</t>
    </r>
    <r>
      <rPr>
        <sz val="11"/>
        <color theme="1"/>
        <rFont val="Calibri"/>
        <family val="2"/>
        <scheme val="minor"/>
      </rPr>
      <t xml:space="preserve"> - Choosing God of Israel over Moabite gods</t>
    </r>
  </si>
  <si>
    <r>
      <t>Loyalty and kindness</t>
    </r>
    <r>
      <rPr>
        <sz val="11"/>
        <color theme="1"/>
        <rFont val="Calibri"/>
        <family val="2"/>
        <scheme val="minor"/>
      </rPr>
      <t xml:space="preserve"> - Divine influence on human relationships</t>
    </r>
  </si>
  <si>
    <r>
      <t>Community recognition</t>
    </r>
    <r>
      <rPr>
        <sz val="11"/>
        <color theme="1"/>
        <rFont val="Calibri"/>
        <family val="2"/>
        <scheme val="minor"/>
      </rPr>
      <t xml:space="preserve"> - People acknowledging God's hand in events</t>
    </r>
  </si>
  <si>
    <r>
      <t>Prophetic insight</t>
    </r>
    <r>
      <rPr>
        <sz val="11"/>
        <color theme="1"/>
        <rFont val="Calibri"/>
        <family val="2"/>
        <scheme val="minor"/>
      </rPr>
      <t xml:space="preserve"> - Women recognizing God's greater purposes</t>
    </r>
  </si>
  <si>
    <t>Notable Aspects:</t>
  </si>
  <si>
    <r>
      <t>No direct divine speech</t>
    </r>
    <r>
      <rPr>
        <sz val="11"/>
        <color theme="1"/>
        <rFont val="Calibri"/>
        <family val="2"/>
        <scheme val="minor"/>
      </rPr>
      <t xml:space="preserve"> - God works through circumstances and providence</t>
    </r>
  </si>
  <si>
    <r>
      <t>No dramatic miracles</t>
    </r>
    <r>
      <rPr>
        <sz val="11"/>
        <color theme="1"/>
        <rFont val="Calibri"/>
        <family val="2"/>
        <scheme val="minor"/>
      </rPr>
      <t xml:space="preserve"> - Divine action through natural events</t>
    </r>
  </si>
  <si>
    <r>
      <t>International scope</t>
    </r>
    <r>
      <rPr>
        <sz val="11"/>
        <color theme="1"/>
        <rFont val="Calibri"/>
        <family val="2"/>
        <scheme val="minor"/>
      </rPr>
      <t xml:space="preserve"> - God's grace extending to foreign nations</t>
    </r>
  </si>
  <si>
    <r>
      <t>Messianic preparation</t>
    </r>
    <r>
      <rPr>
        <sz val="11"/>
        <color theme="1"/>
        <rFont val="Calibri"/>
        <family val="2"/>
        <scheme val="minor"/>
      </rPr>
      <t xml:space="preserve"> - Establishing lineage for David and ultimately Christ</t>
    </r>
  </si>
  <si>
    <t>Divine Attributes Displayed:</t>
  </si>
  <si>
    <r>
      <t>Faithfulness</t>
    </r>
    <r>
      <rPr>
        <sz val="11"/>
        <color theme="1"/>
        <rFont val="Calibri"/>
        <family val="2"/>
        <scheme val="minor"/>
      </rPr>
      <t xml:space="preserve"> - God's hesed (covenant love) mentioned repeatedly</t>
    </r>
  </si>
  <si>
    <r>
      <t>Providence</t>
    </r>
    <r>
      <rPr>
        <sz val="11"/>
        <color theme="1"/>
        <rFont val="Calibri"/>
        <family val="2"/>
        <scheme val="minor"/>
      </rPr>
      <t xml:space="preserve"> - Sovereign orchestration of events</t>
    </r>
  </si>
  <si>
    <r>
      <t>Redemption</t>
    </r>
    <r>
      <rPr>
        <sz val="11"/>
        <color theme="1"/>
        <rFont val="Calibri"/>
        <family val="2"/>
        <scheme val="minor"/>
      </rPr>
      <t xml:space="preserve"> - Both literal (kinsman-redeemer) and spiritual themes</t>
    </r>
  </si>
  <si>
    <r>
      <t>Inclusion</t>
    </r>
    <r>
      <rPr>
        <sz val="11"/>
        <color theme="1"/>
        <rFont val="Calibri"/>
        <family val="2"/>
        <scheme val="minor"/>
      </rPr>
      <t xml:space="preserve"> - Gentile woman brought into covenant community</t>
    </r>
  </si>
  <si>
    <r>
      <t>c. 1150 BC</t>
    </r>
    <r>
      <rPr>
        <sz val="11"/>
        <color theme="1"/>
        <rFont val="Calibri"/>
        <family val="2"/>
        <scheme val="minor"/>
      </rPr>
      <t>: Famine drives family to Moab</t>
    </r>
  </si>
  <si>
    <r>
      <t>c. 1140 BC</t>
    </r>
    <r>
      <rPr>
        <sz val="11"/>
        <color theme="1"/>
        <rFont val="Calibri"/>
        <family val="2"/>
        <scheme val="minor"/>
      </rPr>
      <t>: Return to Bethlehem, marriage to Boaz</t>
    </r>
  </si>
  <si>
    <r>
      <t>c. 1140 BC</t>
    </r>
    <r>
      <rPr>
        <sz val="11"/>
        <color theme="1"/>
        <rFont val="Calibri"/>
        <family val="2"/>
        <scheme val="minor"/>
      </rPr>
      <t>: Birth of Obed</t>
    </r>
  </si>
  <si>
    <r>
      <t>c. 1110 BC</t>
    </r>
    <r>
      <rPr>
        <sz val="11"/>
        <color theme="1"/>
        <rFont val="Calibri"/>
        <family val="2"/>
        <scheme val="minor"/>
      </rPr>
      <t>: Obed fathers Jesse</t>
    </r>
  </si>
  <si>
    <r>
      <t>c. 1080 BC</t>
    </r>
    <r>
      <rPr>
        <sz val="11"/>
        <color theme="1"/>
        <rFont val="Calibri"/>
        <family val="2"/>
        <scheme val="minor"/>
      </rPr>
      <t>: Jesse fathers David</t>
    </r>
  </si>
  <si>
    <r>
      <t>Divine providence</t>
    </r>
    <r>
      <rPr>
        <sz val="11"/>
        <color theme="1"/>
        <rFont val="Calibri"/>
        <family val="2"/>
        <scheme val="minor"/>
      </rPr>
      <t xml:space="preserve"> - Sovereign orchestration of circumstances</t>
    </r>
  </si>
  <si>
    <r>
      <t>Divine provision</t>
    </r>
    <r>
      <rPr>
        <sz val="11"/>
        <color theme="1"/>
        <rFont val="Calibri"/>
        <family val="2"/>
        <scheme val="minor"/>
      </rPr>
      <t xml:space="preserve"> - Meeting physical and relational needs</t>
    </r>
  </si>
  <si>
    <r>
      <t>Divine blessing</t>
    </r>
    <r>
      <rPr>
        <sz val="11"/>
        <color theme="1"/>
        <rFont val="Calibri"/>
        <family val="2"/>
        <scheme val="minor"/>
      </rPr>
      <t xml:space="preserve"> - Fertility, favor, and family</t>
    </r>
  </si>
  <si>
    <r>
      <t>Divine lineage</t>
    </r>
    <r>
      <rPr>
        <sz val="11"/>
        <color theme="1"/>
        <rFont val="Calibri"/>
        <family val="2"/>
        <scheme val="minor"/>
      </rPr>
      <t xml:space="preserve"> - Establishing messianic genealogy</t>
    </r>
  </si>
  <si>
    <r>
      <t>Divine inclusivity</t>
    </r>
    <r>
      <rPr>
        <sz val="11"/>
        <color theme="1"/>
        <rFont val="Calibri"/>
        <family val="2"/>
        <scheme val="minor"/>
      </rPr>
      <t xml:space="preserve"> - Bringing outsiders into covenant community</t>
    </r>
  </si>
  <si>
    <t>Ruth demonstrates how God works through ordinary circumstances and faithful people to accomplish His extraordinary purposes, showing that divine activity doesn't always require dramatic interventions but can be seen in the faithful love and providential care extended to those who trust in Him.</t>
  </si>
  <si>
    <t>a comprehensive table of all miracles, acts of God, and divine communications in the Book of Ruth. This contains 53 entries covering the period during the time of the judges (c. 1150-1080 BC).</t>
  </si>
  <si>
    <t>God causes famine in land of Judah</t>
  </si>
  <si>
    <t>Ruth 1:1</t>
  </si>
  <si>
    <t>Bethlehem/Judah</t>
  </si>
  <si>
    <t>c. 1150 BC</t>
  </si>
  <si>
    <t>Naomi's husband and sons die in Moab</t>
  </si>
  <si>
    <t>Ruth 1:3-5</t>
  </si>
  <si>
    <t>c. 1150-1140 BC</t>
  </si>
  <si>
    <t>God visits His people and gives them bread</t>
  </si>
  <si>
    <t>Ruth 1:6</t>
  </si>
  <si>
    <t>c. 1140 BC</t>
  </si>
  <si>
    <t>Ruth</t>
  </si>
  <si>
    <t>God provides timing of arrival at barley harvest</t>
  </si>
  <si>
    <t>Ruth 1:22</t>
  </si>
  <si>
    <t>Ruth happens to come to Boaz's field</t>
  </si>
  <si>
    <t>Ruth 2:3</t>
  </si>
  <si>
    <t>Bethlehem fields</t>
  </si>
  <si>
    <t>Boaz's field</t>
  </si>
  <si>
    <t>God provides abundant gleaning for Ruth</t>
  </si>
  <si>
    <t>Ruth 2:17-18</t>
  </si>
  <si>
    <t>Naomi's house</t>
  </si>
  <si>
    <t>Ruth 2:20</t>
  </si>
  <si>
    <t>Naomi recognizes Boaz as kinsman-redeemer</t>
  </si>
  <si>
    <t>God provides safety for Ruth in fields</t>
  </si>
  <si>
    <t>Various fields</t>
  </si>
  <si>
    <t>God provides opportunity at threshing floor</t>
  </si>
  <si>
    <t>Ruth 3:2</t>
  </si>
  <si>
    <t>Threshing floor</t>
  </si>
  <si>
    <t>God gives Ruth favor in Boaz's sight</t>
  </si>
  <si>
    <t>Ruth 3:13-15</t>
  </si>
  <si>
    <t>Bethlehem gate</t>
  </si>
  <si>
    <t>Boaz becomes Ruth's kinsman-redeemer</t>
  </si>
  <si>
    <t>Ruth 4:9-10</t>
  </si>
  <si>
    <t>Boaz takes Ruth as his wife</t>
  </si>
  <si>
    <t>Ruth 4:13</t>
  </si>
  <si>
    <t>Ruth 4:14</t>
  </si>
  <si>
    <t>Women prophesy child's name will be famous</t>
  </si>
  <si>
    <t>Women recognize child as restorer of life</t>
  </si>
  <si>
    <t>Ruth 4:15</t>
  </si>
  <si>
    <t>God establishes Davidic lineage through Ruth</t>
  </si>
  <si>
    <t>Ruth 4:17-22</t>
  </si>
  <si>
    <t>Ezra:</t>
  </si>
  <si>
    <t>a comprehensive table of all miracles, acts of God, and divine communications in the Book of Ezra. This contains 95 entries covering the period of return from Babylonian exile and temple reconstruction (c. 538-457 BC).</t>
  </si>
  <si>
    <t>Key characteristics of Ezra:</t>
  </si>
  <si>
    <t>Divine Restoration Theme:</t>
  </si>
  <si>
    <r>
      <t>Stirring hearts</t>
    </r>
    <r>
      <rPr>
        <sz val="11"/>
        <color theme="1"/>
        <rFont val="Calibri"/>
        <family val="2"/>
        <scheme val="minor"/>
      </rPr>
      <t xml:space="preserve"> - God motivating both Persian kings and Jewish leaders</t>
    </r>
  </si>
  <si>
    <r>
      <t>Fulfilling prophecy</t>
    </r>
    <r>
      <rPr>
        <sz val="11"/>
        <color theme="1"/>
        <rFont val="Calibri"/>
        <family val="2"/>
        <scheme val="minor"/>
      </rPr>
      <t xml:space="preserve"> - Jeremiah's 70-year exile prophecy completed</t>
    </r>
  </si>
  <si>
    <r>
      <t>Temple rebuilding</t>
    </r>
    <r>
      <rPr>
        <sz val="11"/>
        <color theme="1"/>
        <rFont val="Calibri"/>
        <family val="2"/>
        <scheme val="minor"/>
      </rPr>
      <t xml:space="preserve"> - Divine enabling of reconstruction despite opposition</t>
    </r>
  </si>
  <si>
    <r>
      <t>Spiritual renewal</t>
    </r>
    <r>
      <rPr>
        <sz val="11"/>
        <color theme="1"/>
        <rFont val="Calibri"/>
        <family val="2"/>
        <scheme val="minor"/>
      </rPr>
      <t xml:space="preserve"> - Reform movements and covenant recommitment</t>
    </r>
  </si>
  <si>
    <t>God Working Through Foreign Rulers:</t>
  </si>
  <si>
    <r>
      <t>Cyrus</t>
    </r>
    <r>
      <rPr>
        <sz val="11"/>
        <color theme="1"/>
        <rFont val="Calibri"/>
        <family val="2"/>
        <scheme val="minor"/>
      </rPr>
      <t xml:space="preserve"> - Decreeing temple rebuilding and returning vessels</t>
    </r>
  </si>
  <si>
    <r>
      <t>Darius</t>
    </r>
    <r>
      <rPr>
        <sz val="11"/>
        <color theme="1"/>
        <rFont val="Calibri"/>
        <family val="2"/>
        <scheme val="minor"/>
      </rPr>
      <t xml:space="preserve"> - Supporting temple completion with resources</t>
    </r>
  </si>
  <si>
    <r>
      <t>Artaxerxes</t>
    </r>
    <r>
      <rPr>
        <sz val="11"/>
        <color theme="1"/>
        <rFont val="Calibri"/>
        <family val="2"/>
        <scheme val="minor"/>
      </rPr>
      <t xml:space="preserve"> - Authorizing Ezra's mission with extensive provisions</t>
    </r>
  </si>
  <si>
    <t>Divine Providence and Protection:</t>
  </si>
  <si>
    <r>
      <t>Journey safety</t>
    </r>
    <r>
      <rPr>
        <sz val="11"/>
        <color theme="1"/>
        <rFont val="Calibri"/>
        <family val="2"/>
        <scheme val="minor"/>
      </rPr>
      <t xml:space="preserve"> - Protecting travelers and treasure without military escort</t>
    </r>
  </si>
  <si>
    <r>
      <t>Opposition overcome</t>
    </r>
    <r>
      <rPr>
        <sz val="11"/>
        <color theme="1"/>
        <rFont val="Calibri"/>
        <family val="2"/>
        <scheme val="minor"/>
      </rPr>
      <t xml:space="preserve"> - Defeating legal and political challenges</t>
    </r>
  </si>
  <si>
    <r>
      <t>Provision abundance</t>
    </r>
    <r>
      <rPr>
        <sz val="11"/>
        <color theme="1"/>
        <rFont val="Calibri"/>
        <family val="2"/>
        <scheme val="minor"/>
      </rPr>
      <t xml:space="preserve"> - Supplying materials, money, and personnel</t>
    </r>
  </si>
  <si>
    <r>
      <t>Legal favor</t>
    </r>
    <r>
      <rPr>
        <sz val="11"/>
        <color theme="1"/>
        <rFont val="Calibri"/>
        <family val="2"/>
        <scheme val="minor"/>
      </rPr>
      <t xml:space="preserve"> - Gaining governmental support and tax exemptions</t>
    </r>
  </si>
  <si>
    <t>Spiritual Revival Elements:</t>
  </si>
  <si>
    <r>
      <t>Law discovery and teaching</t>
    </r>
    <r>
      <rPr>
        <sz val="11"/>
        <color theme="1"/>
        <rFont val="Calibri"/>
        <family val="2"/>
        <scheme val="minor"/>
      </rPr>
      <t xml:space="preserve"> - Ezra's scholarly mission</t>
    </r>
  </si>
  <si>
    <r>
      <t>Confession and repentance</t>
    </r>
    <r>
      <rPr>
        <sz val="11"/>
        <color theme="1"/>
        <rFont val="Calibri"/>
        <family val="2"/>
        <scheme val="minor"/>
      </rPr>
      <t xml:space="preserve"> - Community acknowledgment of sin</t>
    </r>
  </si>
  <si>
    <r>
      <t>Covenant renewal</t>
    </r>
    <r>
      <rPr>
        <sz val="11"/>
        <color theme="1"/>
        <rFont val="Calibri"/>
        <family val="2"/>
        <scheme val="minor"/>
      </rPr>
      <t xml:space="preserve"> - Commitment to obedience and separation</t>
    </r>
  </si>
  <si>
    <r>
      <t>Worship restoration</t>
    </r>
    <r>
      <rPr>
        <sz val="11"/>
        <color theme="1"/>
        <rFont val="Calibri"/>
        <family val="2"/>
        <scheme val="minor"/>
      </rPr>
      <t xml:space="preserve"> - Temple services and celebrations</t>
    </r>
  </si>
  <si>
    <r>
      <t>"Hand of God"</t>
    </r>
    <r>
      <rPr>
        <sz val="11"/>
        <color theme="1"/>
        <rFont val="Calibri"/>
        <family val="2"/>
        <scheme val="minor"/>
      </rPr>
      <t xml:space="preserve"> - Repeated phrase showing divine favor and protection</t>
    </r>
  </si>
  <si>
    <r>
      <t>Divine timing</t>
    </r>
    <r>
      <rPr>
        <sz val="11"/>
        <color theme="1"/>
        <rFont val="Calibri"/>
        <family val="2"/>
        <scheme val="minor"/>
      </rPr>
      <t xml:space="preserve"> - Orchestrating events, arrivals, and completions</t>
    </r>
  </si>
  <si>
    <r>
      <t>Heart preparation</t>
    </r>
    <r>
      <rPr>
        <sz val="11"/>
        <color theme="1"/>
        <rFont val="Calibri"/>
        <family val="2"/>
        <scheme val="minor"/>
      </rPr>
      <t xml:space="preserve"> - God preparing both leaders and people</t>
    </r>
  </si>
  <si>
    <r>
      <t>Opposition allowed</t>
    </r>
    <r>
      <rPr>
        <sz val="11"/>
        <color theme="1"/>
        <rFont val="Calibri"/>
        <family val="2"/>
        <scheme val="minor"/>
      </rPr>
      <t xml:space="preserve"> - Divine testing through adversaries</t>
    </r>
  </si>
  <si>
    <r>
      <t>538 BC</t>
    </r>
    <r>
      <rPr>
        <sz val="11"/>
        <color theme="1"/>
        <rFont val="Calibri"/>
        <family val="2"/>
        <scheme val="minor"/>
      </rPr>
      <t>: Cyrus' decree and first return under Zerubbabel</t>
    </r>
  </si>
  <si>
    <r>
      <t>536 BC</t>
    </r>
    <r>
      <rPr>
        <sz val="11"/>
        <color theme="1"/>
        <rFont val="Calibri"/>
        <family val="2"/>
        <scheme val="minor"/>
      </rPr>
      <t>: Temple foundation laid amid celebration and tears</t>
    </r>
  </si>
  <si>
    <r>
      <t>520-515 BC</t>
    </r>
    <r>
      <rPr>
        <sz val="11"/>
        <color theme="1"/>
        <rFont val="Calibri"/>
        <family val="2"/>
        <scheme val="minor"/>
      </rPr>
      <t>: Temple completion through prophetic encouragement</t>
    </r>
  </si>
  <si>
    <r>
      <t>458-457 BC</t>
    </r>
    <r>
      <rPr>
        <sz val="11"/>
        <color theme="1"/>
        <rFont val="Calibri"/>
        <family val="2"/>
        <scheme val="minor"/>
      </rPr>
      <t>: Ezra's mission and religious reforms</t>
    </r>
  </si>
  <si>
    <r>
      <t>Divine motivation</t>
    </r>
    <r>
      <rPr>
        <sz val="11"/>
        <color theme="1"/>
        <rFont val="Calibri"/>
        <family val="2"/>
        <scheme val="minor"/>
      </rPr>
      <t xml:space="preserve"> - Stirring hearts of kings and leaders</t>
    </r>
  </si>
  <si>
    <r>
      <t>Divine restoration</t>
    </r>
    <r>
      <rPr>
        <sz val="11"/>
        <color theme="1"/>
        <rFont val="Calibri"/>
        <family val="2"/>
        <scheme val="minor"/>
      </rPr>
      <t xml:space="preserve"> - Rebuilding temple and community</t>
    </r>
  </si>
  <si>
    <r>
      <t>Divine protection</t>
    </r>
    <r>
      <rPr>
        <sz val="11"/>
        <color theme="1"/>
        <rFont val="Calibri"/>
        <family val="2"/>
        <scheme val="minor"/>
      </rPr>
      <t xml:space="preserve"> - Safeguarding people and resources</t>
    </r>
  </si>
  <si>
    <r>
      <t>Divine provision</t>
    </r>
    <r>
      <rPr>
        <sz val="11"/>
        <color theme="1"/>
        <rFont val="Calibri"/>
        <family val="2"/>
        <scheme val="minor"/>
      </rPr>
      <t xml:space="preserve"> - Supplying needs through various means</t>
    </r>
  </si>
  <si>
    <r>
      <t>Divine judgment</t>
    </r>
    <r>
      <rPr>
        <sz val="11"/>
        <color theme="1"/>
        <rFont val="Calibri"/>
        <family val="2"/>
        <scheme val="minor"/>
      </rPr>
      <t xml:space="preserve"> - Requiring separation from foreign influences</t>
    </r>
  </si>
  <si>
    <r>
      <t>Divine sovereignty</t>
    </r>
    <r>
      <rPr>
        <sz val="11"/>
        <color theme="1"/>
        <rFont val="Calibri"/>
        <family val="2"/>
        <scheme val="minor"/>
      </rPr>
      <t xml:space="preserve"> - Controlling international politics for His purposes</t>
    </r>
  </si>
  <si>
    <t>Theological Themes:</t>
  </si>
  <si>
    <r>
      <t>Faithfulness</t>
    </r>
    <r>
      <rPr>
        <sz val="11"/>
        <color theme="1"/>
        <rFont val="Calibri"/>
        <family val="2"/>
        <scheme val="minor"/>
      </rPr>
      <t xml:space="preserve"> - God keeping covenant promises despite exile</t>
    </r>
  </si>
  <si>
    <r>
      <t>Holiness</t>
    </r>
    <r>
      <rPr>
        <sz val="11"/>
        <color theme="1"/>
        <rFont val="Calibri"/>
        <family val="2"/>
        <scheme val="minor"/>
      </rPr>
      <t xml:space="preserve"> - Requiring separation from pagan influences</t>
    </r>
  </si>
  <si>
    <r>
      <t>Grace</t>
    </r>
    <r>
      <rPr>
        <sz val="11"/>
        <color theme="1"/>
        <rFont val="Calibri"/>
        <family val="2"/>
        <scheme val="minor"/>
      </rPr>
      <t xml:space="preserve"> - Providing second chances and new beginnings</t>
    </r>
  </si>
  <si>
    <r>
      <t>Sovereignty</t>
    </r>
    <r>
      <rPr>
        <sz val="11"/>
        <color theme="1"/>
        <rFont val="Calibri"/>
        <family val="2"/>
        <scheme val="minor"/>
      </rPr>
      <t xml:space="preserve"> - Ruling over all nations for His people's benefit</t>
    </r>
  </si>
  <si>
    <t>Ezra demonstrates how God orchestrates both international politics and personal hearts to accomplish His restoration purposes, showing His faithfulness to covenant promises while requiring holiness from His people.</t>
  </si>
  <si>
    <t>God stirs up spirit of Cyrus king of Persia</t>
  </si>
  <si>
    <t>Ezra 1:1</t>
  </si>
  <si>
    <t>God charges Cyrus to build temple in Jerusalem</t>
  </si>
  <si>
    <t>Ezra 1:2</t>
  </si>
  <si>
    <t>Persia/Babylon</t>
  </si>
  <si>
    <t>God stirs up spirits of tribal leaders</t>
  </si>
  <si>
    <t>Ezra 1:5</t>
  </si>
  <si>
    <t>Babylon</t>
  </si>
  <si>
    <t>God moves hearts to return and build temple</t>
  </si>
  <si>
    <t>God enables 42,360 people to return</t>
  </si>
  <si>
    <t>Ezra 2:64</t>
  </si>
  <si>
    <t>Babylon to Jerusalem</t>
  </si>
  <si>
    <t>God provides animals and goods for journey</t>
  </si>
  <si>
    <t>Ezra 2:66-67</t>
  </si>
  <si>
    <t>Journey to Jerusalem</t>
  </si>
  <si>
    <t>God enables people to settle in their cities</t>
  </si>
  <si>
    <t>Ezra 2:70</t>
  </si>
  <si>
    <t>Throughout Judah</t>
  </si>
  <si>
    <t>People gather as one man to Jerusalem</t>
  </si>
  <si>
    <t>Ezra 3:1</t>
  </si>
  <si>
    <t>c. 537 BC</t>
  </si>
  <si>
    <t>Fear of surrounding peoples motivates altar</t>
  </si>
  <si>
    <t>Ezra 3:3</t>
  </si>
  <si>
    <t>Foundation work begins in second year</t>
  </si>
  <si>
    <t>Ezra 3:8</t>
  </si>
  <si>
    <t>c. 536 BC</t>
  </si>
  <si>
    <t>Returnees by GOD's timing</t>
  </si>
  <si>
    <t>God enables leaders to discern false motives</t>
  </si>
  <si>
    <t>Ezra 4:3</t>
  </si>
  <si>
    <t>Work stops during Cyrus' reign</t>
  </si>
  <si>
    <t>Ezra 4:5</t>
  </si>
  <si>
    <t>c. 530-522 BC</t>
  </si>
  <si>
    <t>GOD allowing opposition</t>
  </si>
  <si>
    <t>Temple work ceases until Darius' reign</t>
  </si>
  <si>
    <t>Ezra 4:24</t>
  </si>
  <si>
    <t>c. 464-520 BC</t>
  </si>
  <si>
    <t>GOD allowing delay</t>
  </si>
  <si>
    <t>Prophets Haggai and Zechariah prophesy</t>
  </si>
  <si>
    <t>Ezra 5:1</t>
  </si>
  <si>
    <t>c. 520 BC</t>
  </si>
  <si>
    <t>God stirs up Zerubbabel and Joshua</t>
  </si>
  <si>
    <t>Ezra 5:2</t>
  </si>
  <si>
    <t>Building resumes with prophetic encouragement</t>
  </si>
  <si>
    <t>God's eye watches over Jewish elders</t>
  </si>
  <si>
    <t>Ezra 5:5</t>
  </si>
  <si>
    <t>Officials cannot stop work without king's order</t>
  </si>
  <si>
    <t>Original decree found in Ecbatana</t>
  </si>
  <si>
    <t>Ezra 6:2</t>
  </si>
  <si>
    <t>Ecbatana</t>
  </si>
  <si>
    <t>c. 519 BC</t>
  </si>
  <si>
    <t>Darius issues new supportive decree</t>
  </si>
  <si>
    <t>Ezra 6:3-12</t>
  </si>
  <si>
    <t>Darius by GOD's influence</t>
  </si>
  <si>
    <t>King commands local support for temple</t>
  </si>
  <si>
    <t>Ezra 6:8-10</t>
  </si>
  <si>
    <t>Persian provinces</t>
  </si>
  <si>
    <t>Darius by GOD's direction</t>
  </si>
  <si>
    <t>King threatens severe punishment for interference</t>
  </si>
  <si>
    <t>Ezra 6:11-12</t>
  </si>
  <si>
    <t>Darius by divine influence</t>
  </si>
  <si>
    <t>Officials diligently obey king's decree</t>
  </si>
  <si>
    <t>Ezra 6:13</t>
  </si>
  <si>
    <t>Jerusalem region</t>
  </si>
  <si>
    <t>Officials by divine compulsion</t>
  </si>
  <si>
    <t>Jews prosper through prophetic ministry</t>
  </si>
  <si>
    <t>Ezra 6:14</t>
  </si>
  <si>
    <t>c. 520-516 BC</t>
  </si>
  <si>
    <t>Temple finished by command of God and kings</t>
  </si>
  <si>
    <t>c. 516 BC</t>
  </si>
  <si>
    <t>God commands temple completion through kings</t>
  </si>
  <si>
    <t>Temple finished on third day of Adar</t>
  </si>
  <si>
    <t>Ezra 6:15</t>
  </si>
  <si>
    <t>March 12, 515 BC</t>
  </si>
  <si>
    <t>LORD makes them joyful</t>
  </si>
  <si>
    <t>Ezra 6:22</t>
  </si>
  <si>
    <t>April 515 BC</t>
  </si>
  <si>
    <t>God turns king of Assyria's heart to help</t>
  </si>
  <si>
    <t>c. 515 BC</t>
  </si>
  <si>
    <t>King strengthens their hands in God's work</t>
  </si>
  <si>
    <t>King by divine influence</t>
  </si>
  <si>
    <t>God prepares Ezra's heart to seek the Law</t>
  </si>
  <si>
    <t>Ezra 7:10</t>
  </si>
  <si>
    <t>c. 458 BC</t>
  </si>
  <si>
    <t>King Artaxerxes grants Ezra's requests</t>
  </si>
  <si>
    <t>Ezra 7:6</t>
  </si>
  <si>
    <t>Artaxerxes by GOD's influence</t>
  </si>
  <si>
    <t>Good hand of God upon Ezra</t>
  </si>
  <si>
    <t>Ezra 7:6, 9, 28</t>
  </si>
  <si>
    <t>King gives letter authorizing Ezra's mission</t>
  </si>
  <si>
    <t>Ezra 7:11-26</t>
  </si>
  <si>
    <t>Artaxerxes by divine direction</t>
  </si>
  <si>
    <t>King provides silver, gold, and offerings</t>
  </si>
  <si>
    <t>Ezra 7:15-20</t>
  </si>
  <si>
    <t>Artaxerxes by divine motivation</t>
  </si>
  <si>
    <t>King commands treasurers to support Ezra</t>
  </si>
  <si>
    <t>Ezra 7:21-24</t>
  </si>
  <si>
    <t>Artaxerxes by divine influence</t>
  </si>
  <si>
    <t>God of heaven prospers Ezra's mission</t>
  </si>
  <si>
    <t>Ezra 7:23</t>
  </si>
  <si>
    <t>King exempts temple workers from taxes</t>
  </si>
  <si>
    <t>Ezra 7:24</t>
  </si>
  <si>
    <t>Artaxerxes by divine wisdom</t>
  </si>
  <si>
    <t>God extends mercy to Ezra before king</t>
  </si>
  <si>
    <t>Ezra 7:28</t>
  </si>
  <si>
    <t>Ezra strengthened by God's hand upon him</t>
  </si>
  <si>
    <t>Leading men gathered by God's direction</t>
  </si>
  <si>
    <t>Ezra 8:1</t>
  </si>
  <si>
    <t>God provides Levites for temple service</t>
  </si>
  <si>
    <t>Ezra 8:15-20</t>
  </si>
  <si>
    <t>Ahava River</t>
  </si>
  <si>
    <t>God hears prayer and accepts their fasting</t>
  </si>
  <si>
    <t>Ezra 8:23</t>
  </si>
  <si>
    <t>Treasure delivered safely by God's protection</t>
  </si>
  <si>
    <t>Ezra 8:24-30</t>
  </si>
  <si>
    <t>Ahava to Jerusalem</t>
  </si>
  <si>
    <t>Hand of God protects from enemies and ambushes</t>
  </si>
  <si>
    <t>Ezra 8:31</t>
  </si>
  <si>
    <t>Safe arrival in Jerusalem after four months</t>
  </si>
  <si>
    <t>Ezra 8:32</t>
  </si>
  <si>
    <t>July 458 BC</t>
  </si>
  <si>
    <t>Officials support people and temple</t>
  </si>
  <si>
    <t>Ezra 8:36</t>
  </si>
  <si>
    <t>God-fearing people gather to Ezra</t>
  </si>
  <si>
    <t>Ezra 9:4</t>
  </si>
  <si>
    <t>God gives reviving to set up house</t>
  </si>
  <si>
    <t>Ezra 9:9</t>
  </si>
  <si>
    <t>God gives wall of protection in Judah</t>
  </si>
  <si>
    <t>Hope remains despite unfaithfulness</t>
  </si>
  <si>
    <t>Ezra 10:2</t>
  </si>
  <si>
    <t>Shecaniah acknowledging GOD</t>
  </si>
  <si>
    <t>Proclamation made throughout Judah and Jerusalem</t>
  </si>
  <si>
    <t>Ezra 10:7-8</t>
  </si>
  <si>
    <t>Judah and Jerusalem</t>
  </si>
  <si>
    <t>Leaders by divine direction</t>
  </si>
  <si>
    <t>Great assembly gathers in heavy rain</t>
  </si>
  <si>
    <t>Ezra 10:9</t>
  </si>
  <si>
    <t>December 19, 458 BC</t>
  </si>
  <si>
    <t>People by divine compulsion</t>
  </si>
  <si>
    <t>God's fierce wrath acknowledged over this matter</t>
  </si>
  <si>
    <t>Ezra 10:14</t>
  </si>
  <si>
    <t>December 458 BC</t>
  </si>
  <si>
    <t>Assembly acknowledging GOD</t>
  </si>
  <si>
    <t>Investigation completed by first day of first month</t>
  </si>
  <si>
    <t>Ezra 10:17</t>
  </si>
  <si>
    <t>March 27, 457 BC</t>
  </si>
  <si>
    <t>Foreign wives put away according to Law</t>
  </si>
  <si>
    <t>Ezra 10:18-44</t>
  </si>
  <si>
    <t>c. 457 BC</t>
  </si>
  <si>
    <t>* Ezra's events updated to disinclude human actions and events</t>
  </si>
  <si>
    <t>* 2 King events updated to disinclude human actions and events</t>
  </si>
  <si>
    <t>Nehemiah:</t>
  </si>
  <si>
    <t>a comprehensive table of all miracles, acts of God, and divine communications in the Book of Nehemiah. This contains 39 entries covering Nehemiah's governorship and reforms (c. 445-432 BC).</t>
  </si>
  <si>
    <t>Key characteristics of Nehemiah:</t>
  </si>
  <si>
    <t>Divine Providence and Favor:</t>
  </si>
  <si>
    <r>
      <t>Royal favor</t>
    </r>
    <r>
      <rPr>
        <sz val="11"/>
        <color theme="1"/>
        <rFont val="Calibri"/>
        <family val="2"/>
        <scheme val="minor"/>
      </rPr>
      <t xml:space="preserve"> - God moving King Artaxerxes to grant all requests</t>
    </r>
  </si>
  <si>
    <r>
      <t>Material provision</t>
    </r>
    <r>
      <rPr>
        <sz val="11"/>
        <color theme="1"/>
        <rFont val="Calibri"/>
        <family val="2"/>
        <scheme val="minor"/>
      </rPr>
      <t xml:space="preserve"> - Timber, military escort, and resources provided</t>
    </r>
  </si>
  <si>
    <r>
      <t>Perfect timing</t>
    </r>
    <r>
      <rPr>
        <sz val="11"/>
        <color theme="1"/>
        <rFont val="Calibri"/>
        <family val="2"/>
        <scheme val="minor"/>
      </rPr>
      <t xml:space="preserve"> - 52-day wall completion despite opposition</t>
    </r>
  </si>
  <si>
    <r>
      <t>Enemy frustration</t>
    </r>
    <r>
      <rPr>
        <sz val="11"/>
        <color theme="1"/>
        <rFont val="Calibri"/>
        <family val="2"/>
        <scheme val="minor"/>
      </rPr>
      <t xml:space="preserve"> - Divine protection through thwarting plans</t>
    </r>
  </si>
  <si>
    <t>Divine Motivation and Calling:</t>
  </si>
  <si>
    <r>
      <t>Burden for Jerusalem</t>
    </r>
    <r>
      <rPr>
        <sz val="11"/>
        <color theme="1"/>
        <rFont val="Calibri"/>
        <family val="2"/>
        <scheme val="minor"/>
      </rPr>
      <t xml:space="preserve"> - God placing concern in Nehemiah's heart</t>
    </r>
  </si>
  <si>
    <r>
      <t>Unity and cooperation</t>
    </r>
    <r>
      <rPr>
        <sz val="11"/>
        <color theme="1"/>
        <rFont val="Calibri"/>
        <family val="2"/>
        <scheme val="minor"/>
      </rPr>
      <t xml:space="preserve"> - Divine motivation of people to build</t>
    </r>
  </si>
  <si>
    <r>
      <t>Spiritual reforms</t>
    </r>
    <r>
      <rPr>
        <sz val="11"/>
        <color theme="1"/>
        <rFont val="Calibri"/>
        <family val="2"/>
        <scheme val="minor"/>
      </rPr>
      <t xml:space="preserve"> - God enabling religious and social restoration</t>
    </r>
  </si>
  <si>
    <r>
      <t>Leadership wisdom</t>
    </r>
    <r>
      <rPr>
        <sz val="11"/>
        <color theme="1"/>
        <rFont val="Calibri"/>
        <family val="2"/>
        <scheme val="minor"/>
      </rPr>
      <t xml:space="preserve"> - Divine guidance in organization and governance</t>
    </r>
  </si>
  <si>
    <t>Divine Joy and Celebration:</t>
  </si>
  <si>
    <r>
      <t>Unprecedented gladness</t>
    </r>
    <r>
      <rPr>
        <sz val="11"/>
        <color theme="1"/>
        <rFont val="Calibri"/>
        <family val="2"/>
        <scheme val="minor"/>
      </rPr>
      <t xml:space="preserve"> - God-given joy not seen since Joshua's time</t>
    </r>
  </si>
  <si>
    <r>
      <t>Corporate worship</t>
    </r>
    <r>
      <rPr>
        <sz val="11"/>
        <color theme="1"/>
        <rFont val="Calibri"/>
        <family val="2"/>
        <scheme val="minor"/>
      </rPr>
      <t xml:space="preserve"> - Divine enablement of community celebration</t>
    </r>
  </si>
  <si>
    <r>
      <t>Far-reaching testimony</t>
    </r>
    <r>
      <rPr>
        <sz val="11"/>
        <color theme="1"/>
        <rFont val="Calibri"/>
        <family val="2"/>
        <scheme val="minor"/>
      </rPr>
      <t xml:space="preserve"> - Joy heard in distant places</t>
    </r>
  </si>
  <si>
    <r>
      <t>Family inclusion</t>
    </r>
    <r>
      <rPr>
        <sz val="11"/>
        <color theme="1"/>
        <rFont val="Calibri"/>
        <family val="2"/>
        <scheme val="minor"/>
      </rPr>
      <t xml:space="preserve"> - Even women and children participating in divine joy</t>
    </r>
  </si>
  <si>
    <r>
      <t>Law understanding</t>
    </r>
    <r>
      <rPr>
        <sz val="11"/>
        <color theme="1"/>
        <rFont val="Calibri"/>
        <family val="2"/>
        <scheme val="minor"/>
      </rPr>
      <t xml:space="preserve"> - Divine illumination in Scripture reading</t>
    </r>
  </si>
  <si>
    <r>
      <t>Historical confession</t>
    </r>
    <r>
      <rPr>
        <sz val="11"/>
        <color theme="1"/>
        <rFont val="Calibri"/>
        <family val="2"/>
        <scheme val="minor"/>
      </rPr>
      <t xml:space="preserve"> - Recognition of God's past faithfulness</t>
    </r>
  </si>
  <si>
    <r>
      <t>Covenant renewal</t>
    </r>
    <r>
      <rPr>
        <sz val="11"/>
        <color theme="1"/>
        <rFont val="Calibri"/>
        <family val="2"/>
        <scheme val="minor"/>
      </rPr>
      <t xml:space="preserve"> - Community commitment to obedience</t>
    </r>
  </si>
  <si>
    <r>
      <t>Reform movements</t>
    </r>
    <r>
      <rPr>
        <sz val="11"/>
        <color theme="1"/>
        <rFont val="Calibri"/>
        <family val="2"/>
        <scheme val="minor"/>
      </rPr>
      <t xml:space="preserve"> - Sabbath observance and marriage purity</t>
    </r>
  </si>
  <si>
    <r>
      <t>"Good hand of God"</t>
    </r>
    <r>
      <rPr>
        <sz val="11"/>
        <color theme="1"/>
        <rFont val="Calibri"/>
        <family val="2"/>
        <scheme val="minor"/>
      </rPr>
      <t xml:space="preserve"> - Repeated phrase showing divine favor</t>
    </r>
  </si>
  <si>
    <r>
      <t>Prayer and fasting</t>
    </r>
    <r>
      <rPr>
        <sz val="11"/>
        <color theme="1"/>
        <rFont val="Calibri"/>
        <family val="2"/>
        <scheme val="minor"/>
      </rPr>
      <t xml:space="preserve"> - Nehemiah's consistent seeking of God</t>
    </r>
  </si>
  <si>
    <r>
      <t>Divine remembrance</t>
    </r>
    <r>
      <rPr>
        <sz val="11"/>
        <color theme="1"/>
        <rFont val="Calibri"/>
        <family val="2"/>
        <scheme val="minor"/>
      </rPr>
      <t xml:space="preserve"> - Appeal for God to remember faithful service</t>
    </r>
  </si>
  <si>
    <r>
      <t>Practical holiness</t>
    </r>
    <r>
      <rPr>
        <sz val="11"/>
        <color theme="1"/>
        <rFont val="Calibri"/>
        <family val="2"/>
        <scheme val="minor"/>
      </rPr>
      <t xml:space="preserve"> - God enabling concrete reforms</t>
    </r>
  </si>
  <si>
    <r>
      <t>445 BC</t>
    </r>
    <r>
      <rPr>
        <sz val="11"/>
        <color theme="1"/>
        <rFont val="Calibri"/>
        <family val="2"/>
        <scheme val="minor"/>
      </rPr>
      <t>: Wall building and initial reforms</t>
    </r>
  </si>
  <si>
    <r>
      <t>445 BC</t>
    </r>
    <r>
      <rPr>
        <sz val="11"/>
        <color theme="1"/>
        <rFont val="Calibri"/>
        <family val="2"/>
        <scheme val="minor"/>
      </rPr>
      <t>: Law reading and Feast of Booths celebration</t>
    </r>
  </si>
  <si>
    <r>
      <t>432 BC</t>
    </r>
    <r>
      <rPr>
        <sz val="11"/>
        <color theme="1"/>
        <rFont val="Calibri"/>
        <family val="2"/>
        <scheme val="minor"/>
      </rPr>
      <t>: Second term reforms and final prayers</t>
    </r>
  </si>
  <si>
    <r>
      <t>Divine calling</t>
    </r>
    <r>
      <rPr>
        <sz val="11"/>
        <color theme="1"/>
        <rFont val="Calibri"/>
        <family val="2"/>
        <scheme val="minor"/>
      </rPr>
      <t xml:space="preserve"> - Burden and motivation for ministry</t>
    </r>
  </si>
  <si>
    <r>
      <t>Divine favor</t>
    </r>
    <r>
      <rPr>
        <sz val="11"/>
        <color theme="1"/>
        <rFont val="Calibri"/>
        <family val="2"/>
        <scheme val="minor"/>
      </rPr>
      <t xml:space="preserve"> - Supernatural provision and protection</t>
    </r>
  </si>
  <si>
    <r>
      <t>Divine enablement</t>
    </r>
    <r>
      <rPr>
        <sz val="11"/>
        <color theme="1"/>
        <rFont val="Calibri"/>
        <family val="2"/>
        <scheme val="minor"/>
      </rPr>
      <t xml:space="preserve"> - Strength for seemingly impossible tasks</t>
    </r>
  </si>
  <si>
    <r>
      <t>Divine joy</t>
    </r>
    <r>
      <rPr>
        <sz val="11"/>
        <color theme="1"/>
        <rFont val="Calibri"/>
        <family val="2"/>
        <scheme val="minor"/>
      </rPr>
      <t xml:space="preserve"> - Supernatural celebration and gladness</t>
    </r>
  </si>
  <si>
    <r>
      <t>Divine reform</t>
    </r>
    <r>
      <rPr>
        <sz val="11"/>
        <color theme="1"/>
        <rFont val="Calibri"/>
        <family val="2"/>
        <scheme val="minor"/>
      </rPr>
      <t xml:space="preserve"> - Spiritual and social restoration</t>
    </r>
  </si>
  <si>
    <r>
      <t>Divine remembrance</t>
    </r>
    <r>
      <rPr>
        <sz val="11"/>
        <color theme="1"/>
        <rFont val="Calibri"/>
        <family val="2"/>
        <scheme val="minor"/>
      </rPr>
      <t xml:space="preserve"> - God's faithfulness to His servants</t>
    </r>
  </si>
  <si>
    <r>
      <t>Providence</t>
    </r>
    <r>
      <rPr>
        <sz val="11"/>
        <color theme="1"/>
        <rFont val="Calibri"/>
        <family val="2"/>
        <scheme val="minor"/>
      </rPr>
      <t xml:space="preserve"> - God working through circumstances and people</t>
    </r>
  </si>
  <si>
    <r>
      <t>Faithfulness</t>
    </r>
    <r>
      <rPr>
        <sz val="11"/>
        <color theme="1"/>
        <rFont val="Calibri"/>
        <family val="2"/>
        <scheme val="minor"/>
      </rPr>
      <t xml:space="preserve"> - Divine loyalty despite human failures</t>
    </r>
  </si>
  <si>
    <r>
      <t>Holiness</t>
    </r>
    <r>
      <rPr>
        <sz val="11"/>
        <color theme="1"/>
        <rFont val="Calibri"/>
        <family val="2"/>
        <scheme val="minor"/>
      </rPr>
      <t xml:space="preserve"> - Separation from worldly compromise</t>
    </r>
  </si>
  <si>
    <r>
      <t>Community</t>
    </r>
    <r>
      <rPr>
        <sz val="11"/>
        <color theme="1"/>
        <rFont val="Calibri"/>
        <family val="2"/>
        <scheme val="minor"/>
      </rPr>
      <t xml:space="preserve"> - Corporate response to divine leading</t>
    </r>
  </si>
  <si>
    <r>
      <t>Perseverance</t>
    </r>
    <r>
      <rPr>
        <sz val="11"/>
        <color theme="1"/>
        <rFont val="Calibri"/>
        <family val="2"/>
        <scheme val="minor"/>
      </rPr>
      <t xml:space="preserve"> - Divine strength for long-term ministry</t>
    </r>
  </si>
  <si>
    <t>Nehemiah demonstrates how God works through dedicated leaders to accomplish His restoration purposes, emphasizing both the practical and spiritual aspects of rebuilding His people. The book shows divine favor in governmental affairs while maintaining focus on spiritual renewal and covenant faithfulness.</t>
  </si>
  <si>
    <t>Esther:</t>
  </si>
  <si>
    <t>God puts concern for Jerusalem in Nehemiah's heart</t>
  </si>
  <si>
    <t>Nehemiah 1:1-4</t>
  </si>
  <si>
    <t>Shushan (Susa)</t>
  </si>
  <si>
    <t>c. 445 BC</t>
  </si>
  <si>
    <t>Nehemiah prays and fasts before God</t>
  </si>
  <si>
    <t>Nehemiah 1:4-11</t>
  </si>
  <si>
    <t>Shushan</t>
  </si>
  <si>
    <t>God gives favor before Artaxerxes</t>
  </si>
  <si>
    <t>Nehemiah 2:1-8</t>
  </si>
  <si>
    <t>Shushan palace</t>
  </si>
  <si>
    <t>King grants all Nehemiah's requests</t>
  </si>
  <si>
    <t>Nehemiah 2:6-8</t>
  </si>
  <si>
    <t>Good hand of God upon Nehemiah</t>
  </si>
  <si>
    <t>Nehemiah 2:8, 18</t>
  </si>
  <si>
    <t>Shushan to Jerusalem</t>
  </si>
  <si>
    <t>King provides timber and materials</t>
  </si>
  <si>
    <t>Nehemiah 2:8</t>
  </si>
  <si>
    <t>King sends army officers with Nehemiah</t>
  </si>
  <si>
    <t>Nehemiah 2:9</t>
  </si>
  <si>
    <t>Artaxerxes by divine prompting</t>
  </si>
  <si>
    <t>God's good hand upon Nehemiah recognized</t>
  </si>
  <si>
    <t>Nehemiah 2:18</t>
  </si>
  <si>
    <t>People respond to build after hearing God's favor</t>
  </si>
  <si>
    <t>Nehemiah 2:17-18</t>
  </si>
  <si>
    <t>People by divine motivation</t>
  </si>
  <si>
    <t>God frustrates enemies' plans</t>
  </si>
  <si>
    <t>Nehemiah 4:7-15</t>
  </si>
  <si>
    <t>Enemies' counsel brought to nothing</t>
  </si>
  <si>
    <t>Nehemiah 4:15</t>
  </si>
  <si>
    <t>God fights for His people</t>
  </si>
  <si>
    <t>Nehemiah 4:20</t>
  </si>
  <si>
    <t>Jerusalem walls</t>
  </si>
  <si>
    <t>God enables wall completion in 52 days</t>
  </si>
  <si>
    <t>Nehemiah 6:15</t>
  </si>
  <si>
    <t>September 25, 445 BC</t>
  </si>
  <si>
    <t>Enemies recognize work done by God</t>
  </si>
  <si>
    <t>Nehemiah 6:16</t>
  </si>
  <si>
    <t>Enemies acknowledging GOD</t>
  </si>
  <si>
    <t>Enemies lose confidence when wall finished</t>
  </si>
  <si>
    <t>God puts genealogy records in Nehemiah's heart</t>
  </si>
  <si>
    <t>Nehemiah 7:5</t>
  </si>
  <si>
    <t>Ezra reads Law as God's spirit moves</t>
  </si>
  <si>
    <t>Nehemiah 8:1-8</t>
  </si>
  <si>
    <t>Jerusalem water gate</t>
  </si>
  <si>
    <t>People understand Law by God's enablement</t>
  </si>
  <si>
    <t>Nehemiah 8:7-8</t>
  </si>
  <si>
    <t>Nehemiah declares day holy to the LORD</t>
  </si>
  <si>
    <t>Nehemiah 8:9-11</t>
  </si>
  <si>
    <t>Joy of the LORD is your strength</t>
  </si>
  <si>
    <t>Nehemiah 8:10</t>
  </si>
  <si>
    <t>People discover Feast of Booths in Law</t>
  </si>
  <si>
    <t>Nehemiah 8:13-15</t>
  </si>
  <si>
    <t>Great gladness in keeping feast</t>
  </si>
  <si>
    <t>Nehemiah 8:17</t>
  </si>
  <si>
    <t>No celebration like this since Joshua</t>
  </si>
  <si>
    <t>Levites lead confession of God's mighty acts</t>
  </si>
  <si>
    <t>Nehemiah 9:5-37</t>
  </si>
  <si>
    <t>Levites by divine inspiration</t>
  </si>
  <si>
    <t>God's great mercies never fail</t>
  </si>
  <si>
    <t>Nehemiah 9:19, 27, 31</t>
  </si>
  <si>
    <t>Historical/Jerusalem</t>
  </si>
  <si>
    <t>God hears from heaven and delivers</t>
  </si>
  <si>
    <t>Nehemiah 9:27-28</t>
  </si>
  <si>
    <t>God gives good spirit to instruct</t>
  </si>
  <si>
    <t>Nehemiah 9:20</t>
  </si>
  <si>
    <t>Wilderness/historical</t>
  </si>
  <si>
    <t>c. 1440 BC</t>
  </si>
  <si>
    <t>God provides bread from heaven and water from rock</t>
  </si>
  <si>
    <t>Nehemiah 9:15, 20</t>
  </si>
  <si>
    <t>People make firm covenant with God</t>
  </si>
  <si>
    <t>Nehemiah 9:38</t>
  </si>
  <si>
    <t>God enables proper organization of temple service</t>
  </si>
  <si>
    <t>Nehemiah 12:24-47</t>
  </si>
  <si>
    <t>Great sacrifices offered with God-given joy</t>
  </si>
  <si>
    <t>Nehemiah 12:43</t>
  </si>
  <si>
    <t>God makes them rejoice with great joy</t>
  </si>
  <si>
    <t>Women and children rejoice by God's gift</t>
  </si>
  <si>
    <t>Joy of Jerusalem heard far away</t>
  </si>
  <si>
    <t>God puts remembrance in Nehemiah's heart</t>
  </si>
  <si>
    <t>Nehemiah 13:14, 22, 31</t>
  </si>
  <si>
    <t>c. 432 BC</t>
  </si>
  <si>
    <t>Nehemiah prays for God's remembrance</t>
  </si>
  <si>
    <t>God enables Sabbath reform</t>
  </si>
  <si>
    <t>Nehemiah 13:15-22</t>
  </si>
  <si>
    <t>God enables marriage purity reforms</t>
  </si>
  <si>
    <t>Nehemiah 13:23-28</t>
  </si>
  <si>
    <t>Nehemiah prays for cleansing and remembrance</t>
  </si>
  <si>
    <t>Nehemiah 13:29-31</t>
  </si>
  <si>
    <t>God providentially places Esther in royal position</t>
  </si>
  <si>
    <t>Esther 2:8-17</t>
  </si>
  <si>
    <t>c. 479 BC</t>
  </si>
  <si>
    <t>Esther finds favor above all other women</t>
  </si>
  <si>
    <t>Esther 2:17</t>
  </si>
  <si>
    <t>God conceals Esther's Jewish identity</t>
  </si>
  <si>
    <t>Esther 2:10, 20</t>
  </si>
  <si>
    <t>Mordecai discovers assassination plot</t>
  </si>
  <si>
    <t>Esther 2:21-23</t>
  </si>
  <si>
    <t>c. 475 BC</t>
  </si>
  <si>
    <t>Plot recorded in royal chronicles</t>
  </si>
  <si>
    <t>Esther 2:23</t>
  </si>
  <si>
    <t>God frustrates Haman's initial plan</t>
  </si>
  <si>
    <t>Esther 3:7</t>
  </si>
  <si>
    <t>c. 474 BC</t>
  </si>
  <si>
    <t>Lot cast delays execution for almost year</t>
  </si>
  <si>
    <t>Mordecai challenges Esther about divine purpose</t>
  </si>
  <si>
    <t>Esther 4:13-14</t>
  </si>
  <si>
    <t>Mordecai by divine insight</t>
  </si>
  <si>
    <t>Deliverance will come from another place if Esther refuses</t>
  </si>
  <si>
    <t>Esther 4:14</t>
  </si>
  <si>
    <t>Mordecai prophesying</t>
  </si>
  <si>
    <t>Esther may have come to kingdom for such a time</t>
  </si>
  <si>
    <t>People fast as Esther requests</t>
  </si>
  <si>
    <t>Esther 4:16</t>
  </si>
  <si>
    <t>Jews responding to divine crisis</t>
  </si>
  <si>
    <t>King cannot sleep on crucial night</t>
  </si>
  <si>
    <t>Esther 6:1</t>
  </si>
  <si>
    <t>King calls for chronicles to be read</t>
  </si>
  <si>
    <t>King by divine prompting</t>
  </si>
  <si>
    <t>Mordecai's unrewarded service discovered</t>
  </si>
  <si>
    <t>Esther 6:2-3</t>
  </si>
  <si>
    <t>Haman arrives at perfect moment</t>
  </si>
  <si>
    <t>Esther 6:4</t>
  </si>
  <si>
    <t>Haman forced to honor Mordecai</t>
  </si>
  <si>
    <t>Esther 6:10-11</t>
  </si>
  <si>
    <t>Haman's wife and friends prophesy his doom</t>
  </si>
  <si>
    <t>Esther 6:13</t>
  </si>
  <si>
    <t>Haman's house</t>
  </si>
  <si>
    <t>Zeresh and friends by divine insight</t>
  </si>
  <si>
    <t>Perfect timing of eunuch's arrival</t>
  </si>
  <si>
    <t>Esther 6:14</t>
  </si>
  <si>
    <t>Esther gains favor to make second request</t>
  </si>
  <si>
    <t>Esther 7:3</t>
  </si>
  <si>
    <t>King's wrath against Haman revealed</t>
  </si>
  <si>
    <t>Esther 7:7</t>
  </si>
  <si>
    <t>Divine timing of king's return</t>
  </si>
  <si>
    <t>Esther 7:8</t>
  </si>
  <si>
    <t>Palace garden/banquet hall</t>
  </si>
  <si>
    <t>Haman executed on gallows prepared for Mordecai</t>
  </si>
  <si>
    <t>Esther 7:9-10</t>
  </si>
  <si>
    <t>Mordecai elevated to Haman's position</t>
  </si>
  <si>
    <t>Esther 8:1-2</t>
  </si>
  <si>
    <t>King grants authority to reverse edict</t>
  </si>
  <si>
    <t>Esther 8:5-8</t>
  </si>
  <si>
    <t>New edict enables Jews to defend themselves</t>
  </si>
  <si>
    <t>Esther 8:11-14</t>
  </si>
  <si>
    <t>City of Shushan rejoices at reversal</t>
  </si>
  <si>
    <t>Esther 8:15</t>
  </si>
  <si>
    <t>People responding to divine deliverance</t>
  </si>
  <si>
    <t>Many people become Jews from fear</t>
  </si>
  <si>
    <t>Esther 8:17</t>
  </si>
  <si>
    <t>Throughout Persian Empire</t>
  </si>
  <si>
    <t>Gentiles by divine fear</t>
  </si>
  <si>
    <t>Jews triumph over enemies on appointed day</t>
  </si>
  <si>
    <t>Esther 9:1-2</t>
  </si>
  <si>
    <t>March 7, 473 BC</t>
  </si>
  <si>
    <t>Fear of Jews falls on all peoples</t>
  </si>
  <si>
    <t>Esther 9:2</t>
  </si>
  <si>
    <t>Provincial rulers help Jews from fear</t>
  </si>
  <si>
    <t>Esther 9:3</t>
  </si>
  <si>
    <t>Officials by divine fear</t>
  </si>
  <si>
    <t>Jews destroy enemies without taking plunder</t>
  </si>
  <si>
    <t>Esther 9:10, 15-16</t>
  </si>
  <si>
    <t>March 7-8, 473 BC</t>
  </si>
  <si>
    <t>Jews by divine restraint</t>
  </si>
  <si>
    <t>Haman's ten sons killed on same day</t>
  </si>
  <si>
    <t>Esther 9:7-10</t>
  </si>
  <si>
    <t>Jews rest and celebrate divine deliverance</t>
  </si>
  <si>
    <t>Esther 9:17-19</t>
  </si>
  <si>
    <t>March 8-9, 473 BC</t>
  </si>
  <si>
    <t>Purim established as perpetual memorial</t>
  </si>
  <si>
    <t>Esther 9:20-32</t>
  </si>
  <si>
    <t>March 473 BC</t>
  </si>
  <si>
    <t>Mordecai and Esther by divine leading</t>
  </si>
  <si>
    <t>Mordecai becomes great and seeks good for his people</t>
  </si>
  <si>
    <t>Esther 10:3</t>
  </si>
  <si>
    <t>c. 473 BC</t>
  </si>
  <si>
    <t>a comprehensive table of all miracles, acts of God, and divine communications in the Book of Esther. This contains 35 entries covering the events during the Persian period (c. 479-473 BC).</t>
  </si>
  <si>
    <t>Key characteristics of Esther:</t>
  </si>
  <si>
    <r>
      <t>Hidden orchestration</t>
    </r>
    <r>
      <rPr>
        <sz val="11"/>
        <color theme="1"/>
        <rFont val="Calibri"/>
        <family val="2"/>
        <scheme val="minor"/>
      </rPr>
      <t xml:space="preserve"> - God working behind the scenes without being explicitly named</t>
    </r>
  </si>
  <si>
    <r>
      <t>Perfect timing</t>
    </r>
    <r>
      <rPr>
        <sz val="11"/>
        <color theme="1"/>
        <rFont val="Calibri"/>
        <family val="2"/>
        <scheme val="minor"/>
      </rPr>
      <t xml:space="preserve"> - Multiple instances of supernatural timing coordination</t>
    </r>
  </si>
  <si>
    <r>
      <t>Reversal of circumstances</t>
    </r>
    <r>
      <rPr>
        <sz val="11"/>
        <color theme="1"/>
        <rFont val="Calibri"/>
        <family val="2"/>
        <scheme val="minor"/>
      </rPr>
      <t xml:space="preserve"> - Divine justice through complete role reversals</t>
    </r>
  </si>
  <si>
    <r>
      <t>Protective positioning</t>
    </r>
    <r>
      <rPr>
        <sz val="11"/>
        <color theme="1"/>
        <rFont val="Calibri"/>
        <family val="2"/>
        <scheme val="minor"/>
      </rPr>
      <t xml:space="preserve"> - Placing key people in strategic locations</t>
    </r>
  </si>
  <si>
    <t>Notable Divine Interventions:</t>
  </si>
  <si>
    <r>
      <t>Royal insomnia</t>
    </r>
    <r>
      <rPr>
        <sz val="11"/>
        <color theme="1"/>
        <rFont val="Calibri"/>
        <family val="2"/>
        <scheme val="minor"/>
      </rPr>
      <t xml:space="preserve"> - King's sleepless night leading to discovery of Mordecai's service</t>
    </r>
  </si>
  <si>
    <r>
      <t>Lot manipulation</t>
    </r>
    <r>
      <rPr>
        <sz val="11"/>
        <color theme="1"/>
        <rFont val="Calibri"/>
        <family val="2"/>
        <scheme val="minor"/>
      </rPr>
      <t xml:space="preserve"> - Delaying execution date for almost a year</t>
    </r>
  </si>
  <si>
    <r>
      <t>Perfect timing sequences</t>
    </r>
    <r>
      <rPr>
        <sz val="11"/>
        <color theme="1"/>
        <rFont val="Calibri"/>
        <family val="2"/>
        <scheme val="minor"/>
      </rPr>
      <t xml:space="preserve"> - Multiple perfectly timed arrivals and discoveries</t>
    </r>
  </si>
  <si>
    <r>
      <t>Fear phenomenon</t>
    </r>
    <r>
      <rPr>
        <sz val="11"/>
        <color theme="1"/>
        <rFont val="Calibri"/>
        <family val="2"/>
        <scheme val="minor"/>
      </rPr>
      <t xml:space="preserve"> - Supernatural fear falling on enemies and officials</t>
    </r>
  </si>
  <si>
    <t>Divine Justice and Reversal:</t>
  </si>
  <si>
    <r>
      <t>Poetic justice</t>
    </r>
    <r>
      <rPr>
        <sz val="11"/>
        <color theme="1"/>
        <rFont val="Calibri"/>
        <family val="2"/>
        <scheme val="minor"/>
      </rPr>
      <t xml:space="preserve"> - Haman executed on gallows he built for Mordecai</t>
    </r>
  </si>
  <si>
    <r>
      <t>Role reversals</t>
    </r>
    <r>
      <rPr>
        <sz val="11"/>
        <color theme="1"/>
        <rFont val="Calibri"/>
        <family val="2"/>
        <scheme val="minor"/>
      </rPr>
      <t xml:space="preserve"> - Enemies becoming helpers, the condemned becoming elevated</t>
    </r>
  </si>
  <si>
    <r>
      <t>Legal solutions</t>
    </r>
    <r>
      <rPr>
        <sz val="11"/>
        <color theme="1"/>
        <rFont val="Calibri"/>
        <family val="2"/>
        <scheme val="minor"/>
      </rPr>
      <t xml:space="preserve"> - Impossible legal situation resolved through divine influence</t>
    </r>
  </si>
  <si>
    <r>
      <t>Complete vindication</t>
    </r>
    <r>
      <rPr>
        <sz val="11"/>
        <color theme="1"/>
        <rFont val="Calibri"/>
        <family val="2"/>
        <scheme val="minor"/>
      </rPr>
      <t xml:space="preserve"> - Jewish people's total victory over their enemies</t>
    </r>
  </si>
  <si>
    <t>Supernatural Elements (Though Subtle):</t>
  </si>
  <si>
    <r>
      <t>Prophetic insight</t>
    </r>
    <r>
      <rPr>
        <sz val="11"/>
        <color theme="1"/>
        <rFont val="Calibri"/>
        <family val="2"/>
        <scheme val="minor"/>
      </rPr>
      <t xml:space="preserve"> - Mordecai's understanding of divine purpose and timing</t>
    </r>
  </si>
  <si>
    <r>
      <t>Divine favor</t>
    </r>
    <r>
      <rPr>
        <sz val="11"/>
        <color theme="1"/>
        <rFont val="Calibri"/>
        <family val="2"/>
        <scheme val="minor"/>
      </rPr>
      <t xml:space="preserve"> - Esther's unprecedented acceptance by the king</t>
    </r>
  </si>
  <si>
    <r>
      <t>Collective fear</t>
    </r>
    <r>
      <rPr>
        <sz val="11"/>
        <color theme="1"/>
        <rFont val="Calibri"/>
        <family val="2"/>
        <scheme val="minor"/>
      </rPr>
      <t xml:space="preserve"> - Supernatural intimidation of enemies</t>
    </r>
  </si>
  <si>
    <r>
      <t>Mass conversion</t>
    </r>
    <r>
      <rPr>
        <sz val="11"/>
        <color theme="1"/>
        <rFont val="Calibri"/>
        <family val="2"/>
        <scheme val="minor"/>
      </rPr>
      <t xml:space="preserve"> - Many Gentiles becoming Jews from divine fear</t>
    </r>
  </si>
  <si>
    <t>Unique Aspects of Esther:</t>
  </si>
  <si>
    <r>
      <t>God's name not mentioned</t>
    </r>
    <r>
      <rPr>
        <sz val="11"/>
        <color theme="1"/>
        <rFont val="Calibri"/>
        <family val="2"/>
        <scheme val="minor"/>
      </rPr>
      <t xml:space="preserve"> - Divine activity demonstrated through providence</t>
    </r>
  </si>
  <si>
    <r>
      <t>No direct divine speech</t>
    </r>
    <r>
      <rPr>
        <sz val="11"/>
        <color theme="1"/>
        <rFont val="Calibri"/>
        <family val="2"/>
        <scheme val="minor"/>
      </rPr>
      <t xml:space="preserve"> - God's will revealed through circumstances</t>
    </r>
  </si>
  <si>
    <r>
      <t>International scope</t>
    </r>
    <r>
      <rPr>
        <sz val="11"/>
        <color theme="1"/>
        <rFont val="Calibri"/>
        <family val="2"/>
        <scheme val="minor"/>
      </rPr>
      <t xml:space="preserve"> - Divine protection across entire Persian Empire</t>
    </r>
  </si>
  <si>
    <r>
      <t>Permanent memorial</t>
    </r>
    <r>
      <rPr>
        <sz val="11"/>
        <color theme="1"/>
        <rFont val="Calibri"/>
        <family val="2"/>
        <scheme val="minor"/>
      </rPr>
      <t xml:space="preserve"> - Purim established as perpetual remembrance</t>
    </r>
  </si>
  <si>
    <r>
      <t>479 BC</t>
    </r>
    <r>
      <rPr>
        <sz val="11"/>
        <color theme="1"/>
        <rFont val="Calibri"/>
        <family val="2"/>
        <scheme val="minor"/>
      </rPr>
      <t>: Esther becomes queen through divine favor</t>
    </r>
  </si>
  <si>
    <r>
      <t>475 BC</t>
    </r>
    <r>
      <rPr>
        <sz val="11"/>
        <color theme="1"/>
        <rFont val="Calibri"/>
        <family val="2"/>
        <scheme val="minor"/>
      </rPr>
      <t>: Mordecai discovers and reports assassination plot</t>
    </r>
  </si>
  <si>
    <r>
      <t>474 BC</t>
    </r>
    <r>
      <rPr>
        <sz val="11"/>
        <color theme="1"/>
        <rFont val="Calibri"/>
        <family val="2"/>
        <scheme val="minor"/>
      </rPr>
      <t>: Haman's plot and Esther's intervention</t>
    </r>
  </si>
  <si>
    <r>
      <t>473 BC</t>
    </r>
    <r>
      <rPr>
        <sz val="11"/>
        <color theme="1"/>
        <rFont val="Calibri"/>
        <family val="2"/>
        <scheme val="minor"/>
      </rPr>
      <t>: Purim victory and establishment of memorial</t>
    </r>
  </si>
  <si>
    <r>
      <t>Divine timing</t>
    </r>
    <r>
      <rPr>
        <sz val="11"/>
        <color theme="1"/>
        <rFont val="Calibri"/>
        <family val="2"/>
        <scheme val="minor"/>
      </rPr>
      <t xml:space="preserve"> - Perfect coordination of events and discoveries</t>
    </r>
  </si>
  <si>
    <r>
      <t>Divine favor</t>
    </r>
    <r>
      <rPr>
        <sz val="11"/>
        <color theme="1"/>
        <rFont val="Calibri"/>
        <family val="2"/>
        <scheme val="minor"/>
      </rPr>
      <t xml:space="preserve"> - Supernatural acceptance and influence</t>
    </r>
  </si>
  <si>
    <r>
      <t>Divine justice</t>
    </r>
    <r>
      <rPr>
        <sz val="11"/>
        <color theme="1"/>
        <rFont val="Calibri"/>
        <family val="2"/>
        <scheme val="minor"/>
      </rPr>
      <t xml:space="preserve"> - Poetic reversal of evil intentions</t>
    </r>
  </si>
  <si>
    <r>
      <t>Divine protection</t>
    </r>
    <r>
      <rPr>
        <sz val="11"/>
        <color theme="1"/>
        <rFont val="Calibri"/>
        <family val="2"/>
        <scheme val="minor"/>
      </rPr>
      <t xml:space="preserve"> - Preservation of His covenant people</t>
    </r>
  </si>
  <si>
    <r>
      <t>Divine fear</t>
    </r>
    <r>
      <rPr>
        <sz val="11"/>
        <color theme="1"/>
        <rFont val="Calibri"/>
        <family val="2"/>
        <scheme val="minor"/>
      </rPr>
      <t xml:space="preserve"> - Supernatural intimidation of enemies</t>
    </r>
  </si>
  <si>
    <r>
      <t>Hidden God</t>
    </r>
    <r>
      <rPr>
        <sz val="11"/>
        <color theme="1"/>
        <rFont val="Calibri"/>
        <family val="2"/>
        <scheme val="minor"/>
      </rPr>
      <t xml:space="preserve"> - Divine activity without explicit identification</t>
    </r>
  </si>
  <si>
    <r>
      <t>Covenant faithfulness</t>
    </r>
    <r>
      <rPr>
        <sz val="11"/>
        <color theme="1"/>
        <rFont val="Calibri"/>
        <family val="2"/>
        <scheme val="minor"/>
      </rPr>
      <t xml:space="preserve"> - Protection of Jewish people despite exile</t>
    </r>
  </si>
  <si>
    <r>
      <t>Justice</t>
    </r>
    <r>
      <rPr>
        <sz val="11"/>
        <color theme="1"/>
        <rFont val="Calibri"/>
        <family val="2"/>
        <scheme val="minor"/>
      </rPr>
      <t xml:space="preserve"> - Evil plans turned back on perpetrators</t>
    </r>
  </si>
  <si>
    <r>
      <t>Providence</t>
    </r>
    <r>
      <rPr>
        <sz val="11"/>
        <color theme="1"/>
        <rFont val="Calibri"/>
        <family val="2"/>
        <scheme val="minor"/>
      </rPr>
      <t xml:space="preserve"> - God's sovereign control over human affairs</t>
    </r>
  </si>
  <si>
    <r>
      <t>Deliverance</t>
    </r>
    <r>
      <rPr>
        <sz val="11"/>
        <color theme="1"/>
        <rFont val="Calibri"/>
        <family val="2"/>
        <scheme val="minor"/>
      </rPr>
      <t xml:space="preserve"> - Rescue coming at the darkest hour</t>
    </r>
  </si>
  <si>
    <t>Esther demonstrates how God works providentially through natural circumstances and human decisions to accomplish His purposes, showing that divine activity doesn't require miraculous interventions but can be seen in the remarkable "coincidences" and timing that preserve His people and execute His justice.</t>
  </si>
  <si>
    <t>Job:</t>
  </si>
  <si>
    <t>a comprehensive table of all miracles, acts of God, and divine communications in the Book of Job. This contains 113 entries covering the entire narrative and theological content of the book (c. 2000-1500 BC, during the patriarchal period).</t>
  </si>
  <si>
    <t>Key characteristics of Job:</t>
  </si>
  <si>
    <t>Heavenly Council Scenes:</t>
  </si>
  <si>
    <r>
      <t>Divine assembly</t>
    </r>
    <r>
      <rPr>
        <sz val="11"/>
        <color theme="1"/>
        <rFont val="Calibri"/>
        <family val="2"/>
        <scheme val="minor"/>
      </rPr>
      <t xml:space="preserve"> - Sons of God presenting themselves before the LORD</t>
    </r>
  </si>
  <si>
    <r>
      <t>Satan's access</t>
    </r>
    <r>
      <rPr>
        <sz val="11"/>
        <color theme="1"/>
        <rFont val="Calibri"/>
        <family val="2"/>
        <scheme val="minor"/>
      </rPr>
      <t xml:space="preserve"> - Adversary appearing among heavenly beings</t>
    </r>
  </si>
  <si>
    <r>
      <t>Divine permission</t>
    </r>
    <r>
      <rPr>
        <sz val="11"/>
        <color theme="1"/>
        <rFont val="Calibri"/>
        <family val="2"/>
        <scheme val="minor"/>
      </rPr>
      <t xml:space="preserve"> - God granting Satan authority to test Job</t>
    </r>
  </si>
  <si>
    <r>
      <t>Divine limitations</t>
    </r>
    <r>
      <rPr>
        <sz val="11"/>
        <color theme="1"/>
        <rFont val="Calibri"/>
        <family val="2"/>
        <scheme val="minor"/>
      </rPr>
      <t xml:space="preserve"> - God setting boundaries on Satan's power</t>
    </r>
  </si>
  <si>
    <t>Divine Testing and Affliction:</t>
  </si>
  <si>
    <r>
      <t>Comprehensive loss</t>
    </r>
    <r>
      <rPr>
        <sz val="11"/>
        <color theme="1"/>
        <rFont val="Calibri"/>
        <family val="2"/>
        <scheme val="minor"/>
      </rPr>
      <t xml:space="preserve"> - Property, family, health systematically removed</t>
    </r>
  </si>
  <si>
    <r>
      <t>Supernatural elements</t>
    </r>
    <r>
      <rPr>
        <sz val="11"/>
        <color theme="1"/>
        <rFont val="Calibri"/>
        <family val="2"/>
        <scheme val="minor"/>
      </rPr>
      <t xml:space="preserve"> - Fire of God, great wind, painful boils</t>
    </r>
  </si>
  <si>
    <r>
      <t>Preserved life</t>
    </r>
    <r>
      <rPr>
        <sz val="11"/>
        <color theme="1"/>
        <rFont val="Calibri"/>
        <family val="2"/>
        <scheme val="minor"/>
      </rPr>
      <t xml:space="preserve"> - Divine protection ensuring Job's survival</t>
    </r>
  </si>
  <si>
    <r>
      <t>Maintained righteousness</t>
    </r>
    <r>
      <rPr>
        <sz val="11"/>
        <color theme="1"/>
        <rFont val="Calibri"/>
        <family val="2"/>
        <scheme val="minor"/>
      </rPr>
      <t xml:space="preserve"> - Job's integrity despite extreme suffering</t>
    </r>
  </si>
  <si>
    <t>Divine Speeches from the Whirlwind:</t>
  </si>
  <si>
    <r>
      <t>Creation interrogation</t>
    </r>
    <r>
      <rPr>
        <sz val="11"/>
        <color theme="1"/>
        <rFont val="Calibri"/>
        <family val="2"/>
        <scheme val="minor"/>
      </rPr>
      <t xml:space="preserve"> - God questioning Job about cosmic mysteries</t>
    </r>
  </si>
  <si>
    <r>
      <t>Natural phenomena</t>
    </r>
    <r>
      <rPr>
        <sz val="11"/>
        <color theme="1"/>
        <rFont val="Calibri"/>
        <family val="2"/>
        <scheme val="minor"/>
      </rPr>
      <t xml:space="preserve"> - Divine control over weather, astronomy, geography</t>
    </r>
  </si>
  <si>
    <r>
      <t>Animal kingdom</t>
    </r>
    <r>
      <rPr>
        <sz val="11"/>
        <color theme="1"/>
        <rFont val="Calibri"/>
        <family val="2"/>
        <scheme val="minor"/>
      </rPr>
      <t xml:space="preserve"> - God's design and care for all creatures</t>
    </r>
  </si>
  <si>
    <r>
      <t>Behemoth and Leviathan</t>
    </r>
    <r>
      <rPr>
        <sz val="11"/>
        <color theme="1"/>
        <rFont val="Calibri"/>
        <family val="2"/>
        <scheme val="minor"/>
      </rPr>
      <t xml:space="preserve"> - Descriptions of mighty creatures beyond human control</t>
    </r>
  </si>
  <si>
    <t>Divine Restoration:</t>
  </si>
  <si>
    <r>
      <t>Double blessing</t>
    </r>
    <r>
      <rPr>
        <sz val="11"/>
        <color theme="1"/>
        <rFont val="Calibri"/>
        <family val="2"/>
        <scheme val="minor"/>
      </rPr>
      <t xml:space="preserve"> - Job receiving twice his original possessions</t>
    </r>
  </si>
  <si>
    <r>
      <t>Family renewal</t>
    </r>
    <r>
      <rPr>
        <sz val="11"/>
        <color theme="1"/>
        <rFont val="Calibri"/>
        <family val="2"/>
        <scheme val="minor"/>
      </rPr>
      <t xml:space="preserve"> - New children and extended life</t>
    </r>
  </si>
  <si>
    <r>
      <t>Social restoration</t>
    </r>
    <r>
      <rPr>
        <sz val="11"/>
        <color theme="1"/>
        <rFont val="Calibri"/>
        <family val="2"/>
        <scheme val="minor"/>
      </rPr>
      <t xml:space="preserve"> - Family and friends returning with gifts</t>
    </r>
  </si>
  <si>
    <r>
      <t>Divine vindication</t>
    </r>
    <r>
      <rPr>
        <sz val="11"/>
        <color theme="1"/>
        <rFont val="Calibri"/>
        <family val="2"/>
        <scheme val="minor"/>
      </rPr>
      <t xml:space="preserve"> - Job's righteousness confirmed, friends corrected</t>
    </r>
  </si>
  <si>
    <r>
      <t>Divine sovereignty</t>
    </r>
    <r>
      <rPr>
        <sz val="11"/>
        <color theme="1"/>
        <rFont val="Calibri"/>
        <family val="2"/>
        <scheme val="minor"/>
      </rPr>
      <t xml:space="preserve"> - God's absolute control over all creation</t>
    </r>
  </si>
  <si>
    <r>
      <t>Divine justice</t>
    </r>
    <r>
      <rPr>
        <sz val="11"/>
        <color theme="1"/>
        <rFont val="Calibri"/>
        <family val="2"/>
        <scheme val="minor"/>
      </rPr>
      <t xml:space="preserve"> - Complex questions about suffering and righteousness</t>
    </r>
  </si>
  <si>
    <r>
      <t>Divine wisdom</t>
    </r>
    <r>
      <rPr>
        <sz val="11"/>
        <color theme="1"/>
        <rFont val="Calibri"/>
        <family val="2"/>
        <scheme val="minor"/>
      </rPr>
      <t xml:space="preserve"> - God's understanding beyond human comprehension</t>
    </r>
  </si>
  <si>
    <r>
      <t>Divine mystery</t>
    </r>
    <r>
      <rPr>
        <sz val="11"/>
        <color theme="1"/>
        <rFont val="Calibri"/>
        <family val="2"/>
        <scheme val="minor"/>
      </rPr>
      <t xml:space="preserve"> - Acknowledgment of God's incomprehensible ways</t>
    </r>
  </si>
  <si>
    <r>
      <t>Divine testing</t>
    </r>
    <r>
      <rPr>
        <sz val="11"/>
        <color theme="1"/>
        <rFont val="Calibri"/>
        <family val="2"/>
        <scheme val="minor"/>
      </rPr>
      <t xml:space="preserve"> - Allowing suffering to prove character</t>
    </r>
  </si>
  <si>
    <r>
      <t>Divine creation</t>
    </r>
    <r>
      <rPr>
        <sz val="11"/>
        <color theme="1"/>
        <rFont val="Calibri"/>
        <family val="2"/>
        <scheme val="minor"/>
      </rPr>
      <t xml:space="preserve"> - Demonstrating power through natural world</t>
    </r>
  </si>
  <si>
    <r>
      <t>Divine communication</t>
    </r>
    <r>
      <rPr>
        <sz val="11"/>
        <color theme="1"/>
        <rFont val="Calibri"/>
        <family val="2"/>
        <scheme val="minor"/>
      </rPr>
      <t xml:space="preserve"> - Speaking directly from whirlwind</t>
    </r>
  </si>
  <si>
    <r>
      <t>Divine restoration</t>
    </r>
    <r>
      <rPr>
        <sz val="11"/>
        <color theme="1"/>
        <rFont val="Calibri"/>
        <family val="2"/>
        <scheme val="minor"/>
      </rPr>
      <t xml:space="preserve"> - Blessing after faithful endurance</t>
    </r>
  </si>
  <si>
    <r>
      <t>Divine justice</t>
    </r>
    <r>
      <rPr>
        <sz val="11"/>
        <color theme="1"/>
        <rFont val="Calibri"/>
        <family val="2"/>
        <scheme val="minor"/>
      </rPr>
      <t xml:space="preserve"> - Correcting false accusations and assumptions</t>
    </r>
  </si>
  <si>
    <r>
      <t>Divine sovereignty</t>
    </r>
    <r>
      <rPr>
        <sz val="11"/>
        <color theme="1"/>
        <rFont val="Calibri"/>
        <family val="2"/>
        <scheme val="minor"/>
      </rPr>
      <t xml:space="preserve"> - Controlling all aspects of creation and history</t>
    </r>
  </si>
  <si>
    <r>
      <t>Cosmic perspective</t>
    </r>
    <r>
      <rPr>
        <sz val="11"/>
        <color theme="1"/>
        <rFont val="Calibri"/>
        <family val="2"/>
        <scheme val="minor"/>
      </rPr>
      <t xml:space="preserve"> - Events viewed from heavenly vantage point</t>
    </r>
  </si>
  <si>
    <r>
      <t>Natural theology</t>
    </r>
    <r>
      <rPr>
        <sz val="11"/>
        <color theme="1"/>
        <rFont val="Calibri"/>
        <family val="2"/>
        <scheme val="minor"/>
      </rPr>
      <t xml:space="preserve"> - God revealed through creation and natural phenomena</t>
    </r>
  </si>
  <si>
    <r>
      <t>Wisdom literature</t>
    </r>
    <r>
      <rPr>
        <sz val="11"/>
        <color theme="1"/>
        <rFont val="Calibri"/>
        <family val="2"/>
        <scheme val="minor"/>
      </rPr>
      <t xml:space="preserve"> - Teaching through experience rather than law</t>
    </r>
  </si>
  <si>
    <r>
      <t>Universal themes</t>
    </r>
    <r>
      <rPr>
        <sz val="11"/>
        <color theme="1"/>
        <rFont val="Calibri"/>
        <family val="2"/>
        <scheme val="minor"/>
      </rPr>
      <t xml:space="preserve"> - Addressing suffering, justice, and divine purpose</t>
    </r>
  </si>
  <si>
    <t>Timeline Elements:</t>
  </si>
  <si>
    <r>
      <t>Patriarchal period</t>
    </r>
    <r>
      <rPr>
        <sz val="11"/>
        <color theme="1"/>
        <rFont val="Calibri"/>
        <family val="2"/>
        <scheme val="minor"/>
      </rPr>
      <t xml:space="preserve"> - Before Mosaic Law, contemporary with Abraham</t>
    </r>
  </si>
  <si>
    <r>
      <t>Lengthy narrative</t>
    </r>
    <r>
      <rPr>
        <sz val="11"/>
        <color theme="1"/>
        <rFont val="Calibri"/>
        <family val="2"/>
        <scheme val="minor"/>
      </rPr>
      <t xml:space="preserve"> - Covering Job's prosperity, testing, and restoration</t>
    </r>
  </si>
  <si>
    <r>
      <t>Extended life</t>
    </r>
    <r>
      <rPr>
        <sz val="11"/>
        <color theme="1"/>
        <rFont val="Calibri"/>
        <family val="2"/>
        <scheme val="minor"/>
      </rPr>
      <t xml:space="preserve"> - 140 additional years after restoration</t>
    </r>
  </si>
  <si>
    <t>The Book of Job demonstrates God's sovereignty over suffering, His incomprehensible wisdom in creation, and His ultimate justice and restoration for the faithful. It addresses the mystery of innocent suffering while affirming divine goodness and human responsibility to trust God despite incomprehensible circumstances.</t>
  </si>
  <si>
    <t>LORD asks Satan about his activities</t>
  </si>
  <si>
    <t>Job 1:7</t>
  </si>
  <si>
    <t>Heavenly court</t>
  </si>
  <si>
    <t>c. 2000-1500 BC</t>
  </si>
  <si>
    <t>God commends Job's righteousness to Satan</t>
  </si>
  <si>
    <t>Job 1:8</t>
  </si>
  <si>
    <t>God grants Satan permission to test Job</t>
  </si>
  <si>
    <t>Job 1:12</t>
  </si>
  <si>
    <t>God sets boundary - spare Job's life</t>
  </si>
  <si>
    <t>Fire of God burns sheep and servants</t>
  </si>
  <si>
    <t>Job 1:16</t>
  </si>
  <si>
    <t>Job's pastures</t>
  </si>
  <si>
    <t>Great wind destroys house killing children</t>
  </si>
  <si>
    <t>Job 1:18-19</t>
  </si>
  <si>
    <t>Eldest son's house</t>
  </si>
  <si>
    <t>God again commends Job's integrity</t>
  </si>
  <si>
    <t>Job 2:3</t>
  </si>
  <si>
    <t>God notes Job maintains integrity despite persecution</t>
  </si>
  <si>
    <t>God grants permission to afflict Job's body</t>
  </si>
  <si>
    <t>Job 2:6</t>
  </si>
  <si>
    <t>God commands Satan to spare Job's life</t>
  </si>
  <si>
    <t>Satan strikes Job with painful boils</t>
  </si>
  <si>
    <t>Job 2:7</t>
  </si>
  <si>
    <t>Job's home</t>
  </si>
  <si>
    <t>Satan by divine permission</t>
  </si>
  <si>
    <t>Spirit within Elihu compels him to speak</t>
  </si>
  <si>
    <t>Job 32:18-20</t>
  </si>
  <si>
    <t>Job's location</t>
  </si>
  <si>
    <t>Elihu declares God speaks in various ways</t>
  </si>
  <si>
    <t>Job 33:14-16</t>
  </si>
  <si>
    <t>God speaks in dreams and visions</t>
  </si>
  <si>
    <t>Job 33:15-16</t>
  </si>
  <si>
    <t>God opens ears and seals instruction</t>
  </si>
  <si>
    <t>Job 33:16</t>
  </si>
  <si>
    <t>God delivers soul from pit of destruction</t>
  </si>
  <si>
    <t>Job 33:18, 24, 28</t>
  </si>
  <si>
    <t>Spiritual realm</t>
  </si>
  <si>
    <t>Angel intercedes for person before God</t>
  </si>
  <si>
    <t>Job 33:23-24</t>
  </si>
  <si>
    <t>Interpreting angel</t>
  </si>
  <si>
    <t>God renews person's youth like eagle</t>
  </si>
  <si>
    <t>Job 33:25</t>
  </si>
  <si>
    <t>God restores righteousness to person</t>
  </si>
  <si>
    <t>Job 33:26</t>
  </si>
  <si>
    <t>God redeems soul from going to pit</t>
  </si>
  <si>
    <t>Job 33:28</t>
  </si>
  <si>
    <t>God preserves life of afflicted</t>
  </si>
  <si>
    <t>Job 36:6</t>
  </si>
  <si>
    <t>God opens ears through oppression</t>
  </si>
  <si>
    <t>Job 36:10, 15</t>
  </si>
  <si>
    <t>God delivers through affliction</t>
  </si>
  <si>
    <t>Job 36:15</t>
  </si>
  <si>
    <t>God thunders marvelously with His voice</t>
  </si>
  <si>
    <t>Job 37:5</t>
  </si>
  <si>
    <t>God does great things beyond understanding</t>
  </si>
  <si>
    <t>God commands snow and rain</t>
  </si>
  <si>
    <t>Job 37:6</t>
  </si>
  <si>
    <t>God seals up hand of every man</t>
  </si>
  <si>
    <t>Job 37:7</t>
  </si>
  <si>
    <t>God gives frost by breath of His mouth</t>
  </si>
  <si>
    <t>Job 37:10</t>
  </si>
  <si>
    <t>God scatters bright clouds</t>
  </si>
  <si>
    <t>Job 37:11</t>
  </si>
  <si>
    <t>Sky</t>
  </si>
  <si>
    <t>Clouds turn according to God's guidance</t>
  </si>
  <si>
    <t>Job 37:12</t>
  </si>
  <si>
    <t>God causes clouds for correction, mercy, or earth</t>
  </si>
  <si>
    <t>Job 37:13</t>
  </si>
  <si>
    <t>LORD answers Job out of whirlwind</t>
  </si>
  <si>
    <t>Job 38:1</t>
  </si>
  <si>
    <t>God challenges Job's wisdom and understanding</t>
  </si>
  <si>
    <t>Job 38:2-3</t>
  </si>
  <si>
    <t>God questions Job about earth's foundations</t>
  </si>
  <si>
    <t>Job 38:4-7</t>
  </si>
  <si>
    <t>Morning stars sang together at creation</t>
  </si>
  <si>
    <t>Job 38:7</t>
  </si>
  <si>
    <t>Creation</t>
  </si>
  <si>
    <t>Stars by divine orchestration</t>
  </si>
  <si>
    <t>Sons of God shouted for joy at creation</t>
  </si>
  <si>
    <t>Sons of God</t>
  </si>
  <si>
    <t>God shut up sea with doors</t>
  </si>
  <si>
    <t>Job 38:8-11</t>
  </si>
  <si>
    <t>Creation/seas</t>
  </si>
  <si>
    <t>God set bars and doors for sea</t>
  </si>
  <si>
    <t>Job 38:10</t>
  </si>
  <si>
    <t>Seas/shores</t>
  </si>
  <si>
    <t>God commands morning and dawn</t>
  </si>
  <si>
    <t>Job 38:12-15</t>
  </si>
  <si>
    <t>Daily</t>
  </si>
  <si>
    <t>God reserves snow and hail for trouble and war</t>
  </si>
  <si>
    <t>Job 38:23</t>
  </si>
  <si>
    <t>Heavenly storehouses</t>
  </si>
  <si>
    <t>God causes rain on uninhabited land</t>
  </si>
  <si>
    <t>Job 38:26-27</t>
  </si>
  <si>
    <t>Lightning reports to God</t>
  </si>
  <si>
    <t>Job 38:35</t>
  </si>
  <si>
    <t>Lightning by divine command</t>
  </si>
  <si>
    <t>God provides prey for lion</t>
  </si>
  <si>
    <t>Job 38:39</t>
  </si>
  <si>
    <t>God feeds young ravens when they cry</t>
  </si>
  <si>
    <t>Job 38:41</t>
  </si>
  <si>
    <t>God knows time wild goats give birth</t>
  </si>
  <si>
    <t>Job 39:1-4</t>
  </si>
  <si>
    <t>Mountains</t>
  </si>
  <si>
    <t>God sets wild donkey free</t>
  </si>
  <si>
    <t>Job 39:5-8</t>
  </si>
  <si>
    <t>Creation/various times</t>
  </si>
  <si>
    <t>God gives ostrich strange behavior</t>
  </si>
  <si>
    <t>Job 39:13-18</t>
  </si>
  <si>
    <t>Desert</t>
  </si>
  <si>
    <t>God clothes horse's neck with thunder</t>
  </si>
  <si>
    <t>Job 39:19-25</t>
  </si>
  <si>
    <t>Eagle mounts up at God's command</t>
  </si>
  <si>
    <t>Job 39:27-30</t>
  </si>
  <si>
    <t>Mountains/cliffs</t>
  </si>
  <si>
    <t>Eagle by divine direction</t>
  </si>
  <si>
    <t>God challenges Job to answer</t>
  </si>
  <si>
    <t>Job 40:1-2</t>
  </si>
  <si>
    <t>LORD answers Job again from whirlwind</t>
  </si>
  <si>
    <t>Job 40:6</t>
  </si>
  <si>
    <t>God challenges Job's ability to govern justly</t>
  </si>
  <si>
    <t>Job 40:7-14</t>
  </si>
  <si>
    <t>God describes behemoth's power</t>
  </si>
  <si>
    <t>Job 40:15-24</t>
  </si>
  <si>
    <t>River regions</t>
  </si>
  <si>
    <t>God made behemoth along with Job</t>
  </si>
  <si>
    <t>Job 40:15</t>
  </si>
  <si>
    <t>Creation time</t>
  </si>
  <si>
    <t>God describes leviathan's fierce nature</t>
  </si>
  <si>
    <t>Job 41:1-34</t>
  </si>
  <si>
    <t>Seas</t>
  </si>
  <si>
    <t>Who can stand before God if leviathan is untamable</t>
  </si>
  <si>
    <t>Job 41:10</t>
  </si>
  <si>
    <t>Spiritual/physical realm</t>
  </si>
  <si>
    <t>Everything under heaven belongs to God</t>
  </si>
  <si>
    <t>Job 41:11</t>
  </si>
  <si>
    <t>Universe</t>
  </si>
  <si>
    <t>All time</t>
  </si>
  <si>
    <t>God's wrath burns against three friends</t>
  </si>
  <si>
    <t>Job 42:7</t>
  </si>
  <si>
    <t>Friends have not spoken right of God</t>
  </si>
  <si>
    <t>Job 42:7-8</t>
  </si>
  <si>
    <t>God commands friends to offer sacrifice</t>
  </si>
  <si>
    <t>Job 42:8</t>
  </si>
  <si>
    <t>God will accept Job's prayer for friends</t>
  </si>
  <si>
    <t>God threatens folly upon friends without sacrifice</t>
  </si>
  <si>
    <t>LORD accepts Job's prayer for friends</t>
  </si>
  <si>
    <t>Job 42:9</t>
  </si>
  <si>
    <t>God turns Job's captivity when he prays for friends</t>
  </si>
  <si>
    <t>Job 42:10</t>
  </si>
  <si>
    <t>LORD gives Job twice as much as before</t>
  </si>
  <si>
    <t>LORD blesses Job's latter end more than beginning</t>
  </si>
  <si>
    <t>Job 42:12</t>
  </si>
  <si>
    <t>Job's property</t>
  </si>
  <si>
    <t>Job receives 14,000 sheep, 6,000 camels</t>
  </si>
  <si>
    <t>Job receives 1,000 yoke oxen, 1,000 donkeys</t>
  </si>
  <si>
    <t>Job has seven sons and three daughters</t>
  </si>
  <si>
    <t>Job 42:13</t>
  </si>
  <si>
    <t>Job's daughters most beautiful in all land</t>
  </si>
  <si>
    <t>Job 42:15</t>
  </si>
  <si>
    <t>Job's land</t>
  </si>
  <si>
    <t>Job lives 140 years after restoration</t>
  </si>
  <si>
    <t>Job 42:16</t>
  </si>
  <si>
    <t>Psalms:</t>
  </si>
  <si>
    <t>a comprehensive table of all miracles, acts of God, and divine communications found in the Book of Psalms. This contains 91 entries covering various historical periods referenced in the psalms (from Creation through the monarchy and beyond).</t>
  </si>
  <si>
    <t>Key characteristics of Psalms:</t>
  </si>
  <si>
    <r>
      <t>Messianic declarations</t>
    </r>
    <r>
      <rPr>
        <sz val="11"/>
        <color theme="1"/>
        <rFont val="Calibri"/>
        <family val="2"/>
        <scheme val="minor"/>
      </rPr>
      <t xml:space="preserve"> - "You are My Son" and eternal covenant promises</t>
    </r>
  </si>
  <si>
    <r>
      <t>Prophetic visions</t>
    </r>
    <r>
      <rPr>
        <sz val="11"/>
        <color theme="1"/>
        <rFont val="Calibri"/>
        <family val="2"/>
        <scheme val="minor"/>
      </rPr>
      <t xml:space="preserve"> - God speaking to holy ones about David and the kingdom</t>
    </r>
  </si>
  <si>
    <r>
      <t>Divine law revelation</t>
    </r>
    <r>
      <rPr>
        <sz val="11"/>
        <color theme="1"/>
        <rFont val="Calibri"/>
        <family val="2"/>
        <scheme val="minor"/>
      </rPr>
      <t xml:space="preserve"> - God showing His word, statutes, and judgments to Israel</t>
    </r>
  </si>
  <si>
    <r>
      <t>Divine appointments</t>
    </r>
    <r>
      <rPr>
        <sz val="11"/>
        <color theme="1"/>
        <rFont val="Calibri"/>
        <family val="2"/>
        <scheme val="minor"/>
      </rPr>
      <t xml:space="preserve"> - God establishing natural order and spiritual leadership</t>
    </r>
  </si>
  <si>
    <t>Historical Miracles Recounted:</t>
  </si>
  <si>
    <r>
      <t>Exodus events</t>
    </r>
    <r>
      <rPr>
        <sz val="11"/>
        <color theme="1"/>
        <rFont val="Calibri"/>
        <family val="2"/>
        <scheme val="minor"/>
      </rPr>
      <t xml:space="preserve"> - Red Sea parting, manna, water from rock, plagues</t>
    </r>
  </si>
  <si>
    <r>
      <t>Wilderness provision</t>
    </r>
    <r>
      <rPr>
        <sz val="11"/>
        <color theme="1"/>
        <rFont val="Calibri"/>
        <family val="2"/>
        <scheme val="minor"/>
      </rPr>
      <t xml:space="preserve"> - Supernatural food, water, guidance for 40 years</t>
    </r>
  </si>
  <si>
    <r>
      <t>Conquest victories</t>
    </r>
    <r>
      <rPr>
        <sz val="11"/>
        <color theme="1"/>
        <rFont val="Calibri"/>
        <family val="2"/>
        <scheme val="minor"/>
      </rPr>
      <t xml:space="preserve"> - Defeat of great kings like Sihon and Og</t>
    </r>
  </si>
  <si>
    <r>
      <t>Davidic covenant</t>
    </r>
    <r>
      <rPr>
        <sz val="11"/>
        <color theme="1"/>
        <rFont val="Calibri"/>
        <family val="2"/>
        <scheme val="minor"/>
      </rPr>
      <t xml:space="preserve"> - God's eternal promises to David's throne</t>
    </r>
  </si>
  <si>
    <t>Creation and Natural Control:</t>
  </si>
  <si>
    <r>
      <t>Cosmic establishment</t>
    </r>
    <r>
      <rPr>
        <sz val="11"/>
        <color theme="1"/>
        <rFont val="Calibri"/>
        <family val="2"/>
        <scheme val="minor"/>
      </rPr>
      <t xml:space="preserve"> - Earth's foundations, boundaries, stability</t>
    </r>
  </si>
  <si>
    <r>
      <t>Weather control</t>
    </r>
    <r>
      <rPr>
        <sz val="11"/>
        <color theme="1"/>
        <rFont val="Calibri"/>
        <family val="2"/>
        <scheme val="minor"/>
      </rPr>
      <t xml:space="preserve"> - Rain, snow, wind, storms at God's command</t>
    </r>
  </si>
  <si>
    <r>
      <t>Astronomical order</t>
    </r>
    <r>
      <rPr>
        <sz val="11"/>
        <color theme="1"/>
        <rFont val="Calibri"/>
        <family val="2"/>
        <scheme val="minor"/>
      </rPr>
      <t xml:space="preserve"> - Stars, moon, sun in their appointed courses</t>
    </r>
  </si>
  <si>
    <r>
      <t>Ecological systems</t>
    </r>
    <r>
      <rPr>
        <sz val="11"/>
        <color theme="1"/>
        <rFont val="Calibri"/>
        <family val="2"/>
        <scheme val="minor"/>
      </rPr>
      <t xml:space="preserve"> - Food chains, seasons, natural cycles</t>
    </r>
  </si>
  <si>
    <r>
      <t>Deliverance miracles</t>
    </r>
    <r>
      <rPr>
        <sz val="11"/>
        <color theme="1"/>
        <rFont val="Calibri"/>
        <family val="2"/>
        <scheme val="minor"/>
      </rPr>
      <t xml:space="preserve"> - Breaking chains, opening prison doors, healing</t>
    </r>
  </si>
  <si>
    <r>
      <t>Geographical transformation</t>
    </r>
    <r>
      <rPr>
        <sz val="11"/>
        <color theme="1"/>
        <rFont val="Calibri"/>
        <family val="2"/>
        <scheme val="minor"/>
      </rPr>
      <t xml:space="preserve"> - Turning wilderness to water, deserts to springs</t>
    </r>
  </si>
  <si>
    <r>
      <t>Natural phenomena</t>
    </r>
    <r>
      <rPr>
        <sz val="11"/>
        <color theme="1"/>
        <rFont val="Calibri"/>
        <family val="2"/>
        <scheme val="minor"/>
      </rPr>
      <t xml:space="preserve"> - Voice of the LORD affecting nature, earthquakes, fire</t>
    </r>
  </si>
  <si>
    <r>
      <t>Provision miracles</t>
    </r>
    <r>
      <rPr>
        <sz val="11"/>
        <color theme="1"/>
        <rFont val="Calibri"/>
        <family val="2"/>
        <scheme val="minor"/>
      </rPr>
      <t xml:space="preserve"> - Feeding all creation, satisfying hungry souls</t>
    </r>
  </si>
  <si>
    <t>Ongoing Divine Activities:</t>
  </si>
  <si>
    <r>
      <t>Universal provision</t>
    </r>
    <r>
      <rPr>
        <sz val="11"/>
        <color theme="1"/>
        <rFont val="Calibri"/>
        <family val="2"/>
        <scheme val="minor"/>
      </rPr>
      <t xml:space="preserve"> - Feeding all creatures, controlling weather</t>
    </r>
  </si>
  <si>
    <r>
      <t>Spiritual restoration</t>
    </r>
    <r>
      <rPr>
        <sz val="11"/>
        <color theme="1"/>
        <rFont val="Calibri"/>
        <family val="2"/>
        <scheme val="minor"/>
      </rPr>
      <t xml:space="preserve"> - Healing broken hearts, gathering outcasts</t>
    </r>
  </si>
  <si>
    <r>
      <t>Natural maintenance</t>
    </r>
    <r>
      <rPr>
        <sz val="11"/>
        <color theme="1"/>
        <rFont val="Calibri"/>
        <family val="2"/>
        <scheme val="minor"/>
      </rPr>
      <t xml:space="preserve"> - Sustaining ecosystems, seasonal cycles</t>
    </r>
  </si>
  <si>
    <r>
      <t>Knowledge and naming</t>
    </r>
    <r>
      <rPr>
        <sz val="11"/>
        <color theme="1"/>
        <rFont val="Calibri"/>
        <family val="2"/>
        <scheme val="minor"/>
      </rPr>
      <t xml:space="preserve"> - Counting and naming stars, knowing all creation</t>
    </r>
  </si>
  <si>
    <r>
      <t>Divine creation</t>
    </r>
    <r>
      <rPr>
        <sz val="11"/>
        <color theme="1"/>
        <rFont val="Calibri"/>
        <family val="2"/>
        <scheme val="minor"/>
      </rPr>
      <t xml:space="preserve"> - Original formation and ongoing maintenance of creation</t>
    </r>
  </si>
  <si>
    <r>
      <t>Divine covenant</t>
    </r>
    <r>
      <rPr>
        <sz val="11"/>
        <color theme="1"/>
        <rFont val="Calibri"/>
        <family val="2"/>
        <scheme val="minor"/>
      </rPr>
      <t xml:space="preserve"> - Eternal promises to David and Israel</t>
    </r>
  </si>
  <si>
    <r>
      <t>Divine deliverance</t>
    </r>
    <r>
      <rPr>
        <sz val="11"/>
        <color theme="1"/>
        <rFont val="Calibri"/>
        <family val="2"/>
        <scheme val="minor"/>
      </rPr>
      <t xml:space="preserve"> - Historical rescues and ongoing salvation</t>
    </r>
  </si>
  <si>
    <r>
      <t>Divine provision</t>
    </r>
    <r>
      <rPr>
        <sz val="11"/>
        <color theme="1"/>
        <rFont val="Calibri"/>
        <family val="2"/>
        <scheme val="minor"/>
      </rPr>
      <t xml:space="preserve"> - Physical and spiritual sustenance for all creation</t>
    </r>
  </si>
  <si>
    <r>
      <t>Divine revelation</t>
    </r>
    <r>
      <rPr>
        <sz val="11"/>
        <color theme="1"/>
        <rFont val="Calibri"/>
        <family val="2"/>
        <scheme val="minor"/>
      </rPr>
      <t xml:space="preserve"> - Communication of law, wisdom, and divine will</t>
    </r>
  </si>
  <si>
    <r>
      <t>Divine sovereignty</t>
    </r>
    <r>
      <rPr>
        <sz val="11"/>
        <color theme="1"/>
        <rFont val="Calibri"/>
        <family val="2"/>
        <scheme val="minor"/>
      </rPr>
      <t xml:space="preserve"> - Control over nature, nations, and history</t>
    </r>
  </si>
  <si>
    <r>
      <t>God's faithfulness</t>
    </r>
    <r>
      <rPr>
        <sz val="11"/>
        <color theme="1"/>
        <rFont val="Calibri"/>
        <family val="2"/>
        <scheme val="minor"/>
      </rPr>
      <t xml:space="preserve"> - Keeping covenants and promises across generations</t>
    </r>
  </si>
  <si>
    <r>
      <t>Universal care</t>
    </r>
    <r>
      <rPr>
        <sz val="11"/>
        <color theme="1"/>
        <rFont val="Calibri"/>
        <family val="2"/>
        <scheme val="minor"/>
      </rPr>
      <t xml:space="preserve"> - Providing for all creation, not just Israel</t>
    </r>
  </si>
  <si>
    <r>
      <t>Redemptive history</t>
    </r>
    <r>
      <rPr>
        <sz val="11"/>
        <color theme="1"/>
        <rFont val="Calibri"/>
        <family val="2"/>
        <scheme val="minor"/>
      </rPr>
      <t xml:space="preserve"> - God's saving acts throughout Israel's story</t>
    </r>
  </si>
  <si>
    <r>
      <t>Divine transcendence</t>
    </r>
    <r>
      <rPr>
        <sz val="11"/>
        <color theme="1"/>
        <rFont val="Calibri"/>
        <family val="2"/>
        <scheme val="minor"/>
      </rPr>
      <t xml:space="preserve"> - God's power over all natural and spiritual realms</t>
    </r>
  </si>
  <si>
    <r>
      <t>Creation events</t>
    </r>
    <r>
      <rPr>
        <sz val="11"/>
        <color theme="1"/>
        <rFont val="Calibri"/>
        <family val="2"/>
        <scheme val="minor"/>
      </rPr>
      <t xml:space="preserve"> - Foundational acts establishing natural order</t>
    </r>
  </si>
  <si>
    <r>
      <t>Historical period</t>
    </r>
    <r>
      <rPr>
        <sz val="11"/>
        <color theme="1"/>
        <rFont val="Calibri"/>
        <family val="2"/>
        <scheme val="minor"/>
      </rPr>
      <t xml:space="preserve"> - Exodus, conquest, monarchy referenced</t>
    </r>
  </si>
  <si>
    <r>
      <t>Ongoing activities</t>
    </r>
    <r>
      <rPr>
        <sz val="11"/>
        <color theme="1"/>
        <rFont val="Calibri"/>
        <family val="2"/>
        <scheme val="minor"/>
      </rPr>
      <t xml:space="preserve"> - Present continuous divine actions</t>
    </r>
  </si>
  <si>
    <r>
      <t>Eschatological promises</t>
    </r>
    <r>
      <rPr>
        <sz val="11"/>
        <color theme="1"/>
        <rFont val="Calibri"/>
        <family val="2"/>
        <scheme val="minor"/>
      </rPr>
      <t xml:space="preserve"> - Future fulfillment of Messianic prophecies</t>
    </r>
  </si>
  <si>
    <t>The Psalms demonstrate both God's historical mighty acts and His ongoing providential care, showing divine activity spanning from creation through redemptive history to daily sustenance of all life.</t>
  </si>
  <si>
    <t>Proverbs:</t>
  </si>
  <si>
    <t>Multiple records are events that are neither miracles, "acts of God" nor divine communications of God with man or spiritual beings. Remove these.</t>
  </si>
  <si>
    <t>God speaks to His anointed king</t>
  </si>
  <si>
    <t>Zion</t>
  </si>
  <si>
    <t>God declares "You are My Son"</t>
  </si>
  <si>
    <t>Heavenly/earthly throne</t>
  </si>
  <si>
    <t>God promises to give nations as inheritance</t>
  </si>
  <si>
    <t>Universal</t>
  </si>
  <si>
    <t>God delivers from death and Sheol</t>
  </si>
  <si>
    <t>God will not abandon soul to Sheol</t>
  </si>
  <si>
    <t>Death/afterlife</t>
  </si>
  <si>
    <t>God makes known path of life</t>
  </si>
  <si>
    <t>Voice of the LORD breaks cedars</t>
  </si>
  <si>
    <t>Lebanon</t>
  </si>
  <si>
    <t>Voice of the LORD breaks cedars of Lebanon</t>
  </si>
  <si>
    <t>Lebanon mountains</t>
  </si>
  <si>
    <t>Voice of the LORD divides flames of fire</t>
  </si>
  <si>
    <t>Voice of the LORD shakes wilderness</t>
  </si>
  <si>
    <t>Kadesh wilderness</t>
  </si>
  <si>
    <t>Voice of the LORD makes deer give birth</t>
  </si>
  <si>
    <t>Forests</t>
  </si>
  <si>
    <t>Voice of the LORD strips forests bare</t>
  </si>
  <si>
    <t>Various forests</t>
  </si>
  <si>
    <t>God turns mourning into dancing</t>
  </si>
  <si>
    <t>God removes sackcloth and clothes with gladness</t>
  </si>
  <si>
    <t>God spoke in vision to His holy one</t>
  </si>
  <si>
    <t>Various times/places</t>
  </si>
  <si>
    <t>Historical periods</t>
  </si>
  <si>
    <t>God promised to establish David's throne forever</t>
  </si>
  <si>
    <t>Jerusalem/Israel</t>
  </si>
  <si>
    <t>God swore by His holiness to David</t>
  </si>
  <si>
    <t>God will not lie to David</t>
  </si>
  <si>
    <t>David's throne will be as sun before God</t>
  </si>
  <si>
    <t>Jerusalem/eternal</t>
  </si>
  <si>
    <t>God establishes David's throne like moon forever</t>
  </si>
  <si>
    <t>God brought forth water from rock</t>
  </si>
  <si>
    <t>God made streams flow like rivers</t>
  </si>
  <si>
    <t>God rained manna from heaven</t>
  </si>
  <si>
    <t>c. 1440-1400 BC</t>
  </si>
  <si>
    <t>God gave them grain of heaven</t>
  </si>
  <si>
    <t>Man ate angels' food</t>
  </si>
  <si>
    <t>God sent east wind and south wind</t>
  </si>
  <si>
    <t>God rained flesh like dust</t>
  </si>
  <si>
    <t>God sent winged birds like sand</t>
  </si>
  <si>
    <t>God struck firstborn in Egypt</t>
  </si>
  <si>
    <t>God led people like flock in wilderness</t>
  </si>
  <si>
    <t>c. 1446-1406 BC</t>
  </si>
  <si>
    <t>Sea overwhelmed their enemies</t>
  </si>
  <si>
    <t>God chose Mount Zion which He loved</t>
  </si>
  <si>
    <t>God built sanctuary like high palaces</t>
  </si>
  <si>
    <t>God established earth forever</t>
  </si>
  <si>
    <t>God took David from sheepfolds</t>
  </si>
  <si>
    <t>God chose David to shepherd Jacob</t>
  </si>
  <si>
    <t>God turned rivers into wilderness</t>
  </si>
  <si>
    <t>God turned fruitful land into barren ground</t>
  </si>
  <si>
    <t>God turned wilderness into pools of water</t>
  </si>
  <si>
    <t>God turned dry ground into water springs</t>
  </si>
  <si>
    <t>God satisfies longing soul</t>
  </si>
  <si>
    <t>God fills hungry soul with goodness</t>
  </si>
  <si>
    <t>God brought people out of darkness</t>
  </si>
  <si>
    <t>God broke their chains in pieces</t>
  </si>
  <si>
    <t>God broke gates of bronze</t>
  </si>
  <si>
    <t>God cut bars of iron</t>
  </si>
  <si>
    <t>God sent His word and healed them</t>
  </si>
  <si>
    <t>God delivered them from destructions</t>
  </si>
  <si>
    <t>God makes storm calm</t>
  </si>
  <si>
    <t>God stills waves of sea</t>
  </si>
  <si>
    <t>God guides to desired haven</t>
  </si>
  <si>
    <t>Seas/harbors</t>
  </si>
  <si>
    <t>God establishes earth upon its foundations</t>
  </si>
  <si>
    <t>Earth shall not be moved forever</t>
  </si>
  <si>
    <t>Creation/eternal</t>
  </si>
  <si>
    <t>God covered earth with deep as garment</t>
  </si>
  <si>
    <t>Waters stood above mountains</t>
  </si>
  <si>
    <t>At God's rebuke waters fled</t>
  </si>
  <si>
    <t>At voice of thunder waters hastened away</t>
  </si>
  <si>
    <t>Mountains rose and valleys sank</t>
  </si>
  <si>
    <t>God set boundary waters cannot pass</t>
  </si>
  <si>
    <t>Earth/seas</t>
  </si>
  <si>
    <t>Waters cannot return to cover earth</t>
  </si>
  <si>
    <t>Creation/permanent</t>
  </si>
  <si>
    <t>God sends springs into valleys</t>
  </si>
  <si>
    <t>Creation/ongoing</t>
  </si>
  <si>
    <t>Springs flow among hills</t>
  </si>
  <si>
    <t>God waters hills from His upper chambers</t>
  </si>
  <si>
    <t>Ongoing</t>
  </si>
  <si>
    <t>Earth satisfied with fruit of God's works</t>
  </si>
  <si>
    <t>God causes grass to grow for cattle</t>
  </si>
  <si>
    <t>God gives herb for service of man</t>
  </si>
  <si>
    <t>God brings food out of earth</t>
  </si>
  <si>
    <t>God appointed moon for seasons</t>
  </si>
  <si>
    <t>Earth/sky</t>
  </si>
  <si>
    <t>Sun knows its going down</t>
  </si>
  <si>
    <t>Creation/daily</t>
  </si>
  <si>
    <t>God makes darkness and it is night</t>
  </si>
  <si>
    <t>God gives them food in due season</t>
  </si>
  <si>
    <t>When God opens hand they are filled</t>
  </si>
  <si>
    <t>When God hides face they are troubled</t>
  </si>
  <si>
    <t>When God takes away breath they die</t>
  </si>
  <si>
    <t>When God sends forth Spirit they are created</t>
  </si>
  <si>
    <t>God renews face of earth</t>
  </si>
  <si>
    <t>God looks on earth and it trembles</t>
  </si>
  <si>
    <t>God touches hills and they smoke</t>
  </si>
  <si>
    <t>God divided Red Sea in two</t>
  </si>
  <si>
    <t>God made Israel pass through midst</t>
  </si>
  <si>
    <t>God overthrew Pharaoh and army in Red Sea</t>
  </si>
  <si>
    <t>God led people through wilderness</t>
  </si>
  <si>
    <t>Sinai Peninsula</t>
  </si>
  <si>
    <t>God struck down great kings</t>
  </si>
  <si>
    <t>God killed famous kings</t>
  </si>
  <si>
    <t>God killed Sihon king of Amorites</t>
  </si>
  <si>
    <t>God killed Og king of Bashan</t>
  </si>
  <si>
    <t>God gave their land as heritage</t>
  </si>
  <si>
    <t>God remembered us in our low estate</t>
  </si>
  <si>
    <t>God redeemed us from our enemies</t>
  </si>
  <si>
    <t>God gives food to all flesh</t>
  </si>
  <si>
    <t>LORD builds up Jerusalem</t>
  </si>
  <si>
    <t>God gathers outcasts of Israel</t>
  </si>
  <si>
    <t>God heals brokenhearted</t>
  </si>
  <si>
    <t>God binds up their wounds</t>
  </si>
  <si>
    <t>God counts number of stars</t>
  </si>
  <si>
    <t>God calls stars by name</t>
  </si>
  <si>
    <t>God covers heaven with clouds</t>
  </si>
  <si>
    <t>God prepares rain for earth</t>
  </si>
  <si>
    <t>God makes grass grow on mountains</t>
  </si>
  <si>
    <t>God gives beasts their food</t>
  </si>
  <si>
    <t>God gives young ravens food when they cry</t>
  </si>
  <si>
    <t>God sends out His word and melts snow</t>
  </si>
  <si>
    <t>Winter/spring</t>
  </si>
  <si>
    <t>God causes wind to blow and waters flow</t>
  </si>
  <si>
    <t>God shows His word to Jacob</t>
  </si>
  <si>
    <t>God declares statutes and judgments to Israel</t>
  </si>
  <si>
    <t>God has not dealt so with any nation</t>
  </si>
  <si>
    <t>Israel vs other nations</t>
  </si>
  <si>
    <t>Historical</t>
  </si>
  <si>
    <t>Other nations have not known His judgments</t>
  </si>
  <si>
    <t>Other nations</t>
  </si>
  <si>
    <t>The LORD possessed wisdom from beginning</t>
  </si>
  <si>
    <t>Proverbs 8:22</t>
  </si>
  <si>
    <t>Pre-creation</t>
  </si>
  <si>
    <t>Before time</t>
  </si>
  <si>
    <t>Wisdom set up from everlasting</t>
  </si>
  <si>
    <t>Proverbs 8:23</t>
  </si>
  <si>
    <t>Wisdom established before earth existed</t>
  </si>
  <si>
    <t>When God prepared heavens, wisdom was there</t>
  </si>
  <si>
    <t>Proverbs 8:27</t>
  </si>
  <si>
    <t>When God set compass upon deep, wisdom present</t>
  </si>
  <si>
    <t>When God established clouds above</t>
  </si>
  <si>
    <t>Proverbs 8:28</t>
  </si>
  <si>
    <t>When God strengthened fountains of deep</t>
  </si>
  <si>
    <t>When God gave sea its decree</t>
  </si>
  <si>
    <t>Proverbs 8:29</t>
  </si>
  <si>
    <t>Waters should not pass His commandment</t>
  </si>
  <si>
    <t>Beginning of time/ongoing</t>
  </si>
  <si>
    <t>When God appointed foundations of earth</t>
  </si>
  <si>
    <t>Wisdom was by God as master craftsman</t>
  </si>
  <si>
    <t>Proverbs 8:30</t>
  </si>
  <si>
    <t>Wisdom was God's daily delight</t>
  </si>
  <si>
    <t>Wisdom rejoiced before God always</t>
  </si>
  <si>
    <t>Wisdom rejoiced in habitable part of earth</t>
  </si>
  <si>
    <t>Proverbs 8:31</t>
  </si>
  <si>
    <t>Wisdom's delights were with sons of men</t>
  </si>
  <si>
    <t>The LORD by wisdom founded earth</t>
  </si>
  <si>
    <t>Proverbs 3:19</t>
  </si>
  <si>
    <t>By understanding God established heavens</t>
  </si>
  <si>
    <t>Proverbs 3:20</t>
  </si>
  <si>
    <t>Heavens</t>
  </si>
  <si>
    <t>By God's knowledge depths broken up</t>
  </si>
  <si>
    <t>Deep waters/springs</t>
  </si>
  <si>
    <t>Clouds drop down dew by God's knowledge</t>
  </si>
  <si>
    <t>Sky/earth</t>
  </si>
  <si>
    <t>The LORD gives wisdom</t>
  </si>
  <si>
    <t>Proverbs 2:6</t>
  </si>
  <si>
    <t>Out of God's mouth comes knowledge and understanding</t>
  </si>
  <si>
    <t>God stores sound wisdom for upright</t>
  </si>
  <si>
    <t>Proverbs 2:7</t>
  </si>
  <si>
    <t>God is buckler to those who walk uprightly</t>
  </si>
  <si>
    <t>God keeps paths of judgment</t>
  </si>
  <si>
    <t>Proverbs 2:8</t>
  </si>
  <si>
    <t>Earth/spiritual realm</t>
  </si>
  <si>
    <t>God preserves way of His saints</t>
  </si>
  <si>
    <t>The lot is cast into lap but decision is LORD's</t>
  </si>
  <si>
    <t>Proverbs 16:33</t>
  </si>
  <si>
    <t>King's heart in hand of LORD like rivers</t>
  </si>
  <si>
    <t>Proverbs 21:1</t>
  </si>
  <si>
    <t>Various kingdoms</t>
  </si>
  <si>
    <t>God turns king's heart wherever He wills</t>
  </si>
  <si>
    <t>There is no wisdom against the LORD</t>
  </si>
  <si>
    <t>Proverbs 21:30</t>
  </si>
  <si>
    <t>There is no understanding against the LORD</t>
  </si>
  <si>
    <t>There is no counsel against the LORD</t>
  </si>
  <si>
    <t>Horse prepared for battle but safety is LORD's</t>
  </si>
  <si>
    <t>Proverbs 21:31</t>
  </si>
  <si>
    <t>Battlefields</t>
  </si>
  <si>
    <t>The LORD makes rich and adds no sorrow</t>
  </si>
  <si>
    <t>Proverbs 10:22</t>
  </si>
  <si>
    <t>Man's heart devises way but LORD directs steps</t>
  </si>
  <si>
    <t>Proverbs 16:9</t>
  </si>
  <si>
    <t>Man plans his way but LORD establishes steps</t>
  </si>
  <si>
    <t>Many devices in man's heart but LORD's counsel stands</t>
  </si>
  <si>
    <t>Proverbs 19:21</t>
  </si>
  <si>
    <t>Man's goings are of the LORD</t>
  </si>
  <si>
    <t>Proverbs 20:24</t>
  </si>
  <si>
    <t>How can man understand his own way</t>
  </si>
  <si>
    <t>The LORD weighs the spirits</t>
  </si>
  <si>
    <t>Proverbs 16:2</t>
  </si>
  <si>
    <t>All ways of man are clean in his own eyes</t>
  </si>
  <si>
    <t>Human self-deception</t>
  </si>
  <si>
    <t>Commit your works to LORD and thoughts established</t>
  </si>
  <si>
    <t>Proverbs 16:3</t>
  </si>
  <si>
    <t>LORD has made all things for Himself</t>
  </si>
  <si>
    <t>Proverbs 16:4</t>
  </si>
  <si>
    <t>Even wicked made for day of evil</t>
  </si>
  <si>
    <t>The LORD abhors proud in heart</t>
  </si>
  <si>
    <t>Proverbs 16:5</t>
  </si>
  <si>
    <t>Proud will not be unpunished</t>
  </si>
  <si>
    <t>When man's ways please LORD, He makes enemies at peace</t>
  </si>
  <si>
    <t>Proverbs 16:7</t>
  </si>
  <si>
    <t>Better is little with righteousness than great revenues without right</t>
  </si>
  <si>
    <t>Proverbs 16:8</t>
  </si>
  <si>
    <t>The preparations of heart in man</t>
  </si>
  <si>
    <t>Proverbs 16:1</t>
  </si>
  <si>
    <t>Human heart</t>
  </si>
  <si>
    <t>Human preparation</t>
  </si>
  <si>
    <t>Answer of tongue is from the LORD</t>
  </si>
  <si>
    <t>A just weight and balance are the LORD's</t>
  </si>
  <si>
    <t>Proverbs 16:11</t>
  </si>
  <si>
    <t>Marketplaces</t>
  </si>
  <si>
    <t>All weights of bag are His work</t>
  </si>
  <si>
    <t>It is abomination to kings to commit wickedness</t>
  </si>
  <si>
    <t>Proverbs 16:12</t>
  </si>
  <si>
    <t>Royal courts</t>
  </si>
  <si>
    <t>Throne established by righteousness</t>
  </si>
  <si>
    <t>Righteous lips are delight of kings</t>
  </si>
  <si>
    <t>Proverbs 16:13</t>
  </si>
  <si>
    <t>They love him who speaks right</t>
  </si>
  <si>
    <t>Wrath of king is messengers of death</t>
  </si>
  <si>
    <t>Proverbs 16:14</t>
  </si>
  <si>
    <t>Wise man will pacify it</t>
  </si>
  <si>
    <t>Wise person</t>
  </si>
  <si>
    <t>In light of king's countenance is life</t>
  </si>
  <si>
    <t>Proverbs 16:15</t>
  </si>
  <si>
    <t>His favor is like cloud of latter rain</t>
  </si>
  <si>
    <t>How much better to get wisdom than gold</t>
  </si>
  <si>
    <t>Proverbs 16:16</t>
  </si>
  <si>
    <t>To get understanding rather chosen than silver</t>
  </si>
  <si>
    <t>Highway of upright is to depart from evil</t>
  </si>
  <si>
    <t>Proverbs 16:17</t>
  </si>
  <si>
    <t>He who keeps his way preserves his soul</t>
  </si>
  <si>
    <t>Pride goes before destruction</t>
  </si>
  <si>
    <t>Proverbs 16:18</t>
  </si>
  <si>
    <t>Haughty spirit before a fall</t>
  </si>
  <si>
    <t>Better to be of humble spirit with lowly</t>
  </si>
  <si>
    <t>Proverbs 16:19</t>
  </si>
  <si>
    <t>Than divide spoil with proud</t>
  </si>
  <si>
    <t>He who handles matter wisely shall find good</t>
  </si>
  <si>
    <t>Proverbs 16:20</t>
  </si>
  <si>
    <t>Whoever trusts in LORD, happy is he</t>
  </si>
  <si>
    <t>Wise in heart shall be called prudent</t>
  </si>
  <si>
    <t>Proverbs 16:21</t>
  </si>
  <si>
    <t>Sweetness of lips increases learning</t>
  </si>
  <si>
    <t>Understanding is wellspring of life to him who has it</t>
  </si>
  <si>
    <t>Proverbs 16:22</t>
  </si>
  <si>
    <t>Instruction of fools is folly</t>
  </si>
  <si>
    <t>Human folly</t>
  </si>
  <si>
    <t>Heart of wise teaches his mouth</t>
  </si>
  <si>
    <t>Proverbs 16:23</t>
  </si>
  <si>
    <t>Adds learning to his lips</t>
  </si>
  <si>
    <t>Pleasant words are honeycomb</t>
  </si>
  <si>
    <t>Proverbs 16:24</t>
  </si>
  <si>
    <t>Sweet to soul and health to bones</t>
  </si>
  <si>
    <t>There is way that seems right to man</t>
  </si>
  <si>
    <t>Proverbs 16:25</t>
  </si>
  <si>
    <t>Human perception</t>
  </si>
  <si>
    <t>But end thereof are ways of death</t>
  </si>
  <si>
    <t>He who labors, labors for himself</t>
  </si>
  <si>
    <t>Proverbs 16:26</t>
  </si>
  <si>
    <t>His mouth craves it of him</t>
  </si>
  <si>
    <t>Ungodly man digs up evil</t>
  </si>
  <si>
    <t>Proverbs 16:27</t>
  </si>
  <si>
    <t>Wicked person</t>
  </si>
  <si>
    <t>In his lips there is burning fire</t>
  </si>
  <si>
    <t>Froward man sows strife</t>
  </si>
  <si>
    <t>Proverbs 16:28</t>
  </si>
  <si>
    <t>Whisperer separates chief friends</t>
  </si>
  <si>
    <t>Gossiper</t>
  </si>
  <si>
    <t>Violent man entices his neighbor</t>
  </si>
  <si>
    <t>Proverbs 16:29</t>
  </si>
  <si>
    <t>Violent person</t>
  </si>
  <si>
    <t>Leads him into way that is not good</t>
  </si>
  <si>
    <t>He shuts his eyes to devise froward things</t>
  </si>
  <si>
    <t>Proverbs 16:30</t>
  </si>
  <si>
    <t>Moving his lips he brings evil to pass</t>
  </si>
  <si>
    <t>Hoary head is crown of glory</t>
  </si>
  <si>
    <t>Proverbs 16:31</t>
  </si>
  <si>
    <t>If it be found in way of righteousness</t>
  </si>
  <si>
    <t>He who is slow to anger is better than mighty</t>
  </si>
  <si>
    <t>Proverbs 16:32</t>
  </si>
  <si>
    <t>He who rules his spirit than he who takes city</t>
  </si>
  <si>
    <t>a comprehensive table of all miracles, acts of God, and divine communications found in the Book of Proverbs. This contains 74 entries, though it's important to note that Proverbs is primarily a wisdom literature book rather than a narrative book, so most "divine acts" are theological principles rather than historical miracles.</t>
  </si>
  <si>
    <t>Key characteristics of Proverbs divine content:</t>
  </si>
  <si>
    <t>Creation and Cosmic Order:</t>
  </si>
  <si>
    <r>
      <t>Wisdom's role in creation</t>
    </r>
    <r>
      <rPr>
        <sz val="11"/>
        <color theme="1"/>
        <rFont val="Calibri"/>
        <family val="2"/>
        <scheme val="minor"/>
      </rPr>
      <t xml:space="preserve"> - Personified wisdom present at creation as God's craftsman</t>
    </r>
  </si>
  <si>
    <r>
      <t>Divine establishment</t>
    </r>
    <r>
      <rPr>
        <sz val="11"/>
        <color theme="1"/>
        <rFont val="Calibri"/>
        <family val="2"/>
        <scheme val="minor"/>
      </rPr>
      <t xml:space="preserve"> - God founding earth, establishing heavens, setting natural boundaries</t>
    </r>
  </si>
  <si>
    <r>
      <t>Natural laws</t>
    </r>
    <r>
      <rPr>
        <sz val="11"/>
        <color theme="1"/>
        <rFont val="Calibri"/>
        <family val="2"/>
        <scheme val="minor"/>
      </rPr>
      <t xml:space="preserve"> - God's commands controlling seas, weather, and natural phenomena</t>
    </r>
  </si>
  <si>
    <r>
      <t>Cosmic craftsmanship</t>
    </r>
    <r>
      <rPr>
        <sz val="11"/>
        <color theme="1"/>
        <rFont val="Calibri"/>
        <family val="2"/>
        <scheme val="minor"/>
      </rPr>
      <t xml:space="preserve"> - Divine wisdom and understanding in creation's design</t>
    </r>
  </si>
  <si>
    <t>Divine Sovereignty and Control:</t>
  </si>
  <si>
    <r>
      <t>Royal authority</t>
    </r>
    <r>
      <rPr>
        <sz val="11"/>
        <color theme="1"/>
        <rFont val="Calibri"/>
        <family val="2"/>
        <scheme val="minor"/>
      </rPr>
      <t xml:space="preserve"> - God controlling kings' hearts like rivers of water</t>
    </r>
  </si>
  <si>
    <r>
      <t>Human direction</t>
    </r>
    <r>
      <rPr>
        <sz val="11"/>
        <color theme="1"/>
        <rFont val="Calibri"/>
        <family val="2"/>
        <scheme val="minor"/>
      </rPr>
      <t xml:space="preserve"> - Divine guidance of human steps despite human planning</t>
    </r>
  </si>
  <si>
    <r>
      <t>Decision making</t>
    </r>
    <r>
      <rPr>
        <sz val="11"/>
        <color theme="1"/>
        <rFont val="Calibri"/>
        <family val="2"/>
        <scheme val="minor"/>
      </rPr>
      <t xml:space="preserve"> - God's ultimate control over lot casting and outcomes</t>
    </r>
  </si>
  <si>
    <r>
      <t>Speech control</t>
    </r>
    <r>
      <rPr>
        <sz val="11"/>
        <color theme="1"/>
        <rFont val="Calibri"/>
        <family val="2"/>
        <scheme val="minor"/>
      </rPr>
      <t xml:space="preserve"> - Divine influence over human speech and communication</t>
    </r>
  </si>
  <si>
    <t>Divine Gifts and Attributes:</t>
  </si>
  <si>
    <r>
      <t>Wisdom giving</t>
    </r>
    <r>
      <rPr>
        <sz val="11"/>
        <color theme="1"/>
        <rFont val="Calibri"/>
        <family val="2"/>
        <scheme val="minor"/>
      </rPr>
      <t xml:space="preserve"> - God as source of all wisdom, knowledge, and understanding</t>
    </r>
  </si>
  <si>
    <r>
      <t>Protection provision</t>
    </r>
    <r>
      <rPr>
        <sz val="11"/>
        <color theme="1"/>
        <rFont val="Calibri"/>
        <family val="2"/>
        <scheme val="minor"/>
      </rPr>
      <t xml:space="preserve"> - Divine buckler and preservation for the righteous</t>
    </r>
  </si>
  <si>
    <r>
      <t>Blessing without sorrow</t>
    </r>
    <r>
      <rPr>
        <sz val="11"/>
        <color theme="1"/>
        <rFont val="Calibri"/>
        <family val="2"/>
        <scheme val="minor"/>
      </rPr>
      <t xml:space="preserve"> - God's enrichment without negative consequences</t>
    </r>
  </si>
  <si>
    <r>
      <t>Justice standards</t>
    </r>
    <r>
      <rPr>
        <sz val="11"/>
        <color theme="1"/>
        <rFont val="Calibri"/>
        <family val="2"/>
        <scheme val="minor"/>
      </rPr>
      <t xml:space="preserve"> - Divine establishment of honest weights and righteous judgment</t>
    </r>
  </si>
  <si>
    <t>Divine Principles and Laws:</t>
  </si>
  <si>
    <r>
      <t>Moral consequences</t>
    </r>
    <r>
      <rPr>
        <sz val="11"/>
        <color theme="1"/>
        <rFont val="Calibri"/>
        <family val="2"/>
        <scheme val="minor"/>
      </rPr>
      <t xml:space="preserve"> - Pride leading to destruction, humility to honor</t>
    </r>
  </si>
  <si>
    <r>
      <t>Spiritual evaluation</t>
    </r>
    <r>
      <rPr>
        <sz val="11"/>
        <color theme="1"/>
        <rFont val="Calibri"/>
        <family val="2"/>
        <scheme val="minor"/>
      </rPr>
      <t xml:space="preserve"> - God weighing spirits and judging hearts</t>
    </r>
  </si>
  <si>
    <r>
      <t>Righteous prosperity</t>
    </r>
    <r>
      <rPr>
        <sz val="11"/>
        <color theme="1"/>
        <rFont val="Calibri"/>
        <family val="2"/>
        <scheme val="minor"/>
      </rPr>
      <t xml:space="preserve"> - Divine blessing on those who please the LORD</t>
    </r>
  </si>
  <si>
    <r>
      <t>Natural justice</t>
    </r>
    <r>
      <rPr>
        <sz val="11"/>
        <color theme="1"/>
        <rFont val="Calibri"/>
        <family val="2"/>
        <scheme val="minor"/>
      </rPr>
      <t xml:space="preserve"> - Built-in consequences for righteousness and wickedness</t>
    </r>
  </si>
  <si>
    <r>
      <t>No historical miracles</t>
    </r>
    <r>
      <rPr>
        <sz val="11"/>
        <color theme="1"/>
        <rFont val="Calibri"/>
        <family val="2"/>
        <scheme val="minor"/>
      </rPr>
      <t xml:space="preserve"> - Proverbs focuses on principles rather than events</t>
    </r>
  </si>
  <si>
    <r>
      <t>Wisdom personification</t>
    </r>
    <r>
      <rPr>
        <sz val="11"/>
        <color theme="1"/>
        <rFont val="Calibri"/>
        <family val="2"/>
        <scheme val="minor"/>
      </rPr>
      <t xml:space="preserve"> - Divine wisdom portrayed as present at creation</t>
    </r>
  </si>
  <si>
    <r>
      <t>Ongoing divine activity</t>
    </r>
    <r>
      <rPr>
        <sz val="11"/>
        <color theme="1"/>
        <rFont val="Calibri"/>
        <family val="2"/>
        <scheme val="minor"/>
      </rPr>
      <t xml:space="preserve"> - God continuously involved in human affairs</t>
    </r>
  </si>
  <si>
    <r>
      <t>Universal principles</t>
    </r>
    <r>
      <rPr>
        <sz val="11"/>
        <color theme="1"/>
        <rFont val="Calibri"/>
        <family val="2"/>
        <scheme val="minor"/>
      </rPr>
      <t xml:space="preserve"> - Divine laws affecting all people and nations</t>
    </r>
  </si>
  <si>
    <r>
      <t>Divine creation</t>
    </r>
    <r>
      <rPr>
        <sz val="11"/>
        <color theme="1"/>
        <rFont val="Calibri"/>
        <family val="2"/>
        <scheme val="minor"/>
      </rPr>
      <t xml:space="preserve"> - Foundational acts of cosmic establishment</t>
    </r>
  </si>
  <si>
    <r>
      <t>Divine sovereignty</t>
    </r>
    <r>
      <rPr>
        <sz val="11"/>
        <color theme="1"/>
        <rFont val="Calibri"/>
        <family val="2"/>
        <scheme val="minor"/>
      </rPr>
      <t xml:space="preserve"> - Ongoing control over human affairs and natural order</t>
    </r>
  </si>
  <si>
    <r>
      <t>Divine wisdom</t>
    </r>
    <r>
      <rPr>
        <sz val="11"/>
        <color theme="1"/>
        <rFont val="Calibri"/>
        <family val="2"/>
        <scheme val="minor"/>
      </rPr>
      <t xml:space="preserve"> - Source and standard of all true knowledge</t>
    </r>
  </si>
  <si>
    <r>
      <t>Divine justice</t>
    </r>
    <r>
      <rPr>
        <sz val="11"/>
        <color theme="1"/>
        <rFont val="Calibri"/>
        <family val="2"/>
        <scheme val="minor"/>
      </rPr>
      <t xml:space="preserve"> - Moral laws with built-in consequences</t>
    </r>
  </si>
  <si>
    <r>
      <t>Divine provision</t>
    </r>
    <r>
      <rPr>
        <sz val="11"/>
        <color theme="1"/>
        <rFont val="Calibri"/>
        <family val="2"/>
        <scheme val="minor"/>
      </rPr>
      <t xml:space="preserve"> - Giving wisdom, protection, and blessing to the righteous</t>
    </r>
  </si>
  <si>
    <r>
      <t>Divine evaluation</t>
    </r>
    <r>
      <rPr>
        <sz val="11"/>
        <color theme="1"/>
        <rFont val="Calibri"/>
        <family val="2"/>
        <scheme val="minor"/>
      </rPr>
      <t xml:space="preserve"> - Judging hearts, spirits, and human actions</t>
    </r>
  </si>
  <si>
    <r>
      <t>Divine transcendence</t>
    </r>
    <r>
      <rPr>
        <sz val="11"/>
        <color theme="1"/>
        <rFont val="Calibri"/>
        <family val="2"/>
        <scheme val="minor"/>
      </rPr>
      <t xml:space="preserve"> - God's supremacy over all human wisdom and counsel</t>
    </r>
  </si>
  <si>
    <r>
      <t>Moral order</t>
    </r>
    <r>
      <rPr>
        <sz val="11"/>
        <color theme="1"/>
        <rFont val="Calibri"/>
        <family val="2"/>
        <scheme val="minor"/>
      </rPr>
      <t xml:space="preserve"> - Universe structured according to divine righteousness</t>
    </r>
  </si>
  <si>
    <r>
      <t>Practical faith</t>
    </r>
    <r>
      <rPr>
        <sz val="11"/>
        <color theme="1"/>
        <rFont val="Calibri"/>
        <family val="2"/>
        <scheme val="minor"/>
      </rPr>
      <t xml:space="preserve"> - Divine principles for daily living and decision making</t>
    </r>
  </si>
  <si>
    <r>
      <t>Wisdom literature</t>
    </r>
    <r>
      <rPr>
        <sz val="11"/>
        <color theme="1"/>
        <rFont val="Calibri"/>
        <family val="2"/>
        <scheme val="minor"/>
      </rPr>
      <t xml:space="preserve"> - Teaching divine truth through observation and instruction</t>
    </r>
  </si>
  <si>
    <t>The Book of Proverbs demonstrates God's active involvement in creation, human affairs, and moral order, emphasizing divine wisdom as the foundation for all understanding and righteous living, though it does so through principles and maxims rather than miraculous narratives.</t>
  </si>
  <si>
    <t>Ecclesiastes:</t>
  </si>
  <si>
    <t>Ecclesiastes is a wisdom book written by "the Preacher" (traditionally identified as Solomon) that focuses on philosophical reflections about life, meaning, and human existence. The book is characterized by its contemplative nature, examining themes like the vanity of worldly pursuits, the inevitability of death, and the search for purpose.</t>
  </si>
  <si>
    <t>Unlike other biblical books that contain dramatic divine interventions, miraculous events, or direct communications from God (such as the burning bush in Exodus, the parting of the Red Sea, or the voice from heaven at Jesus' baptism), Ecclesiastes presents wisdom and observations about life without recording any supernatural occurrences or divine manifestations.</t>
  </si>
  <si>
    <t>The book does reference God throughout (using terms like Elohim), but these are theological reflections and wisdom teachings rather than accounts of miraculous events or direct divine communications.</t>
  </si>
  <si>
    <t>Song of Solomon:</t>
  </si>
  <si>
    <t>The Song of Solomon is a poetic book that consists entirely of love poetry - a dialogue between lovers (traditionally interpreted as a bridegroom and bride). The book is unique in the biblical canon because:</t>
  </si>
  <si>
    <t>The book is composed of lyrical poetry celebrating romantic love, with vivid imagery of nature, beauty, and devotion between the lovers. While many interpreters have found spiritual allegories in the text (seeing it as representing God's love for Israel or Christ's love for the church), the literal text itself contains no accounts of miracles, divine acts, or God speaking to anyone.</t>
  </si>
  <si>
    <t>The speakers in the book are:</t>
  </si>
  <si>
    <t>The beloved (bride/woman)</t>
  </si>
  <si>
    <t>The lover (bridegroom/man)</t>
  </si>
  <si>
    <t>The daughters of Jerusalem (chorus)</t>
  </si>
  <si>
    <t>None of these represent divine messengers or record supernatural events.</t>
  </si>
  <si>
    <t>Song of Solomon (also called Song of Songs) contains no recorded miracles, supernatural acts of God, or instances of direct divine communication.</t>
  </si>
  <si>
    <t>a comprehensive table of all miracles, acts of God, and divine communications in the Book of Ecclesiastes. This contains 43 entries covering the theological content of the book (c. 935 BC, traditionally attributed to Solomon).</t>
  </si>
  <si>
    <t>Key characteristics of Ecclesiastes:</t>
  </si>
  <si>
    <r>
      <t>Eternal consciousness</t>
    </r>
    <r>
      <rPr>
        <sz val="11"/>
        <color theme="1"/>
        <rFont val="Calibri"/>
        <family val="2"/>
        <scheme val="minor"/>
      </rPr>
      <t xml:space="preserve"> - God placing eternity in human hearts</t>
    </r>
  </si>
  <si>
    <r>
      <t>Divine timing</t>
    </r>
    <r>
      <rPr>
        <sz val="11"/>
        <color theme="1"/>
        <rFont val="Calibri"/>
        <family val="2"/>
        <scheme val="minor"/>
      </rPr>
      <t xml:space="preserve"> - God making everything beautiful in its appointed time</t>
    </r>
  </si>
  <si>
    <r>
      <t>Immutable works</t>
    </r>
    <r>
      <rPr>
        <sz val="11"/>
        <color theme="1"/>
        <rFont val="Calibri"/>
        <family val="2"/>
        <scheme val="minor"/>
      </rPr>
      <t xml:space="preserve"> - Nothing can be added to or taken from God's actions</t>
    </r>
  </si>
  <si>
    <r>
      <t>Predetermined destiny</t>
    </r>
    <r>
      <rPr>
        <sz val="11"/>
        <color theme="1"/>
        <rFont val="Calibri"/>
        <family val="2"/>
        <scheme val="minor"/>
      </rPr>
      <t xml:space="preserve"> - God appointing human days and circumstances</t>
    </r>
  </si>
  <si>
    <t>Divine Gifts and Redistribution:</t>
  </si>
  <si>
    <r>
      <t>Selective blessing</t>
    </r>
    <r>
      <rPr>
        <sz val="11"/>
        <color theme="1"/>
        <rFont val="Calibri"/>
        <family val="2"/>
        <scheme val="minor"/>
      </rPr>
      <t xml:space="preserve"> - God giving wisdom, knowledge, and joy to the good</t>
    </r>
  </si>
  <si>
    <r>
      <t>Divine irony</t>
    </r>
    <r>
      <rPr>
        <sz val="11"/>
        <color theme="1"/>
        <rFont val="Calibri"/>
        <family val="2"/>
        <scheme val="minor"/>
      </rPr>
      <t xml:space="preserve"> - God allowing wealth to pass to strangers</t>
    </r>
  </si>
  <si>
    <r>
      <t>Enjoyment as gift</t>
    </r>
    <r>
      <rPr>
        <sz val="11"/>
        <color theme="1"/>
        <rFont val="Calibri"/>
        <family val="2"/>
        <scheme val="minor"/>
      </rPr>
      <t xml:space="preserve"> - God granting ability to eat, drink, and find pleasure</t>
    </r>
  </si>
  <si>
    <r>
      <t>Material blessings</t>
    </r>
    <r>
      <rPr>
        <sz val="11"/>
        <color theme="1"/>
        <rFont val="Calibri"/>
        <family val="2"/>
        <scheme val="minor"/>
      </rPr>
      <t xml:space="preserve"> - God providing riches, wealth, and honor</t>
    </r>
  </si>
  <si>
    <t>Divine Judgment and Accountability:</t>
  </si>
  <si>
    <r>
      <t>Universal judgment</t>
    </r>
    <r>
      <rPr>
        <sz val="11"/>
        <color theme="1"/>
        <rFont val="Calibri"/>
        <family val="2"/>
        <scheme val="minor"/>
      </rPr>
      <t xml:space="preserve"> - God judging both righteous and wicked</t>
    </r>
  </si>
  <si>
    <r>
      <t>Secret judgment</t>
    </r>
    <r>
      <rPr>
        <sz val="11"/>
        <color theme="1"/>
        <rFont val="Calibri"/>
        <family val="2"/>
        <scheme val="minor"/>
      </rPr>
      <t xml:space="preserve"> - God bringing all hidden things to account</t>
    </r>
  </si>
  <si>
    <r>
      <t>Testing and revelation</t>
    </r>
    <r>
      <rPr>
        <sz val="11"/>
        <color theme="1"/>
        <rFont val="Calibri"/>
        <family val="2"/>
        <scheme val="minor"/>
      </rPr>
      <t xml:space="preserve"> - God testing humanity to reveal their nature</t>
    </r>
  </si>
  <si>
    <r>
      <t>Future accountability</t>
    </r>
    <r>
      <rPr>
        <sz val="11"/>
        <color theme="1"/>
        <rFont val="Calibri"/>
        <family val="2"/>
        <scheme val="minor"/>
      </rPr>
      <t xml:space="preserve"> - Final judgment of all works and motives</t>
    </r>
  </si>
  <si>
    <t>Divine Mystery and Incomprehensibility:</t>
  </si>
  <si>
    <r>
      <t>Hidden works</t>
    </r>
    <r>
      <rPr>
        <sz val="11"/>
        <color theme="1"/>
        <rFont val="Calibri"/>
        <family val="2"/>
        <scheme val="minor"/>
      </rPr>
      <t xml:space="preserve"> - God's activities beyond human understanding</t>
    </r>
  </si>
  <si>
    <r>
      <t>Natural mysteries</t>
    </r>
    <r>
      <rPr>
        <sz val="11"/>
        <color theme="1"/>
        <rFont val="Calibri"/>
        <family val="2"/>
        <scheme val="minor"/>
      </rPr>
      <t xml:space="preserve"> - Wind, fetal development, and creation processes</t>
    </r>
  </si>
  <si>
    <r>
      <t>Unknown timing</t>
    </r>
    <r>
      <rPr>
        <sz val="11"/>
        <color theme="1"/>
        <rFont val="Calibri"/>
        <family val="2"/>
        <scheme val="minor"/>
      </rPr>
      <t xml:space="preserve"> - Human inability to know appointed times</t>
    </r>
  </si>
  <si>
    <r>
      <t>Veiled providence</t>
    </r>
    <r>
      <rPr>
        <sz val="11"/>
        <color theme="1"/>
        <rFont val="Calibri"/>
        <family val="2"/>
        <scheme val="minor"/>
      </rPr>
      <t xml:space="preserve"> - God's love and hatred hidden from human perception</t>
    </r>
  </si>
  <si>
    <t>Divine Creation and Natural Laws:</t>
  </si>
  <si>
    <r>
      <t>Original righteousness</t>
    </r>
    <r>
      <rPr>
        <sz val="11"/>
        <color theme="1"/>
        <rFont val="Calibri"/>
        <family val="2"/>
        <scheme val="minor"/>
      </rPr>
      <t xml:space="preserve"> - God creating humanity upright</t>
    </r>
  </si>
  <si>
    <r>
      <t>Natural order</t>
    </r>
    <r>
      <rPr>
        <sz val="11"/>
        <color theme="1"/>
        <rFont val="Calibri"/>
        <family val="2"/>
        <scheme val="minor"/>
      </rPr>
      <t xml:space="preserve"> - Weather patterns, gravity, biological processes</t>
    </r>
  </si>
  <si>
    <r>
      <t>Life and death sovereignty</t>
    </r>
    <r>
      <rPr>
        <sz val="11"/>
        <color theme="1"/>
        <rFont val="Calibri"/>
        <family val="2"/>
        <scheme val="minor"/>
      </rPr>
      <t xml:space="preserve"> - God's control over breath and mortality</t>
    </r>
  </si>
  <si>
    <r>
      <t>Spirit reclamation</t>
    </r>
    <r>
      <rPr>
        <sz val="11"/>
        <color theme="1"/>
        <rFont val="Calibri"/>
        <family val="2"/>
        <scheme val="minor"/>
      </rPr>
      <t xml:space="preserve"> - God receiving the spirit at death</t>
    </r>
  </si>
  <si>
    <t>Unique Aspects of Ecclesiastes:</t>
  </si>
  <si>
    <r>
      <t>Philosophical theology</t>
    </r>
    <r>
      <rPr>
        <sz val="11"/>
        <color theme="1"/>
        <rFont val="Calibri"/>
        <family val="2"/>
        <scheme val="minor"/>
      </rPr>
      <t xml:space="preserve"> - Divine truth through human observation and reflection</t>
    </r>
  </si>
  <si>
    <r>
      <t>Wisdom literature</t>
    </r>
    <r>
      <rPr>
        <sz val="11"/>
        <color theme="1"/>
        <rFont val="Calibri"/>
        <family val="2"/>
        <scheme val="minor"/>
      </rPr>
      <t xml:space="preserve"> - Teaching through life experience rather than direct revelation</t>
    </r>
  </si>
  <si>
    <r>
      <t>Universal scope</t>
    </r>
    <r>
      <rPr>
        <sz val="11"/>
        <color theme="1"/>
        <rFont val="Calibri"/>
        <family val="2"/>
        <scheme val="minor"/>
      </rPr>
      <t xml:space="preserve"> - Applying to all humanity, not just Israel</t>
    </r>
  </si>
  <si>
    <r>
      <t>Paradoxical truth</t>
    </r>
    <r>
      <rPr>
        <sz val="11"/>
        <color theme="1"/>
        <rFont val="Calibri"/>
        <family val="2"/>
        <scheme val="minor"/>
      </rPr>
      <t xml:space="preserve"> - Divine sovereignty and human responsibility in tension</t>
    </r>
  </si>
  <si>
    <r>
      <t>Divine sovereignty</t>
    </r>
    <r>
      <rPr>
        <sz val="11"/>
        <color theme="1"/>
        <rFont val="Calibri"/>
        <family val="2"/>
        <scheme val="minor"/>
      </rPr>
      <t xml:space="preserve"> - Complete control over all aspects of existence</t>
    </r>
  </si>
  <si>
    <r>
      <t>Divine mystery</t>
    </r>
    <r>
      <rPr>
        <sz val="11"/>
        <color theme="1"/>
        <rFont val="Calibri"/>
        <family val="2"/>
        <scheme val="minor"/>
      </rPr>
      <t xml:space="preserve"> - Incomprehensible works beyond human understanding</t>
    </r>
  </si>
  <si>
    <r>
      <t>Divine judgment</t>
    </r>
    <r>
      <rPr>
        <sz val="11"/>
        <color theme="1"/>
        <rFont val="Calibri"/>
        <family val="2"/>
        <scheme val="minor"/>
      </rPr>
      <t xml:space="preserve"> - Present testing and future accountability</t>
    </r>
  </si>
  <si>
    <r>
      <t>Divine provision</t>
    </r>
    <r>
      <rPr>
        <sz val="11"/>
        <color theme="1"/>
        <rFont val="Calibri"/>
        <family val="2"/>
        <scheme val="minor"/>
      </rPr>
      <t xml:space="preserve"> - Gifts of enjoyment, wisdom, and material blessings</t>
    </r>
  </si>
  <si>
    <r>
      <t>Divine natural law</t>
    </r>
    <r>
      <rPr>
        <sz val="11"/>
        <color theme="1"/>
        <rFont val="Calibri"/>
        <family val="2"/>
        <scheme val="minor"/>
      </rPr>
      <t xml:space="preserve"> - Consistent patterns in creation and nature</t>
    </r>
  </si>
  <si>
    <r>
      <t>Divine timing</t>
    </r>
    <r>
      <rPr>
        <sz val="11"/>
        <color theme="1"/>
        <rFont val="Calibri"/>
        <family val="2"/>
        <scheme val="minor"/>
      </rPr>
      <t xml:space="preserve"> - Perfect orchestration of events and seasons</t>
    </r>
  </si>
  <si>
    <r>
      <t>Vanity under the sun</t>
    </r>
    <r>
      <rPr>
        <sz val="11"/>
        <color theme="1"/>
        <rFont val="Calibri"/>
        <family val="2"/>
        <scheme val="minor"/>
      </rPr>
      <t xml:space="preserve"> - All human endeavors apart from God are meaningless</t>
    </r>
  </si>
  <si>
    <r>
      <t>Fear of God</t>
    </r>
    <r>
      <rPr>
        <sz val="11"/>
        <color theme="1"/>
        <rFont val="Calibri"/>
        <family val="2"/>
        <scheme val="minor"/>
      </rPr>
      <t xml:space="preserve"> - Proper reverence as the beginning of wisdom</t>
    </r>
  </si>
  <si>
    <r>
      <t>Divine transcendence</t>
    </r>
    <r>
      <rPr>
        <sz val="11"/>
        <color theme="1"/>
        <rFont val="Calibri"/>
        <family val="2"/>
        <scheme val="minor"/>
      </rPr>
      <t xml:space="preserve"> - God's ways higher than human ways</t>
    </r>
  </si>
  <si>
    <r>
      <t>Present enjoyment</t>
    </r>
    <r>
      <rPr>
        <sz val="11"/>
        <color theme="1"/>
        <rFont val="Calibri"/>
        <family val="2"/>
        <scheme val="minor"/>
      </rPr>
      <t xml:space="preserve"> - God's gift of finding joy in simple pleasures</t>
    </r>
  </si>
  <si>
    <r>
      <t>Future judgment</t>
    </r>
    <r>
      <rPr>
        <sz val="11"/>
        <color theme="1"/>
        <rFont val="Calibri"/>
        <family val="2"/>
        <scheme val="minor"/>
      </rPr>
      <t xml:space="preserve"> - Ultimate accountability before the Creator</t>
    </r>
  </si>
  <si>
    <r>
      <t>Creation</t>
    </r>
    <r>
      <rPr>
        <sz val="11"/>
        <color theme="1"/>
        <rFont val="Calibri"/>
        <family val="2"/>
        <scheme val="minor"/>
      </rPr>
      <t xml:space="preserve"> - Original establishment of divine order and human nature</t>
    </r>
  </si>
  <si>
    <r>
      <t>Present experience</t>
    </r>
    <r>
      <rPr>
        <sz val="11"/>
        <color theme="1"/>
        <rFont val="Calibri"/>
        <family val="2"/>
        <scheme val="minor"/>
      </rPr>
      <t xml:space="preserve"> - Ongoing divine sovereignty in daily life</t>
    </r>
  </si>
  <si>
    <r>
      <t>Future judgment</t>
    </r>
    <r>
      <rPr>
        <sz val="11"/>
        <color theme="1"/>
        <rFont val="Calibri"/>
        <family val="2"/>
        <scheme val="minor"/>
      </rPr>
      <t xml:space="preserve"> - Final accountability and evaluation</t>
    </r>
  </si>
  <si>
    <t>Ecclesiastes demonstrates God's sovereign control over all aspects of existence while acknowledging the mystery and incomprehensibility of divine ways, emphasizing both human limitation and divine transcendence in the search for meaning and purpose.</t>
  </si>
  <si>
    <t>God has set eternity in hearts of men</t>
  </si>
  <si>
    <t>Ecclesiastes 3:11</t>
  </si>
  <si>
    <t>Human hearts/universal</t>
  </si>
  <si>
    <t>God makes everything beautiful in its time</t>
  </si>
  <si>
    <t>Man cannot find out work God does from beginning to end</t>
  </si>
  <si>
    <t>Whatever God does shall be forever</t>
  </si>
  <si>
    <t>Ecclesiastes 3:14</t>
  </si>
  <si>
    <t>Nothing can be added to what God does</t>
  </si>
  <si>
    <t>Nothing can be taken from what God does</t>
  </si>
  <si>
    <t>God does it that men should fear before Him</t>
  </si>
  <si>
    <t>God requires account of what is past</t>
  </si>
  <si>
    <t>Ecclesiastes 3:15</t>
  </si>
  <si>
    <t>Universal/judgment</t>
  </si>
  <si>
    <t>God will judge righteous and wicked</t>
  </si>
  <si>
    <t>Ecclesiastes 3:17</t>
  </si>
  <si>
    <t>Divine court</t>
  </si>
  <si>
    <t>Future judgment</t>
  </si>
  <si>
    <t>God tests sons of men</t>
  </si>
  <si>
    <t>Ecclesiastes 3:18</t>
  </si>
  <si>
    <t>God gives wisdom, knowledge, and joy to good person</t>
  </si>
  <si>
    <t>Ecclesiastes 2:26</t>
  </si>
  <si>
    <t>God gives travail to sinner to gather and heap up</t>
  </si>
  <si>
    <t>Sinner's labor given to one who is good before God</t>
  </si>
  <si>
    <t>God's gift that man should eat, drink, and enjoy good</t>
  </si>
  <si>
    <t>Ecclesiastes 3:13</t>
  </si>
  <si>
    <t>God gives man riches, wealth, and honor</t>
  </si>
  <si>
    <t>Ecclesiastes 6:2</t>
  </si>
  <si>
    <t>God does not give man power to eat thereof</t>
  </si>
  <si>
    <t>Stranger eats man's wealth instead</t>
  </si>
  <si>
    <t>God has already appointed man's days</t>
  </si>
  <si>
    <t>Ecclesiastes 6:10</t>
  </si>
  <si>
    <t>Man cannot contend with Him who is mightier</t>
  </si>
  <si>
    <t>Who knows what is good for man in life?</t>
  </si>
  <si>
    <t>Ecclesiastes 6:12</t>
  </si>
  <si>
    <t>GOD (implied)</t>
  </si>
  <si>
    <t>Who can tell man what shall be after him?</t>
  </si>
  <si>
    <t>God makes men upright</t>
  </si>
  <si>
    <t>Ecclesiastes 7:29</t>
  </si>
  <si>
    <t>Creation/universal</t>
  </si>
  <si>
    <t>Men have sought out many schemes</t>
  </si>
  <si>
    <t>Post-fall</t>
  </si>
  <si>
    <t>Humans departing from GOD</t>
  </si>
  <si>
    <t>No man has power over spirit to retain spirit</t>
  </si>
  <si>
    <t>Ecclesiastes 8:8</t>
  </si>
  <si>
    <t>No man has power in day of death</t>
  </si>
  <si>
    <t>God's work is from beginning to end</t>
  </si>
  <si>
    <t>Ecclesiastes 8:17</t>
  </si>
  <si>
    <t>Man cannot find out work that God makes</t>
  </si>
  <si>
    <t>Though wise man claims to know, he cannot find out</t>
  </si>
  <si>
    <t>Righteous, wise, and their works are in hand of God</t>
  </si>
  <si>
    <t>Ecclesiastes 9:1</t>
  </si>
  <si>
    <t>No man knows love or hatred by all before them</t>
  </si>
  <si>
    <t>All things come alike to all from God</t>
  </si>
  <si>
    <t>Ecclesiastes 9:2-3</t>
  </si>
  <si>
    <t>One event happens to righteous and wicked</t>
  </si>
  <si>
    <t>Ecclesiastes 9:2</t>
  </si>
  <si>
    <t>God gives man his portion in life</t>
  </si>
  <si>
    <t>Ecclesiastes 9:9</t>
  </si>
  <si>
    <t>Time and chance happen to all</t>
  </si>
  <si>
    <t>Ecclesiastes 9:11</t>
  </si>
  <si>
    <t>Man does not know his time</t>
  </si>
  <si>
    <t>Ecclesiastes 9:12</t>
  </si>
  <si>
    <t>Men are snared in evil time when it falls suddenly</t>
  </si>
  <si>
    <t>If clouds are full of rain, they empty on earth</t>
  </si>
  <si>
    <t>Ecclesiastes 11:3</t>
  </si>
  <si>
    <t>GOD (natural law)</t>
  </si>
  <si>
    <t>Where tree falls, there it shall be</t>
  </si>
  <si>
    <t>You do not know way of wind</t>
  </si>
  <si>
    <t>Ecclesiastes 11:5</t>
  </si>
  <si>
    <t>You do not know how bones grow in pregnant woman</t>
  </si>
  <si>
    <t>Womb/universal</t>
  </si>
  <si>
    <t>You do not know works of God who makes all</t>
  </si>
  <si>
    <t>God will bring every work into judgment</t>
  </si>
  <si>
    <t>Ecclesiastes 12:14</t>
  </si>
  <si>
    <t>Final judgment</t>
  </si>
  <si>
    <t>God will judge every secret thing</t>
  </si>
  <si>
    <t>God will judge whether good or evil</t>
  </si>
  <si>
    <t>Remember your Creator in days of youth</t>
  </si>
  <si>
    <t>Ecclesiastes 12:1</t>
  </si>
  <si>
    <t>GOD (through wisdom)</t>
  </si>
  <si>
    <t>Before evil days come and years draw near</t>
  </si>
  <si>
    <t>Before you say "I have no pleasure in them"</t>
  </si>
  <si>
    <t>Spirit returns to God who gave it</t>
  </si>
  <si>
    <t>Ecclesiastes 12:7</t>
  </si>
  <si>
    <t>Death</t>
  </si>
  <si>
    <t>Dust returns to earth as it was</t>
  </si>
  <si>
    <t>Ecclesiastes contains no recorded miracles, supernatural acts of God, or instances of direct divine communication in the traditional biblical sense.</t>
  </si>
  <si>
    <t>Song of Solomon contains no explicit miracles, acts of God, or divine communications. This book is unique in Scripture as it focuses entirely on human love and relationships through poetic dialogue between lovers.</t>
  </si>
  <si>
    <t>Key characteristics of Song of Solomon:</t>
  </si>
  <si>
    <t>Literary Nature:</t>
  </si>
  <si>
    <r>
      <t>Pure poetry</t>
    </r>
    <r>
      <rPr>
        <sz val="11"/>
        <color theme="1"/>
        <rFont val="Calibri"/>
        <family val="2"/>
        <scheme val="minor"/>
      </rPr>
      <t xml:space="preserve"> - Lyrical expressions of love and beauty</t>
    </r>
  </si>
  <si>
    <r>
      <t>Human dialogue</t>
    </r>
    <r>
      <rPr>
        <sz val="11"/>
        <color theme="1"/>
        <rFont val="Calibri"/>
        <family val="2"/>
        <scheme val="minor"/>
      </rPr>
      <t xml:space="preserve"> - Conversations between beloved and lover</t>
    </r>
  </si>
  <si>
    <r>
      <t>Natural imagery</t>
    </r>
    <r>
      <rPr>
        <sz val="11"/>
        <color theme="1"/>
        <rFont val="Calibri"/>
        <family val="2"/>
        <scheme val="minor"/>
      </rPr>
      <t xml:space="preserve"> - Metaphors from nature, gardens, and landscapes</t>
    </r>
  </si>
  <si>
    <r>
      <t>No supernatural content</t>
    </r>
    <r>
      <rPr>
        <sz val="11"/>
        <color theme="1"/>
        <rFont val="Calibri"/>
        <family val="2"/>
        <scheme val="minor"/>
      </rPr>
      <t xml:space="preserve"> - No miracles or divine interventions recorded</t>
    </r>
  </si>
  <si>
    <t>Interpretive Approaches:</t>
  </si>
  <si>
    <r>
      <t>Literal interpretation</t>
    </r>
    <r>
      <rPr>
        <sz val="11"/>
        <color theme="1"/>
        <rFont val="Calibri"/>
        <family val="2"/>
        <scheme val="minor"/>
      </rPr>
      <t xml:space="preserve"> - Celebration of human marital love</t>
    </r>
  </si>
  <si>
    <r>
      <t>Allegorical interpretation</t>
    </r>
    <r>
      <rPr>
        <sz val="11"/>
        <color theme="1"/>
        <rFont val="Calibri"/>
        <family val="2"/>
        <scheme val="minor"/>
      </rPr>
      <t xml:space="preserve"> - Symbolic of God's love for Israel or Christ's love for the church</t>
    </r>
  </si>
  <si>
    <r>
      <t>Typological interpretation</t>
    </r>
    <r>
      <rPr>
        <sz val="11"/>
        <color theme="1"/>
        <rFont val="Calibri"/>
        <family val="2"/>
        <scheme val="minor"/>
      </rPr>
      <t xml:space="preserve"> - Pattern of divine-human relationship</t>
    </r>
  </si>
  <si>
    <r>
      <t>Wisdom literature</t>
    </r>
    <r>
      <rPr>
        <sz val="11"/>
        <color theme="1"/>
        <rFont val="Calibri"/>
        <family val="2"/>
        <scheme val="minor"/>
      </rPr>
      <t xml:space="preserve"> - Teaching about love and relationships</t>
    </r>
  </si>
  <si>
    <t>Absence of Divine Elements:</t>
  </si>
  <si>
    <r>
      <t>No theophany</t>
    </r>
    <r>
      <rPr>
        <sz val="11"/>
        <color theme="1"/>
        <rFont val="Calibri"/>
        <family val="2"/>
        <scheme val="minor"/>
      </rPr>
      <t xml:space="preserve"> - God does not appear or speak directly</t>
    </r>
  </si>
  <si>
    <r>
      <t>No miracles</t>
    </r>
    <r>
      <rPr>
        <sz val="11"/>
        <color theme="1"/>
        <rFont val="Calibri"/>
        <family val="2"/>
        <scheme val="minor"/>
      </rPr>
      <t xml:space="preserve"> - No supernatural events recorded</t>
    </r>
  </si>
  <si>
    <r>
      <t>No prophecy</t>
    </r>
    <r>
      <rPr>
        <sz val="11"/>
        <color theme="1"/>
        <rFont val="Calibri"/>
        <family val="2"/>
        <scheme val="minor"/>
      </rPr>
      <t xml:space="preserve"> - No predictive or revelatory content</t>
    </r>
  </si>
  <si>
    <r>
      <t>No divine commands</t>
    </r>
    <r>
      <rPr>
        <sz val="11"/>
        <color theme="1"/>
        <rFont val="Calibri"/>
        <family val="2"/>
        <scheme val="minor"/>
      </rPr>
      <t xml:space="preserve"> - No laws or instructions given</t>
    </r>
  </si>
  <si>
    <t>Theological Significance:</t>
  </si>
  <si>
    <r>
      <t>Sanctity of love</t>
    </r>
    <r>
      <rPr>
        <sz val="11"/>
        <color theme="1"/>
        <rFont val="Calibri"/>
        <family val="2"/>
        <scheme val="minor"/>
      </rPr>
      <t xml:space="preserve"> - Affirms beauty and goodness of human love</t>
    </r>
  </si>
  <si>
    <r>
      <t>Creation celebration</t>
    </r>
    <r>
      <rPr>
        <sz val="11"/>
        <color theme="1"/>
        <rFont val="Calibri"/>
        <family val="2"/>
        <scheme val="minor"/>
      </rPr>
      <t xml:space="preserve"> - Reflects God's good design for relationships</t>
    </r>
  </si>
  <si>
    <r>
      <t>Covenant imagery</t>
    </r>
    <r>
      <rPr>
        <sz val="11"/>
        <color theme="1"/>
        <rFont val="Calibri"/>
        <family val="2"/>
        <scheme val="minor"/>
      </rPr>
      <t xml:space="preserve"> - May prefigure divine-human covenant relationship</t>
    </r>
  </si>
  <si>
    <r>
      <t>Wisdom tradition</t>
    </r>
    <r>
      <rPr>
        <sz val="11"/>
        <color theme="1"/>
        <rFont val="Calibri"/>
        <family val="2"/>
        <scheme val="minor"/>
      </rPr>
      <t xml:space="preserve"> - Part of Israel's wisdom literature</t>
    </r>
  </si>
  <si>
    <t>While the Song of Solomon has profound theological value and has been interpreted spiritually throughout church history, it contains no explicit supernatural content that would qualify as miracles, acts of God, or divine communications. Its significance lies in its affirmation of love, beauty, and relationship within God's created order.</t>
  </si>
  <si>
    <t>The Psalms are a collection of 150 poems, hymns, and prayers that:</t>
  </si>
  <si>
    <t>The few potential instances of direct divine communication in Psalms include:</t>
  </si>
  <si>
    <t>However, these are presented as poetic/prophetic utterances rather than historical narrative accounts with specific locations, dates, and circumstances that would fit your requested table format.</t>
  </si>
  <si>
    <r>
      <t xml:space="preserve">Psalms contains extensive references to God's miraculous works and divine communications, the Psalms themselves are primarily </t>
    </r>
    <r>
      <rPr>
        <b/>
        <sz val="11"/>
        <color rgb="FFFF0000"/>
        <rFont val="Calibri"/>
        <family val="2"/>
        <scheme val="minor"/>
      </rPr>
      <t>poetry and songs that reflect on or reference</t>
    </r>
    <r>
      <rPr>
        <sz val="11"/>
        <color rgb="FFFF0000"/>
        <rFont val="Calibri"/>
        <family val="2"/>
        <scheme val="minor"/>
      </rPr>
      <t xml:space="preserve"> miraculous events rather than </t>
    </r>
    <r>
      <rPr>
        <b/>
        <sz val="11"/>
        <color rgb="FFFF0000"/>
        <rFont val="Calibri"/>
        <family val="2"/>
        <scheme val="minor"/>
      </rPr>
      <t>narrative accounts of new miracles occurring</t>
    </r>
    <r>
      <rPr>
        <sz val="11"/>
        <color rgb="FFFF0000"/>
        <rFont val="Calibri"/>
        <family val="2"/>
        <scheme val="minor"/>
      </rPr>
      <t>.</t>
    </r>
  </si>
  <si>
    <r>
      <t>1. Reference past miracles</t>
    </r>
    <r>
      <rPr>
        <sz val="11"/>
        <color rgb="FFFF0000"/>
        <rFont val="Calibri"/>
        <family val="2"/>
        <scheme val="minor"/>
      </rPr>
      <t xml:space="preserve"> (like the Exodus, Red Sea crossing, wilderness provision) but don't record new miraculous events happening to the psalmists</t>
    </r>
  </si>
  <si>
    <r>
      <t>2. Contain prayers and praise</t>
    </r>
    <r>
      <rPr>
        <sz val="11"/>
        <color rgb="FFFF0000"/>
        <rFont val="Calibri"/>
        <family val="2"/>
        <scheme val="minor"/>
      </rPr>
      <t xml:space="preserve"> rather than narrative accounts of divine interventions</t>
    </r>
  </si>
  <si>
    <r>
      <t>3. Include some instances where God speaks</t>
    </r>
    <r>
      <rPr>
        <sz val="11"/>
        <color rgb="FFFF0000"/>
        <rFont val="Calibri"/>
        <family val="2"/>
        <scheme val="minor"/>
      </rPr>
      <t xml:space="preserve"> (particularly in a few psalms), but these are primarily poetic/prophetic rather than historical narrative accounts</t>
    </r>
  </si>
  <si>
    <r>
      <t>Psalm 2:7</t>
    </r>
    <r>
      <rPr>
        <sz val="11"/>
        <color rgb="FFFF0000"/>
        <rFont val="Calibri"/>
        <family val="2"/>
        <scheme val="minor"/>
      </rPr>
      <t xml:space="preserve"> - "The LORD said to me, 'You are my Son; today I have begotten you'" (God speaking to the Messianic king)</t>
    </r>
  </si>
  <si>
    <r>
      <t>Psalm 110:1</t>
    </r>
    <r>
      <rPr>
        <sz val="11"/>
        <color rgb="FFFF0000"/>
        <rFont val="Calibri"/>
        <family val="2"/>
        <scheme val="minor"/>
      </rPr>
      <t xml:space="preserve"> - "The LORD says to my Lord: 'Sit at my right hand...'" (divine oracle)</t>
    </r>
  </si>
  <si>
    <r>
      <t>Psalm 82:6-7</t>
    </r>
    <r>
      <rPr>
        <sz val="11"/>
        <color rgb="FFFF0000"/>
        <rFont val="Calibri"/>
        <family val="2"/>
        <scheme val="minor"/>
      </rPr>
      <t xml:space="preserve"> - God speaking in the divine council</t>
    </r>
  </si>
  <si>
    <r>
      <t>Psalm 95:7-11</t>
    </r>
    <r>
      <rPr>
        <sz val="11"/>
        <color rgb="FFFF0000"/>
        <rFont val="Calibri"/>
        <family val="2"/>
        <scheme val="minor"/>
      </rPr>
      <t xml:space="preserve"> - "Today, if you hear his voice..." (divine warning)</t>
    </r>
  </si>
  <si>
    <r>
      <t xml:space="preserve">Most references to miracles in Psalms are </t>
    </r>
    <r>
      <rPr>
        <b/>
        <sz val="11"/>
        <color rgb="FFFF0000"/>
        <rFont val="Calibri"/>
        <family val="2"/>
        <scheme val="minor"/>
      </rPr>
      <t>retrospective celebrations</t>
    </r>
    <r>
      <rPr>
        <sz val="11"/>
        <color rgb="FFFF0000"/>
        <rFont val="Calibri"/>
        <family val="2"/>
        <scheme val="minor"/>
      </rPr>
      <t xml:space="preserve"> of God's past works (Exodus events, creation, etc.) rather than accounts of new miraculous events occurring during the psalmists' times.</t>
    </r>
  </si>
  <si>
    <r>
      <t>1. It never explicitly mentions God by name</t>
    </r>
    <r>
      <rPr>
        <sz val="11"/>
        <color rgb="FFFF0000"/>
        <rFont val="Calibri"/>
        <family val="2"/>
        <scheme val="minor"/>
      </rPr>
      <t xml:space="preserve"> (unlike virtually every other biblical book)</t>
    </r>
  </si>
  <si>
    <r>
      <t>2. It contains no miraculous events</t>
    </r>
    <r>
      <rPr>
        <sz val="11"/>
        <color rgb="FFFF0000"/>
        <rFont val="Calibri"/>
        <family val="2"/>
        <scheme val="minor"/>
      </rPr>
      <t xml:space="preserve"> or supernatural interventions</t>
    </r>
  </si>
  <si>
    <r>
      <t>3. It records no direct divine communications</t>
    </r>
    <r>
      <rPr>
        <sz val="11"/>
        <color rgb="FFFF0000"/>
        <rFont val="Calibri"/>
        <family val="2"/>
        <scheme val="minor"/>
      </rPr>
      <t xml:space="preserve"> or prophetic messages</t>
    </r>
  </si>
  <si>
    <r>
      <t>4. It focuses entirely on human love and relationships</t>
    </r>
    <r>
      <rPr>
        <sz val="11"/>
        <color rgb="FFFF0000"/>
        <rFont val="Calibri"/>
        <family val="2"/>
        <scheme val="minor"/>
      </rPr>
      <t xml:space="preserve"> through poetic dialogue</t>
    </r>
  </si>
  <si>
    <t>The book of Proverbs is a wisdom literature collection that consists of:</t>
  </si>
  <si>
    <t>2. Moral and ethical teachings</t>
  </si>
  <si>
    <t>3. Observations about life, human nature, and godly living</t>
  </si>
  <si>
    <t>Key characteristics of Proverbs:</t>
  </si>
  <si>
    <t>While Proverbs frequently mentions God (using terms like LORD, Most High, etc.) and discusses His attributes, wisdom, and relationship with humanity, these are presented as:</t>
  </si>
  <si>
    <t>Theological principles</t>
  </si>
  <si>
    <t>Wisdom observations</t>
  </si>
  <si>
    <t>Moral teachings</t>
  </si>
  <si>
    <t>General truths about God's character</t>
  </si>
  <si>
    <r>
      <t>1. Wise sayings and maxims</t>
    </r>
    <r>
      <rPr>
        <sz val="11"/>
        <color rgb="FFFF0000"/>
        <rFont val="Calibri"/>
        <family val="2"/>
        <scheme val="minor"/>
      </rPr>
      <t xml:space="preserve"> about practical living</t>
    </r>
  </si>
  <si>
    <r>
      <t>4. Poetic instructions</t>
    </r>
    <r>
      <rPr>
        <sz val="11"/>
        <color rgb="FFFF0000"/>
        <rFont val="Calibri"/>
        <family val="2"/>
        <scheme val="minor"/>
      </rPr>
      <t xml:space="preserve"> on topics like work, relationships, speech, and character</t>
    </r>
  </si>
  <si>
    <r>
      <t>No narrative accounts</t>
    </r>
    <r>
      <rPr>
        <sz val="11"/>
        <color rgb="FFFF0000"/>
        <rFont val="Calibri"/>
        <family val="2"/>
        <scheme val="minor"/>
      </rPr>
      <t xml:space="preserve"> of miraculous events or divine interventions</t>
    </r>
  </si>
  <si>
    <r>
      <t>No direct quotes</t>
    </r>
    <r>
      <rPr>
        <sz val="11"/>
        <color rgb="FFFF0000"/>
        <rFont val="Calibri"/>
        <family val="2"/>
        <scheme val="minor"/>
      </rPr>
      <t xml:space="preserve"> from God speaking to individuals</t>
    </r>
  </si>
  <si>
    <r>
      <t>Wisdom teachings</t>
    </r>
    <r>
      <rPr>
        <sz val="11"/>
        <color rgb="FFFF0000"/>
        <rFont val="Calibri"/>
        <family val="2"/>
        <scheme val="minor"/>
      </rPr>
      <t xml:space="preserve"> that reference God's character and ways, but not accounts of supernatural occurrences</t>
    </r>
  </si>
  <si>
    <r>
      <t>Instructional format</t>
    </r>
    <r>
      <rPr>
        <sz val="11"/>
        <color rgb="FFFF0000"/>
        <rFont val="Calibri"/>
        <family val="2"/>
        <scheme val="minor"/>
      </rPr>
      <t xml:space="preserve"> rather than historical narrative</t>
    </r>
  </si>
  <si>
    <t>Proverbs contains no recorded miracles, supernatural acts of God, or instances of direct divine communication in the traditional biblical sense.</t>
  </si>
  <si>
    <t>Vision of the Lord on His throne</t>
  </si>
  <si>
    <t>Isaiah 6:1-4</t>
  </si>
  <si>
    <t>Jerusalem Temple</t>
  </si>
  <si>
    <t>c. 740 BC</t>
  </si>
  <si>
    <t>Seraphim call "Holy, holy, holy"</t>
  </si>
  <si>
    <t>Isaiah 6:2-3</t>
  </si>
  <si>
    <t>Seraphim</t>
  </si>
  <si>
    <t>Temple foundations shake at seraphim's voice</t>
  </si>
  <si>
    <t>Isaiah 6:4</t>
  </si>
  <si>
    <t>Temple fills with smoke</t>
  </si>
  <si>
    <t>Seraph touches Isaiah's lips with live coal</t>
  </si>
  <si>
    <t>Isaiah 6:6-7</t>
  </si>
  <si>
    <t>Seraph</t>
  </si>
  <si>
    <t>Isaiah's sin purged by the coal</t>
  </si>
  <si>
    <t>Isaiah 6:7</t>
  </si>
  <si>
    <t>God calls for a messenger</t>
  </si>
  <si>
    <t>Isaiah 6:8</t>
  </si>
  <si>
    <t>God commissions Isaiah with hardening message</t>
  </si>
  <si>
    <t>Isaiah 6:9-13</t>
  </si>
  <si>
    <t>Sign of Immanuel given to Ahaz</t>
  </si>
  <si>
    <t>Isaiah 7:10-14</t>
  </si>
  <si>
    <t>God tells Isaiah to take a large scroll</t>
  </si>
  <si>
    <t>Isaiah 8:1</t>
  </si>
  <si>
    <t>Isaiah's wife conceives prophetic son</t>
  </si>
  <si>
    <t>Isaiah 8:3-4</t>
  </si>
  <si>
    <t>God speaks with strong hand upon Isaiah</t>
  </si>
  <si>
    <t>Isaiah 8:11</t>
  </si>
  <si>
    <t>Miraculous birth of child prophesied</t>
  </si>
  <si>
    <t>Isaiah 9:6-7</t>
  </si>
  <si>
    <t>Israel/Jerusalem</t>
  </si>
  <si>
    <t>c. 730 BC</t>
  </si>
  <si>
    <t>Lord's hand stretched out in judgment</t>
  </si>
  <si>
    <t>Isaiah 9:12, 17, 21; 10:4</t>
  </si>
  <si>
    <t>Israel/Assyria</t>
  </si>
  <si>
    <t>Assyrian army to be supernaturally stopped</t>
  </si>
  <si>
    <t>Isaiah 10:12-19</t>
  </si>
  <si>
    <t>Assyria/Israel</t>
  </si>
  <si>
    <t>Remnant shall return by God's power</t>
  </si>
  <si>
    <t>Isaiah 10:20-22</t>
  </si>
  <si>
    <t>Spirit of the LORD upon the Branch</t>
  </si>
  <si>
    <t>Isaiah 11:1-5</t>
  </si>
  <si>
    <t>Future Messianic kingdom</t>
  </si>
  <si>
    <t>Messianic</t>
  </si>
  <si>
    <t>God will set up banner for nations</t>
  </si>
  <si>
    <t>Isaiah 11:10-12</t>
  </si>
  <si>
    <t>Future</t>
  </si>
  <si>
    <t>God will dry up tongue of Egyptian sea</t>
  </si>
  <si>
    <t>Isaiah 11:15</t>
  </si>
  <si>
    <t>Egypt/Red Sea</t>
  </si>
  <si>
    <t>Babylonian destruction prophesied</t>
  </si>
  <si>
    <t>Isaiah 13:1-22</t>
  </si>
  <si>
    <t>Lucifer's fall from heaven described</t>
  </si>
  <si>
    <t>Isaiah 14:12-15</t>
  </si>
  <si>
    <t>Heaven/Earth</t>
  </si>
  <si>
    <t>Primordial/Future</t>
  </si>
  <si>
    <t>Assyrian yoke to be broken supernaturally</t>
  </si>
  <si>
    <t>Isaiah 14:24-27</t>
  </si>
  <si>
    <t>Hezekiah's life extended by 15 years</t>
  </si>
  <si>
    <t>Isaiah 38:1-5</t>
  </si>
  <si>
    <t>Shadow goes back ten degrees on sundial</t>
  </si>
  <si>
    <t>Isaiah 38:7-8</t>
  </si>
  <si>
    <t>Angel of the LORD kills 185,000 Assyrians</t>
  </si>
  <si>
    <t>Isaiah 37:36</t>
  </si>
  <si>
    <t>Jerusalem/Assyrian camp</t>
  </si>
  <si>
    <t>Sennacherib retreats after angel's destruction</t>
  </si>
  <si>
    <t>Isaiah 37:37</t>
  </si>
  <si>
    <t>Jerusalem/Assyria</t>
  </si>
  <si>
    <t>God calls to His servant Jacob/Israel</t>
  </si>
  <si>
    <t>Isaiah 41:8-9</t>
  </si>
  <si>
    <t>Babylon/Israel</t>
  </si>
  <si>
    <t>c. 550 BC</t>
  </si>
  <si>
    <t>God promises to help His chosen servant</t>
  </si>
  <si>
    <t>Isaiah 41:10-14</t>
  </si>
  <si>
    <t>God will make rivers in desert</t>
  </si>
  <si>
    <t>Isaiah 41:18-19</t>
  </si>
  <si>
    <t>Wilderness/Desert</t>
  </si>
  <si>
    <t>God calls Cyrus by name before his birth</t>
  </si>
  <si>
    <t>Isaiah 44:28; 45:1-4</t>
  </si>
  <si>
    <t>c. 700/550 BC</t>
  </si>
  <si>
    <t>God declares end from beginning</t>
  </si>
  <si>
    <t>Isaiah 46:9-11</t>
  </si>
  <si>
    <t>Servant will be wounded for transgressions</t>
  </si>
  <si>
    <t>Isaiah 53:4-6</t>
  </si>
  <si>
    <t>Future/Calvary</t>
  </si>
  <si>
    <t>Servant's soul made offering for sin</t>
  </si>
  <si>
    <t>Isaiah 53:10-12</t>
  </si>
  <si>
    <t>Barren woman will have more children</t>
  </si>
  <si>
    <t>Isaiah 54:1-3</t>
  </si>
  <si>
    <t>Israel/Church</t>
  </si>
  <si>
    <t>God's word will not return void</t>
  </si>
  <si>
    <t>Isaiah 55:10-11</t>
  </si>
  <si>
    <t>Eternal</t>
  </si>
  <si>
    <t>Mountains and hills shall break into singing</t>
  </si>
  <si>
    <t>Isaiah 55:12</t>
  </si>
  <si>
    <t>God will make eunuchs and foreigners fruitful</t>
  </si>
  <si>
    <t>Isaiah 56:3-7</t>
  </si>
  <si>
    <t>Temple/Jerusalem</t>
  </si>
  <si>
    <t>God comes with vengeance and recompense</t>
  </si>
  <si>
    <t>Isaiah 59:15-19</t>
  </si>
  <si>
    <t>Earth/Zion</t>
  </si>
  <si>
    <t>Spirit of the Lord upon the Messiah</t>
  </si>
  <si>
    <t>Isaiah 61:1-3</t>
  </si>
  <si>
    <t>Israel/Earth</t>
  </si>
  <si>
    <t>God creates new heavens and new earth</t>
  </si>
  <si>
    <t>Isaiah 65:17</t>
  </si>
  <si>
    <t>New Creation</t>
  </si>
  <si>
    <t>God speaks of creating Jerusalem a rejoicing</t>
  </si>
  <si>
    <t>Isaiah 65:18-19</t>
  </si>
  <si>
    <t>New Jerusalem</t>
  </si>
  <si>
    <t>Wolf and lamb shall feed together</t>
  </si>
  <si>
    <t>Isaiah 65:25</t>
  </si>
  <si>
    <t>New Earth</t>
  </si>
  <si>
    <t>God declares heaven is His throne</t>
  </si>
  <si>
    <t>Isaiah 66:1</t>
  </si>
  <si>
    <t>God will extend peace like a river</t>
  </si>
  <si>
    <t>Isaiah 66:12</t>
  </si>
  <si>
    <t>Jerusalem/Zion</t>
  </si>
  <si>
    <t>God will gather all nations to see His glory</t>
  </si>
  <si>
    <t>Isaiah 66:18-19</t>
  </si>
  <si>
    <t>Jerusalem/Nations</t>
  </si>
  <si>
    <t>New heavens and earth shall remain</t>
  </si>
  <si>
    <t>Isaiah 66:22</t>
  </si>
  <si>
    <t>Isaiah:</t>
  </si>
  <si>
    <t>a comprehensive table of all miracles, acts of God, and divine communications in the Book of Isaiah. This contains 40 entries focusing specifically on supernatural events, divine visions, prophetic miracles, and direct communications between God and Isaiah or other spiritual beings.</t>
  </si>
  <si>
    <t>Key categories represented:</t>
  </si>
  <si>
    <t>Historical Miracles (8th-7th centuries BC):</t>
  </si>
  <si>
    <r>
      <t>Isaiah's temple vision</t>
    </r>
    <r>
      <rPr>
        <sz val="11"/>
        <color theme="1"/>
        <rFont val="Calibri"/>
        <family val="2"/>
        <scheme val="minor"/>
      </rPr>
      <t xml:space="preserve"> (Isaiah 6) - The foundational theophany with seraphim, cleansing coal, and divine commission</t>
    </r>
  </si>
  <si>
    <r>
      <t>Hezekiah's healing and sundial miracle</t>
    </r>
    <r>
      <rPr>
        <sz val="11"/>
        <color theme="1"/>
        <rFont val="Calibri"/>
        <family val="2"/>
        <scheme val="minor"/>
      </rPr>
      <t xml:space="preserve"> (Isaiah 38) - Physical healing and astronomical sign</t>
    </r>
  </si>
  <si>
    <r>
      <t>Assyrian army destruction</t>
    </r>
    <r>
      <rPr>
        <sz val="11"/>
        <color theme="1"/>
        <rFont val="Calibri"/>
        <family val="2"/>
        <scheme val="minor"/>
      </rPr>
      <t xml:space="preserve"> (Isaiah 37:36) - 185,000 killed by angel in one night</t>
    </r>
  </si>
  <si>
    <r>
      <t>Prophetic signs through Isaiah's children</t>
    </r>
    <r>
      <rPr>
        <sz val="11"/>
        <color theme="1"/>
        <rFont val="Calibri"/>
        <family val="2"/>
        <scheme val="minor"/>
      </rPr>
      <t xml:space="preserve"> - Names serving as divine messages</t>
    </r>
  </si>
  <si>
    <t>Messianic Prophecies:</t>
  </si>
  <si>
    <r>
      <t>Virgin birth</t>
    </r>
    <r>
      <rPr>
        <sz val="11"/>
        <color theme="1"/>
        <rFont val="Calibri"/>
        <family val="2"/>
        <scheme val="minor"/>
      </rPr>
      <t xml:space="preserve"> (Isaiah 7:14) - Immanuel prophecy</t>
    </r>
  </si>
  <si>
    <r>
      <t>Suffering Servant</t>
    </r>
    <r>
      <rPr>
        <sz val="11"/>
        <color theme="1"/>
        <rFont val="Calibri"/>
        <family val="2"/>
        <scheme val="minor"/>
      </rPr>
      <t xml:space="preserve"> (Isaiah 53) - Detailed prophecy of Christ's atonement</t>
    </r>
  </si>
  <si>
    <r>
      <t>Spirit-anointed Messiah</t>
    </r>
    <r>
      <rPr>
        <sz val="11"/>
        <color theme="1"/>
        <rFont val="Calibri"/>
        <family val="2"/>
        <scheme val="minor"/>
      </rPr>
      <t xml:space="preserve"> (Isaiah 11, 61) - Divine empowerment prophecies</t>
    </r>
  </si>
  <si>
    <t>Eschatological Miracles:</t>
  </si>
  <si>
    <r>
      <t>New heavens and new earth</t>
    </r>
    <r>
      <rPr>
        <sz val="11"/>
        <color theme="1"/>
        <rFont val="Calibri"/>
        <family val="2"/>
        <scheme val="minor"/>
      </rPr>
      <t xml:space="preserve"> (Isaiah 65:17, 66:22) - Ultimate divine creation</t>
    </r>
  </si>
  <si>
    <r>
      <t>Transformed creation</t>
    </r>
    <r>
      <rPr>
        <sz val="11"/>
        <color theme="1"/>
        <rFont val="Calibri"/>
        <family val="2"/>
        <scheme val="minor"/>
      </rPr>
      <t xml:space="preserve"> (Isaiah 11:6-9, 65:25) - Wolf and lamb dwelling together</t>
    </r>
  </si>
  <si>
    <r>
      <t>Geographic miracles</t>
    </r>
    <r>
      <rPr>
        <sz val="11"/>
        <color theme="1"/>
        <rFont val="Calibri"/>
        <family val="2"/>
        <scheme val="minor"/>
      </rPr>
      <t xml:space="preserve"> (Isaiah 11:15, 41:18-19) - Dried seas, rivers in deserts</t>
    </r>
  </si>
  <si>
    <r>
      <t>Lucifer's fall</t>
    </r>
    <r>
      <rPr>
        <sz val="11"/>
        <color theme="1"/>
        <rFont val="Calibri"/>
        <family val="2"/>
        <scheme val="minor"/>
      </rPr>
      <t xml:space="preserve"> (Isaiah 14:12-15) - Cosmic rebellion and judgment</t>
    </r>
  </si>
  <si>
    <r>
      <t>Babylonian destruction</t>
    </r>
    <r>
      <rPr>
        <sz val="11"/>
        <color theme="1"/>
        <rFont val="Calibri"/>
        <family val="2"/>
        <scheme val="minor"/>
      </rPr>
      <t xml:space="preserve"> (Isaiah 13) - Prophetic judgment on empire</t>
    </r>
  </si>
  <si>
    <r>
      <t>Assyrian defeat</t>
    </r>
    <r>
      <rPr>
        <sz val="11"/>
        <color theme="1"/>
        <rFont val="Calibri"/>
        <family val="2"/>
        <scheme val="minor"/>
      </rPr>
      <t xml:space="preserve"> (Isaiah 10, 14:24-27) - Divine military intervention</t>
    </r>
  </si>
  <si>
    <t>The timeline spans from Isaiah's call (c. 740 BC) through eschatological fulfillments, showing God's sovereignty over history and His power to accomplish His prophetic word through miraculous intervention.</t>
  </si>
  <si>
    <t>Prophetic Scope and Timeline</t>
  </si>
  <si>
    <r>
      <t>Spans multiple time periods</t>
    </r>
    <r>
      <rPr>
        <sz val="11"/>
        <color theme="1"/>
        <rFont val="Calibri"/>
        <family val="2"/>
        <scheme val="minor"/>
      </rPr>
      <t>: Historical events (8th-7th centuries BC), Messianic prophecies, and eschatological future</t>
    </r>
  </si>
  <si>
    <r>
      <t>Long prophetic ministry</t>
    </r>
    <r>
      <rPr>
        <sz val="11"/>
        <color theme="1"/>
        <rFont val="Calibri"/>
        <family val="2"/>
        <scheme val="minor"/>
      </rPr>
      <t>: Isaiah's career extended from c. 740-680 BC (approximately 60 years)</t>
    </r>
  </si>
  <si>
    <r>
      <t>Dual focus</t>
    </r>
    <r>
      <rPr>
        <sz val="11"/>
        <color theme="1"/>
        <rFont val="Calibri"/>
        <family val="2"/>
        <scheme val="minor"/>
      </rPr>
      <t>: Immediate historical context (Assyrian crisis) and distant future fulfillments</t>
    </r>
  </si>
  <si>
    <t>Divine Communication Patterns</t>
  </si>
  <si>
    <r>
      <t>Visionary experiences</t>
    </r>
    <r>
      <rPr>
        <sz val="11"/>
        <color theme="1"/>
        <rFont val="Calibri"/>
        <family val="2"/>
        <scheme val="minor"/>
      </rPr>
      <t>: Begins with dramatic temple theophany (Chapter 6) featuring seraphim and divine cleansing</t>
    </r>
  </si>
  <si>
    <r>
      <t>Symbolic actions</t>
    </r>
    <r>
      <rPr>
        <sz val="11"/>
        <color theme="1"/>
        <rFont val="Calibri"/>
        <family val="2"/>
        <scheme val="minor"/>
      </rPr>
      <t>: God uses Isaiah's family (wife and children) as living prophetic signs</t>
    </r>
  </si>
  <si>
    <r>
      <t>Direct divine speech</t>
    </r>
    <r>
      <rPr>
        <sz val="11"/>
        <color theme="1"/>
        <rFont val="Calibri"/>
        <family val="2"/>
        <scheme val="minor"/>
      </rPr>
      <t>: Frequent "Thus says the LORD" declarations throughout</t>
    </r>
  </si>
  <si>
    <r>
      <t>Apocalyptic visions</t>
    </r>
    <r>
      <rPr>
        <sz val="11"/>
        <color theme="1"/>
        <rFont val="Calibri"/>
        <family val="2"/>
        <scheme val="minor"/>
      </rPr>
      <t>: Detailed revelations of future cosmic events and divine interventions</t>
    </r>
  </si>
  <si>
    <t>Theological Themes</t>
  </si>
  <si>
    <r>
      <t>God's holiness</t>
    </r>
    <r>
      <rPr>
        <sz val="11"/>
        <color theme="1"/>
        <rFont val="Calibri"/>
        <family val="2"/>
        <scheme val="minor"/>
      </rPr>
      <t>: Central theme established in temple vision ("Holy, holy, holy")</t>
    </r>
  </si>
  <si>
    <r>
      <t>Divine sovereignty</t>
    </r>
    <r>
      <rPr>
        <sz val="11"/>
        <color theme="1"/>
        <rFont val="Calibri"/>
        <family val="2"/>
        <scheme val="minor"/>
      </rPr>
      <t>: God controls nations, calls rulers by name (Cyrus), and orchestrates history</t>
    </r>
  </si>
  <si>
    <r>
      <t>Judgment and salvation</t>
    </r>
    <r>
      <rPr>
        <sz val="11"/>
        <color theme="1"/>
        <rFont val="Calibri"/>
        <family val="2"/>
        <scheme val="minor"/>
      </rPr>
      <t>: Dual message of divine wrath against sin and promised redemption</t>
    </r>
  </si>
  <si>
    <r>
      <t>Remnant theology</t>
    </r>
    <r>
      <rPr>
        <sz val="11"/>
        <color theme="1"/>
        <rFont val="Calibri"/>
        <family val="2"/>
        <scheme val="minor"/>
      </rPr>
      <t>: God preserves a faithful remnant through judgment periods</t>
    </r>
  </si>
  <si>
    <t>Messianic Focus</t>
  </si>
  <si>
    <r>
      <t>Detailed Christological prophecies</t>
    </r>
    <r>
      <rPr>
        <sz val="11"/>
        <color theme="1"/>
        <rFont val="Calibri"/>
        <family val="2"/>
        <scheme val="minor"/>
      </rPr>
      <t>: Virgin birth (7:14), Suffering Servant (53), Spirit-anointed Messiah (11, 61)</t>
    </r>
  </si>
  <si>
    <r>
      <t>Dual advent structure</t>
    </r>
    <r>
      <rPr>
        <sz val="11"/>
        <color theme="1"/>
        <rFont val="Calibri"/>
        <family val="2"/>
        <scheme val="minor"/>
      </rPr>
      <t>: First coming (suffering) and second coming (reigning) both prophesied</t>
    </r>
  </si>
  <si>
    <r>
      <t>Substitutionary atonement</t>
    </r>
    <r>
      <rPr>
        <sz val="11"/>
        <color theme="1"/>
        <rFont val="Calibri"/>
        <family val="2"/>
        <scheme val="minor"/>
      </rPr>
      <t>: Most detailed Old Testament description of vicarious suffering (Chapter 53)</t>
    </r>
  </si>
  <si>
    <t>Eschatological Vision</t>
  </si>
  <si>
    <r>
      <t>Cosmic transformation</t>
    </r>
    <r>
      <rPr>
        <sz val="11"/>
        <color theme="1"/>
        <rFont val="Calibri"/>
        <family val="2"/>
        <scheme val="minor"/>
      </rPr>
      <t>: New heavens and new earth, transformed creation, universal peace</t>
    </r>
  </si>
  <si>
    <r>
      <t>Global scope</t>
    </r>
    <r>
      <rPr>
        <sz val="11"/>
        <color theme="1"/>
        <rFont val="Calibri"/>
        <family val="2"/>
        <scheme val="minor"/>
      </rPr>
      <t>: All nations gathered, Gentile inclusion prominently featured</t>
    </r>
  </si>
  <si>
    <r>
      <t>Physical miracles</t>
    </r>
    <r>
      <rPr>
        <sz val="11"/>
        <color theme="1"/>
        <rFont val="Calibri"/>
        <family val="2"/>
        <scheme val="minor"/>
      </rPr>
      <t>: Geographic changes, supernatural provision, creation restoration</t>
    </r>
  </si>
  <si>
    <t>Literary and Structural Features</t>
  </si>
  <si>
    <r>
      <t>Poetic prophecy</t>
    </r>
    <r>
      <rPr>
        <sz val="11"/>
        <color theme="1"/>
        <rFont val="Calibri"/>
        <family val="2"/>
        <scheme val="minor"/>
      </rPr>
      <t>: Much content in Hebrew poetry with vivid imagery and metaphors</t>
    </r>
  </si>
  <si>
    <r>
      <t>Historical narrative sections</t>
    </r>
    <r>
      <rPr>
        <sz val="11"/>
        <color theme="1"/>
        <rFont val="Calibri"/>
        <family val="2"/>
        <scheme val="minor"/>
      </rPr>
      <t>: Detailed accounts of Hezekiah's reign and Assyrian crisis</t>
    </r>
  </si>
  <si>
    <r>
      <t>Dual structure</t>
    </r>
    <r>
      <rPr>
        <sz val="11"/>
        <color theme="1"/>
        <rFont val="Calibri"/>
        <family val="2"/>
        <scheme val="minor"/>
      </rPr>
      <t>: Chapters 1-39 (judgment emphasis), Chapters 40-66 (comfort emphasis)</t>
    </r>
  </si>
  <si>
    <t>Historical Context Integration</t>
  </si>
  <si>
    <r>
      <t>Assyrian crisis</t>
    </r>
    <r>
      <rPr>
        <sz val="11"/>
        <color theme="1"/>
        <rFont val="Calibri"/>
        <family val="2"/>
        <scheme val="minor"/>
      </rPr>
      <t>: Major historical backdrop with miraculous divine interventions</t>
    </r>
  </si>
  <si>
    <r>
      <t>Babylonian exile anticipation</t>
    </r>
    <r>
      <rPr>
        <sz val="11"/>
        <color theme="1"/>
        <rFont val="Calibri"/>
        <family val="2"/>
        <scheme val="minor"/>
      </rPr>
      <t>: Prophecies of coming judgment and eventual restoration</t>
    </r>
  </si>
  <si>
    <r>
      <t>Persian period</t>
    </r>
    <r>
      <rPr>
        <sz val="11"/>
        <color theme="1"/>
        <rFont val="Calibri"/>
        <family val="2"/>
        <scheme val="minor"/>
      </rPr>
      <t>: Cyrus named as God's anointed deliverer 150 years before his birth</t>
    </r>
  </si>
  <si>
    <t>Divine Intervention Characteristics</t>
  </si>
  <si>
    <r>
      <t>Immediate miracles</t>
    </r>
    <r>
      <rPr>
        <sz val="11"/>
        <color theme="1"/>
        <rFont val="Calibri"/>
        <family val="2"/>
        <scheme val="minor"/>
      </rPr>
      <t>: Healing, astronomical signs, military supernatural destruction</t>
    </r>
  </si>
  <si>
    <r>
      <t>Prophetic fulfillment</t>
    </r>
    <r>
      <rPr>
        <sz val="11"/>
        <color theme="1"/>
        <rFont val="Calibri"/>
        <family val="2"/>
        <scheme val="minor"/>
      </rPr>
      <t>: Precise predictions realized in history</t>
    </r>
  </si>
  <si>
    <r>
      <t>Cosmic scope</t>
    </r>
    <r>
      <rPr>
        <sz val="11"/>
        <color theme="1"/>
        <rFont val="Calibri"/>
        <family val="2"/>
        <scheme val="minor"/>
      </rPr>
      <t>: Both earthly political events and heavenly spiritual realities</t>
    </r>
  </si>
  <si>
    <r>
      <t>Redemptive purpose</t>
    </r>
    <r>
      <rPr>
        <sz val="11"/>
        <color theme="1"/>
        <rFont val="Calibri"/>
        <family val="2"/>
        <scheme val="minor"/>
      </rPr>
      <t>: All divine actions serve God's ultimate plan of salvation</t>
    </r>
  </si>
  <si>
    <t>Isaiah stands as one of the most comprehensive prophetic books, bridging immediate historical concerns with ultimate divine purposes, demonstrating God's control over all history from the 8th century BC through the eternal state.</t>
  </si>
  <si>
    <t>Jeremiah:</t>
  </si>
  <si>
    <t>a comprehensive table of all miracles, acts of God, and divine communications in the Book of Jeremiah. This contains 52 entries spanning Jeremiah's prophetic ministry from approximately 627 BC to 585 BC.</t>
  </si>
  <si>
    <t>Key characteristics of Jeremiah:</t>
  </si>
  <si>
    <t>Divine Communications (Most Frequent):</t>
  </si>
  <si>
    <t>Extensive prophetic revelations about judgment and restoration</t>
  </si>
  <si>
    <t>God's direct speeches to Jeremiah throughout his 40+ year ministry</t>
  </si>
  <si>
    <t>Prophetic oracles against nations surrounding Israel</t>
  </si>
  <si>
    <t>Notable Miraculous Acts:</t>
  </si>
  <si>
    <r>
      <t>God kills false prophet Hananiah</t>
    </r>
    <r>
      <rPr>
        <sz val="11"/>
        <color theme="1"/>
        <rFont val="Calibri"/>
        <family val="2"/>
        <scheme val="minor"/>
      </rPr>
      <t xml:space="preserve"> (Jeremiah 28:15-17) - Divine judgment for false prophecy</t>
    </r>
  </si>
  <si>
    <r>
      <t>God delivers Jeremiah from cistern</t>
    </r>
    <r>
      <rPr>
        <sz val="11"/>
        <color theme="1"/>
        <rFont val="Calibri"/>
        <family val="2"/>
        <scheme val="minor"/>
      </rPr>
      <t xml:space="preserve"> through Ebed-melech - Divine protection</t>
    </r>
  </si>
  <si>
    <r>
      <t>God hides Jeremiah and Baruch</t>
    </r>
    <r>
      <rPr>
        <sz val="11"/>
        <color theme="1"/>
        <rFont val="Calibri"/>
        <family val="2"/>
        <scheme val="minor"/>
      </rPr>
      <t xml:space="preserve"> from King Jehoiakim's wrath - Supernatural protection</t>
    </r>
  </si>
  <si>
    <t>Symbolic Acts Commanded by God:</t>
  </si>
  <si>
    <t>Making and wearing yokes to symbolize Babylonian captivity</t>
  </si>
  <si>
    <t>Buying a field during siege to symbolize future restoration</t>
  </si>
  <si>
    <t>Breaking clay pots to demonstrate Jerusalem's destruction</t>
  </si>
  <si>
    <t>Writing and rewriting scrolls of prophecy</t>
  </si>
  <si>
    <t>Major Prophetic Themes:</t>
  </si>
  <si>
    <r>
      <t>70-year captivity</t>
    </r>
    <r>
      <rPr>
        <sz val="11"/>
        <color theme="1"/>
        <rFont val="Calibri"/>
        <family val="2"/>
        <scheme val="minor"/>
      </rPr>
      <t xml:space="preserve"> prophecy - Precisely fulfilled</t>
    </r>
  </si>
  <si>
    <r>
      <t>New Covenant</t>
    </r>
    <r>
      <rPr>
        <sz val="11"/>
        <color theme="1"/>
        <rFont val="Calibri"/>
        <family val="2"/>
        <scheme val="minor"/>
      </rPr>
      <t xml:space="preserve"> promise (Jeremiah 31:31-34) - Foundational to Christian theology</t>
    </r>
  </si>
  <si>
    <r>
      <t>Restoration after judgment</t>
    </r>
    <r>
      <rPr>
        <sz val="11"/>
        <color theme="1"/>
        <rFont val="Calibri"/>
        <family val="2"/>
        <scheme val="minor"/>
      </rPr>
      <t xml:space="preserve"> - Hope beyond destruction</t>
    </r>
  </si>
  <si>
    <t>Timeline Highlights:</t>
  </si>
  <si>
    <r>
      <t>627 BC</t>
    </r>
    <r>
      <rPr>
        <sz val="11"/>
        <color theme="1"/>
        <rFont val="Calibri"/>
        <family val="2"/>
        <scheme val="minor"/>
      </rPr>
      <t xml:space="preserve"> - Jeremiah's calling and early ministry under Josiah</t>
    </r>
  </si>
  <si>
    <r>
      <t>609-605 BC</t>
    </r>
    <r>
      <rPr>
        <sz val="11"/>
        <color theme="1"/>
        <rFont val="Calibri"/>
        <family val="2"/>
        <scheme val="minor"/>
      </rPr>
      <t xml:space="preserve"> - Temple sermon and increasing opposition</t>
    </r>
  </si>
  <si>
    <r>
      <t>594 BC</t>
    </r>
    <r>
      <rPr>
        <sz val="11"/>
        <color theme="1"/>
        <rFont val="Calibri"/>
        <family val="2"/>
        <scheme val="minor"/>
      </rPr>
      <t xml:space="preserve"> - Ministry to exiles and conflict with false prophets</t>
    </r>
  </si>
  <si>
    <r>
      <t>588-586 BC</t>
    </r>
    <r>
      <rPr>
        <sz val="11"/>
        <color theme="1"/>
        <rFont val="Calibri"/>
        <family val="2"/>
        <scheme val="minor"/>
      </rPr>
      <t xml:space="preserve"> - Final siege of Jerusalem and Jeremiah's imprisonment</t>
    </r>
  </si>
  <si>
    <r>
      <t>585 BC</t>
    </r>
    <r>
      <rPr>
        <sz val="11"/>
        <color theme="1"/>
        <rFont val="Calibri"/>
        <family val="2"/>
        <scheme val="minor"/>
      </rPr>
      <t xml:space="preserve"> - Ministry to remnant in Egypt</t>
    </r>
  </si>
  <si>
    <t>The book demonstrates God's sovereignty over nations, His faithfulness to His covenant (both in judgment and restoration), and His protection of His faithful prophets despite intense persecution. Jeremiah's ministry bridges the destruction of the first temple and points toward future restoration.</t>
  </si>
  <si>
    <t>Lamentations:</t>
  </si>
  <si>
    <t>Word of the LORD comes to Jeremiah</t>
  </si>
  <si>
    <t>Jeremiah 1:1-3</t>
  </si>
  <si>
    <t>Anathoth/Jerusalem</t>
  </si>
  <si>
    <t>c. 627 BC</t>
  </si>
  <si>
    <t>God calls Jeremiah before birth</t>
  </si>
  <si>
    <t>Jeremiah 1:4-5</t>
  </si>
  <si>
    <t>Anathoth</t>
  </si>
  <si>
    <t>God appoints Jeremiah as prophet to nations</t>
  </si>
  <si>
    <t>Jeremiah 1:5-10</t>
  </si>
  <si>
    <t>Vision of the almond branch</t>
  </si>
  <si>
    <t>Jeremiah 1:11-12</t>
  </si>
  <si>
    <t>Vision of the boiling pot from the north</t>
  </si>
  <si>
    <t>Jeremiah 1:13-16</t>
  </si>
  <si>
    <t>God promises to make Jeremiah like fortified city</t>
  </si>
  <si>
    <t>Jeremiah 1:17-19</t>
  </si>
  <si>
    <t>Word of the LORD comes concerning Israel's apostasy</t>
  </si>
  <si>
    <t>Jeremiah 2:1-3:5</t>
  </si>
  <si>
    <t>c. 626 BC</t>
  </si>
  <si>
    <t>Word of the LORD about repentance</t>
  </si>
  <si>
    <t>Jeremiah 3:6-4:4</t>
  </si>
  <si>
    <t>c. 625 BC</t>
  </si>
  <si>
    <t>God reveals coming invasion from the north</t>
  </si>
  <si>
    <t>Jeremiah 4:5-6:30</t>
  </si>
  <si>
    <t>God sends Jeremiah to temple gate</t>
  </si>
  <si>
    <t>Jeremiah 7:1-2</t>
  </si>
  <si>
    <t>God threatens to destroy temple</t>
  </si>
  <si>
    <t>Jeremiah 7:3-15</t>
  </si>
  <si>
    <t>God forbids Jeremiah to pray for the people</t>
  </si>
  <si>
    <t>Jeremiah 7:16</t>
  </si>
  <si>
    <t>Vision of good and bad figs</t>
  </si>
  <si>
    <t>Jeremiah 24:1-10</t>
  </si>
  <si>
    <t>God reveals 70-year captivity</t>
  </si>
  <si>
    <t>Jeremiah 25:8-14</t>
  </si>
  <si>
    <t>c. 605 BC</t>
  </si>
  <si>
    <t>Vision of cup of God's wrath for nations</t>
  </si>
  <si>
    <t>Jeremiah 25:15-29</t>
  </si>
  <si>
    <t>God commands Jeremiah to make yoke</t>
  </si>
  <si>
    <t>Jeremiah 27:1-2</t>
  </si>
  <si>
    <t>c. 594 BC</t>
  </si>
  <si>
    <t>God reveals false prophecy of Hananiah</t>
  </si>
  <si>
    <t>Jeremiah 28:1-17</t>
  </si>
  <si>
    <t>God kills false prophet Hananiah</t>
  </si>
  <si>
    <t>Jeremiah 28:15-17</t>
  </si>
  <si>
    <t>God tells Jeremiah to write letter to exiles</t>
  </si>
  <si>
    <t>Jeremiah 29:1-3</t>
  </si>
  <si>
    <t>God promises restoration after 70 years</t>
  </si>
  <si>
    <t>Jeremiah 29:10-14</t>
  </si>
  <si>
    <t>God puts Shemaiah in bonds for false prophecy</t>
  </si>
  <si>
    <t>Jeremiah 29:24-32</t>
  </si>
  <si>
    <t>Babylon/Jerusalem</t>
  </si>
  <si>
    <t>God commands Jeremiah to buy field</t>
  </si>
  <si>
    <t>Jeremiah 32:6-15</t>
  </si>
  <si>
    <t>c. 588 BC</t>
  </si>
  <si>
    <t>God confirms the purchase as sign of restoration</t>
  </si>
  <si>
    <t>Jeremiah 32:16-44</t>
  </si>
  <si>
    <t>Word of the LORD comes to Jeremiah in prison</t>
  </si>
  <si>
    <t>Jeremiah 33:1-3</t>
  </si>
  <si>
    <t>Jerusalem (prison)</t>
  </si>
  <si>
    <t>God promises new covenant</t>
  </si>
  <si>
    <t>Jeremiah 31:31-34</t>
  </si>
  <si>
    <t>Jerusalem/Babylon</t>
  </si>
  <si>
    <t>God reveals plot against Jeremiah's life</t>
  </si>
  <si>
    <t>Jeremiah 11:18-23</t>
  </si>
  <si>
    <t>God answers Jeremiah's complaint about justice</t>
  </si>
  <si>
    <t>Jeremiah 12:1-6</t>
  </si>
  <si>
    <t>God commands Jeremiah not to marry</t>
  </si>
  <si>
    <t>Jeremiah 16:1-4</t>
  </si>
  <si>
    <t>God commands Jeremiah to potter's house</t>
  </si>
  <si>
    <t>Jeremiah 18:1-6</t>
  </si>
  <si>
    <t>Jerusalem (potter's house)</t>
  </si>
  <si>
    <t>God reveals plot of men of Anathoth</t>
  </si>
  <si>
    <t>Jeremiah 18:18-23</t>
  </si>
  <si>
    <t>God commands Jeremiah to break clay pot</t>
  </si>
  <si>
    <t>Jeremiah 19:1-15</t>
  </si>
  <si>
    <t>Jerusalem (Tophet)</t>
  </si>
  <si>
    <t>God delivers Jeremiah from stocks</t>
  </si>
  <si>
    <t>Jeremiah 20:1-6</t>
  </si>
  <si>
    <t>God reveals fate of Zedekiah</t>
  </si>
  <si>
    <t>Jeremiah 21:1-10</t>
  </si>
  <si>
    <t>God condemns evil shepherds (leaders)</t>
  </si>
  <si>
    <t>Jeremiah 23:1-8</t>
  </si>
  <si>
    <t>God condemns false prophets</t>
  </si>
  <si>
    <t>Jeremiah 23:9-40</t>
  </si>
  <si>
    <t>God commands Jeremiah about Rechabites</t>
  </si>
  <si>
    <t>Jeremiah 35:1-11</t>
  </si>
  <si>
    <t>God blesses Rechabites for obedience</t>
  </si>
  <si>
    <t>Jeremiah 35:12-19</t>
  </si>
  <si>
    <t>God commands Jeremiah to write scroll</t>
  </si>
  <si>
    <t>Jeremiah 36:1-4</t>
  </si>
  <si>
    <t>God protects Jeremiah and Baruch from king</t>
  </si>
  <si>
    <t>Jeremiah 36:19-26</t>
  </si>
  <si>
    <t>God commands rewriting of burned scroll</t>
  </si>
  <si>
    <t>Jeremiah 36:27-32</t>
  </si>
  <si>
    <t>God reveals Jeremiah will not die by sword</t>
  </si>
  <si>
    <t>Jeremiah 38:17-23</t>
  </si>
  <si>
    <t>Jerusalem (cistern/prison)</t>
  </si>
  <si>
    <t>God delivers Jeremiah from cistern</t>
  </si>
  <si>
    <t>Jeremiah 38:7-13</t>
  </si>
  <si>
    <t>God reveals Jerusalem's fall</t>
  </si>
  <si>
    <t>Jeremiah 39:15-18</t>
  </si>
  <si>
    <t>c. 587 BC</t>
  </si>
  <si>
    <t>God promises to save Ebed-melech</t>
  </si>
  <si>
    <t>Word of the LORD comes about Ishmael's treachery</t>
  </si>
  <si>
    <t>Jeremiah 40:13-41:18</t>
  </si>
  <si>
    <t>God forbids going to Egypt</t>
  </si>
  <si>
    <t>Jeremiah 42:7-22</t>
  </si>
  <si>
    <t>God condemns Jews who fled to Egypt</t>
  </si>
  <si>
    <t>Jeremiah 44:1-30</t>
  </si>
  <si>
    <t>Egypt (Tahpanhes)</t>
  </si>
  <si>
    <t>c. 585 BC</t>
  </si>
  <si>
    <t>God promises to punish Egypt</t>
  </si>
  <si>
    <t>Jeremiah 46:1-28</t>
  </si>
  <si>
    <t>Egypt/Jerusalem</t>
  </si>
  <si>
    <t>God promises to restore Jacob</t>
  </si>
  <si>
    <t>Jeremiah 46:27-28</t>
  </si>
  <si>
    <t>Egypt/Babylon</t>
  </si>
  <si>
    <t>God delivers prophecy against Philistines</t>
  </si>
  <si>
    <t>Jeremiah 47:1-7</t>
  </si>
  <si>
    <t>God delivers prophecy against Moab</t>
  </si>
  <si>
    <t>Jeremiah 48:1-47</t>
  </si>
  <si>
    <t>God delivers prophecy against Ammon</t>
  </si>
  <si>
    <t>Jeremiah 49:1-6</t>
  </si>
  <si>
    <t>God delivers prophecy against Edom</t>
  </si>
  <si>
    <t>Jeremiah 49:7-22</t>
  </si>
  <si>
    <t>God delivers prophecy against Damascus</t>
  </si>
  <si>
    <t>Jeremiah 49:23-27</t>
  </si>
  <si>
    <t>God delivers prophecy against Kedar and Hazor</t>
  </si>
  <si>
    <t>Jeremiah 49:28-33</t>
  </si>
  <si>
    <t>God delivers prophecy against Elam</t>
  </si>
  <si>
    <t>Jeremiah 49:34-39</t>
  </si>
  <si>
    <t>God delivers prophecy against Babylon</t>
  </si>
  <si>
    <t>Jeremiah 50:1-51:64</t>
  </si>
  <si>
    <t>God commands scroll to be thrown in Euphrates</t>
  </si>
  <si>
    <t>Jeremiah 51:59-64</t>
  </si>
  <si>
    <t>God's destruction of Jerusalem and the temple</t>
  </si>
  <si>
    <t>Lamentations 2:1-9</t>
  </si>
  <si>
    <t>God swallows up Israel without pity</t>
  </si>
  <si>
    <t>Lamentations 2:2, 17</t>
  </si>
  <si>
    <t>Jerusalem/Judah</t>
  </si>
  <si>
    <t>God becomes like an enemy to Israel</t>
  </si>
  <si>
    <t>Lamentations 2:4-5</t>
  </si>
  <si>
    <t>God rejects His altar and sanctuary</t>
  </si>
  <si>
    <t>Lamentations 2:7</t>
  </si>
  <si>
    <t>God accomplishes His determined purpose</t>
  </si>
  <si>
    <t>Lamentations 2:17</t>
  </si>
  <si>
    <t>God's compassions renewed every morning</t>
  </si>
  <si>
    <t>Lamentations 3:22-23</t>
  </si>
  <si>
    <t>Jerusalem (in exile context)</t>
  </si>
  <si>
    <t>God afflicts but also shows compassion</t>
  </si>
  <si>
    <t>Lamentations 3:32-33</t>
  </si>
  <si>
    <t>Universal/Jerusalem context</t>
  </si>
  <si>
    <t>Lamentations is unique in its literary nature and content.</t>
  </si>
  <si>
    <t>Why Lamentations has so few miraculous events:</t>
  </si>
  <si>
    <r>
      <t>1. Literary Genre</t>
    </r>
    <r>
      <rPr>
        <sz val="11"/>
        <color theme="1"/>
        <rFont val="Calibri"/>
        <family val="2"/>
        <scheme val="minor"/>
      </rPr>
      <t>: Lamentations is a book of funeral dirges and poetic laments, not historical narrative</t>
    </r>
  </si>
  <si>
    <r>
      <t>2. Retrospective Nature</t>
    </r>
    <r>
      <rPr>
        <sz val="11"/>
        <color theme="1"/>
        <rFont val="Calibri"/>
        <family val="2"/>
        <scheme val="minor"/>
      </rPr>
      <t>: It reflects on God's past judgments rather than recording new miraculous events</t>
    </r>
  </si>
  <si>
    <r>
      <t>3. Human Perspective</t>
    </r>
    <r>
      <rPr>
        <sz val="11"/>
        <color theme="1"/>
        <rFont val="Calibri"/>
        <family val="2"/>
        <scheme val="minor"/>
      </rPr>
      <t>: Most of the book consists of the poet's emotional responses to tragedy rather than divine communications</t>
    </r>
  </si>
  <si>
    <r>
      <t>4. No Direct Divine Speech</t>
    </r>
    <r>
      <rPr>
        <sz val="11"/>
        <color theme="1"/>
        <rFont val="Calibri"/>
        <family val="2"/>
        <scheme val="minor"/>
      </rPr>
      <t>: Unlike most biblical books, God doesn't directly speak to anyone in Lamentations</t>
    </r>
  </si>
  <si>
    <t>The events I included are:</t>
  </si>
  <si>
    <r>
      <t>God's acts of judgment</t>
    </r>
    <r>
      <rPr>
        <sz val="11"/>
        <color theme="1"/>
        <rFont val="Calibri"/>
        <family val="2"/>
        <scheme val="minor"/>
      </rPr>
      <t xml:space="preserve"> - The destruction of Jerusalem and temple as divine acts</t>
    </r>
  </si>
  <si>
    <r>
      <t>God's sovereign purposes</t>
    </r>
    <r>
      <rPr>
        <sz val="11"/>
        <color theme="1"/>
        <rFont val="Calibri"/>
        <family val="2"/>
        <scheme val="minor"/>
      </rPr>
      <t xml:space="preserve"> - His accomplished will in bringing judgment</t>
    </r>
  </si>
  <si>
    <r>
      <t>God's character attributes</t>
    </r>
    <r>
      <rPr>
        <sz val="11"/>
        <color theme="1"/>
        <rFont val="Calibri"/>
        <family val="2"/>
        <scheme val="minor"/>
      </rPr>
      <t xml:space="preserve"> - His mercy and faithfulness even in judgment</t>
    </r>
  </si>
  <si>
    <t>What I excluded:</t>
  </si>
  <si>
    <t>Poetic descriptions of suffering that aren't specifically attributed to divine action</t>
  </si>
  <si>
    <t>Human prayers and complaints that don't receive divine response</t>
  </si>
  <si>
    <t>Metaphorical language that describes emotions rather than actual events</t>
  </si>
  <si>
    <t>General statements about God's nature that aren't tied to specific acts</t>
  </si>
  <si>
    <t>Lamentations stands as one of the most human-centered books in the Bible, focusing on the emotional and spiritual response to God's judgment rather than recording new revelations or miracles. The "acts of God" mentioned are primarily the devastating judgment of 586 BC when Jerusalem fell to Babylon.</t>
  </si>
  <si>
    <t>Ezekiel:</t>
  </si>
  <si>
    <t>Heavens opened to Ezekiel</t>
  </si>
  <si>
    <t>Ezekiel 1:1</t>
  </si>
  <si>
    <t>Chebar River, Babylon</t>
  </si>
  <si>
    <t>c. 593 BC</t>
  </si>
  <si>
    <t>Vision of four living creatures and wheels</t>
  </si>
  <si>
    <t>Ezekiel 1:4-28</t>
  </si>
  <si>
    <t>Voice of the Almighty speaks from throne</t>
  </si>
  <si>
    <t>Ezekiel 1:24-28</t>
  </si>
  <si>
    <t>God calls Ezekiel "son of man"</t>
  </si>
  <si>
    <t>Ezekiel 2:1</t>
  </si>
  <si>
    <t>Spirit enters Ezekiel and sets him on feet</t>
  </si>
  <si>
    <t>Ezekiel 2:2</t>
  </si>
  <si>
    <t>Spirit of GOD</t>
  </si>
  <si>
    <t>God commissions Ezekiel as prophet</t>
  </si>
  <si>
    <t>Ezekiel 2:3-7</t>
  </si>
  <si>
    <t>Vision of hand with scroll given to Ezekiel</t>
  </si>
  <si>
    <t>Ezekiel 2:8-3:3</t>
  </si>
  <si>
    <t>Ezekiel eats scroll that tastes like honey</t>
  </si>
  <si>
    <t>Ezekiel 3:1-3</t>
  </si>
  <si>
    <t>God makes Ezekiel's face hard like flint</t>
  </si>
  <si>
    <t>Ezekiel 3:8-9</t>
  </si>
  <si>
    <t>Spirit lifts up Ezekiel</t>
  </si>
  <si>
    <t>Ezekiel 3:12, 14</t>
  </si>
  <si>
    <t>God makes Ezekiel mute except when speaking prophecy</t>
  </si>
  <si>
    <t>Ezekiel 3:26-27</t>
  </si>
  <si>
    <t>Tel Abib, Babylon</t>
  </si>
  <si>
    <t>Vision of Jerusalem's abominations</t>
  </si>
  <si>
    <t>Ezekiel 8:1-18</t>
  </si>
  <si>
    <t>Ezekiel's house, Babylon</t>
  </si>
  <si>
    <t>c. 592 BC</t>
  </si>
  <si>
    <t>Spirit lifts Ezekiel by lock of hair</t>
  </si>
  <si>
    <t>Ezekiel 8:3</t>
  </si>
  <si>
    <t>Vision of six men with destroying weapons</t>
  </si>
  <si>
    <t>Ezekiel 9:1-11</t>
  </si>
  <si>
    <t>Vision of Jerusalem</t>
  </si>
  <si>
    <t>Man clothed in linen marks the righteous</t>
  </si>
  <si>
    <t>Ezekiel 9:3-4</t>
  </si>
  <si>
    <t>Angel/man in linen</t>
  </si>
  <si>
    <t>Vision of God's glory departing temple</t>
  </si>
  <si>
    <t>Ezekiel 10:1-22, 11:22-23</t>
  </si>
  <si>
    <t>Cherubim and wheels appear in vision</t>
  </si>
  <si>
    <t>Ezekiel 10:1-22</t>
  </si>
  <si>
    <t>Cherubim by GOD</t>
  </si>
  <si>
    <t>Spirit brings Ezekiel to east gate</t>
  </si>
  <si>
    <t>Ezekiel 11:1</t>
  </si>
  <si>
    <t>God pronounces judgment on Jerusalem's leaders</t>
  </si>
  <si>
    <t>Ezekiel 11:5-12</t>
  </si>
  <si>
    <t>Pelatiah dies while Ezekiel prophesies</t>
  </si>
  <si>
    <t>Ezekiel 11:13</t>
  </si>
  <si>
    <t>God promises new heart and new spirit</t>
  </si>
  <si>
    <t>Ezekiel 11:17-20</t>
  </si>
  <si>
    <t>Spirit brings Ezekiel back to Chaldea</t>
  </si>
  <si>
    <t>Ezekiel 11:24</t>
  </si>
  <si>
    <t>God commands Ezekiel to pack for exile</t>
  </si>
  <si>
    <t>Ezekiel 12:1-7</t>
  </si>
  <si>
    <t>God reveals meaning of exile sign</t>
  </si>
  <si>
    <t>Ezekiel 12:8-16</t>
  </si>
  <si>
    <t>God commands Ezekiel to eat with trembling</t>
  </si>
  <si>
    <t>Ezekiel 12:17-20</t>
  </si>
  <si>
    <t>God refutes false proverbs about prophecy</t>
  </si>
  <si>
    <t>Ezekiel 12:21-28</t>
  </si>
  <si>
    <t>God condemns false prophets and prophetesses</t>
  </si>
  <si>
    <t>Ezekiel 13:1-23</t>
  </si>
  <si>
    <t>God speaks against idolatrous elders</t>
  </si>
  <si>
    <t>Ezekiel 14:1-11</t>
  </si>
  <si>
    <t>God declares judgment even if Noah, Daniel, Job interceded</t>
  </si>
  <si>
    <t>Ezekiel 14:12-23</t>
  </si>
  <si>
    <t>Parable of the vine given by God</t>
  </si>
  <si>
    <t>Ezekiel 15:1-8</t>
  </si>
  <si>
    <t>Allegory of unfaithful Jerusalem</t>
  </si>
  <si>
    <t>Ezekiel 16:1-63</t>
  </si>
  <si>
    <t>Parable of two eagles and vine</t>
  </si>
  <si>
    <t>Ezekiel 17:1-24</t>
  </si>
  <si>
    <t>God declares individual responsibility</t>
  </si>
  <si>
    <t>Ezekiel 18:1-32</t>
  </si>
  <si>
    <t>c. 591 BC</t>
  </si>
  <si>
    <t>Lamentation for princes of Israel</t>
  </si>
  <si>
    <t>Ezekiel 19:1-14</t>
  </si>
  <si>
    <t>God recounts Israel's rebellious history</t>
  </si>
  <si>
    <t>Ezekiel 20:1-44</t>
  </si>
  <si>
    <t>Prophecy of sword of judgment</t>
  </si>
  <si>
    <t>Ezekiel 21:1-32</t>
  </si>
  <si>
    <t>God lists Jerusalem's abominations</t>
  </si>
  <si>
    <t>Ezekiel 22:1-31</t>
  </si>
  <si>
    <t>Allegory of two sisters (Samaria and Jerusalem)</t>
  </si>
  <si>
    <t>Ezekiel 23:1-49</t>
  </si>
  <si>
    <t>God announces siege of Jerusalem begins</t>
  </si>
  <si>
    <t>Ezekiel 24:1-2</t>
  </si>
  <si>
    <t>Jan 15, 588 BC</t>
  </si>
  <si>
    <t>Parable of cooking pot</t>
  </si>
  <si>
    <t>Ezekiel 24:3-14</t>
  </si>
  <si>
    <t>588 BC</t>
  </si>
  <si>
    <t>God announces death of Ezekiel's wife</t>
  </si>
  <si>
    <t>Ezekiel 24:15-18</t>
  </si>
  <si>
    <t>Ezekiel's wife dies as sign to exiles</t>
  </si>
  <si>
    <t>Ezekiel 24:18</t>
  </si>
  <si>
    <t>God explains meaning of wife's death sign</t>
  </si>
  <si>
    <t>Ezekiel 24:19-27</t>
  </si>
  <si>
    <t>Prophecies against seven nations</t>
  </si>
  <si>
    <t>Ezekiel 25:1-32:32</t>
  </si>
  <si>
    <t>c. 588-585 BC</t>
  </si>
  <si>
    <t>God appoints Ezekiel as watchman</t>
  </si>
  <si>
    <t>Ezekiel 33:1-20</t>
  </si>
  <si>
    <t>News of Jerusalem's fall reaches Ezekiel</t>
  </si>
  <si>
    <t>Ezekiel 33:21</t>
  </si>
  <si>
    <t>Jan 8, 585 BC</t>
  </si>
  <si>
    <t>Fugitive</t>
  </si>
  <si>
    <t>Ezekiel's mouth opened by God</t>
  </si>
  <si>
    <t>Ezekiel 33:22</t>
  </si>
  <si>
    <t>585 BC</t>
  </si>
  <si>
    <t>God condemns shepherds of Israel</t>
  </si>
  <si>
    <t>Ezekiel 34:1-31</t>
  </si>
  <si>
    <t>Prophecy against Mount Seir (Edom)</t>
  </si>
  <si>
    <t>Ezekiel 35:1-15</t>
  </si>
  <si>
    <t>Prophecy of Israel's restoration</t>
  </si>
  <si>
    <t>Ezekiel 36:1-38</t>
  </si>
  <si>
    <t>Vision of valley of dry bones</t>
  </si>
  <si>
    <t>Ezekiel 37:1-10</t>
  </si>
  <si>
    <t>Hand of the LORD brings Ezekiel to valley</t>
  </si>
  <si>
    <t>Ezekiel 37:1</t>
  </si>
  <si>
    <t>Babylon (vision)</t>
  </si>
  <si>
    <t>Bones come together at God's command</t>
  </si>
  <si>
    <t>Ezekiel 37:7-8</t>
  </si>
  <si>
    <t>Vision of valley</t>
  </si>
  <si>
    <t>Breath enters bones and they live</t>
  </si>
  <si>
    <t>Ezekiel 37:9-10</t>
  </si>
  <si>
    <t>God explains vision means Israel's restoration</t>
  </si>
  <si>
    <t>Ezekiel 37:11-14</t>
  </si>
  <si>
    <t>Sign of two sticks becoming one</t>
  </si>
  <si>
    <t>Ezekiel 37:15-28</t>
  </si>
  <si>
    <t>Prophecy against Gog of Magog</t>
  </si>
  <si>
    <t>Ezekiel 38:1-39:29</t>
  </si>
  <si>
    <t>Vision of new temple begins</t>
  </si>
  <si>
    <t>Ezekiel 40:1-48:35</t>
  </si>
  <si>
    <t>April 28, 573 BC</t>
  </si>
  <si>
    <t>Hand of the LORD brings Ezekiel to Israel</t>
  </si>
  <si>
    <t>Ezekiel 40:1-2</t>
  </si>
  <si>
    <t>Babylon to vision of Israel</t>
  </si>
  <si>
    <t>573 BC</t>
  </si>
  <si>
    <t>Man with measuring rod appears</t>
  </si>
  <si>
    <t>Ezekiel 40:3-4</t>
  </si>
  <si>
    <t>Vision of temple mount</t>
  </si>
  <si>
    <t>Angel/man</t>
  </si>
  <si>
    <t>Detailed temple measurements given</t>
  </si>
  <si>
    <t>Ezekiel 40:5-42:20</t>
  </si>
  <si>
    <t>Vision of temple</t>
  </si>
  <si>
    <t>Angel through vision</t>
  </si>
  <si>
    <t>Glory of the LORD returns to temple</t>
  </si>
  <si>
    <t>Ezekiel 43:1-5</t>
  </si>
  <si>
    <t>Voice speaks from temple to Ezekiel</t>
  </si>
  <si>
    <t>Ezekiel 43:6-7</t>
  </si>
  <si>
    <t>Laws for the altar given</t>
  </si>
  <si>
    <t>Ezekiel 43:18-27</t>
  </si>
  <si>
    <t>Prince and priests' duties established</t>
  </si>
  <si>
    <t>Ezekiel 44:1-31</t>
  </si>
  <si>
    <t>Land allocation and city plans given</t>
  </si>
  <si>
    <t>Ezekiel 45:1-48:35</t>
  </si>
  <si>
    <t>Vision of land</t>
  </si>
  <si>
    <t>River flowing from temple sanctuary</t>
  </si>
  <si>
    <t>Ezekiel 47:1-12</t>
  </si>
  <si>
    <t>Water becomes deeper as it flows</t>
  </si>
  <si>
    <t>Ezekiel 47:3-5</t>
  </si>
  <si>
    <t>Vision of river</t>
  </si>
  <si>
    <t>Trees by river bear fruit monthly</t>
  </si>
  <si>
    <t>Ezekiel 47:12</t>
  </si>
  <si>
    <t>Name of city: "The LORD is There"</t>
  </si>
  <si>
    <t>Ezekiel 48:35</t>
  </si>
  <si>
    <t>Vision of city</t>
  </si>
  <si>
    <t>a comprehensive table of all miracles, acts of God, and divine communications in the Book of Ezekiel. This contains 52 major supernatural events spanning from Ezekiel's initial call in 593 BC to his final temple vision in 573 BC.</t>
  </si>
  <si>
    <t>Key Categories of Divine Activity in Ezekiel:</t>
  </si>
  <si>
    <t>Divine Visions and Theophanies:</t>
  </si>
  <si>
    <t>The inaugural vision of God's glory with cherubim and wheels (Chapter 1)</t>
  </si>
  <si>
    <t>Vision of Jerusalem's abominations and God's judgment (Chapters 8-11)</t>
  </si>
  <si>
    <t>The famous valley of dry bones vision (Chapter 37)</t>
  </si>
  <si>
    <t>The extensive new temple vision (Chapters 40-48)</t>
  </si>
  <si>
    <t>Divine Transportation:</t>
  </si>
  <si>
    <t>Spirit repeatedly lifts and transports Ezekiel</t>
  </si>
  <si>
    <t>Lifted by lock of hair, brought between earth and heaven in visions</t>
  </si>
  <si>
    <t>Transported from Babylon to Jerusalem and back in visions</t>
  </si>
  <si>
    <t>Miraculous Signs and Symbolic Acts:</t>
  </si>
  <si>
    <t>Ezekiel eating the scroll that tastes like honey</t>
  </si>
  <si>
    <t>Ezekiel made mute except when prophesying</t>
  </si>
  <si>
    <t>Death of Ezekiel's wife as a sign to the exiles</t>
  </si>
  <si>
    <t>Two sticks becoming one in Ezekiel's hand</t>
  </si>
  <si>
    <t>Detailed prophecies against multiple nations</t>
  </si>
  <si>
    <t>God's glory departing from the temple</t>
  </si>
  <si>
    <t>Restoration Miracles:</t>
  </si>
  <si>
    <t>Dry bones coming to life and forming an army</t>
  </si>
  <si>
    <t>River flowing from the temple bringing life</t>
  </si>
  <si>
    <t>God's glory returning to the new temple</t>
  </si>
  <si>
    <t>Timeline Context:</t>
  </si>
  <si>
    <t>Begins during Babylonian exile (593 BC)</t>
  </si>
  <si>
    <t>Spans the siege and fall of Jerusalem (588-585 BC)</t>
  </si>
  <si>
    <t>Concludes with restoration visions (573 BC)</t>
  </si>
  <si>
    <t>Ezekiel demonstrates God's sovereignty over history, His judgment on sin, and His ultimate plan for restoration. The book is particularly rich in symbolic visions and miraculous signs that communicate spiritual truths about God's relationship with His people.</t>
  </si>
  <si>
    <t>Daniel:</t>
  </si>
  <si>
    <t>God gives Daniel and friends wisdom and knowledge</t>
  </si>
  <si>
    <t>Daniel 1:17</t>
  </si>
  <si>
    <t>God reveals Nebuchadnezzar's dream to Daniel</t>
  </si>
  <si>
    <t>Daniel 2:19</t>
  </si>
  <si>
    <t>c. 602 BC</t>
  </si>
  <si>
    <t>Daniel interprets Nebuchadnezzar's dream</t>
  </si>
  <si>
    <t>Daniel 2:24-45</t>
  </si>
  <si>
    <t>Shadrach, Meshach, Abednego protected in fiery furnace</t>
  </si>
  <si>
    <t>Daniel 3:19-27</t>
  </si>
  <si>
    <t>Babylon (Plain of Dura)</t>
  </si>
  <si>
    <t>Fourth person appears in the fire</t>
  </si>
  <si>
    <t>Daniel 3:25</t>
  </si>
  <si>
    <t>Son of God/Angel</t>
  </si>
  <si>
    <t>Fire has no power over the three men</t>
  </si>
  <si>
    <t>Daniel 3:27</t>
  </si>
  <si>
    <t>God gives Nebuchadnezzar a warning dream</t>
  </si>
  <si>
    <t>Daniel 4:4-18</t>
  </si>
  <si>
    <t>c. 570 BC</t>
  </si>
  <si>
    <t>Daniel interprets Nebuchadnezzar's tree dream</t>
  </si>
  <si>
    <t>Daniel 4:19-27</t>
  </si>
  <si>
    <t>Nebuchadnezzar's madness comes upon him</t>
  </si>
  <si>
    <t>Daniel 4:28-33</t>
  </si>
  <si>
    <t>c. 569 BC</t>
  </si>
  <si>
    <t>Nebuchadnezzar's reason and kingdom restored</t>
  </si>
  <si>
    <t>Daniel 4:34-37</t>
  </si>
  <si>
    <t>c. 562 BC</t>
  </si>
  <si>
    <t>Hand writes on wall at Belshazzar's feast</t>
  </si>
  <si>
    <t>Daniel 5:5</t>
  </si>
  <si>
    <t>539 BC</t>
  </si>
  <si>
    <t>Daniel interprets the handwriting on the wall</t>
  </si>
  <si>
    <t>Daniel 5:17-28</t>
  </si>
  <si>
    <t>Belshazzar killed that same night</t>
  </si>
  <si>
    <t>Daniel 5:30</t>
  </si>
  <si>
    <t>God protects Daniel in the lions' den</t>
  </si>
  <si>
    <t>Angel shuts the lions' mouths</t>
  </si>
  <si>
    <t>Daniel 6:22</t>
  </si>
  <si>
    <t>Daniel's accusers devoured by lions</t>
  </si>
  <si>
    <t>Daniel 6:24</t>
  </si>
  <si>
    <t>God gives Daniel vision of four beasts</t>
  </si>
  <si>
    <t>Daniel 7:1-28</t>
  </si>
  <si>
    <t>First year of Belshazzar (553 BC)</t>
  </si>
  <si>
    <t>Ancient of Days appears in vision</t>
  </si>
  <si>
    <t>Daniel 7:9-10</t>
  </si>
  <si>
    <t>Heavenly vision</t>
  </si>
  <si>
    <t>553 BC</t>
  </si>
  <si>
    <t>Son of Man comes before Ancient of Days</t>
  </si>
  <si>
    <t>Daniel 7:13-14</t>
  </si>
  <si>
    <t>Son of Man</t>
  </si>
  <si>
    <t>Angel interprets the vision for Daniel</t>
  </si>
  <si>
    <t>Daniel 7:15-28</t>
  </si>
  <si>
    <t>Angel</t>
  </si>
  <si>
    <t>God gives Daniel vision of ram and goat</t>
  </si>
  <si>
    <t>Daniel 8:1-14</t>
  </si>
  <si>
    <t>Susa (in vision)</t>
  </si>
  <si>
    <t>Third year of Belshazzar (551 BC)</t>
  </si>
  <si>
    <t>Gabriel explains the vision to Daniel</t>
  </si>
  <si>
    <t>Daniel 8:15-26</t>
  </si>
  <si>
    <t>551 BC</t>
  </si>
  <si>
    <t>Gabriel</t>
  </si>
  <si>
    <t>Daniel made ill by the vision</t>
  </si>
  <si>
    <t>Daniel 8:27</t>
  </si>
  <si>
    <t>Result of divine vision</t>
  </si>
  <si>
    <t>Daniel prays and confesses Israel's sins</t>
  </si>
  <si>
    <t>Daniel 9:3-19</t>
  </si>
  <si>
    <t>First year of Darius (538 BC)</t>
  </si>
  <si>
    <t>Gabriel comes to give Daniel understanding</t>
  </si>
  <si>
    <t>Daniel 9:20-23</t>
  </si>
  <si>
    <t>538 BC</t>
  </si>
  <si>
    <t>Gabriel reveals the seventy weeks prophecy</t>
  </si>
  <si>
    <t>Daniel 9:24-27</t>
  </si>
  <si>
    <t>God gives Daniel final great vision</t>
  </si>
  <si>
    <t>Daniel 10:1</t>
  </si>
  <si>
    <t>Third year of Cyrus (536 BC)</t>
  </si>
  <si>
    <t>Glorious man appears to Daniel by Tigris</t>
  </si>
  <si>
    <t>Daniel 10:4-6</t>
  </si>
  <si>
    <t>Tigris River</t>
  </si>
  <si>
    <t>536 BC</t>
  </si>
  <si>
    <t>Angel/Divine messenger</t>
  </si>
  <si>
    <t>Daniel's strength fails at the vision</t>
  </si>
  <si>
    <t>Daniel 10:7-9</t>
  </si>
  <si>
    <t>Angel touches and strengthens Daniel</t>
  </si>
  <si>
    <t>Daniel 10:10-11, 16, 18</t>
  </si>
  <si>
    <t>Angel explains spiritual warfare delay</t>
  </si>
  <si>
    <t>Daniel 10:12-14</t>
  </si>
  <si>
    <t>Angel reveals conflict with Prince of Persia</t>
  </si>
  <si>
    <t>Daniel 10:13, 20</t>
  </si>
  <si>
    <t>Michael the archangel helps the angel</t>
  </si>
  <si>
    <t>Daniel 10:13, 21</t>
  </si>
  <si>
    <t>Michael</t>
  </si>
  <si>
    <t>Angel prophesies future kingdoms and wars</t>
  </si>
  <si>
    <t>Daniel 11:2-45</t>
  </si>
  <si>
    <t>Angel speaks of the time of the end</t>
  </si>
  <si>
    <t>Daniel 12:1-4</t>
  </si>
  <si>
    <t>Michael stands up for Daniel's people</t>
  </si>
  <si>
    <t>Daniel 12:1</t>
  </si>
  <si>
    <t>Spiritual realm/Israel</t>
  </si>
  <si>
    <t>Future time</t>
  </si>
  <si>
    <t>Two other angels appear by the river</t>
  </si>
  <si>
    <t>Daniel 12:5</t>
  </si>
  <si>
    <t>Angel swears by Him who lives forever</t>
  </si>
  <si>
    <t>Daniel 12:6-7</t>
  </si>
  <si>
    <t>Daniel asks about the end of wonders</t>
  </si>
  <si>
    <t>Daniel 12:8</t>
  </si>
  <si>
    <t>Daniel to Angel</t>
  </si>
  <si>
    <t>Angel tells Daniel to seal the book</t>
  </si>
  <si>
    <t>Daniel 12:9-13</t>
  </si>
  <si>
    <t>a comprehensive table of all miracles, acts of God, and divine communications in the Book of Daniel. This contains 36 entries spanning Daniel's entire ministry from his youth in Babylon (c. 605 BC) through his final visions in the Persian period (536 BC).</t>
  </si>
  <si>
    <t>Key Categories Represented:</t>
  </si>
  <si>
    <t>Divine Protection/Miracles:</t>
  </si>
  <si>
    <t>The fiery furnace (no harm to the three men, fourth person appearing)</t>
  </si>
  <si>
    <t>Daniel in the lions' den (lions' mouths shut)</t>
  </si>
  <si>
    <t>Supernatural protection during various trials</t>
  </si>
  <si>
    <t>Divine Revelations/Visions:</t>
  </si>
  <si>
    <t>Nebuchadnezzar's statue dream and tree dream</t>
  </si>
  <si>
    <t>Daniel's four beasts vision and ram/goat vision</t>
  </si>
  <si>
    <t>The final comprehensive vision by the Tigris River</t>
  </si>
  <si>
    <t>The seventy weeks prophecy</t>
  </si>
  <si>
    <t>Nebuchadnezzar's seven years of madness</t>
  </si>
  <si>
    <t>The handwriting on the wall and Belshazzar's death</t>
  </si>
  <si>
    <t>Destruction of Daniel's accusers by lions</t>
  </si>
  <si>
    <t>God speaking through dreams to pagan kings</t>
  </si>
  <si>
    <t>Angel Gabriel's explanations and prophecies</t>
  </si>
  <si>
    <t>Michael the archangel's involvement in spiritual warfare</t>
  </si>
  <si>
    <t>Direct divine empowerment of wisdom and interpretation</t>
  </si>
  <si>
    <t>Notable Features:</t>
  </si>
  <si>
    <t>Extensive angelic ministry (Gabriel, Michael, unnamed angels)</t>
  </si>
  <si>
    <t>Prophetic visions spanning from Daniel's time to the end times</t>
  </si>
  <si>
    <t>God's sovereignty demonstrated over pagan empires</t>
  </si>
  <si>
    <t>Physical effects of divine encounters on Daniel</t>
  </si>
  <si>
    <t>Spiritual warfare elements revealed</t>
  </si>
  <si>
    <t>The book demonstrates God's faithfulness to His people even in exile, His sovereignty over world empires, and His revelation of future events through faithful servants like Daniel. The miracles authenticate Daniel's prophetic ministry while the visions provide hope for God's ultimate triumph.</t>
  </si>
  <si>
    <t>Hosea:</t>
  </si>
  <si>
    <r>
      <t>Note:</t>
    </r>
    <r>
      <rPr>
        <sz val="11"/>
        <color theme="1"/>
        <rFont val="Calibri"/>
        <family val="2"/>
        <scheme val="minor"/>
      </rPr>
      <t xml:space="preserve"> While Hosea contains fewer dramatic supernatural miracles compared to books like Exodus or Kings, it emphasizes God's supernatural knowledge, His control over natural forces for judgment and blessing, and His power to transform hearts and nations. The book's primary "miracle" is the prophetic revelation itself and the symbolic acts that demonstrate God's persistent love despite human unfaithfulness.</t>
    </r>
  </si>
  <si>
    <r>
      <t>Audience</t>
    </r>
    <r>
      <rPr>
        <sz val="11"/>
        <color theme="1"/>
        <rFont val="Calibri"/>
        <family val="2"/>
        <scheme val="minor"/>
      </rPr>
      <t>: Primarily addressed to the Northern Kingdom of Israel</t>
    </r>
  </si>
  <si>
    <r>
      <t>Religious Condition</t>
    </r>
    <r>
      <rPr>
        <sz val="11"/>
        <color theme="1"/>
        <rFont val="Calibri"/>
        <family val="2"/>
        <scheme val="minor"/>
      </rPr>
      <t>: Widespread idolatry and syncretism with Canaanite religions</t>
    </r>
  </si>
  <si>
    <r>
      <t>Political Situation</t>
    </r>
    <r>
      <rPr>
        <sz val="11"/>
        <color theme="1"/>
        <rFont val="Calibri"/>
        <family val="2"/>
        <scheme val="minor"/>
      </rPr>
      <t>: Period of political instability and moral decay</t>
    </r>
  </si>
  <si>
    <r>
      <t>Time Period</t>
    </r>
    <r>
      <rPr>
        <sz val="11"/>
        <color theme="1"/>
        <rFont val="Calibri"/>
        <family val="2"/>
        <scheme val="minor"/>
      </rPr>
      <t>: c. 760-720 BC during the decline of the Northern Kingdom</t>
    </r>
  </si>
  <si>
    <t>Historical Context:</t>
  </si>
  <si>
    <r>
      <t>Miraculous Transformation Promises</t>
    </r>
    <r>
      <rPr>
        <sz val="11"/>
        <color theme="1"/>
        <rFont val="Calibri"/>
        <family val="2"/>
        <scheme val="minor"/>
      </rPr>
      <t>: Supernatural healing and restoration of the nation</t>
    </r>
  </si>
  <si>
    <r>
      <t>Divine Control over Nature</t>
    </r>
    <r>
      <rPr>
        <sz val="11"/>
        <color theme="1"/>
        <rFont val="Calibri"/>
        <family val="2"/>
        <scheme val="minor"/>
      </rPr>
      <t>: God's power over weather, crops, and natural cycles</t>
    </r>
  </si>
  <si>
    <r>
      <t>Predictive Prophecy</t>
    </r>
    <r>
      <rPr>
        <sz val="11"/>
        <color theme="1"/>
        <rFont val="Calibri"/>
        <family val="2"/>
        <scheme val="minor"/>
      </rPr>
      <t>: Foretelling of judgment and restoration</t>
    </r>
  </si>
  <si>
    <r>
      <t>Prophetic Revelation</t>
    </r>
    <r>
      <rPr>
        <sz val="11"/>
        <color theme="1"/>
        <rFont val="Calibri"/>
        <family val="2"/>
        <scheme val="minor"/>
      </rPr>
      <t>: Direct communication from God to Hosea</t>
    </r>
  </si>
  <si>
    <t>Supernatural Elements:</t>
  </si>
  <si>
    <r>
      <t>Covenant Lawsuit Format</t>
    </r>
    <r>
      <rPr>
        <sz val="11"/>
        <color theme="1"/>
        <rFont val="Calibri"/>
        <family val="2"/>
        <scheme val="minor"/>
      </rPr>
      <t>: Presents God's case against Israel's breach of covenant</t>
    </r>
  </si>
  <si>
    <r>
      <t>Metaphorical Language</t>
    </r>
    <r>
      <rPr>
        <sz val="11"/>
        <color theme="1"/>
        <rFont val="Calibri"/>
        <family val="2"/>
        <scheme val="minor"/>
      </rPr>
      <t>: Rich use of imagery (marriage, parent-child relationships, agricultural themes)</t>
    </r>
  </si>
  <si>
    <r>
      <t>Emotional Intensity</t>
    </r>
    <r>
      <rPr>
        <sz val="11"/>
        <color theme="1"/>
        <rFont val="Calibri"/>
        <family val="2"/>
        <scheme val="minor"/>
      </rPr>
      <t>: Contains some of the most emotionally charged passages in Scripture</t>
    </r>
  </si>
  <si>
    <r>
      <t>Prophetic Symbolism</t>
    </r>
    <r>
      <rPr>
        <sz val="11"/>
        <color theme="1"/>
        <rFont val="Calibri"/>
        <family val="2"/>
        <scheme val="minor"/>
      </rPr>
      <t>: Hosea's marriage to Gomer as a living parable</t>
    </r>
  </si>
  <si>
    <t>Literary Features:</t>
  </si>
  <si>
    <r>
      <t>Repentance and Restoration</t>
    </r>
    <r>
      <rPr>
        <sz val="11"/>
        <color theme="1"/>
        <rFont val="Calibri"/>
        <family val="2"/>
        <scheme val="minor"/>
      </rPr>
      <t>: Calls for return to God and promises of healing</t>
    </r>
  </si>
  <si>
    <r>
      <t>Spiritual Adultery</t>
    </r>
    <r>
      <rPr>
        <sz val="11"/>
        <color theme="1"/>
        <rFont val="Calibri"/>
        <family val="2"/>
        <scheme val="minor"/>
      </rPr>
      <t>: Israel's idolatry portrayed as marital unfaithfulness</t>
    </r>
  </si>
  <si>
    <r>
      <t>Divine Love and Justice</t>
    </r>
    <r>
      <rPr>
        <sz val="11"/>
        <color theme="1"/>
        <rFont val="Calibri"/>
        <family val="2"/>
        <scheme val="minor"/>
      </rPr>
      <t>: Balances God's righteous judgment with His steadfast love</t>
    </r>
  </si>
  <si>
    <r>
      <t>Covenant Faithfulness vs. Unfaithfulness</t>
    </r>
    <r>
      <rPr>
        <sz val="11"/>
        <color theme="1"/>
        <rFont val="Calibri"/>
        <family val="2"/>
        <scheme val="minor"/>
      </rPr>
      <t>: Uses marriage metaphor to illustrate God's relationship with Israel</t>
    </r>
  </si>
  <si>
    <t>Primary Themes:</t>
  </si>
  <si>
    <t>Key Characteristics of the Book of Hosea</t>
  </si>
  <si>
    <t>God commands Hosea to marry an unfaithful woman (Gomer) as a prophetic sign</t>
  </si>
  <si>
    <t>Hosea 1:2-3</t>
  </si>
  <si>
    <t>Northern Kingdom of Israel</t>
  </si>
  <si>
    <t>c. 760-720 BC</t>
  </si>
  <si>
    <t>Hosea</t>
  </si>
  <si>
    <t>God gives prophetic names to Hosea's children as signs to Israel</t>
  </si>
  <si>
    <t>Hosea 1:4-9</t>
  </si>
  <si>
    <t>God promises supernatural transformation of Israel's condition</t>
  </si>
  <si>
    <t>Hosea 1:10</t>
  </si>
  <si>
    <t>God speaks promise of restoration despite judgment</t>
  </si>
  <si>
    <t>Hosea 1:10-11</t>
  </si>
  <si>
    <t>God reveals the spiritual adultery of Israel through Hosea's marriage metaphor</t>
  </si>
  <si>
    <t>Hosea 2:2-23</t>
  </si>
  <si>
    <t>God threatens to send drought and famine as judgment</t>
  </si>
  <si>
    <t>Hosea 2:9-12</t>
  </si>
  <si>
    <t>God promises to restore agricultural abundance after repentance</t>
  </si>
  <si>
    <t>Hosea 2:21-22</t>
  </si>
  <si>
    <t>God commands Hosea to love his adulterous wife again as symbol of His love for Israel</t>
  </si>
  <si>
    <t>Hosea 3:1-3</t>
  </si>
  <si>
    <t>God reveals His intimate knowledge of Israel's sins and His coming judgment</t>
  </si>
  <si>
    <t>Hosea 4:1-19</t>
  </si>
  <si>
    <t>God declares His judgment against the priests and people</t>
  </si>
  <si>
    <t>Hosea 5:1-15</t>
  </si>
  <si>
    <t>God expresses His desire for mercy rather than sacrifice</t>
  </si>
  <si>
    <t>Hosea 6:6</t>
  </si>
  <si>
    <t>God speaks of calling Israel out of Egypt (referencing the Exodus miracle)</t>
  </si>
  <si>
    <t>Hosea 11:1</t>
  </si>
  <si>
    <t>God laments over Israel's unfaithfulness like a loving parent</t>
  </si>
  <si>
    <t>Hosea 11:1-11</t>
  </si>
  <si>
    <t>God speaks of His unchanging love despite Israel's rebellion</t>
  </si>
  <si>
    <t>Hosea 11:8-9</t>
  </si>
  <si>
    <t>Divine Communication</t>
  </si>
  <si>
    <t>God promises future restoration and blessing for repentant Israel</t>
  </si>
  <si>
    <t>Hosea 14:1-9</t>
  </si>
  <si>
    <t>God promises to heal Israel's backsliding and love them freely</t>
  </si>
  <si>
    <t>Hosea 14:4</t>
  </si>
  <si>
    <t>God calls Israel to return and promises healing</t>
  </si>
  <si>
    <t>God declares He will be like dew to Israel, causing them to blossom</t>
  </si>
  <si>
    <t>Hosea 14:5-6</t>
  </si>
  <si>
    <t>Joel:</t>
  </si>
  <si>
    <r>
      <t>Note:</t>
    </r>
    <r>
      <rPr>
        <sz val="11"/>
        <color theme="1"/>
        <rFont val="Calibri"/>
        <family val="2"/>
        <scheme val="minor"/>
      </rPr>
      <t xml:space="preserve"> Joel is unique among the minor prophets for its intense focus on supernatural phenomena, from natural disasters used as divine judgment to cosmic miracles associated with the Day of the Lord. The book demonstrates God's sovereign control over all natural forces and His ability to use them for both judgment and blessing. The promise of the Spirit's outpouring represents one of the most significant supernatural promises in the Old Testament, with clear New Testament fulfillment.</t>
    </r>
  </si>
  <si>
    <r>
      <t>Universal Scope</t>
    </r>
    <r>
      <rPr>
        <sz val="11"/>
        <color theme="1"/>
        <rFont val="Calibri"/>
        <family val="2"/>
        <scheme val="minor"/>
      </rPr>
      <t>: Moves from local to global perspective</t>
    </r>
  </si>
  <si>
    <r>
      <t>Divine Restoration</t>
    </r>
    <r>
      <rPr>
        <sz val="11"/>
        <color theme="1"/>
        <rFont val="Calibri"/>
        <family val="2"/>
        <scheme val="minor"/>
      </rPr>
      <t>: Pattern of judgment followed by restoration</t>
    </r>
  </si>
  <si>
    <r>
      <t>End Times Prophecy</t>
    </r>
    <r>
      <rPr>
        <sz val="11"/>
        <color theme="1"/>
        <rFont val="Calibri"/>
        <family val="2"/>
        <scheme val="minor"/>
      </rPr>
      <t>: Extensive focus on eschatological events</t>
    </r>
  </si>
  <si>
    <r>
      <t>Pentecost Fulfillment</t>
    </r>
    <r>
      <rPr>
        <sz val="11"/>
        <color theme="1"/>
        <rFont val="Calibri"/>
        <family val="2"/>
        <scheme val="minor"/>
      </rPr>
      <t>: Joel 2:28-32 quoted by Peter in Acts 2:16-21</t>
    </r>
  </si>
  <si>
    <t>Prophetic Significance:</t>
  </si>
  <si>
    <r>
      <t>Audience</t>
    </r>
    <r>
      <rPr>
        <sz val="11"/>
        <color theme="1"/>
        <rFont val="Calibri"/>
        <family val="2"/>
        <scheme val="minor"/>
      </rPr>
      <t>: Primarily addressed to Judah and Jerusalem</t>
    </r>
  </si>
  <si>
    <r>
      <t>Temple Worship</t>
    </r>
    <r>
      <rPr>
        <sz val="11"/>
        <color theme="1"/>
        <rFont val="Calibri"/>
        <family val="2"/>
        <scheme val="minor"/>
      </rPr>
      <t>: References suggest functioning temple worship</t>
    </r>
  </si>
  <si>
    <r>
      <t>Locust Crisis</t>
    </r>
    <r>
      <rPr>
        <sz val="11"/>
        <color theme="1"/>
        <rFont val="Calibri"/>
        <family val="2"/>
        <scheme val="minor"/>
      </rPr>
      <t>: Devastating plague that prompted the prophetic message</t>
    </r>
  </si>
  <si>
    <r>
      <t>Dating Debate</t>
    </r>
    <r>
      <rPr>
        <sz val="11"/>
        <color theme="1"/>
        <rFont val="Calibri"/>
        <family val="2"/>
        <scheme val="minor"/>
      </rPr>
      <t>: Scholars date Joel either c. 835-800 BC (early) or 400-350 BC (late)</t>
    </r>
  </si>
  <si>
    <r>
      <t>Supernatural Restoration</t>
    </r>
    <r>
      <rPr>
        <sz val="11"/>
        <color theme="1"/>
        <rFont val="Calibri"/>
        <family val="2"/>
        <scheme val="minor"/>
      </rPr>
      <t>: God's power to restore what was destroyed</t>
    </r>
  </si>
  <si>
    <r>
      <t>Cosmic Miracles</t>
    </r>
    <r>
      <rPr>
        <sz val="11"/>
        <color theme="1"/>
        <rFont val="Calibri"/>
        <family val="2"/>
        <scheme val="minor"/>
      </rPr>
      <t>: Sun, moon, stars affected by divine intervention</t>
    </r>
  </si>
  <si>
    <r>
      <t>Spirit Outpouring</t>
    </r>
    <r>
      <rPr>
        <sz val="11"/>
        <color theme="1"/>
        <rFont val="Calibri"/>
        <family val="2"/>
        <scheme val="minor"/>
      </rPr>
      <t>: Promise of supernatural empowerment for prophecy</t>
    </r>
  </si>
  <si>
    <r>
      <t>Prophetic Vision</t>
    </r>
    <r>
      <rPr>
        <sz val="11"/>
        <color theme="1"/>
        <rFont val="Calibri"/>
        <family val="2"/>
        <scheme val="minor"/>
      </rPr>
      <t>: Revelation of future events and God's plans</t>
    </r>
  </si>
  <si>
    <r>
      <t>Divine Control over Nature</t>
    </r>
    <r>
      <rPr>
        <sz val="11"/>
        <color theme="1"/>
        <rFont val="Calibri"/>
        <family val="2"/>
        <scheme val="minor"/>
      </rPr>
      <t>: Locusts, drought, rain, and cosmic phenomena</t>
    </r>
  </si>
  <si>
    <r>
      <t>Prophetic Telescoping</t>
    </r>
    <r>
      <rPr>
        <sz val="11"/>
        <color theme="1"/>
        <rFont val="Calibri"/>
        <family val="2"/>
        <scheme val="minor"/>
      </rPr>
      <t>: Near events (locust plague) point to far events (end times)</t>
    </r>
  </si>
  <si>
    <r>
      <t>Agricultural Metaphors</t>
    </r>
    <r>
      <rPr>
        <sz val="11"/>
        <color theme="1"/>
        <rFont val="Calibri"/>
        <family val="2"/>
        <scheme val="minor"/>
      </rPr>
      <t>: Uses farming and harvest imagery throughout</t>
    </r>
  </si>
  <si>
    <r>
      <t>Call to Worship</t>
    </r>
    <r>
      <rPr>
        <sz val="11"/>
        <color theme="1"/>
        <rFont val="Calibri"/>
        <family val="2"/>
        <scheme val="minor"/>
      </rPr>
      <t>: Emphasis on fasting, mourning, and corporate repentance</t>
    </r>
  </si>
  <si>
    <r>
      <t>Apocalyptic Imagery</t>
    </r>
    <r>
      <rPr>
        <sz val="11"/>
        <color theme="1"/>
        <rFont val="Calibri"/>
        <family val="2"/>
        <scheme val="minor"/>
      </rPr>
      <t>: Vivid descriptions of cosmic disturbances and divine intervention</t>
    </r>
  </si>
  <si>
    <r>
      <t>Cosmic Scope</t>
    </r>
    <r>
      <rPr>
        <sz val="11"/>
        <color theme="1"/>
        <rFont val="Calibri"/>
        <family val="2"/>
        <scheme val="minor"/>
      </rPr>
      <t>: Local judgments that foreshadow global, end-time events</t>
    </r>
  </si>
  <si>
    <r>
      <t>The Day of the Lord</t>
    </r>
    <r>
      <rPr>
        <sz val="11"/>
        <color theme="1"/>
        <rFont val="Calibri"/>
        <family val="2"/>
        <scheme val="minor"/>
      </rPr>
      <t>: Both near and far fulfillment of God's judgment and blessing</t>
    </r>
  </si>
  <si>
    <r>
      <t>Repentance and Restoration</t>
    </r>
    <r>
      <rPr>
        <sz val="11"/>
        <color theme="1"/>
        <rFont val="Calibri"/>
        <family val="2"/>
        <scheme val="minor"/>
      </rPr>
      <t>: Call to return to God and promise of restoration</t>
    </r>
  </si>
  <si>
    <r>
      <t>Divine Judgment</t>
    </r>
    <r>
      <rPr>
        <sz val="11"/>
        <color theme="1"/>
        <rFont val="Calibri"/>
        <family val="2"/>
        <scheme val="minor"/>
      </rPr>
      <t>: God's use of natural disasters as instruments of judgment</t>
    </r>
  </si>
  <si>
    <t>Key Characteristics of the Book of Joel</t>
  </si>
  <si>
    <t>God sends devastating locust plague as judgment</t>
  </si>
  <si>
    <t>Joel 1:4, 1:6-7</t>
  </si>
  <si>
    <t>c. 835-800 BC or 400-350 BC</t>
  </si>
  <si>
    <t>God causes severe drought and agricultural devastation</t>
  </si>
  <si>
    <t>Joel 1:10-12, 1:17-20</t>
  </si>
  <si>
    <t>God reveals the coming Day of the Lord with cosmic signs</t>
  </si>
  <si>
    <t>Joel 2:1-2, 2:10-11</t>
  </si>
  <si>
    <t>Joel</t>
  </si>
  <si>
    <t>God describes the approaching army like a supernatural force</t>
  </si>
  <si>
    <t>Joel 2:3-9</t>
  </si>
  <si>
    <t>God calls for repentance and promises mercy</t>
  </si>
  <si>
    <t>Joel 2:12-14</t>
  </si>
  <si>
    <t>God promises to remove the northern army</t>
  </si>
  <si>
    <t>Joel 2:20</t>
  </si>
  <si>
    <t>God promises to restore the years the locusts have eaten</t>
  </si>
  <si>
    <t>Joel 2:25</t>
  </si>
  <si>
    <t>God promises to send rain in its season</t>
  </si>
  <si>
    <t>Joel 2:23</t>
  </si>
  <si>
    <t>God promises abundant harvests and supernatural provision</t>
  </si>
  <si>
    <t>Joel 2:24, 2:26</t>
  </si>
  <si>
    <t>God promises to pour out His Spirit on all flesh</t>
  </si>
  <si>
    <t>Joel 2:28-29</t>
  </si>
  <si>
    <t>Global/All Nations</t>
  </si>
  <si>
    <t>Future Fulfillment</t>
  </si>
  <si>
    <t>God promises supernatural signs in heaven and earth</t>
  </si>
  <si>
    <t>Joel 2:30-31</t>
  </si>
  <si>
    <t>Global/Cosmic</t>
  </si>
  <si>
    <t>End Times</t>
  </si>
  <si>
    <t>God declares He will judge the nations in the Valley of Jehoshaphat</t>
  </si>
  <si>
    <t>Joel 3:2, 3:12</t>
  </si>
  <si>
    <t>Valley of Jehoshaphat</t>
  </si>
  <si>
    <t>God promises cosmic disturbances - sun, moon, and stars darkened</t>
  </si>
  <si>
    <t>Joel 3:15</t>
  </si>
  <si>
    <t>Cosmic/Global</t>
  </si>
  <si>
    <t>God promises to roar from Zion and make heavens and earth shake</t>
  </si>
  <si>
    <t>Joel 3:16</t>
  </si>
  <si>
    <t>Jerusalem/Global</t>
  </si>
  <si>
    <t>God promises Jerusalem will be holy and never conquered again</t>
  </si>
  <si>
    <t>Joel 3:17</t>
  </si>
  <si>
    <t>God promises supernatural fertility and abundance in the land</t>
  </si>
  <si>
    <t>Joel 3:18</t>
  </si>
  <si>
    <t>Judah/Israel</t>
  </si>
  <si>
    <t>God promises a fountain will flow from the house of the Lord</t>
  </si>
  <si>
    <t>God promises eternal judgment on Egypt and Edom</t>
  </si>
  <si>
    <t>Joel 3:19</t>
  </si>
  <si>
    <t>Egypt/Edom</t>
  </si>
  <si>
    <t>God promises to dwell in Zion forever</t>
  </si>
  <si>
    <t>Joel 3:21</t>
  </si>
  <si>
    <t>Amos:</t>
  </si>
  <si>
    <r>
      <t>Note:</t>
    </r>
    <r>
      <rPr>
        <sz val="11"/>
        <color theme="1"/>
        <rFont val="Calibri"/>
        <family val="2"/>
        <scheme val="minor"/>
      </rPr>
      <t xml:space="preserve"> The Book of Amos is rich in supernatural elements, particularly through the prophet's visions and God's demonstrations of power over nature and nations. The book emphasizes that God's miraculous power is inseparable from His demand for justice and righteousness. The supernatural acts serve to authenticate the prophet's message and demonstrate God's sovereign authority over all creation.</t>
    </r>
  </si>
  <si>
    <r>
      <t>Opposition</t>
    </r>
    <r>
      <rPr>
        <sz val="11"/>
        <color theme="1"/>
        <rFont val="Calibri"/>
        <family val="2"/>
        <scheme val="minor"/>
      </rPr>
      <t>: Faced resistance from religious establishment at Bethel</t>
    </r>
  </si>
  <si>
    <r>
      <t>Message</t>
    </r>
    <r>
      <rPr>
        <sz val="11"/>
        <color theme="1"/>
        <rFont val="Calibri"/>
        <family val="2"/>
        <scheme val="minor"/>
      </rPr>
      <t>: Emphasized that God's election brings responsibility, not privilege</t>
    </r>
  </si>
  <si>
    <r>
      <t>Calling</t>
    </r>
    <r>
      <rPr>
        <sz val="11"/>
        <color theme="1"/>
        <rFont val="Calibri"/>
        <family val="2"/>
        <scheme val="minor"/>
      </rPr>
      <t>: Divinely commissioned despite not being a professional prophet</t>
    </r>
  </si>
  <si>
    <r>
      <t>Occupation</t>
    </r>
    <r>
      <rPr>
        <sz val="11"/>
        <color theme="1"/>
        <rFont val="Calibri"/>
        <family val="2"/>
        <scheme val="minor"/>
      </rPr>
      <t>: Shepherd and fig-tree cultivator from Tekoa</t>
    </r>
  </si>
  <si>
    <t>Amos's Background:</t>
  </si>
  <si>
    <r>
      <t>Audience</t>
    </r>
    <r>
      <rPr>
        <sz val="11"/>
        <color theme="1"/>
        <rFont val="Calibri"/>
        <family val="2"/>
        <scheme val="minor"/>
      </rPr>
      <t>: Primarily Northern Kingdom of Israel, also Judah</t>
    </r>
  </si>
  <si>
    <r>
      <t>Political Situation</t>
    </r>
    <r>
      <rPr>
        <sz val="11"/>
        <color theme="1"/>
        <rFont val="Calibri"/>
        <family val="2"/>
        <scheme val="minor"/>
      </rPr>
      <t>: Period of strength before Assyrian dominance</t>
    </r>
  </si>
  <si>
    <r>
      <t>Religious State</t>
    </r>
    <r>
      <rPr>
        <sz val="11"/>
        <color theme="1"/>
        <rFont val="Calibri"/>
        <family val="2"/>
        <scheme val="minor"/>
      </rPr>
      <t>: Formal worship mixed with moral corruption</t>
    </r>
  </si>
  <si>
    <r>
      <t>Social Conditions</t>
    </r>
    <r>
      <rPr>
        <sz val="11"/>
        <color theme="1"/>
        <rFont val="Calibri"/>
        <family val="2"/>
        <scheme val="minor"/>
      </rPr>
      <t>: Economic prosperity alongside social injustice</t>
    </r>
  </si>
  <si>
    <r>
      <t>Time Period</t>
    </r>
    <r>
      <rPr>
        <sz val="11"/>
        <color theme="1"/>
        <rFont val="Calibri"/>
        <family val="2"/>
        <scheme val="minor"/>
      </rPr>
      <t>: c. 760-750 BC during prosperity under Jeroboam II</t>
    </r>
  </si>
  <si>
    <r>
      <t>Miraculous Preservation</t>
    </r>
    <r>
      <rPr>
        <sz val="11"/>
        <color theme="1"/>
        <rFont val="Calibri"/>
        <family val="2"/>
        <scheme val="minor"/>
      </rPr>
      <t>: Promise to sift Israel without losing the faithful</t>
    </r>
  </si>
  <si>
    <r>
      <t>Predictive Prophecy</t>
    </r>
    <r>
      <rPr>
        <sz val="11"/>
        <color theme="1"/>
        <rFont val="Calibri"/>
        <family val="2"/>
        <scheme val="minor"/>
      </rPr>
      <t>: Specific judgments and future restoration</t>
    </r>
  </si>
  <si>
    <r>
      <t>Control Over Nature</t>
    </r>
    <r>
      <rPr>
        <sz val="11"/>
        <color theme="1"/>
        <rFont val="Calibri"/>
        <family val="2"/>
        <scheme val="minor"/>
      </rPr>
      <t>: Power over weather, agriculture, and cosmic forces</t>
    </r>
  </si>
  <si>
    <r>
      <t>Divine Omnipresence</t>
    </r>
    <r>
      <rPr>
        <sz val="11"/>
        <color theme="1"/>
        <rFont val="Calibri"/>
        <family val="2"/>
        <scheme val="minor"/>
      </rPr>
      <t>: God's ability to see and act everywhere</t>
    </r>
  </si>
  <si>
    <r>
      <t>Prophetic Visions</t>
    </r>
    <r>
      <rPr>
        <sz val="11"/>
        <color theme="1"/>
        <rFont val="Calibri"/>
        <family val="2"/>
        <scheme val="minor"/>
      </rPr>
      <t>: Multiple supernatural revelations to Amos</t>
    </r>
  </si>
  <si>
    <r>
      <t>Covenant Lawsuit</t>
    </r>
    <r>
      <rPr>
        <sz val="11"/>
        <color theme="1"/>
        <rFont val="Calibri"/>
        <family val="2"/>
        <scheme val="minor"/>
      </rPr>
      <t>: Legal terminology presenting God's case against Israel</t>
    </r>
  </si>
  <si>
    <r>
      <t>Rhetorical Questions</t>
    </r>
    <r>
      <rPr>
        <sz val="11"/>
        <color theme="1"/>
        <rFont val="Calibri"/>
        <family val="2"/>
        <scheme val="minor"/>
      </rPr>
      <t>: Powerful use of questions to convey divine logic</t>
    </r>
  </si>
  <si>
    <r>
      <t>Vivid Imagery</t>
    </r>
    <r>
      <rPr>
        <sz val="11"/>
        <color theme="1"/>
        <rFont val="Calibri"/>
        <family val="2"/>
        <scheme val="minor"/>
      </rPr>
      <t>: Agricultural and natural metaphors throughout</t>
    </r>
  </si>
  <si>
    <r>
      <t>Vision Sequences</t>
    </r>
    <r>
      <rPr>
        <sz val="11"/>
        <color theme="1"/>
        <rFont val="Calibri"/>
        <family val="2"/>
        <scheme val="minor"/>
      </rPr>
      <t>: Five dramatic visions revealing God's plans</t>
    </r>
  </si>
  <si>
    <r>
      <t>Oracles Against Nations</t>
    </r>
    <r>
      <rPr>
        <sz val="11"/>
        <color theme="1"/>
        <rFont val="Calibri"/>
        <family val="2"/>
        <scheme val="minor"/>
      </rPr>
      <t>: Systematic judgments against surrounding peoples</t>
    </r>
  </si>
  <si>
    <r>
      <t>Future Hope</t>
    </r>
    <r>
      <rPr>
        <sz val="11"/>
        <color theme="1"/>
        <rFont val="Calibri"/>
        <family val="2"/>
        <scheme val="minor"/>
      </rPr>
      <t>: Promises of restoration and blessing after judgment</t>
    </r>
  </si>
  <si>
    <r>
      <t>God's Sovereignty</t>
    </r>
    <r>
      <rPr>
        <sz val="11"/>
        <color theme="1"/>
        <rFont val="Calibri"/>
        <family val="2"/>
        <scheme val="minor"/>
      </rPr>
      <t>: Divine control over nature, nations, and history</t>
    </r>
  </si>
  <si>
    <r>
      <t>Religious Hypocrisy</t>
    </r>
    <r>
      <rPr>
        <sz val="11"/>
        <color theme="1"/>
        <rFont val="Calibri"/>
        <family val="2"/>
        <scheme val="minor"/>
      </rPr>
      <t>: Criticism of empty ritualism without righteousness</t>
    </r>
  </si>
  <si>
    <r>
      <t>Divine Judgment</t>
    </r>
    <r>
      <rPr>
        <sz val="11"/>
        <color theme="1"/>
        <rFont val="Calibri"/>
        <family val="2"/>
        <scheme val="minor"/>
      </rPr>
      <t>: God's righteous judgment against nations and Israel</t>
    </r>
  </si>
  <si>
    <r>
      <t>Social Justice</t>
    </r>
    <r>
      <rPr>
        <sz val="11"/>
        <color theme="1"/>
        <rFont val="Calibri"/>
        <family val="2"/>
        <scheme val="minor"/>
      </rPr>
      <t>: Condemnation of oppression of the poor and needy</t>
    </r>
  </si>
  <si>
    <t>Key Characteristics of the Book of Amos</t>
  </si>
  <si>
    <t>Amos</t>
  </si>
  <si>
    <t>c. 760-750 BC</t>
  </si>
  <si>
    <t>Amos 9:14-15</t>
  </si>
  <si>
    <t>God promises permanent restoration of Israel to their land</t>
  </si>
  <si>
    <t>Amos 9:13</t>
  </si>
  <si>
    <t>God promises supernatural agricultural abundance</t>
  </si>
  <si>
    <t>Amos 9:11-12</t>
  </si>
  <si>
    <t>God promises future restoration of David's kingdom</t>
  </si>
  <si>
    <t>Amos 9:9</t>
  </si>
  <si>
    <t>God promises to sift Israel among nations like grain</t>
  </si>
  <si>
    <t>Amos 9:5-6</t>
  </si>
  <si>
    <t>God reveals His power over creation and nations</t>
  </si>
  <si>
    <t>Amos 9:2-4</t>
  </si>
  <si>
    <t>God reveals His omnipresence and inescapable judgment</t>
  </si>
  <si>
    <t>Amos 9:1-4</t>
  </si>
  <si>
    <t>God shows Amos a vision of the Lord by the altar</t>
  </si>
  <si>
    <t>Amos 8:11-12</t>
  </si>
  <si>
    <t>God promises to send famine of hearing His words</t>
  </si>
  <si>
    <t>Amos 8:1-3</t>
  </si>
  <si>
    <t>God shows Amos a vision of summer fruit (judgment)</t>
  </si>
  <si>
    <t>Bethel, Israel</t>
  </si>
  <si>
    <t>Amos 7:14-17</t>
  </si>
  <si>
    <t>God confirms Amos's prophetic calling against Amaziah's opposition</t>
  </si>
  <si>
    <t>Amos 7:9</t>
  </si>
  <si>
    <t>God speaks judgment against Jeroboam's house</t>
  </si>
  <si>
    <t>Amos 7:7-9</t>
  </si>
  <si>
    <t>God shows Amos a vision of a plumb line</t>
  </si>
  <si>
    <t>Amos 7:4-6</t>
  </si>
  <si>
    <t>God shows Amos a vision of fire</t>
  </si>
  <si>
    <t>Amos 7:1-3</t>
  </si>
  <si>
    <t>God shows Amos a vision of locusts</t>
  </si>
  <si>
    <t>Amos 5:21-24</t>
  </si>
  <si>
    <t>God's hatred of Israel's religious festivals without justice</t>
  </si>
  <si>
    <t>Amos 5:8-9</t>
  </si>
  <si>
    <t>God reveals His power over constellations and natural forces</t>
  </si>
  <si>
    <t>Amos 5:4-6</t>
  </si>
  <si>
    <t>God's call to seek Him and live</t>
  </si>
  <si>
    <t>Amos 5:1-3</t>
  </si>
  <si>
    <t>God's lament over Israel's coming destruction</t>
  </si>
  <si>
    <t>Amos 4:13</t>
  </si>
  <si>
    <t>God reveals Himself as Creator and Controller of nature</t>
  </si>
  <si>
    <t>Amos 4:12-13</t>
  </si>
  <si>
    <t>God's call to prepare to meet Him</t>
  </si>
  <si>
    <t>Amos 4:6-11</t>
  </si>
  <si>
    <t>God recalls His past chastisements that Israel ignored</t>
  </si>
  <si>
    <t>Samaria, Israel</t>
  </si>
  <si>
    <t>Amos 4:1-3</t>
  </si>
  <si>
    <t>God condemns the wealthy women of Samaria</t>
  </si>
  <si>
    <t>Amos 3:9-15</t>
  </si>
  <si>
    <t>God declares judgment on Samaria's palaces</t>
  </si>
  <si>
    <t>Amos 3:3-8</t>
  </si>
  <si>
    <t>God reveals His sovereign control over all events</t>
  </si>
  <si>
    <t>Amos 3:1-2</t>
  </si>
  <si>
    <t>God speaks of His special relationship with Israel and accountability</t>
  </si>
  <si>
    <t>Amos 2:6-16</t>
  </si>
  <si>
    <t>God reveals His judgments against Israel</t>
  </si>
  <si>
    <t>Amos 2:4-5</t>
  </si>
  <si>
    <t>God reveals His judgments against Judah</t>
  </si>
  <si>
    <t>Amos 2:1-3</t>
  </si>
  <si>
    <t>God reveals His judgments against Moab</t>
  </si>
  <si>
    <t>Ammon</t>
  </si>
  <si>
    <t>Amos 1:13-15</t>
  </si>
  <si>
    <t>God reveals His judgments against Ammon</t>
  </si>
  <si>
    <t>Amos 1:11-12</t>
  </si>
  <si>
    <t>God reveals His judgments against Edom</t>
  </si>
  <si>
    <t>Tyre, Phoenicia</t>
  </si>
  <si>
    <t>Amos 1:9-10</t>
  </si>
  <si>
    <t>God reveals His judgments against Tyre</t>
  </si>
  <si>
    <t>Gaza, Philistia</t>
  </si>
  <si>
    <t>Amos 1:6-8</t>
  </si>
  <si>
    <t>God reveals His judgments against Gaza</t>
  </si>
  <si>
    <t>Damascus, Syria</t>
  </si>
  <si>
    <t>Amos 1:3-5</t>
  </si>
  <si>
    <t>God reveals His judgments against Damascus</t>
  </si>
  <si>
    <t>Tekoa, Judah</t>
  </si>
  <si>
    <t>Amos 1:1</t>
  </si>
  <si>
    <t>God calls Amos from shepherding to prophesy</t>
  </si>
  <si>
    <t>Obadiah:</t>
  </si>
  <si>
    <r>
      <t>Note:</t>
    </r>
    <r>
      <rPr>
        <sz val="11"/>
        <color theme="1"/>
        <rFont val="Calibri"/>
        <family val="2"/>
        <scheme val="minor"/>
      </rPr>
      <t xml:space="preserve"> Despite its brevity, Obadiah contains profound supernatural elements including prophetic revelation, divine omniscience, sovereign control over nations, and eschatological promises. The book demonstrates God's supernatural justice, His perfect knowledge of human affairs, and His ultimate authority over all earthly kingdoms. The prophecies involve both immediate historical judgments and future supernatural interventions in human history.</t>
    </r>
  </si>
  <si>
    <r>
      <t>Covenant Implications</t>
    </r>
    <r>
      <rPr>
        <sz val="11"/>
        <color theme="1"/>
        <rFont val="Calibri"/>
        <family val="2"/>
        <scheme val="minor"/>
      </rPr>
      <t>: Demonstrates God's faithfulness to His promises to Israel</t>
    </r>
  </si>
  <si>
    <r>
      <t>Eschatological Vision</t>
    </r>
    <r>
      <rPr>
        <sz val="11"/>
        <color theme="1"/>
        <rFont val="Calibri"/>
        <family val="2"/>
        <scheme val="minor"/>
      </rPr>
      <t>: Points to ultimate establishment of God's kingdom</t>
    </r>
  </si>
  <si>
    <r>
      <t>Typological Meaning</t>
    </r>
    <r>
      <rPr>
        <sz val="11"/>
        <color theme="1"/>
        <rFont val="Calibri"/>
        <family val="2"/>
        <scheme val="minor"/>
      </rPr>
      <t>: Represents God's judgment against all who oppose His people</t>
    </r>
  </si>
  <si>
    <r>
      <t>Immediate Fulfillment</t>
    </r>
    <r>
      <rPr>
        <sz val="11"/>
        <color theme="1"/>
        <rFont val="Calibri"/>
        <family val="2"/>
        <scheme val="minor"/>
      </rPr>
      <t>: Edom's eventual destruction by various conquering powers</t>
    </r>
  </si>
  <si>
    <r>
      <t>Relationship Context</t>
    </r>
    <r>
      <rPr>
        <sz val="11"/>
        <color theme="1"/>
        <rFont val="Calibri"/>
        <family val="2"/>
        <scheme val="minor"/>
      </rPr>
      <t>: Ancient enmity between descendants of Jacob and Esau</t>
    </r>
  </si>
  <si>
    <r>
      <t>Edom's Location</t>
    </r>
    <r>
      <rPr>
        <sz val="11"/>
        <color theme="1"/>
        <rFont val="Calibri"/>
        <family val="2"/>
        <scheme val="minor"/>
      </rPr>
      <t>: Mountainous region southeast of the Dead Sea (modern-day Jordan)</t>
    </r>
  </si>
  <si>
    <r>
      <t>Historical Setting</t>
    </r>
    <r>
      <rPr>
        <sz val="11"/>
        <color theme="1"/>
        <rFont val="Calibri"/>
        <family val="2"/>
        <scheme val="minor"/>
      </rPr>
      <t>: Babylon's conquest of Jerusalem and Edom's betrayal of Judah</t>
    </r>
  </si>
  <si>
    <r>
      <t>Time Period</t>
    </r>
    <r>
      <rPr>
        <sz val="11"/>
        <color theme="1"/>
        <rFont val="Calibri"/>
        <family val="2"/>
        <scheme val="minor"/>
      </rPr>
      <t>: Likely written c. 586-585 BC after Jerusalem's destruction</t>
    </r>
  </si>
  <si>
    <r>
      <t>Supernatural Military Victory</t>
    </r>
    <r>
      <rPr>
        <sz val="11"/>
        <color theme="1"/>
        <rFont val="Calibri"/>
        <family val="2"/>
        <scheme val="minor"/>
      </rPr>
      <t>: Promises of Israel's future conquests through divine power</t>
    </r>
  </si>
  <si>
    <r>
      <t>Eschatological Prophecy</t>
    </r>
    <r>
      <rPr>
        <sz val="11"/>
        <color theme="1"/>
        <rFont val="Calibri"/>
        <family val="2"/>
        <scheme val="minor"/>
      </rPr>
      <t>: Predictions about the Day of the Lord and final kingdom</t>
    </r>
  </si>
  <si>
    <r>
      <t>Sovereign Control</t>
    </r>
    <r>
      <rPr>
        <sz val="11"/>
        <color theme="1"/>
        <rFont val="Calibri"/>
        <family val="2"/>
        <scheme val="minor"/>
      </rPr>
      <t>: God's power to raise up and bring down nations</t>
    </r>
  </si>
  <si>
    <r>
      <t>Divine Omniscience</t>
    </r>
    <r>
      <rPr>
        <sz val="11"/>
        <color theme="1"/>
        <rFont val="Calibri"/>
        <family val="2"/>
        <scheme val="minor"/>
      </rPr>
      <t>: God's perfect knowledge of hidden things and future events</t>
    </r>
  </si>
  <si>
    <r>
      <t>Prophetic Vision</t>
    </r>
    <r>
      <rPr>
        <sz val="11"/>
        <color theme="1"/>
        <rFont val="Calibri"/>
        <family val="2"/>
        <scheme val="minor"/>
      </rPr>
      <t>: Direct revelation from God to Obadiah</t>
    </r>
  </si>
  <si>
    <r>
      <t>Chiastic Structure</t>
    </r>
    <r>
      <rPr>
        <sz val="11"/>
        <color theme="1"/>
        <rFont val="Calibri"/>
        <family val="2"/>
        <scheme val="minor"/>
      </rPr>
      <t>: Organized around themes of judgment and restoration</t>
    </r>
  </si>
  <si>
    <r>
      <t>Poetic Language</t>
    </r>
    <r>
      <rPr>
        <sz val="11"/>
        <color theme="1"/>
        <rFont val="Calibri"/>
        <family val="2"/>
        <scheme val="minor"/>
      </rPr>
      <t>: Rich imagery and parallelism throughout</t>
    </r>
  </si>
  <si>
    <r>
      <t>Prophetic Oracle</t>
    </r>
    <r>
      <rPr>
        <sz val="11"/>
        <color theme="1"/>
        <rFont val="Calibri"/>
        <family val="2"/>
        <scheme val="minor"/>
      </rPr>
      <t>: Structured as a divine pronouncement against a foreign nation</t>
    </r>
  </si>
  <si>
    <r>
      <t>Shortest Book in the Old Testament</t>
    </r>
    <r>
      <rPr>
        <sz val="11"/>
        <color theme="1"/>
        <rFont val="Calibri"/>
        <family val="2"/>
        <scheme val="minor"/>
      </rPr>
      <t>: Only 21 verses</t>
    </r>
  </si>
  <si>
    <r>
      <t>Covenant Faithfulness</t>
    </r>
    <r>
      <rPr>
        <sz val="11"/>
        <color theme="1"/>
        <rFont val="Calibri"/>
        <family val="2"/>
        <scheme val="minor"/>
      </rPr>
      <t>: God's protection of His chosen people despite temporary defeat</t>
    </r>
  </si>
  <si>
    <r>
      <t>Pride and Humiliation</t>
    </r>
    <r>
      <rPr>
        <sz val="11"/>
        <color theme="1"/>
        <rFont val="Calibri"/>
        <family val="2"/>
        <scheme val="minor"/>
      </rPr>
      <t>: God's judgment against human arrogance and self-sufficiency</t>
    </r>
  </si>
  <si>
    <r>
      <t>Brotherhood Violated</t>
    </r>
    <r>
      <rPr>
        <sz val="11"/>
        <color theme="1"/>
        <rFont val="Calibri"/>
        <family val="2"/>
        <scheme val="minor"/>
      </rPr>
      <t>: Condemnation of Edom (descendants of Esau) for betraying Israel (descendants of Jacob)</t>
    </r>
  </si>
  <si>
    <r>
      <t>Divine Justice</t>
    </r>
    <r>
      <rPr>
        <sz val="11"/>
        <color theme="1"/>
        <rFont val="Calibri"/>
        <family val="2"/>
        <scheme val="minor"/>
      </rPr>
      <t>: God's judgment against Edom for their treatment of Judah</t>
    </r>
  </si>
  <si>
    <t>Key Characteristics of the Book of Obadiah</t>
  </si>
  <si>
    <t>God reveals His vision and message to Obadiah about Edom</t>
  </si>
  <si>
    <t>Obadiah 1:1</t>
  </si>
  <si>
    <t>Judah/Jerusalem</t>
  </si>
  <si>
    <t>c. 586-585 BC</t>
  </si>
  <si>
    <t>Obadiah</t>
  </si>
  <si>
    <t>God declares His sovereign calling of nations against Edom</t>
  </si>
  <si>
    <t>Edom/Surrounding Nations</t>
  </si>
  <si>
    <t>God promises to bring down Edom's pride despite their mountain strongholds</t>
  </si>
  <si>
    <t>Obadiah 1:2-4</t>
  </si>
  <si>
    <t>Edom (Petra region)</t>
  </si>
  <si>
    <t>God reveals His omniscience regarding Edom's hidden treasures and secrets</t>
  </si>
  <si>
    <t>Obadiah 1:5-6</t>
  </si>
  <si>
    <t>God declares He will destroy the wise men of Edom</t>
  </si>
  <si>
    <t>Obadiah 1:8</t>
  </si>
  <si>
    <t>Edom (Mount Esau)</t>
  </si>
  <si>
    <t>God judges Edom for violence against Jacob (Israel/Judah)</t>
  </si>
  <si>
    <t>Obadiah 1:10-14</t>
  </si>
  <si>
    <t>God declares the Day of the Lord is near for all nations</t>
  </si>
  <si>
    <t>Obadiah 1:15</t>
  </si>
  <si>
    <t>All Nations</t>
  </si>
  <si>
    <t>Future/Eschatological</t>
  </si>
  <si>
    <t>God promises supernatural deliverance and holiness on Mount Zion</t>
  </si>
  <si>
    <t>Obadiah 1:17</t>
  </si>
  <si>
    <t>Mount Zion/Jerusalem</t>
  </si>
  <si>
    <t>Future/Messianic</t>
  </si>
  <si>
    <t>God promises Israel will possess their inheritance and consume their enemies like fire</t>
  </si>
  <si>
    <t>Obadiah 1:18</t>
  </si>
  <si>
    <t>Israel/Judah</t>
  </si>
  <si>
    <t>God promises the expansion of Israel's territory through supernatural conquest</t>
  </si>
  <si>
    <t>Obadiah 1:19-20</t>
  </si>
  <si>
    <t>Promised Land regions</t>
  </si>
  <si>
    <t>God declares His ultimate kingdom and reign</t>
  </si>
  <si>
    <t>Obadiah 1:21</t>
  </si>
  <si>
    <t>Mount Zion</t>
  </si>
  <si>
    <t>Jonah:</t>
  </si>
  <si>
    <t>Jonah is packed with dramatic supernatural miracles and divine interventions, making it one of the most miracle-dense books in the Bible.</t>
  </si>
  <si>
    <t>Key differences from Hosea:</t>
  </si>
  <si>
    <r>
      <t>More dramatic miracles</t>
    </r>
    <r>
      <rPr>
        <sz val="11"/>
        <color theme="1"/>
        <rFont val="Calibri"/>
        <family val="2"/>
        <scheme val="minor"/>
      </rPr>
      <t>: Great fish, supernatural storm, miraculous plant growth</t>
    </r>
  </si>
  <si>
    <r>
      <t>Nature miracles</t>
    </r>
    <r>
      <rPr>
        <sz val="11"/>
        <color theme="1"/>
        <rFont val="Calibri"/>
        <family val="2"/>
        <scheme val="minor"/>
      </rPr>
      <t>: God's control over sea, fish, plants, worms, and wind</t>
    </r>
  </si>
  <si>
    <r>
      <t>Preservation miracle</t>
    </r>
    <r>
      <rPr>
        <sz val="11"/>
        <color theme="1"/>
        <rFont val="Calibri"/>
        <family val="2"/>
        <scheme val="minor"/>
      </rPr>
      <t>: Jonah's survival inside the fish for three days</t>
    </r>
  </si>
  <si>
    <r>
      <t>Mass conversion miracle</t>
    </r>
    <r>
      <rPr>
        <sz val="11"/>
        <color theme="1"/>
        <rFont val="Calibri"/>
        <family val="2"/>
        <scheme val="minor"/>
      </rPr>
      <t>: Entire city of Nineveh repents</t>
    </r>
  </si>
  <si>
    <t>The book demonstrates God's sovereignty over both nature and nations, while teaching profound lessons about divine mercy, prophetic obedience, and God's concern for all peoples - even Israel's enemies. Each of the four chapters contains multiple supernatural events, making Jonah a unique treasure of miraculous biblical narrative.</t>
  </si>
  <si>
    <r>
      <t>Note:</t>
    </r>
    <r>
      <rPr>
        <sz val="11"/>
        <color theme="1"/>
        <rFont val="Calibri"/>
        <family val="2"/>
        <scheme val="minor"/>
      </rPr>
      <t xml:space="preserve"> The Book of Jonah is unique among the minor prophets for its concentration of miraculous events. Every chapter contains multiple supernatural occurrences, demonstrating God's absolute sovereignty over nature, nations, and individuals. The book serves as both historical narrative and theological treatise on God's universal love and mercy.</t>
    </r>
  </si>
  <si>
    <r>
      <t>Spiritual Miracles</t>
    </r>
    <r>
      <rPr>
        <sz val="11"/>
        <color theme="1"/>
        <rFont val="Calibri"/>
        <family val="2"/>
        <scheme val="minor"/>
      </rPr>
      <t>: Mass conversion of an entire pagan city</t>
    </r>
  </si>
  <si>
    <r>
      <t>Weather Miracles</t>
    </r>
    <r>
      <rPr>
        <sz val="11"/>
        <color theme="1"/>
        <rFont val="Calibri"/>
        <family val="2"/>
        <scheme val="minor"/>
      </rPr>
      <t>: Scorching wind sent by God</t>
    </r>
  </si>
  <si>
    <r>
      <t>Plant Miracles</t>
    </r>
    <r>
      <rPr>
        <sz val="11"/>
        <color theme="1"/>
        <rFont val="Calibri"/>
        <family val="2"/>
        <scheme val="minor"/>
      </rPr>
      <t>: Rapid growth and destruction of the shade plant</t>
    </r>
  </si>
  <si>
    <r>
      <t>Preservation Miracles</t>
    </r>
    <r>
      <rPr>
        <sz val="11"/>
        <color theme="1"/>
        <rFont val="Calibri"/>
        <family val="2"/>
        <scheme val="minor"/>
      </rPr>
      <t>: Survival in impossible circumstances</t>
    </r>
  </si>
  <si>
    <r>
      <t>Animal Miracles</t>
    </r>
    <r>
      <rPr>
        <sz val="11"/>
        <color theme="1"/>
        <rFont val="Calibri"/>
        <family val="2"/>
        <scheme val="minor"/>
      </rPr>
      <t>: Great fish prepared by God</t>
    </r>
  </si>
  <si>
    <r>
      <t>Natural Disasters</t>
    </r>
    <r>
      <rPr>
        <sz val="11"/>
        <color theme="1"/>
        <rFont val="Calibri"/>
        <family val="2"/>
        <scheme val="minor"/>
      </rPr>
      <t>: Divinely sent storm</t>
    </r>
  </si>
  <si>
    <t>The book contains more supernatural miracles per chapter than most biblical books:</t>
  </si>
  <si>
    <t>Miraculous Events:</t>
  </si>
  <si>
    <r>
      <t>Cultural Significance</t>
    </r>
    <r>
      <rPr>
        <sz val="11"/>
        <color theme="1"/>
        <rFont val="Calibri"/>
        <family val="2"/>
        <scheme val="minor"/>
      </rPr>
      <t>: Shows God's heart for Israel's enemies</t>
    </r>
  </si>
  <si>
    <r>
      <t>Geographical Scope</t>
    </r>
    <r>
      <rPr>
        <sz val="11"/>
        <color theme="1"/>
        <rFont val="Calibri"/>
        <family val="2"/>
        <scheme val="minor"/>
      </rPr>
      <t>: From Israel to Tarshish (Spain) to Nineveh (Iraq)</t>
    </r>
  </si>
  <si>
    <r>
      <t>Political Situation</t>
    </r>
    <r>
      <rPr>
        <sz val="11"/>
        <color theme="1"/>
        <rFont val="Calibri"/>
        <family val="2"/>
        <scheme val="minor"/>
      </rPr>
      <t>: Assyria was a rising power and threat to Israel</t>
    </r>
  </si>
  <si>
    <r>
      <t>Time Period</t>
    </r>
    <r>
      <rPr>
        <sz val="11"/>
        <color theme="1"/>
        <rFont val="Calibri"/>
        <family val="2"/>
        <scheme val="minor"/>
      </rPr>
      <t>: c. 793-753 BC during the reign of Jeroboam II of Israel</t>
    </r>
  </si>
  <si>
    <r>
      <t>Prophetic Signs</t>
    </r>
    <r>
      <rPr>
        <sz val="11"/>
        <color theme="1"/>
        <rFont val="Calibri"/>
        <family val="2"/>
        <scheme val="minor"/>
      </rPr>
      <t>: Natural elements used to teach spiritual lessons</t>
    </r>
  </si>
  <si>
    <r>
      <t>Divine Communication</t>
    </r>
    <r>
      <rPr>
        <sz val="11"/>
        <color theme="1"/>
        <rFont val="Calibri"/>
        <family val="2"/>
        <scheme val="minor"/>
      </rPr>
      <t>: Direct revelation from God to Jonah</t>
    </r>
  </si>
  <si>
    <r>
      <t>Mass Spiritual Conversion</t>
    </r>
    <r>
      <rPr>
        <sz val="11"/>
        <color theme="1"/>
        <rFont val="Calibri"/>
        <family val="2"/>
        <scheme val="minor"/>
      </rPr>
      <t>: Entire city of Nineveh repents at Jonah's preaching</t>
    </r>
  </si>
  <si>
    <r>
      <t>Miraculous Preservation</t>
    </r>
    <r>
      <rPr>
        <sz val="11"/>
        <color theme="1"/>
        <rFont val="Calibri"/>
        <family val="2"/>
        <scheme val="minor"/>
      </rPr>
      <t>: Jonah's survival in the fish for three days and nights</t>
    </r>
  </si>
  <si>
    <r>
      <t>Divine Control over Nature</t>
    </r>
    <r>
      <rPr>
        <sz val="11"/>
        <color theme="1"/>
        <rFont val="Calibri"/>
        <family val="2"/>
        <scheme val="minor"/>
      </rPr>
      <t>: Storm, great fish, plant, worm, and wind all obey God</t>
    </r>
  </si>
  <si>
    <r>
      <t>Prayer and Psalm</t>
    </r>
    <r>
      <rPr>
        <sz val="11"/>
        <color theme="1"/>
        <rFont val="Calibri"/>
        <family val="2"/>
        <scheme val="minor"/>
      </rPr>
      <t>: Jonah's prayer from the fish (chapter 2) is a masterpiece of Hebrew poetry</t>
    </r>
  </si>
  <si>
    <r>
      <t>Symbolism</t>
    </r>
    <r>
      <rPr>
        <sz val="11"/>
        <color theme="1"/>
        <rFont val="Calibri"/>
        <family val="2"/>
        <scheme val="minor"/>
      </rPr>
      <t>: The fish, plant, and worm serve as symbols of God's power and lessons</t>
    </r>
  </si>
  <si>
    <r>
      <t>Irony and Contrast</t>
    </r>
    <r>
      <rPr>
        <sz val="11"/>
        <color theme="1"/>
        <rFont val="Calibri"/>
        <family val="2"/>
        <scheme val="minor"/>
      </rPr>
      <t>: Pagan sailors and Ninevites show more faith than God's prophet</t>
    </r>
  </si>
  <si>
    <r>
      <t>Narrative Structure</t>
    </r>
    <r>
      <rPr>
        <sz val="11"/>
        <color theme="1"/>
        <rFont val="Calibri"/>
        <family val="2"/>
        <scheme val="minor"/>
      </rPr>
      <t>: Unlike most prophetic books, Jonah is primarily narrative</t>
    </r>
  </si>
  <si>
    <r>
      <t>Divine Sovereignty</t>
    </r>
    <r>
      <rPr>
        <sz val="11"/>
        <color theme="1"/>
        <rFont val="Calibri"/>
        <family val="2"/>
        <scheme val="minor"/>
      </rPr>
      <t>: God's absolute control over nature and circumstances</t>
    </r>
  </si>
  <si>
    <r>
      <t>Universal Salvation</t>
    </r>
    <r>
      <rPr>
        <sz val="11"/>
        <color theme="1"/>
        <rFont val="Calibri"/>
        <family val="2"/>
        <scheme val="minor"/>
      </rPr>
      <t>: God's concern for Gentiles and their spiritual welfare</t>
    </r>
  </si>
  <si>
    <r>
      <t>Prophetic Reluctance and Obedience</t>
    </r>
    <r>
      <rPr>
        <sz val="11"/>
        <color theme="1"/>
        <rFont val="Calibri"/>
        <family val="2"/>
        <scheme val="minor"/>
      </rPr>
      <t>: The struggle between human will and divine calling</t>
    </r>
  </si>
  <si>
    <r>
      <t>Divine Mercy and Compassion</t>
    </r>
    <r>
      <rPr>
        <sz val="11"/>
        <color theme="1"/>
        <rFont val="Calibri"/>
        <family val="2"/>
        <scheme val="minor"/>
      </rPr>
      <t>: God's love extends to all nations, including Israel's enemies</t>
    </r>
  </si>
  <si>
    <t>Key Characteristics of the Book of Jonah</t>
  </si>
  <si>
    <t>God calls Jonah to preach against Nineveh</t>
  </si>
  <si>
    <t>Jonah 1:1-2</t>
  </si>
  <si>
    <t>Jonah</t>
  </si>
  <si>
    <t>God sends a great storm to stop Jonah's flight</t>
  </si>
  <si>
    <t>Jonah 1:4</t>
  </si>
  <si>
    <t>Mediterranean Sea</t>
  </si>
  <si>
    <t>God causes the lots to fall on Jonah, revealing his guilt</t>
  </si>
  <si>
    <t>Jonah 1:7</t>
  </si>
  <si>
    <t>Ship on Mediterranean Sea</t>
  </si>
  <si>
    <t>God prepares a great fish to swallow Jonah</t>
  </si>
  <si>
    <t>Jonah 1:17</t>
  </si>
  <si>
    <t>God enables Jonah to survive three days and nights in the fish</t>
  </si>
  <si>
    <t>Inside the great fish</t>
  </si>
  <si>
    <t>God speaks to the fish, causing it to vomit Jonah onto dry land</t>
  </si>
  <si>
    <t>Jonah 2:10</t>
  </si>
  <si>
    <t>Shore (possibly near Joppa)</t>
  </si>
  <si>
    <t>God calls Jonah a second time to go to Nineveh</t>
  </si>
  <si>
    <t>Jonah 3:1-2</t>
  </si>
  <si>
    <t>Israel/Palestine</t>
  </si>
  <si>
    <t>God works through Jonah's preaching to convict the entire city of Nineveh</t>
  </si>
  <si>
    <t>Jonah 3:4-5</t>
  </si>
  <si>
    <t>Nineveh, Assyria</t>
  </si>
  <si>
    <t>God sees Nineveh's repentance and relents from destroying the city</t>
  </si>
  <si>
    <t>Jonah 3:10</t>
  </si>
  <si>
    <t>God prepares a plant to give Jonah shade</t>
  </si>
  <si>
    <t>Jonah 4:6</t>
  </si>
  <si>
    <t>East of Nineveh</t>
  </si>
  <si>
    <t>God prepares a worm to destroy the plant</t>
  </si>
  <si>
    <t>Jonah 4:7</t>
  </si>
  <si>
    <t>God prepares a scorching east wind to afflict Jonah</t>
  </si>
  <si>
    <t>Jonah 4:8</t>
  </si>
  <si>
    <t>God speaks to Jonah about His compassion for Nineveh</t>
  </si>
  <si>
    <t>Jonah 4:9-11</t>
  </si>
  <si>
    <t>Micah:</t>
  </si>
  <si>
    <t>a comprehensive table for the Book of Micah, ordered by scripture reference in ascending order. The book contains several significant supernatural elements and divine communications:</t>
  </si>
  <si>
    <t>Key Supernatural Events in Micah:</t>
  </si>
  <si>
    <r>
      <t>Divine Theophany</t>
    </r>
    <r>
      <rPr>
        <sz val="11"/>
        <color theme="1"/>
        <rFont val="Calibri"/>
        <family val="2"/>
        <scheme val="minor"/>
      </rPr>
      <t xml:space="preserve"> (1:3-4) - God's dramatic appearance causing mountains to melt</t>
    </r>
  </si>
  <si>
    <r>
      <t>Messianic Prophecy</t>
    </r>
    <r>
      <rPr>
        <sz val="11"/>
        <color theme="1"/>
        <rFont val="Calibri"/>
        <family val="2"/>
        <scheme val="minor"/>
      </rPr>
      <t xml:space="preserve"> (5:2) - The famous prediction of Christ's birth in Bethlehem</t>
    </r>
  </si>
  <si>
    <r>
      <t>Future Miracles</t>
    </r>
    <r>
      <rPr>
        <sz val="11"/>
        <color theme="1"/>
        <rFont val="Calibri"/>
        <family val="2"/>
        <scheme val="minor"/>
      </rPr>
      <t xml:space="preserve"> (7:15) - Promise of marvelous works like those in Egypt</t>
    </r>
  </si>
  <si>
    <r>
      <t>Supernatural Transformations</t>
    </r>
    <r>
      <rPr>
        <sz val="11"/>
        <color theme="1"/>
        <rFont val="Calibri"/>
        <family val="2"/>
        <scheme val="minor"/>
      </rPr>
      <t xml:space="preserve"> - Promises of universal peace and divine restoration</t>
    </r>
  </si>
  <si>
    <t>Contains one of the clearest Old Testament Messianic prophecies</t>
  </si>
  <si>
    <t>Emphasizes God's sovereignty over nature and nations</t>
  </si>
  <si>
    <t>Balances judgment with mercy and restoration promises</t>
  </si>
  <si>
    <t>Includes the famous summary of God's requirements in Micah 6:8</t>
  </si>
  <si>
    <t>The book demonstrates God's supernatural power through both His judgments and His promises of restoration, while maintaining a strong emphasis on social justice and covenant faithfulness. Micah's prophecies show God's control over history, nature, and the ultimate destiny of nations.</t>
  </si>
  <si>
    <t>Key Characteristics of the Book of Micah</t>
  </si>
  <si>
    <r>
      <t>Social Justice</t>
    </r>
    <r>
      <rPr>
        <sz val="11"/>
        <color theme="1"/>
        <rFont val="Calibri"/>
        <family val="2"/>
        <scheme val="minor"/>
      </rPr>
      <t>: Strong emphasis on God's demand for justice, mercy, and righteousness</t>
    </r>
  </si>
  <si>
    <r>
      <t>Divine Judgment and Mercy</t>
    </r>
    <r>
      <rPr>
        <sz val="11"/>
        <color theme="1"/>
        <rFont val="Calibri"/>
        <family val="2"/>
        <scheme val="minor"/>
      </rPr>
      <t>: Balances warnings of judgment with promises of restoration</t>
    </r>
  </si>
  <si>
    <r>
      <t>Messianic Prophecy</t>
    </r>
    <r>
      <rPr>
        <sz val="11"/>
        <color theme="1"/>
        <rFont val="Calibri"/>
        <family val="2"/>
        <scheme val="minor"/>
      </rPr>
      <t>: Contains one of the clearest Old Testament prophecies about Christ's birthplace</t>
    </r>
  </si>
  <si>
    <r>
      <t>Covenant Lawsuit</t>
    </r>
    <r>
      <rPr>
        <sz val="11"/>
        <color theme="1"/>
        <rFont val="Calibri"/>
        <family val="2"/>
        <scheme val="minor"/>
      </rPr>
      <t>: God's case against His people for breaking covenant obligations</t>
    </r>
  </si>
  <si>
    <r>
      <t>Prophetic Oracles</t>
    </r>
    <r>
      <rPr>
        <sz val="11"/>
        <color theme="1"/>
        <rFont val="Calibri"/>
        <family val="2"/>
        <scheme val="minor"/>
      </rPr>
      <t>: Alternates between judgment and salvation messages</t>
    </r>
  </si>
  <si>
    <r>
      <t>Vivid Imagery</t>
    </r>
    <r>
      <rPr>
        <sz val="11"/>
        <color theme="1"/>
        <rFont val="Calibri"/>
        <family val="2"/>
        <scheme val="minor"/>
      </rPr>
      <t>: Uses powerful metaphors and word pictures</t>
    </r>
  </si>
  <si>
    <r>
      <t>Covenant Language</t>
    </r>
    <r>
      <rPr>
        <sz val="11"/>
        <color theme="1"/>
        <rFont val="Calibri"/>
        <family val="2"/>
        <scheme val="minor"/>
      </rPr>
      <t>: Employs legal terminology from ancient Near Eastern treaties</t>
    </r>
  </si>
  <si>
    <r>
      <t>Rhetorical Questions</t>
    </r>
    <r>
      <rPr>
        <sz val="11"/>
        <color theme="1"/>
        <rFont val="Calibri"/>
        <family val="2"/>
        <scheme val="minor"/>
      </rPr>
      <t>: Uses questions to engage and convict the audience</t>
    </r>
  </si>
  <si>
    <r>
      <t>Divine Theophany</t>
    </r>
    <r>
      <rPr>
        <sz val="11"/>
        <color theme="1"/>
        <rFont val="Calibri"/>
        <family val="2"/>
        <scheme val="minor"/>
      </rPr>
      <t>: God's dramatic appearance causing natural upheaval</t>
    </r>
  </si>
  <si>
    <r>
      <t>Prophetic Revelation</t>
    </r>
    <r>
      <rPr>
        <sz val="11"/>
        <color theme="1"/>
        <rFont val="Calibri"/>
        <family val="2"/>
        <scheme val="minor"/>
      </rPr>
      <t>: Direct communication from God through Micah</t>
    </r>
  </si>
  <si>
    <r>
      <t>Messianic Prophecy</t>
    </r>
    <r>
      <rPr>
        <sz val="11"/>
        <color theme="1"/>
        <rFont val="Calibri"/>
        <family val="2"/>
        <scheme val="minor"/>
      </rPr>
      <t>: Supernatural foreknowledge of Christ's birth</t>
    </r>
  </si>
  <si>
    <r>
      <t>Future Miracles</t>
    </r>
    <r>
      <rPr>
        <sz val="11"/>
        <color theme="1"/>
        <rFont val="Calibri"/>
        <family val="2"/>
        <scheme val="minor"/>
      </rPr>
      <t>: Promises of God's intervention like the Exodus</t>
    </r>
  </si>
  <si>
    <r>
      <t>Supernatural Transformation</t>
    </r>
    <r>
      <rPr>
        <sz val="11"/>
        <color theme="1"/>
        <rFont val="Calibri"/>
        <family val="2"/>
        <scheme val="minor"/>
      </rPr>
      <t>: Promises of universal peace and justice</t>
    </r>
  </si>
  <si>
    <r>
      <t>Time Period</t>
    </r>
    <r>
      <rPr>
        <sz val="11"/>
        <color theme="1"/>
        <rFont val="Calibri"/>
        <family val="2"/>
        <scheme val="minor"/>
      </rPr>
      <t>: c. 740-700 BC during reigns of Jotham, Ahaz, and Hezekiah</t>
    </r>
  </si>
  <si>
    <r>
      <t>Political Situation</t>
    </r>
    <r>
      <rPr>
        <sz val="11"/>
        <color theme="1"/>
        <rFont val="Calibri"/>
        <family val="2"/>
        <scheme val="minor"/>
      </rPr>
      <t>: Assyrian threat and internal corruption in Judah and Israel</t>
    </r>
  </si>
  <si>
    <r>
      <t>Social Conditions</t>
    </r>
    <r>
      <rPr>
        <sz val="11"/>
        <color theme="1"/>
        <rFont val="Calibri"/>
        <family val="2"/>
        <scheme val="minor"/>
      </rPr>
      <t>: Widespread injustice, oppression of the poor, corrupt leadership</t>
    </r>
  </si>
  <si>
    <r>
      <t>Audience</t>
    </r>
    <r>
      <rPr>
        <sz val="11"/>
        <color theme="1"/>
        <rFont val="Calibri"/>
        <family val="2"/>
        <scheme val="minor"/>
      </rPr>
      <t>: Both Northern Kingdom (Israel) and Southern Kingdom (Judah)</t>
    </r>
  </si>
  <si>
    <r>
      <t>Divine Requirements</t>
    </r>
    <r>
      <rPr>
        <sz val="11"/>
        <color theme="1"/>
        <rFont val="Calibri"/>
        <family val="2"/>
        <scheme val="minor"/>
      </rPr>
      <t>: Famous summary of God's expectations (Micah 6:8)</t>
    </r>
  </si>
  <si>
    <r>
      <t>Messianic Hope</t>
    </r>
    <r>
      <rPr>
        <sz val="11"/>
        <color theme="1"/>
        <rFont val="Calibri"/>
        <family val="2"/>
        <scheme val="minor"/>
      </rPr>
      <t>: Prophecy of Bethlehem as Messiah's birthplace</t>
    </r>
  </si>
  <si>
    <r>
      <t>God's Character</t>
    </r>
    <r>
      <rPr>
        <sz val="11"/>
        <color theme="1"/>
        <rFont val="Calibri"/>
        <family val="2"/>
        <scheme val="minor"/>
      </rPr>
      <t>: Reveals God as both just judge and merciful redeemer</t>
    </r>
  </si>
  <si>
    <r>
      <t>Covenant Faithfulness</t>
    </r>
    <r>
      <rPr>
        <sz val="11"/>
        <color theme="1"/>
        <rFont val="Calibri"/>
        <family val="2"/>
        <scheme val="minor"/>
      </rPr>
      <t>: Demonstrates God's unwavering commitment to His promises</t>
    </r>
  </si>
  <si>
    <r>
      <t>Note:</t>
    </r>
    <r>
      <rPr>
        <sz val="11"/>
        <color theme="1"/>
        <rFont val="Calibri"/>
        <family val="2"/>
        <scheme val="minor"/>
      </rPr>
      <t xml:space="preserve"> Micah contains both supernatural judgments and promises, with emphasis on God's control over natural forces, His omniscient knowledge, and His power to transform both individuals and nations. The book's supernatural elements serve to authenticate the prophet's message and demonstrate God's sovereignty over history and creation.</t>
    </r>
  </si>
  <si>
    <t>Nahum:</t>
  </si>
  <si>
    <t>God calls heaven and earth as witnesses against His people</t>
  </si>
  <si>
    <t>Micah 1:2</t>
  </si>
  <si>
    <t>Judah and Israel</t>
  </si>
  <si>
    <t>c. 740-700 BC</t>
  </si>
  <si>
    <t>God declares He will come down and tread upon the earth</t>
  </si>
  <si>
    <t>Micah 1:3-4</t>
  </si>
  <si>
    <t>God causes mountains to melt and valleys to split like wax before fire</t>
  </si>
  <si>
    <t>Micah 1:4</t>
  </si>
  <si>
    <t>God declares judgment and destruction upon Samaria</t>
  </si>
  <si>
    <t>Micah 1:6-7</t>
  </si>
  <si>
    <t>God reveals His knowledge of evil plans devised in secret</t>
  </si>
  <si>
    <t>Micah 2:1-3</t>
  </si>
  <si>
    <t>God promises to gather the remnant of Israel like sheep</t>
  </si>
  <si>
    <t>Micah 2:12</t>
  </si>
  <si>
    <t>God promises to break through and lead His people out</t>
  </si>
  <si>
    <t>Micah 2:13</t>
  </si>
  <si>
    <t>God declares His hatred of false worship and demands justice</t>
  </si>
  <si>
    <t>Micah 3:1-4</t>
  </si>
  <si>
    <t>God withdraws His presence and refuses to answer false prophets</t>
  </si>
  <si>
    <t>Micah 3:4</t>
  </si>
  <si>
    <t>God fills Micah with power, justice, and might to declare Israel's sin</t>
  </si>
  <si>
    <t>Micah 3:8</t>
  </si>
  <si>
    <t>God promises Zion will be plowed like a field and Jerusalem made desolate</t>
  </si>
  <si>
    <t>Micah 3:12</t>
  </si>
  <si>
    <t>God promises to establish His house as chief among mountains</t>
  </si>
  <si>
    <t>Micah 4:1-2</t>
  </si>
  <si>
    <t>God promises nations will flow to His mountain to learn His ways</t>
  </si>
  <si>
    <t>Micah 4:2</t>
  </si>
  <si>
    <t>God promises to judge between nations and rebuke strong peoples</t>
  </si>
  <si>
    <t>Micah 4:3</t>
  </si>
  <si>
    <t>God promises universal peace - swords into plowshares</t>
  </si>
  <si>
    <t>God promises to gather the lame and assemble the outcasts</t>
  </si>
  <si>
    <t>Micah 4:6-7</t>
  </si>
  <si>
    <t>God promises to make the lame a remnant and rule over them</t>
  </si>
  <si>
    <t>Micah 4:7</t>
  </si>
  <si>
    <t>God promises the Messiah will be born in Bethlehem</t>
  </si>
  <si>
    <t>Micah 5:2</t>
  </si>
  <si>
    <t>God promises the Messiah's origins are from everlasting</t>
  </si>
  <si>
    <t>God promises the Ruler will shepherd His flock in God's strength</t>
  </si>
  <si>
    <t>Micah 5:4</t>
  </si>
  <si>
    <t>God promises this One will be great to the ends of the earth</t>
  </si>
  <si>
    <t>God promises to cut off sorceries and soothsayers from His people</t>
  </si>
  <si>
    <t>Micah 5:12</t>
  </si>
  <si>
    <t>God promises to execute vengeance on disobedient nations</t>
  </si>
  <si>
    <t>Micah 5:15</t>
  </si>
  <si>
    <t>Nations</t>
  </si>
  <si>
    <t>God calls mountains and hills to hear His controversy</t>
  </si>
  <si>
    <t>Micah 6:1-2</t>
  </si>
  <si>
    <t>God reminds Israel of His miraculous deliverance from Egypt</t>
  </si>
  <si>
    <t>Micah 6:4</t>
  </si>
  <si>
    <t>Egypt to Canaan</t>
  </si>
  <si>
    <t>God recalls His intervention against Balaam's curse</t>
  </si>
  <si>
    <t>Micah 6:5</t>
  </si>
  <si>
    <t>God declares what He requires: justice, mercy, and humble walking</t>
  </si>
  <si>
    <t>Micah 6:8</t>
  </si>
  <si>
    <t>God promises to make the sinner's wounds incurable</t>
  </si>
  <si>
    <t>Micah 6:13</t>
  </si>
  <si>
    <t>God promises to tread down enemies like mud in the streets</t>
  </si>
  <si>
    <t>Micah 7:10</t>
  </si>
  <si>
    <t>God promises to show marvelous works like in the days of Egypt</t>
  </si>
  <si>
    <t>Micah 7:15</t>
  </si>
  <si>
    <t>God promises nations will see and be ashamed of their might</t>
  </si>
  <si>
    <t>Micah 7:16</t>
  </si>
  <si>
    <t>God promises nations will lick dust like serpents and come trembling</t>
  </si>
  <si>
    <t>Micah 7:17</t>
  </si>
  <si>
    <t>God demonstrates His unique character - pardoning iniquity</t>
  </si>
  <si>
    <t>Micah 7:18</t>
  </si>
  <si>
    <t>God promises to cast sins into the depths of the sea</t>
  </si>
  <si>
    <t>Micah 7:19</t>
  </si>
  <si>
    <t>God promises to show truth to Jacob and mercy to Abraham</t>
  </si>
  <si>
    <t>Micah 7:20</t>
  </si>
  <si>
    <t>a comprehensive table for the Book of Nahum, organized by scripture reference in ascending order.</t>
  </si>
  <si>
    <t>Key observations about Nahum:</t>
  </si>
  <si>
    <r>
      <t>Supernatural Focus</t>
    </r>
    <r>
      <rPr>
        <sz val="11"/>
        <color theme="1"/>
        <rFont val="Calibri"/>
        <family val="2"/>
        <scheme val="minor"/>
      </rPr>
      <t>: Unlike some prophetic books, Nahum is entirely focused on God's supernatural judgment and prophetic revelation. The book demonstrates God's miraculous power through:</t>
    </r>
  </si>
  <si>
    <t>Prophetic visions of future events</t>
  </si>
  <si>
    <t>Control over natural forces (mountains quaking, floods)</t>
  </si>
  <si>
    <t>Detailed foreknowledge of military events</t>
  </si>
  <si>
    <t>Precise predictions that were historically fulfilled</t>
  </si>
  <si>
    <r>
      <t>Historical Accuracy</t>
    </r>
    <r>
      <rPr>
        <sz val="11"/>
        <color theme="1"/>
        <rFont val="Calibri"/>
        <family val="2"/>
        <scheme val="minor"/>
      </rPr>
      <t>: The book's supernatural element is particularly evident in how precisely Nahum's prophecies were fulfilled when Nineveh fell to the Babylonian-Median coalition in 612 BC, exactly as described.</t>
    </r>
  </si>
  <si>
    <r>
      <t>Divine Justice Theme</t>
    </r>
    <r>
      <rPr>
        <sz val="11"/>
        <color theme="1"/>
        <rFont val="Calibri"/>
        <family val="2"/>
        <scheme val="minor"/>
      </rPr>
      <t>: The entire book showcases God's supernatural ability to bring justice against oppressive nations while protecting His people, demonstrating His sovereignty over all earthly powers.</t>
    </r>
  </si>
  <si>
    <t>The book serves as a powerful testament to God's supernatural knowledge, justice, and control over world events, with the ultimate "miracle" being the precise historical fulfillment of every prophetic detail Nahum received in his visions.</t>
  </si>
  <si>
    <r>
      <t>Note:</t>
    </r>
    <r>
      <rPr>
        <sz val="11"/>
        <color theme="1"/>
        <rFont val="Calibri"/>
        <family val="2"/>
        <scheme val="minor"/>
      </rPr>
      <t xml:space="preserve"> The Book of Nahum is primarily a prophetic oracle focusing on God's supernatural knowledge and power to judge nations. While it doesn't contain physical miracles performed by the prophet, it demonstrates God's miraculous foreknowledge, His control over natural and political forces, and His supernatural ability to orchestrate the fall of seemingly invincible empires. The book's greatest "miracle" is the precise fulfillment of its detailed prophecies about Nineveh's destruction.</t>
    </r>
  </si>
  <si>
    <r>
      <t>Divine Comfort</t>
    </r>
    <r>
      <rPr>
        <sz val="11"/>
        <color theme="1"/>
        <rFont val="Calibri"/>
        <family val="2"/>
        <scheme val="minor"/>
      </rPr>
      <t>: Shows God's care for His people in times of oppression</t>
    </r>
  </si>
  <si>
    <r>
      <t>Prophetic Accuracy</t>
    </r>
    <r>
      <rPr>
        <sz val="11"/>
        <color theme="1"/>
        <rFont val="Calibri"/>
        <family val="2"/>
        <scheme val="minor"/>
      </rPr>
      <t>: Nahum's detailed prophecies were precisely fulfilled</t>
    </r>
  </si>
  <si>
    <r>
      <t>National Judgment</t>
    </r>
    <r>
      <rPr>
        <sz val="11"/>
        <color theme="1"/>
        <rFont val="Calibri"/>
        <family val="2"/>
        <scheme val="minor"/>
      </rPr>
      <t>: Demonstrates that no nation is beyond God's judgment</t>
    </r>
  </si>
  <si>
    <r>
      <t>God's Character</t>
    </r>
    <r>
      <rPr>
        <sz val="11"/>
        <color theme="1"/>
        <rFont val="Calibri"/>
        <family val="2"/>
        <scheme val="minor"/>
      </rPr>
      <t>: Balances divine mercy with divine justice</t>
    </r>
  </si>
  <si>
    <r>
      <t>Historical Fulfillment</t>
    </r>
    <r>
      <rPr>
        <sz val="11"/>
        <color theme="1"/>
        <rFont val="Calibri"/>
        <family val="2"/>
        <scheme val="minor"/>
      </rPr>
      <t>: Nineveh destroyed by Babylonian-Median coalition in 612 BC</t>
    </r>
  </si>
  <si>
    <r>
      <t>Audience</t>
    </r>
    <r>
      <rPr>
        <sz val="11"/>
        <color theme="1"/>
        <rFont val="Calibri"/>
        <family val="2"/>
        <scheme val="minor"/>
      </rPr>
      <t>: Written to comfort Judah under Assyrian oppression</t>
    </r>
  </si>
  <si>
    <r>
      <t>Political Situation</t>
    </r>
    <r>
      <rPr>
        <sz val="11"/>
        <color theme="1"/>
        <rFont val="Calibri"/>
        <family val="2"/>
        <scheme val="minor"/>
      </rPr>
      <t>: Assyrian Empire at height of power but beginning to decline</t>
    </r>
  </si>
  <si>
    <r>
      <t>Time Period</t>
    </r>
    <r>
      <rPr>
        <sz val="11"/>
        <color theme="1"/>
        <rFont val="Calibri"/>
        <family val="2"/>
        <scheme val="minor"/>
      </rPr>
      <t>: c. 663-612 BC, between the fall of Thebes and destruction of Nineveh</t>
    </r>
  </si>
  <si>
    <r>
      <t>Supernatural Military Victory</t>
    </r>
    <r>
      <rPr>
        <sz val="11"/>
        <color theme="1"/>
        <rFont val="Calibri"/>
        <family val="2"/>
        <scheme val="minor"/>
      </rPr>
      <t>: God fighting for His people against their enemies</t>
    </r>
  </si>
  <si>
    <r>
      <t>Divine Omniscience</t>
    </r>
    <r>
      <rPr>
        <sz val="11"/>
        <color theme="1"/>
        <rFont val="Calibri"/>
        <family val="2"/>
        <scheme val="minor"/>
      </rPr>
      <t>: God's intimate knowledge of nations and their destinies</t>
    </r>
  </si>
  <si>
    <r>
      <t>Predictive Prophecy</t>
    </r>
    <r>
      <rPr>
        <sz val="11"/>
        <color theme="1"/>
        <rFont val="Calibri"/>
        <family val="2"/>
        <scheme val="minor"/>
      </rPr>
      <t>: Specific details about Nineveh's fall fulfilled historically</t>
    </r>
  </si>
  <si>
    <r>
      <t>Divine Control over Nature</t>
    </r>
    <r>
      <rPr>
        <sz val="11"/>
        <color theme="1"/>
        <rFont val="Calibri"/>
        <family val="2"/>
        <scheme val="minor"/>
      </rPr>
      <t>: God's power demonstrated through natural forces</t>
    </r>
  </si>
  <si>
    <r>
      <t>Prophetic Revelation</t>
    </r>
    <r>
      <rPr>
        <sz val="11"/>
        <color theme="1"/>
        <rFont val="Calibri"/>
        <family val="2"/>
        <scheme val="minor"/>
      </rPr>
      <t>: Detailed visions of future events given to Nahum</t>
    </r>
  </si>
  <si>
    <r>
      <t>Prophetic Oracle</t>
    </r>
    <r>
      <rPr>
        <sz val="11"/>
        <color theme="1"/>
        <rFont val="Calibri"/>
        <family val="2"/>
        <scheme val="minor"/>
      </rPr>
      <t>: Classic "burden" or oracle against foreign nation format</t>
    </r>
  </si>
  <si>
    <r>
      <t>Acrostic Elements</t>
    </r>
    <r>
      <rPr>
        <sz val="11"/>
        <color theme="1"/>
        <rFont val="Calibri"/>
        <family val="2"/>
        <scheme val="minor"/>
      </rPr>
      <t>: Partial alphabetic acrostic in chapter 1</t>
    </r>
  </si>
  <si>
    <r>
      <t>Poetic Structure</t>
    </r>
    <r>
      <rPr>
        <sz val="11"/>
        <color theme="1"/>
        <rFont val="Calibri"/>
        <family val="2"/>
        <scheme val="minor"/>
      </rPr>
      <t>: Written largely in Hebrew poetry with powerful metaphors</t>
    </r>
  </si>
  <si>
    <r>
      <t>Vivid Imagery</t>
    </r>
    <r>
      <rPr>
        <sz val="11"/>
        <color theme="1"/>
        <rFont val="Calibri"/>
        <family val="2"/>
        <scheme val="minor"/>
      </rPr>
      <t>: Dramatic descriptions of warfare and destruction</t>
    </r>
  </si>
  <si>
    <r>
      <t>Prophetic Fulfillment</t>
    </r>
    <r>
      <rPr>
        <sz val="11"/>
        <color theme="1"/>
        <rFont val="Calibri"/>
        <family val="2"/>
        <scheme val="minor"/>
      </rPr>
      <t>: Specific prophecies about Nineveh's destruction (fulfilled in 612 BC)</t>
    </r>
  </si>
  <si>
    <r>
      <t>Comfort for the Oppressed</t>
    </r>
    <r>
      <rPr>
        <sz val="11"/>
        <color theme="1"/>
        <rFont val="Calibri"/>
        <family val="2"/>
        <scheme val="minor"/>
      </rPr>
      <t>: Assurance that God will deliver His people from their enemies</t>
    </r>
  </si>
  <si>
    <r>
      <t>God's Sovereignty</t>
    </r>
    <r>
      <rPr>
        <sz val="11"/>
        <color theme="1"/>
        <rFont val="Calibri"/>
        <family val="2"/>
        <scheme val="minor"/>
      </rPr>
      <t>: Supreme authority over all nations and empires</t>
    </r>
  </si>
  <si>
    <r>
      <t>Divine Justice</t>
    </r>
    <r>
      <rPr>
        <sz val="11"/>
        <color theme="1"/>
        <rFont val="Calibri"/>
        <family val="2"/>
        <scheme val="minor"/>
      </rPr>
      <t>: God's righteous judgment against oppressive nations</t>
    </r>
  </si>
  <si>
    <t>Key Characteristics of the Book of Nahum</t>
  </si>
  <si>
    <t>God declares His jealous and avenging nature against His enemies</t>
  </si>
  <si>
    <t>Nahum 1:2</t>
  </si>
  <si>
    <t>Judah/against Nineveh</t>
  </si>
  <si>
    <t>c. 663-612 BC</t>
  </si>
  <si>
    <t>Nahum</t>
  </si>
  <si>
    <t>God demonstrates His power over nature - mountains quake, hills melt</t>
  </si>
  <si>
    <t>Nahum 1:5</t>
  </si>
  <si>
    <t>Universal/Cosmic</t>
  </si>
  <si>
    <t>God declares He knows those who trust in Him and will protect them</t>
  </si>
  <si>
    <t>Nahum 1:7</t>
  </si>
  <si>
    <t>God prophesies complete destruction of Nineveh with overwhelming flood</t>
  </si>
  <si>
    <t>Nahum 1:8</t>
  </si>
  <si>
    <t>God promises to break Assyria's yoke from Judah's neck</t>
  </si>
  <si>
    <t>Nahum 1:13</t>
  </si>
  <si>
    <t>Judah/Assyria</t>
  </si>
  <si>
    <t>God commands the destruction of Assyrian idols and temples</t>
  </si>
  <si>
    <t>Nahum 1:14</t>
  </si>
  <si>
    <t>God promises good news and peace to Judah after Assyria's fall</t>
  </si>
  <si>
    <t>Nahum 1:15</t>
  </si>
  <si>
    <t>God declares He will scatter Nineveh's forces like sheep without a shepherd</t>
  </si>
  <si>
    <t>Nahum 2:2</t>
  </si>
  <si>
    <t>God reveals detailed vision of Nineveh's military defeat and panic</t>
  </si>
  <si>
    <t>Nahum 2:3-10</t>
  </si>
  <si>
    <t>God declares He is against Nineveh and will burn their chariots</t>
  </si>
  <si>
    <t>Nahum 2:13</t>
  </si>
  <si>
    <t>God pronounces woe upon the bloody city of Nineveh</t>
  </si>
  <si>
    <t>Nahum 3:1</t>
  </si>
  <si>
    <t>God reveals prophetic vision of Nineveh's final battle and destruction</t>
  </si>
  <si>
    <t>Nahum 3:2-3</t>
  </si>
  <si>
    <t>God compares Nineveh's coming fate to the fall of Thebes (No-Amon)</t>
  </si>
  <si>
    <t>Nahum 3:8-10</t>
  </si>
  <si>
    <t>Nineveh vs. Thebes, Egypt</t>
  </si>
  <si>
    <t>God declares Nineveh's fortresses will fall like ripe figs</t>
  </si>
  <si>
    <t>Nahum 3:12</t>
  </si>
  <si>
    <t>God pronounces that Nineveh's wound is incurable and fatal</t>
  </si>
  <si>
    <t>Nahum 3:19</t>
  </si>
  <si>
    <t>Habakkuk:</t>
  </si>
  <si>
    <t>I've created a comprehensive table for the Book of Habakkuk, ordered by scripture reference in ascending order. This book is particularly rich in supernatural content, especially in chapter 3, which contains one of the most dramatic theophanic (divine appearance) passages in Scripture.</t>
  </si>
  <si>
    <t>Key Features of Habakkuk's Supernatural Elements:</t>
  </si>
  <si>
    <r>
      <t>1. Prophetic Dialogue</t>
    </r>
    <r>
      <rPr>
        <sz val="11"/>
        <color theme="1"/>
        <rFont val="Calibri"/>
        <family val="2"/>
        <scheme val="minor"/>
      </rPr>
      <t xml:space="preserve"> - Unique format where the prophet directly questions God and receives answers</t>
    </r>
  </si>
  <si>
    <r>
      <t>2. Theophanic Vision</t>
    </r>
    <r>
      <rPr>
        <sz val="11"/>
        <color theme="1"/>
        <rFont val="Calibri"/>
        <family val="2"/>
        <scheme val="minor"/>
      </rPr>
      <t xml:space="preserve"> - Chapter 3 contains an extraordinary vision of God's cosmic power and glory</t>
    </r>
  </si>
  <si>
    <r>
      <t>3. Cosmic Miracles</t>
    </r>
    <r>
      <rPr>
        <sz val="11"/>
        <color theme="1"/>
        <rFont val="Calibri"/>
        <family val="2"/>
        <scheme val="minor"/>
      </rPr>
      <t xml:space="preserve"> - Including the sun and moon standing still, mountains moving, and the earth trembling</t>
    </r>
  </si>
  <si>
    <r>
      <t>4. Divine Warfare</t>
    </r>
    <r>
      <rPr>
        <sz val="11"/>
        <color theme="1"/>
        <rFont val="Calibri"/>
        <family val="2"/>
        <scheme val="minor"/>
      </rPr>
      <t xml:space="preserve"> - God depicted as a divine warrior with supernatural weapons</t>
    </r>
  </si>
  <si>
    <r>
      <t>5. Nature's Response</t>
    </r>
    <r>
      <rPr>
        <sz val="11"/>
        <color theme="1"/>
        <rFont val="Calibri"/>
        <family val="2"/>
        <scheme val="minor"/>
      </rPr>
      <t xml:space="preserve"> - All creation responding to God's presence with fear and reverence</t>
    </r>
  </si>
  <si>
    <t>The book demonstrates how God reveals Himself through both intimate dialogue (chapters 1-2) and overwhelming displays of power (chapter 3), ultimately teaching that "the righteous shall live by faith" - a principle that became foundational to New Testament theology.</t>
  </si>
  <si>
    <t>Habakkuk shows God's supernatural ability to use even wicked nations as instruments of His justice while maintaining His absolute holiness and ultimate control over all creation.</t>
  </si>
  <si>
    <r>
      <t>Note:</t>
    </r>
    <r>
      <rPr>
        <sz val="11"/>
        <color theme="1"/>
        <rFont val="Calibri"/>
        <family val="2"/>
        <scheme val="minor"/>
      </rPr>
      <t xml:space="preserve"> Habakkuk contains some of the most dramatic supernatural imagery in the Old Testament, particularly in chapter 3's theophanic vision. The book demonstrates God's supernatural power over all creation while addressing the profound theological question of how a holy God can use wicked nations to accomplish His purposes. The supernatural elements serve to remind readers of God's ultimate sovereignty and power to fulfill His promises.</t>
    </r>
  </si>
  <si>
    <r>
      <t>Worship in Adversity</t>
    </r>
    <r>
      <rPr>
        <sz val="11"/>
        <color theme="1"/>
        <rFont val="Calibri"/>
        <family val="2"/>
        <scheme val="minor"/>
      </rPr>
      <t>: Model for maintaining faith during trials</t>
    </r>
  </si>
  <si>
    <r>
      <t>Divine Justice</t>
    </r>
    <r>
      <rPr>
        <sz val="11"/>
        <color theme="1"/>
        <rFont val="Calibri"/>
        <family val="2"/>
        <scheme val="minor"/>
      </rPr>
      <t>: God will ultimately judge all wickedness</t>
    </r>
  </si>
  <si>
    <r>
      <t>God's Holiness</t>
    </r>
    <r>
      <rPr>
        <sz val="11"/>
        <color theme="1"/>
        <rFont val="Calibri"/>
        <family val="2"/>
        <scheme val="minor"/>
      </rPr>
      <t>: Emphasis on God's absolute moral purity</t>
    </r>
  </si>
  <si>
    <r>
      <t>"The Righteous Shall Live by Faith"</t>
    </r>
    <r>
      <rPr>
        <sz val="11"/>
        <color theme="1"/>
        <rFont val="Calibri"/>
        <family val="2"/>
        <scheme val="minor"/>
      </rPr>
      <t>: Central doctrine later quoted by Paul</t>
    </r>
  </si>
  <si>
    <r>
      <t>Audience</t>
    </r>
    <r>
      <rPr>
        <sz val="11"/>
        <color theme="1"/>
        <rFont val="Calibri"/>
        <family val="2"/>
        <scheme val="minor"/>
      </rPr>
      <t>: People of Judah struggling with God's apparent silence</t>
    </r>
  </si>
  <si>
    <r>
      <t>Religious Condition</t>
    </r>
    <r>
      <rPr>
        <sz val="11"/>
        <color theme="1"/>
        <rFont val="Calibri"/>
        <family val="2"/>
        <scheme val="minor"/>
      </rPr>
      <t>: Moral decay and injustice in Judah</t>
    </r>
  </si>
  <si>
    <r>
      <t>Political Situation</t>
    </r>
    <r>
      <rPr>
        <sz val="11"/>
        <color theme="1"/>
        <rFont val="Calibri"/>
        <family val="2"/>
        <scheme val="minor"/>
      </rPr>
      <t>: Judah facing invasion and destruction</t>
    </r>
  </si>
  <si>
    <r>
      <t>Time Period</t>
    </r>
    <r>
      <rPr>
        <sz val="11"/>
        <color theme="1"/>
        <rFont val="Calibri"/>
        <family val="2"/>
        <scheme val="minor"/>
      </rPr>
      <t>: c. 609-605 BC during the rise of Babylonian power</t>
    </r>
  </si>
  <si>
    <r>
      <t>Supernatural Strengthening</t>
    </r>
    <r>
      <rPr>
        <sz val="11"/>
        <color theme="1"/>
        <rFont val="Calibri"/>
        <family val="2"/>
        <scheme val="minor"/>
      </rPr>
      <t>: God giving the prophet supernatural endurance</t>
    </r>
  </si>
  <si>
    <r>
      <t>Divine Control over Nature</t>
    </r>
    <r>
      <rPr>
        <sz val="11"/>
        <color theme="1"/>
        <rFont val="Calibri"/>
        <family val="2"/>
        <scheme val="minor"/>
      </rPr>
      <t>: God's power over earth, sea, and celestial bodies</t>
    </r>
  </si>
  <si>
    <r>
      <t>Cosmic Miracles</t>
    </r>
    <r>
      <rPr>
        <sz val="11"/>
        <color theme="1"/>
        <rFont val="Calibri"/>
        <family val="2"/>
        <scheme val="minor"/>
      </rPr>
      <t>: Sun and moon standing still, mountains moving</t>
    </r>
  </si>
  <si>
    <r>
      <t>Theophany</t>
    </r>
    <r>
      <rPr>
        <sz val="11"/>
        <color theme="1"/>
        <rFont val="Calibri"/>
        <family val="2"/>
        <scheme val="minor"/>
      </rPr>
      <t>: Dramatic appearance of God in cosmic glory</t>
    </r>
  </si>
  <si>
    <r>
      <t>Prophetic Vision</t>
    </r>
    <r>
      <rPr>
        <sz val="11"/>
        <color theme="1"/>
        <rFont val="Calibri"/>
        <family val="2"/>
        <scheme val="minor"/>
      </rPr>
      <t>: Supernatural revelation of future events</t>
    </r>
  </si>
  <si>
    <r>
      <t>Direct Divine Communication</t>
    </r>
    <r>
      <rPr>
        <sz val="11"/>
        <color theme="1"/>
        <rFont val="Calibri"/>
        <family val="2"/>
        <scheme val="minor"/>
      </rPr>
      <t>: God personally responds to Habakkuk's questions</t>
    </r>
  </si>
  <si>
    <r>
      <t>Musical Elements</t>
    </r>
    <r>
      <rPr>
        <sz val="11"/>
        <color theme="1"/>
        <rFont val="Calibri"/>
        <family val="2"/>
        <scheme val="minor"/>
      </rPr>
      <t>: Chapter 3 contains musical notations for temple worship</t>
    </r>
  </si>
  <si>
    <r>
      <t>Progressive Revelation</t>
    </r>
    <r>
      <rPr>
        <sz val="11"/>
        <color theme="1"/>
        <rFont val="Calibri"/>
        <family val="2"/>
        <scheme val="minor"/>
      </rPr>
      <t>: Prophet's understanding develops throughout the book</t>
    </r>
  </si>
  <si>
    <r>
      <t>Theophanic Hymn</t>
    </r>
    <r>
      <rPr>
        <sz val="11"/>
        <color theme="1"/>
        <rFont val="Calibri"/>
        <family val="2"/>
        <scheme val="minor"/>
      </rPr>
      <t>: Magnificent poetic description of God's power (chapter 3)</t>
    </r>
  </si>
  <si>
    <r>
      <t>Dialogue Structure</t>
    </r>
    <r>
      <rPr>
        <sz val="11"/>
        <color theme="1"/>
        <rFont val="Calibri"/>
        <family val="2"/>
        <scheme val="minor"/>
      </rPr>
      <t>: Conversation between prophet and God (chapters 1-2)</t>
    </r>
  </si>
  <si>
    <r>
      <t>Prophetic Dialogue</t>
    </r>
    <r>
      <rPr>
        <sz val="11"/>
        <color theme="1"/>
        <rFont val="Calibri"/>
        <family val="2"/>
        <scheme val="minor"/>
      </rPr>
      <t>: Unique format of prophet questioning God and receiving answers</t>
    </r>
  </si>
  <si>
    <r>
      <t>Divine Sovereignty</t>
    </r>
    <r>
      <rPr>
        <sz val="11"/>
        <color theme="1"/>
        <rFont val="Calibri"/>
        <family val="2"/>
        <scheme val="minor"/>
      </rPr>
      <t>: God's ultimate control over nations and history</t>
    </r>
  </si>
  <si>
    <r>
      <t>Faith in Adversity</t>
    </r>
    <r>
      <rPr>
        <sz val="11"/>
        <color theme="1"/>
        <rFont val="Calibri"/>
        <family val="2"/>
        <scheme val="minor"/>
      </rPr>
      <t>: Learning to trust God despite circumstances</t>
    </r>
  </si>
  <si>
    <r>
      <t>Theodicy</t>
    </r>
    <r>
      <rPr>
        <sz val="11"/>
        <color theme="1"/>
        <rFont val="Calibri"/>
        <family val="2"/>
        <scheme val="minor"/>
      </rPr>
      <t>: Wrestling with the problem of evil and God's justice</t>
    </r>
  </si>
  <si>
    <t>Key Characteristics of the Book of Habakkuk</t>
  </si>
  <si>
    <t>Zephaniah:</t>
  </si>
  <si>
    <t>c. 609-605 BC</t>
  </si>
  <si>
    <t>Habakkuk 3:19</t>
  </si>
  <si>
    <t>God enables Habakkuk to have supernatural strength and stability like deer</t>
  </si>
  <si>
    <t>Habakkuk</t>
  </si>
  <si>
    <t>Habakkuk 3:16</t>
  </si>
  <si>
    <t>Habakkuk's body trembles and lips quiver at the supernatural vision</t>
  </si>
  <si>
    <t>Historical/Prophetic</t>
  </si>
  <si>
    <t>Global</t>
  </si>
  <si>
    <t>Habakkuk 3:15</t>
  </si>
  <si>
    <t>God walks through the sea with His horses and heap of great waters</t>
  </si>
  <si>
    <t>Habakkuk 3:14</t>
  </si>
  <si>
    <t>God strikes through with enemy's own spears those who oppose His people</t>
  </si>
  <si>
    <t>Habakkuk 3:13-14</t>
  </si>
  <si>
    <t>God wounds the head of the house of the wicked and destroys enemies</t>
  </si>
  <si>
    <t>Habakkuk 3:13</t>
  </si>
  <si>
    <t>God goes forth for salvation of His people and His anointed</t>
  </si>
  <si>
    <t>Habakkuk 3:12</t>
  </si>
  <si>
    <t>God marches through the earth in indignation and threshes nations in anger</t>
  </si>
  <si>
    <t>Habakkuk 3:11</t>
  </si>
  <si>
    <t>God's arrows and spear shine with supernatural light</t>
  </si>
  <si>
    <t>Sun and moon stand still in their dwelling at God's command</t>
  </si>
  <si>
    <t>Habakkuk 3:10</t>
  </si>
  <si>
    <t>The deep (ocean) lifts up its voice and hands in response to God's presence</t>
  </si>
  <si>
    <t>God causes mountains to see Him and writhe, water floods pass by</t>
  </si>
  <si>
    <t>Habakkuk 3:9</t>
  </si>
  <si>
    <t>God's bow is made ready and arrows are prepared for battle</t>
  </si>
  <si>
    <t>Habakkuk 3:8-9</t>
  </si>
  <si>
    <t>God displays His power over rivers and seas in judgment</t>
  </si>
  <si>
    <t>Cushan/Midian</t>
  </si>
  <si>
    <t>Habakkuk 3:7</t>
  </si>
  <si>
    <t>God causes the tents of Cushan and Midian to tremble in affliction</t>
  </si>
  <si>
    <t>Habakkuk 3:6</t>
  </si>
  <si>
    <t>God splits mountains and causes perpetual hills to bow</t>
  </si>
  <si>
    <t>God's presence causes the earth to tremble and nations to scatter</t>
  </si>
  <si>
    <t>Teman/Mount Paran</t>
  </si>
  <si>
    <t>Habakkuk 3:5</t>
  </si>
  <si>
    <t>God's appearance causes pestilence and burning coals to accompany Him</t>
  </si>
  <si>
    <t>Habakkuk 3:3-4</t>
  </si>
  <si>
    <t>God appears in theophanic glory from Teman and Mount Paran</t>
  </si>
  <si>
    <t>Habakkuk 3:1-2</t>
  </si>
  <si>
    <t>Habakkuk receives divine vision and prays for God's mercy in wrath</t>
  </si>
  <si>
    <t>Habakkuk 2:14, 20</t>
  </si>
  <si>
    <t>God declares His holiness and that the earth will be filled with His glory</t>
  </si>
  <si>
    <t>Habakkuk 2:5-20</t>
  </si>
  <si>
    <t>God pronounces five woes against the wicked oppressor (Babylon)</t>
  </si>
  <si>
    <t>Habakkuk 2:4</t>
  </si>
  <si>
    <t>God declares "the righteous shall live by faith" - foundational spiritual truth</t>
  </si>
  <si>
    <t>Habakkuk 2:1-3</t>
  </si>
  <si>
    <t>God commands Habakkuk to write the vision and wait for its fulfillment</t>
  </si>
  <si>
    <t>Habakkuk 1:12-17</t>
  </si>
  <si>
    <t>Habakkuk questions God's use of wicked Babylon and receives answer</t>
  </si>
  <si>
    <t>Habakkuk 1:5-11</t>
  </si>
  <si>
    <t>God reveals He is raising up the Babylonians as His instrument of judgment</t>
  </si>
  <si>
    <t>Habakkuk 1:1-4</t>
  </si>
  <si>
    <t>Habakkuk questions God about injustice and receives divine response</t>
  </si>
  <si>
    <t>a comprehensive table for the Book of Zephaniah, ordered by scripture reference in ascending order. The book of Zephaniah, while only three chapters long, contains numerous supernatural elements and divine communications.</t>
  </si>
  <si>
    <t>Key Observations about Zephaniah:</t>
  </si>
  <si>
    <r>
      <t>Supernatural Scope</t>
    </r>
    <r>
      <rPr>
        <sz val="11"/>
        <color theme="1"/>
        <rFont val="Calibri"/>
        <family val="2"/>
        <scheme val="minor"/>
      </rPr>
      <t>: Unlike Hosea, which focuses primarily on Israel's covenant relationship, Zephaniah presents God's supernatural power on a truly global scale - affecting entire nations, cosmic elements, and even human language itself.</t>
    </r>
  </si>
  <si>
    <r>
      <t>The Day of the Lord</t>
    </r>
    <r>
      <rPr>
        <sz val="11"/>
        <color theme="1"/>
        <rFont val="Calibri"/>
        <family val="2"/>
        <scheme val="minor"/>
      </rPr>
      <t>: This is the central supernatural theme, describing cosmic disturbances, global judgment, and miraculous transformations that go far beyond natural events.</t>
    </r>
  </si>
  <si>
    <r>
      <t>Divine Omniscience and Omnipotence</t>
    </r>
    <r>
      <rPr>
        <sz val="11"/>
        <color theme="1"/>
        <rFont val="Calibri"/>
        <family val="2"/>
        <scheme val="minor"/>
      </rPr>
      <t>: God's ability to search Jerusalem "with lamps," gather nations for judgment, and transform entire peoples demonstrates supernatural knowledge and power.</t>
    </r>
  </si>
  <si>
    <r>
      <t>Prophetic Reversals</t>
    </r>
    <r>
      <rPr>
        <sz val="11"/>
        <color theme="1"/>
        <rFont val="Calibri"/>
        <family val="2"/>
        <scheme val="minor"/>
      </rPr>
      <t>: The book shows God's supernatural ability to completely reverse situations - from total destruction to complete restoration, from scattered exile to triumphant return.</t>
    </r>
  </si>
  <si>
    <t>The book demonstrates that even in a brief prophetic work, God's supernatural acts can encompass the entire created order, showing His sovereignty over nations, nature, and human hearts.</t>
  </si>
  <si>
    <r>
      <t>Note:</t>
    </r>
    <r>
      <rPr>
        <sz val="11"/>
        <color theme="1"/>
        <rFont val="Calibri"/>
        <family val="2"/>
        <scheme val="minor"/>
      </rPr>
      <t xml:space="preserve"> Zephaniah contains extensive supernatural elements, primarily focused on God's cosmic judgment and miraculous restoration. Unlike some prophetic books that emphasize individual miracles, Zephaniah presents God's supernatural power on a global scale, affecting nations, languages, geography, and ultimately the entire created order. The book demonstrates God's sovereignty over history and His ability to accomplish both judgment and salvation through supernatural means.</t>
    </r>
  </si>
  <si>
    <r>
      <t>Emotional Intensity</t>
    </r>
    <r>
      <rPr>
        <sz val="11"/>
        <color theme="1"/>
        <rFont val="Calibri"/>
        <family val="2"/>
        <scheme val="minor"/>
      </rPr>
      <t>: From deepest despair to highest joy within three chapters</t>
    </r>
  </si>
  <si>
    <r>
      <t>Geographic Range</t>
    </r>
    <r>
      <rPr>
        <sz val="11"/>
        <color theme="1"/>
        <rFont val="Calibri"/>
        <family val="2"/>
        <scheme val="minor"/>
      </rPr>
      <t>: Mentions specific cities and nations from Ethiopia to Assyria</t>
    </r>
  </si>
  <si>
    <r>
      <t>Day of the Lord Emphasis</t>
    </r>
    <r>
      <rPr>
        <sz val="11"/>
        <color theme="1"/>
        <rFont val="Calibri"/>
        <family val="2"/>
        <scheme val="minor"/>
      </rPr>
      <t>: Most concentrated treatment of this theme in Scripture</t>
    </r>
  </si>
  <si>
    <r>
      <t>Shortest of the Minor Prophets with Universal Scope</t>
    </r>
    <r>
      <rPr>
        <sz val="11"/>
        <color theme="1"/>
        <rFont val="Calibri"/>
        <family val="2"/>
        <scheme val="minor"/>
      </rPr>
      <t>: Only 3 chapters but addresses entire world</t>
    </r>
  </si>
  <si>
    <t>Unique Features:</t>
  </si>
  <si>
    <r>
      <t>Prophetic Setting</t>
    </r>
    <r>
      <rPr>
        <sz val="11"/>
        <color theme="1"/>
        <rFont val="Calibri"/>
        <family val="2"/>
        <scheme val="minor"/>
      </rPr>
      <t>: Pre-exilic prophecy warning of coming Babylonian invasion</t>
    </r>
  </si>
  <si>
    <r>
      <t>Religious Condition</t>
    </r>
    <r>
      <rPr>
        <sz val="11"/>
        <color theme="1"/>
        <rFont val="Calibri"/>
        <family val="2"/>
        <scheme val="minor"/>
      </rPr>
      <t>: Period of religious reform under Josiah, but persistent idolatry</t>
    </r>
  </si>
  <si>
    <r>
      <t>Political Situation</t>
    </r>
    <r>
      <rPr>
        <sz val="11"/>
        <color theme="1"/>
        <rFont val="Calibri"/>
        <family val="2"/>
        <scheme val="minor"/>
      </rPr>
      <t>: Decline of Assyrian power, rise of Babylonian empire</t>
    </r>
  </si>
  <si>
    <r>
      <t>Time Period</t>
    </r>
    <r>
      <rPr>
        <sz val="11"/>
        <color theme="1"/>
        <rFont val="Calibri"/>
        <family val="2"/>
        <scheme val="minor"/>
      </rPr>
      <t>: c. 640-609 BC during King Josiah's reign in Judah</t>
    </r>
  </si>
  <si>
    <r>
      <t>Divine Warrior Imagery</t>
    </r>
    <r>
      <rPr>
        <sz val="11"/>
        <color theme="1"/>
        <rFont val="Calibri"/>
        <family val="2"/>
        <scheme val="minor"/>
      </rPr>
      <t>: God as mighty supernatural warrior bringing salvation</t>
    </r>
  </si>
  <si>
    <r>
      <t>National Transformations</t>
    </r>
    <r>
      <rPr>
        <sz val="11"/>
        <color theme="1"/>
        <rFont val="Calibri"/>
        <family val="2"/>
        <scheme val="minor"/>
      </rPr>
      <t>: Supernatural desolation and restoration of entire regions</t>
    </r>
  </si>
  <si>
    <r>
      <t>Language Transformation</t>
    </r>
    <r>
      <rPr>
        <sz val="11"/>
        <color theme="1"/>
        <rFont val="Calibri"/>
        <family val="2"/>
        <scheme val="minor"/>
      </rPr>
      <t>: Miraculous change of peoples' speech for worship</t>
    </r>
  </si>
  <si>
    <r>
      <t>Divine Omniscience</t>
    </r>
    <r>
      <rPr>
        <sz val="11"/>
        <color theme="1"/>
        <rFont val="Calibri"/>
        <family val="2"/>
        <scheme val="minor"/>
      </rPr>
      <t>: God's ability to search Jerusalem with supernatural insight</t>
    </r>
  </si>
  <si>
    <r>
      <t>Cosmic Disturbances</t>
    </r>
    <r>
      <rPr>
        <sz val="11"/>
        <color theme="1"/>
        <rFont val="Calibri"/>
        <family val="2"/>
        <scheme val="minor"/>
      </rPr>
      <t>: Supernatural darkening of sun, moon, and stars</t>
    </r>
  </si>
  <si>
    <r>
      <t>Global Catastrophic Judgment</t>
    </r>
    <r>
      <rPr>
        <sz val="11"/>
        <color theme="1"/>
        <rFont val="Calibri"/>
        <family val="2"/>
        <scheme val="minor"/>
      </rPr>
      <t>: God's power to destroy all life on earth</t>
    </r>
  </si>
  <si>
    <r>
      <t>Cosmic Scope</t>
    </r>
    <r>
      <rPr>
        <sz val="11"/>
        <color theme="1"/>
        <rFont val="Calibri"/>
        <family val="2"/>
        <scheme val="minor"/>
      </rPr>
      <t>: Both universal destruction and universal restoration themes</t>
    </r>
  </si>
  <si>
    <r>
      <t>Prophetic Reversals</t>
    </r>
    <r>
      <rPr>
        <sz val="11"/>
        <color theme="1"/>
        <rFont val="Calibri"/>
        <family val="2"/>
        <scheme val="minor"/>
      </rPr>
      <t>: Movement from judgment to salvation, despair to hope</t>
    </r>
  </si>
  <si>
    <r>
      <t>Judgment Oracles</t>
    </r>
    <r>
      <rPr>
        <sz val="11"/>
        <color theme="1"/>
        <rFont val="Calibri"/>
        <family val="2"/>
        <scheme val="minor"/>
      </rPr>
      <t>: Systematic pronouncement of doom against various nations</t>
    </r>
  </si>
  <si>
    <r>
      <t>Apocalyptic Language</t>
    </r>
    <r>
      <rPr>
        <sz val="11"/>
        <color theme="1"/>
        <rFont val="Calibri"/>
        <family val="2"/>
        <scheme val="minor"/>
      </rPr>
      <t>: Vivid descriptions of cosmic disturbances and global catastrophe</t>
    </r>
  </si>
  <si>
    <r>
      <t>Global Restoration</t>
    </r>
    <r>
      <rPr>
        <sz val="11"/>
        <color theme="1"/>
        <rFont val="Calibri"/>
        <family val="2"/>
        <scheme val="minor"/>
      </rPr>
      <t>: Ultimate vision of worldwide worship and peace</t>
    </r>
  </si>
  <si>
    <r>
      <t>Remnant Theology</t>
    </r>
    <r>
      <rPr>
        <sz val="11"/>
        <color theme="1"/>
        <rFont val="Calibri"/>
        <family val="2"/>
        <scheme val="minor"/>
      </rPr>
      <t>: Promise of a purified, humble remnant after judgment</t>
    </r>
  </si>
  <si>
    <r>
      <t>Divine Wrath and Mercy</t>
    </r>
    <r>
      <rPr>
        <sz val="11"/>
        <color theme="1"/>
        <rFont val="Calibri"/>
        <family val="2"/>
        <scheme val="minor"/>
      </rPr>
      <t>: Balance between God's righteous anger and faithful love</t>
    </r>
  </si>
  <si>
    <r>
      <t>Universal Judgment</t>
    </r>
    <r>
      <rPr>
        <sz val="11"/>
        <color theme="1"/>
        <rFont val="Calibri"/>
        <family val="2"/>
        <scheme val="minor"/>
      </rPr>
      <t>: God's wrath extends to all nations, not just Israel</t>
    </r>
  </si>
  <si>
    <r>
      <t>The Day of the Lord</t>
    </r>
    <r>
      <rPr>
        <sz val="11"/>
        <color theme="1"/>
        <rFont val="Calibri"/>
        <family val="2"/>
        <scheme val="minor"/>
      </rPr>
      <t>: Central focus on God's approaching judgment day</t>
    </r>
  </si>
  <si>
    <t>Key Characteristics of the Book of Zephaniah</t>
  </si>
  <si>
    <t>Haggai:</t>
  </si>
  <si>
    <t>Zephaniah 3:20</t>
  </si>
  <si>
    <t>God promises to restore Israel's fortunes before their eyes</t>
  </si>
  <si>
    <t>Zephaniah 3:18-20</t>
  </si>
  <si>
    <t>God promises to gather the afflicted and change their shame to praise</t>
  </si>
  <si>
    <t>Zephaniah 3:17</t>
  </si>
  <si>
    <t>God promises to be a mighty warrior who saves and delights in His people</t>
  </si>
  <si>
    <t>Zephaniah 3:14-17</t>
  </si>
  <si>
    <t>God calls for rejoicing because He will save and restore His people</t>
  </si>
  <si>
    <t>c. 640-609 BC</t>
  </si>
  <si>
    <t>Zephaniah 3:11-13</t>
  </si>
  <si>
    <t>God promises to remove the proud and leave a humble remnant</t>
  </si>
  <si>
    <t>Global diaspora</t>
  </si>
  <si>
    <t>Zephaniah 3:10</t>
  </si>
  <si>
    <t>God promises to gather His scattered people from beyond Ethiopia</t>
  </si>
  <si>
    <t>Zephaniah 3:9</t>
  </si>
  <si>
    <t>God promises to give peoples pure speech to call upon His name</t>
  </si>
  <si>
    <t>Zephaniah 3:8</t>
  </si>
  <si>
    <t>God promises to gather nations and kingdoms to pour out His indignation</t>
  </si>
  <si>
    <t>Zephaniah 3:1-8</t>
  </si>
  <si>
    <t>God declares His wrath against rebellious Jerusalem</t>
  </si>
  <si>
    <t>Nineveh/Assyria</t>
  </si>
  <si>
    <t>Zephaniah 2:13</t>
  </si>
  <si>
    <t>God promises to make Nineveh a desolation and dry wasteland</t>
  </si>
  <si>
    <t>Ethiopia/Assyria</t>
  </si>
  <si>
    <t>Zephaniah 2:12-15</t>
  </si>
  <si>
    <t>God declares judgment against Ethiopia and Assyria</t>
  </si>
  <si>
    <t>Zephaniah 2:11</t>
  </si>
  <si>
    <t>God promises that nations will worship Him from distant shores</t>
  </si>
  <si>
    <t>Moab/Ammon</t>
  </si>
  <si>
    <t>Zephaniah 2:8-11</t>
  </si>
  <si>
    <t>God declares judgment against Moab and Ammon with total destruction</t>
  </si>
  <si>
    <t>Philistine coast</t>
  </si>
  <si>
    <t>Zephaniah 2:6</t>
  </si>
  <si>
    <t>God promises to make the Philistine coast a place for shepherds and flocks</t>
  </si>
  <si>
    <t>Zephaniah 2:4-7</t>
  </si>
  <si>
    <t>God declares judgment against Gaza, Ashkelon, Ashdod, and Ekron</t>
  </si>
  <si>
    <t>Zephaniah 2:1-3</t>
  </si>
  <si>
    <t>God calls for repentance before His fierce anger comes</t>
  </si>
  <si>
    <t>Zephaniah 1:14-18</t>
  </si>
  <si>
    <t>God describes the great Day of the Lord with supernatural cosmic disturbances</t>
  </si>
  <si>
    <t>Zephaniah 1:12</t>
  </si>
  <si>
    <t>God promises to search Jerusalem with lamps to find and punish the complacent</t>
  </si>
  <si>
    <t>Zephaniah 1:7-8</t>
  </si>
  <si>
    <t>God declares He has prepared a sacrifice and consecrated His guests for judgment</t>
  </si>
  <si>
    <t>Zephaniah 1:7</t>
  </si>
  <si>
    <t>God commands silence before the Lord because the day of judgment is near</t>
  </si>
  <si>
    <t>Zephaniah 1:4-6</t>
  </si>
  <si>
    <t>God promises to cut off remnant of Baal worship and idolatrous priests</t>
  </si>
  <si>
    <t>Global/Earth</t>
  </si>
  <si>
    <t>Zephaniah 1:2-3</t>
  </si>
  <si>
    <t>God declares He will utterly consume all things from the face of the earth</t>
  </si>
  <si>
    <t>Zephaniah</t>
  </si>
  <si>
    <t>Zephaniah 1:1</t>
  </si>
  <si>
    <t>God reveals His word to Zephaniah during Josiah's reign</t>
  </si>
  <si>
    <t>a comprehensive table for the Book of Haggai, ordered by scripture reference in ascending order. Haggai is a much shorter book than Hosea (only 2 chapters), but it's remarkably rich in divine communications and supernatural elements.</t>
  </si>
  <si>
    <t>Key features of Haggai's supernatural content:</t>
  </si>
  <si>
    <r>
      <t>1. Precise Divine Timing</t>
    </r>
    <r>
      <rPr>
        <sz val="11"/>
        <color theme="1"/>
        <rFont val="Calibri"/>
        <family val="2"/>
        <scheme val="minor"/>
      </rPr>
      <t>: The book contains four precisely dated prophecies, showing God's perfect timing in addressing the people's spiritual condition.</t>
    </r>
  </si>
  <si>
    <r>
      <t>2. Economic Supernatural Control</t>
    </r>
    <r>
      <rPr>
        <sz val="11"/>
        <color theme="1"/>
        <rFont val="Calibri"/>
        <family val="2"/>
        <scheme val="minor"/>
      </rPr>
      <t>: God directly controls weather patterns, crop yields, and economic conditions to motivate temple rebuilding.</t>
    </r>
  </si>
  <si>
    <r>
      <t>3. Spiritual Heart Transformation</t>
    </r>
    <r>
      <rPr>
        <sz val="11"/>
        <color theme="1"/>
        <rFont val="Calibri"/>
        <family val="2"/>
        <scheme val="minor"/>
      </rPr>
      <t>: God supernaturally stirs the spirits of leaders and people to motivate them for the work (Haggai 1:14).</t>
    </r>
  </si>
  <si>
    <r>
      <t>4. Cosmic Intervention Promises</t>
    </r>
    <r>
      <rPr>
        <sz val="11"/>
        <color theme="1"/>
        <rFont val="Calibri"/>
        <family val="2"/>
        <scheme val="minor"/>
      </rPr>
      <t>: God promises to shake heaven, earth, sea, and all nations - indicating massive supernatural intervention in the future.</t>
    </r>
  </si>
  <si>
    <r>
      <t>5. Messianic Significance</t>
    </r>
    <r>
      <rPr>
        <sz val="11"/>
        <color theme="1"/>
        <rFont val="Calibri"/>
        <family val="2"/>
        <scheme val="minor"/>
      </rPr>
      <t>: The promise about Zerubbabel as God's signet ring has supernatural/prophetic implications for the Messianic line.</t>
    </r>
  </si>
  <si>
    <t>The book demonstrates how God uses both natural consequences (economic hardship) and supernatural intervention (stirring hearts, promising future glory) to accomplish His purposes. It's a powerful example of God's sovereignty over both immediate circumstances and ultimate cosmic destiny.</t>
  </si>
  <si>
    <r>
      <t>Note:</t>
    </r>
    <r>
      <rPr>
        <sz val="11"/>
        <color theme="1"/>
        <rFont val="Calibri"/>
        <family val="2"/>
        <scheme val="minor"/>
      </rPr>
      <t xml:space="preserve"> Haggai is remarkable for its precise historical dating and immediate practical application. The supernatural elements include God's direct control over economic conditions, His ability to stir human hearts, and His promises of future cosmic intervention. The book demonstrates God's power to use material circumstances to accomplish spiritual purposes and His faithfulness to fulfill both immediate and long-term promises.</t>
    </r>
  </si>
  <si>
    <r>
      <t>Universal Scope</t>
    </r>
    <r>
      <rPr>
        <sz val="11"/>
        <color theme="1"/>
        <rFont val="Calibri"/>
        <family val="2"/>
        <scheme val="minor"/>
      </rPr>
      <t>: All nations involved in God's future plans</t>
    </r>
  </si>
  <si>
    <r>
      <t>Covenant Faithfulness</t>
    </r>
    <r>
      <rPr>
        <sz val="11"/>
        <color theme="1"/>
        <rFont val="Calibri"/>
        <family val="2"/>
        <scheme val="minor"/>
      </rPr>
      <t>: God's promises to David's line through Zerubbabel</t>
    </r>
  </si>
  <si>
    <r>
      <t>Eschatological Vision</t>
    </r>
    <r>
      <rPr>
        <sz val="11"/>
        <color theme="1"/>
        <rFont val="Calibri"/>
        <family val="2"/>
        <scheme val="minor"/>
      </rPr>
      <t>: Future shaking of nations and Messianic kingdom</t>
    </r>
  </si>
  <si>
    <r>
      <t>Immediate Fulfillment</t>
    </r>
    <r>
      <rPr>
        <sz val="11"/>
        <color theme="1"/>
        <rFont val="Calibri"/>
        <family val="2"/>
        <scheme val="minor"/>
      </rPr>
      <t>: Temple completed in 516 BC</t>
    </r>
  </si>
  <si>
    <r>
      <t>Key Figures</t>
    </r>
    <r>
      <rPr>
        <sz val="11"/>
        <color theme="1"/>
        <rFont val="Calibri"/>
        <family val="2"/>
        <scheme val="minor"/>
      </rPr>
      <t>: Zerubbabel (governor), Joshua (high priest), Haggai (prophet)</t>
    </r>
  </si>
  <si>
    <r>
      <t>Religious Condition</t>
    </r>
    <r>
      <rPr>
        <sz val="11"/>
        <color theme="1"/>
        <rFont val="Calibri"/>
        <family val="2"/>
        <scheme val="minor"/>
      </rPr>
      <t>: Temple work had ceased for 16 years due to opposition and apathy</t>
    </r>
  </si>
  <si>
    <r>
      <t>Political Situation</t>
    </r>
    <r>
      <rPr>
        <sz val="11"/>
        <color theme="1"/>
        <rFont val="Calibri"/>
        <family val="2"/>
        <scheme val="minor"/>
      </rPr>
      <t>: Persian rule allowing Jewish temple reconstruction</t>
    </r>
  </si>
  <si>
    <r>
      <t>Post-Exilic Setting</t>
    </r>
    <r>
      <rPr>
        <sz val="11"/>
        <color theme="1"/>
        <rFont val="Calibri"/>
        <family val="2"/>
        <scheme val="minor"/>
      </rPr>
      <t>: Jewish returnees from Babylonian captivity</t>
    </r>
  </si>
  <si>
    <r>
      <t>Time Period</t>
    </r>
    <r>
      <rPr>
        <sz val="11"/>
        <color theme="1"/>
        <rFont val="Calibri"/>
        <family val="2"/>
        <scheme val="minor"/>
      </rPr>
      <t>: 520 BC, second year of King Darius of Persia</t>
    </r>
  </si>
  <si>
    <r>
      <t>Divine Presence</t>
    </r>
    <r>
      <rPr>
        <sz val="11"/>
        <color theme="1"/>
        <rFont val="Calibri"/>
        <family val="2"/>
        <scheme val="minor"/>
      </rPr>
      <t>: God's Spirit remaining among His people</t>
    </r>
  </si>
  <si>
    <r>
      <t>Future Supernatural Glory</t>
    </r>
    <r>
      <rPr>
        <sz val="11"/>
        <color theme="1"/>
        <rFont val="Calibri"/>
        <family val="2"/>
        <scheme val="minor"/>
      </rPr>
      <t>: The temple's coming glory will exceed Solomon's temple</t>
    </r>
  </si>
  <si>
    <r>
      <t>Cosmic Intervention</t>
    </r>
    <r>
      <rPr>
        <sz val="11"/>
        <color theme="1"/>
        <rFont val="Calibri"/>
        <family val="2"/>
        <scheme val="minor"/>
      </rPr>
      <t>: Promises to shake heaven, earth, and nations</t>
    </r>
  </si>
  <si>
    <r>
      <t>Spiritual Stirring</t>
    </r>
    <r>
      <rPr>
        <sz val="11"/>
        <color theme="1"/>
        <rFont val="Calibri"/>
        <family val="2"/>
        <scheme val="minor"/>
      </rPr>
      <t>: Divine intervention in human hearts and motivation</t>
    </r>
  </si>
  <si>
    <r>
      <t>Control over Natural Forces</t>
    </r>
    <r>
      <rPr>
        <sz val="11"/>
        <color theme="1"/>
        <rFont val="Calibri"/>
        <family val="2"/>
        <scheme val="minor"/>
      </rPr>
      <t>: God's power over rain, crops, and weather</t>
    </r>
  </si>
  <si>
    <r>
      <t>Direct Divine Communication</t>
    </r>
    <r>
      <rPr>
        <sz val="11"/>
        <color theme="1"/>
        <rFont val="Calibri"/>
        <family val="2"/>
        <scheme val="minor"/>
      </rPr>
      <t>: "The word of the LORD came" appears repeatedly</t>
    </r>
  </si>
  <si>
    <r>
      <t>Prophetic Encouragement</t>
    </r>
    <r>
      <rPr>
        <sz val="11"/>
        <color theme="1"/>
        <rFont val="Calibri"/>
        <family val="2"/>
        <scheme val="minor"/>
      </rPr>
      <t>: Balances rebuke with hope and promise</t>
    </r>
  </si>
  <si>
    <r>
      <t>Cause-and-Effect Teaching</t>
    </r>
    <r>
      <rPr>
        <sz val="11"/>
        <color theme="1"/>
        <rFont val="Calibri"/>
        <family val="2"/>
        <scheme val="minor"/>
      </rPr>
      <t>: Clear connections between obedience and blessing</t>
    </r>
  </si>
  <si>
    <r>
      <t>Question-Answer Format</t>
    </r>
    <r>
      <rPr>
        <sz val="11"/>
        <color theme="1"/>
        <rFont val="Calibri"/>
        <family val="2"/>
        <scheme val="minor"/>
      </rPr>
      <t>: God poses questions to provoke self-examination</t>
    </r>
  </si>
  <si>
    <r>
      <t>Precise Dating</t>
    </r>
    <r>
      <rPr>
        <sz val="11"/>
        <color theme="1"/>
        <rFont val="Calibri"/>
        <family val="2"/>
        <scheme val="minor"/>
      </rPr>
      <t>: Most precisely dated book in the Old Testament (four specific dates)</t>
    </r>
  </si>
  <si>
    <r>
      <t>Messianic Hope</t>
    </r>
    <r>
      <rPr>
        <sz val="11"/>
        <color theme="1"/>
        <rFont val="Calibri"/>
        <family val="2"/>
        <scheme val="minor"/>
      </rPr>
      <t>: Zerubbabel as a type of the coming Messiah</t>
    </r>
  </si>
  <si>
    <r>
      <t>Future Glory</t>
    </r>
    <r>
      <rPr>
        <sz val="11"/>
        <color theme="1"/>
        <rFont val="Calibri"/>
        <family val="2"/>
        <scheme val="minor"/>
      </rPr>
      <t>: Promises of greater glory for the second temple</t>
    </r>
  </si>
  <si>
    <r>
      <t>Economic Consequences</t>
    </r>
    <r>
      <rPr>
        <sz val="11"/>
        <color theme="1"/>
        <rFont val="Calibri"/>
        <family val="2"/>
        <scheme val="minor"/>
      </rPr>
      <t>: Links material hardship to spiritual neglect</t>
    </r>
  </si>
  <si>
    <r>
      <t>Divine Priorities</t>
    </r>
    <r>
      <rPr>
        <sz val="11"/>
        <color theme="1"/>
        <rFont val="Calibri"/>
        <family val="2"/>
        <scheme val="minor"/>
      </rPr>
      <t>: Emphasizes putting God's house before personal comfort</t>
    </r>
  </si>
  <si>
    <r>
      <t>Temple Reconstruction</t>
    </r>
    <r>
      <rPr>
        <sz val="11"/>
        <color theme="1"/>
        <rFont val="Calibri"/>
        <family val="2"/>
        <scheme val="minor"/>
      </rPr>
      <t>: Central focus on rebuilding God's house after the exile</t>
    </r>
  </si>
  <si>
    <t>Key Characteristics of the Book of Haggai</t>
  </si>
  <si>
    <t>Zechariah</t>
  </si>
  <si>
    <t>Haggai</t>
  </si>
  <si>
    <t>December 18, 520 BC</t>
  </si>
  <si>
    <t>Jerusalem, Judah</t>
  </si>
  <si>
    <t>Haggai 2:23</t>
  </si>
  <si>
    <t>God promises to make Zerubbabel like His signet ring</t>
  </si>
  <si>
    <t>Haggai 2:20-22</t>
  </si>
  <si>
    <t>God promises to shake heaven and earth and overthrow kingdoms</t>
  </si>
  <si>
    <t>Haggai 2:19</t>
  </si>
  <si>
    <t>God promises to bless the vine, fig tree, pomegranate, and olive tree</t>
  </si>
  <si>
    <t>Haggai 2:15-19</t>
  </si>
  <si>
    <t>God promises blessing from this day forward after temple foundation is laid</t>
  </si>
  <si>
    <t>Haggai 2:10-14</t>
  </si>
  <si>
    <t>God speaks about ceremonial uncleanness and its spiritual application</t>
  </si>
  <si>
    <t>October 17, 520 BC</t>
  </si>
  <si>
    <t>Haggai 2:9</t>
  </si>
  <si>
    <t>God promises to give peace in the temple</t>
  </si>
  <si>
    <t>God promises the latter glory of the temple will exceed the former</t>
  </si>
  <si>
    <t>Haggai 2:8</t>
  </si>
  <si>
    <t>God declares the silver and gold of all nations belongs to Him</t>
  </si>
  <si>
    <t>Haggai 2:6-7</t>
  </si>
  <si>
    <t>God promises to shake heaven, earth, sea, and all nations</t>
  </si>
  <si>
    <t>Haggai 2:4-5</t>
  </si>
  <si>
    <t>God promises to be with them and His Spirit remains among them</t>
  </si>
  <si>
    <t>Haggai 2:1-3</t>
  </si>
  <si>
    <t>God speaks encouragement about the temple's future glory</t>
  </si>
  <si>
    <t>September 21, 520 BC</t>
  </si>
  <si>
    <t>Haggai 1:13</t>
  </si>
  <si>
    <t>God promises His presence with the people in the rebuilding work</t>
  </si>
  <si>
    <t>Haggai 1:14</t>
  </si>
  <si>
    <t>God stirs up the spirit of Zerubbabel, Joshua, and the people to work</t>
  </si>
  <si>
    <t>August 29, 520 BC</t>
  </si>
  <si>
    <t>Haggai 1:9-11</t>
  </si>
  <si>
    <t>God explains His withholding of rain and blessing due to neglect of His house</t>
  </si>
  <si>
    <t>Haggai 1:7-8</t>
  </si>
  <si>
    <t>God commands the people to consider their ways and rebuild His house</t>
  </si>
  <si>
    <t>Haggai 1:3-6</t>
  </si>
  <si>
    <t>God reveals why the people are experiencing economic hardship</t>
  </si>
  <si>
    <t>Haggai 1:1-2</t>
  </si>
  <si>
    <t>God speaks through Haggai calling people to rebuild the temple</t>
  </si>
  <si>
    <t>Zechariah:</t>
  </si>
  <si>
    <t>a comprehensive table for the Book of Zechariah, ordered by scripture reference in ascending order. Zechariah is remarkably rich in supernatural content compared to Hosea, featuring:</t>
  </si>
  <si>
    <t>Key Supernatural Elements:</t>
  </si>
  <si>
    <r>
      <t>Eight Night Visions</t>
    </r>
    <r>
      <rPr>
        <sz val="11"/>
        <color theme="1"/>
        <rFont val="Calibri"/>
        <family val="2"/>
        <scheme val="minor"/>
      </rPr>
      <t xml:space="preserve"> (Chapters 1-6): Detailed apocalyptic visions with angelic interpreters</t>
    </r>
  </si>
  <si>
    <r>
      <t>Divine Theophanies</t>
    </r>
    <r>
      <rPr>
        <sz val="11"/>
        <color theme="1"/>
        <rFont val="Calibri"/>
        <family val="2"/>
        <scheme val="minor"/>
      </rPr>
      <t>: Appearances of the Angel of the LORD</t>
    </r>
  </si>
  <si>
    <r>
      <t>Messianic Prophecies</t>
    </r>
    <r>
      <rPr>
        <sz val="11"/>
        <color theme="1"/>
        <rFont val="Calibri"/>
        <family val="2"/>
        <scheme val="minor"/>
      </rPr>
      <t>: Supernatural revelations about Christ's first and second comings</t>
    </r>
  </si>
  <si>
    <r>
      <t>Eschatological Miracles</t>
    </r>
    <r>
      <rPr>
        <sz val="11"/>
        <color theme="1"/>
        <rFont val="Calibri"/>
        <family val="2"/>
        <scheme val="minor"/>
      </rPr>
      <t>: Future supernatural interventions including physical transformation of geography</t>
    </r>
  </si>
  <si>
    <r>
      <t>Angelic Interactions</t>
    </r>
    <r>
      <rPr>
        <sz val="11"/>
        <color theme="1"/>
        <rFont val="Calibri"/>
        <family val="2"/>
        <scheme val="minor"/>
      </rPr>
      <t>: Extensive communication with supernatural beings</t>
    </r>
  </si>
  <si>
    <t>Notable Differences from Hosea:</t>
  </si>
  <si>
    <t>Much more apocalyptic and visionary in nature</t>
  </si>
  <si>
    <t>Contains specific Messianic prophecies that were literally fulfilled</t>
  </si>
  <si>
    <t>Includes detailed end-times prophecy with supernatural global events</t>
  </si>
  <si>
    <t>Features more direct supernatural manifestations and angelic encounters</t>
  </si>
  <si>
    <t>The book serves as a bridge between the immediate post-exilic concerns of temple rebuilding and the ultimate eschatological hope of God's kingdom, demonstrating His supernatural power across all of history from the prophet's time to the end of the age.</t>
  </si>
  <si>
    <r>
      <t>Note:</t>
    </r>
    <r>
      <rPr>
        <sz val="11"/>
        <color theme="1"/>
        <rFont val="Calibri"/>
        <family val="2"/>
        <scheme val="minor"/>
      </rPr>
      <t xml:space="preserve"> Zechariah is one of the most supernaturally rich books in the Old Testament, featuring extensive angelic visions, detailed Messianic prophecies, and comprehensive eschatological revelations. The book bridges the gap between post-exilic restoration and ultimate future hope, demonstrating God's supernatural power in both present restoration and future consummation of His kingdom.</t>
    </r>
  </si>
  <si>
    <r>
      <t>Cleansing Ministry</t>
    </r>
    <r>
      <rPr>
        <sz val="11"/>
        <color theme="1"/>
        <rFont val="Calibri"/>
        <family val="2"/>
        <scheme val="minor"/>
      </rPr>
      <t>: Fountain for sin and uncleanness (13:1)</t>
    </r>
  </si>
  <si>
    <r>
      <t>Second Coming</t>
    </r>
    <r>
      <rPr>
        <sz val="11"/>
        <color theme="1"/>
        <rFont val="Calibri"/>
        <family val="2"/>
        <scheme val="minor"/>
      </rPr>
      <t>: Coming King who will reign over all earth (14:9)</t>
    </r>
  </si>
  <si>
    <r>
      <t>Struck Shepherd</t>
    </r>
    <r>
      <rPr>
        <sz val="11"/>
        <color theme="1"/>
        <rFont val="Calibri"/>
        <family val="2"/>
        <scheme val="minor"/>
      </rPr>
      <t>: Prophecy of Messiah's death and disciples' scattering (13:7)</t>
    </r>
  </si>
  <si>
    <r>
      <t>Suffering Servant</t>
    </r>
    <r>
      <rPr>
        <sz val="11"/>
        <color theme="1"/>
        <rFont val="Calibri"/>
        <family val="2"/>
        <scheme val="minor"/>
      </rPr>
      <t>: Pierced one whom they will mourn (12:10)</t>
    </r>
  </si>
  <si>
    <r>
      <t>First Coming</t>
    </r>
    <r>
      <rPr>
        <sz val="11"/>
        <color theme="1"/>
        <rFont val="Calibri"/>
        <family val="2"/>
        <scheme val="minor"/>
      </rPr>
      <t>: Prophecy of humble king on donkey (9:9)</t>
    </r>
  </si>
  <si>
    <t>Messianic Significance:</t>
  </si>
  <si>
    <r>
      <t>Audience</t>
    </r>
    <r>
      <rPr>
        <sz val="11"/>
        <color theme="1"/>
        <rFont val="Calibri"/>
        <family val="2"/>
        <scheme val="minor"/>
      </rPr>
      <t>: Returned Jewish exiles in Jerusalem and Judah</t>
    </r>
  </si>
  <si>
    <r>
      <t>Persian Rule</t>
    </r>
    <r>
      <rPr>
        <sz val="11"/>
        <color theme="1"/>
        <rFont val="Calibri"/>
        <family val="2"/>
        <scheme val="minor"/>
      </rPr>
      <t>: Under the reign of Darius I</t>
    </r>
  </si>
  <si>
    <r>
      <t>Temple Rebuilding</t>
    </r>
    <r>
      <rPr>
        <sz val="11"/>
        <color theme="1"/>
        <rFont val="Calibri"/>
        <family val="2"/>
        <scheme val="minor"/>
      </rPr>
      <t>: Contemporary with Haggai, encouraging temple reconstruction</t>
    </r>
  </si>
  <si>
    <r>
      <t>Post-Exilic Period</t>
    </r>
    <r>
      <rPr>
        <sz val="11"/>
        <color theme="1"/>
        <rFont val="Calibri"/>
        <family val="2"/>
        <scheme val="minor"/>
      </rPr>
      <t>: Written after return from Babylonian captivity</t>
    </r>
  </si>
  <si>
    <r>
      <t>Time Period</t>
    </r>
    <r>
      <rPr>
        <sz val="11"/>
        <color theme="1"/>
        <rFont val="Calibri"/>
        <family val="2"/>
        <scheme val="minor"/>
      </rPr>
      <t>: c. 520-518 BC (Part 1), possibly later for Part 2</t>
    </r>
  </si>
  <si>
    <r>
      <t>Physical Transformation</t>
    </r>
    <r>
      <rPr>
        <sz val="11"/>
        <color theme="1"/>
        <rFont val="Calibri"/>
        <family val="2"/>
        <scheme val="minor"/>
      </rPr>
      <t>: Prophecies of literal geographical changes</t>
    </r>
  </si>
  <si>
    <r>
      <t>Eschatological Miracles</t>
    </r>
    <r>
      <rPr>
        <sz val="11"/>
        <color theme="1"/>
        <rFont val="Calibri"/>
        <family val="2"/>
        <scheme val="minor"/>
      </rPr>
      <t>: Future supernatural interventions in history</t>
    </r>
  </si>
  <si>
    <r>
      <t>Miraculous Restoration</t>
    </r>
    <r>
      <rPr>
        <sz val="11"/>
        <color theme="1"/>
        <rFont val="Calibri"/>
        <family val="2"/>
        <scheme val="minor"/>
      </rPr>
      <t>: God's supernatural work in rebuilding and blessing</t>
    </r>
  </si>
  <si>
    <r>
      <t>Prophetic Visions</t>
    </r>
    <r>
      <rPr>
        <sz val="11"/>
        <color theme="1"/>
        <rFont val="Calibri"/>
        <family val="2"/>
        <scheme val="minor"/>
      </rPr>
      <t>: Supernatural revelation of future events</t>
    </r>
  </si>
  <si>
    <r>
      <t>Angelic Visions</t>
    </r>
    <r>
      <rPr>
        <sz val="11"/>
        <color theme="1"/>
        <rFont val="Calibri"/>
        <family val="2"/>
        <scheme val="minor"/>
      </rPr>
      <t>: Extensive interaction with angels and supernatural beings</t>
    </r>
  </si>
  <si>
    <r>
      <t>Dual Structure</t>
    </r>
    <r>
      <rPr>
        <sz val="11"/>
        <color theme="1"/>
        <rFont val="Calibri"/>
        <family val="2"/>
        <scheme val="minor"/>
      </rPr>
      <t>: Part 1 (chapters 1-8) focuses on restoration; Part 2 (chapters 9-14) on future hope</t>
    </r>
  </si>
  <si>
    <r>
      <t>Eschatological Focus</t>
    </r>
    <r>
      <rPr>
        <sz val="11"/>
        <color theme="1"/>
        <rFont val="Calibri"/>
        <family val="2"/>
        <scheme val="minor"/>
      </rPr>
      <t>: Extensive end-times prophecy in chapters 9-14</t>
    </r>
  </si>
  <si>
    <r>
      <t>Messianic Prophecies</t>
    </r>
    <r>
      <rPr>
        <sz val="11"/>
        <color theme="1"/>
        <rFont val="Calibri"/>
        <family val="2"/>
        <scheme val="minor"/>
      </rPr>
      <t>: Detailed predictions about Christ's first and second comings</t>
    </r>
  </si>
  <si>
    <r>
      <t>Symbolic Actions</t>
    </r>
    <r>
      <rPr>
        <sz val="11"/>
        <color theme="1"/>
        <rFont val="Calibri"/>
        <family val="2"/>
        <scheme val="minor"/>
      </rPr>
      <t>: Prophetic signs and ceremonial acts</t>
    </r>
  </si>
  <si>
    <r>
      <t>Apocalyptic Visions</t>
    </r>
    <r>
      <rPr>
        <sz val="11"/>
        <color theme="1"/>
        <rFont val="Calibri"/>
        <family val="2"/>
        <scheme val="minor"/>
      </rPr>
      <t>: Eight night visions in chapters 1-6 with angelic interpretation</t>
    </r>
  </si>
  <si>
    <r>
      <t>Spiritual Cleansing</t>
    </r>
    <r>
      <rPr>
        <sz val="11"/>
        <color theme="1"/>
        <rFont val="Calibri"/>
        <family val="2"/>
        <scheme val="minor"/>
      </rPr>
      <t>: Emphasis on purification and holiness</t>
    </r>
  </si>
  <si>
    <r>
      <t>Eschatological Vision</t>
    </r>
    <r>
      <rPr>
        <sz val="11"/>
        <color theme="1"/>
        <rFont val="Calibri"/>
        <family val="2"/>
        <scheme val="minor"/>
      </rPr>
      <t>: Detailed prophecies about the end times and God's final kingdom</t>
    </r>
  </si>
  <si>
    <r>
      <t>Divine Sovereignty</t>
    </r>
    <r>
      <rPr>
        <sz val="11"/>
        <color theme="1"/>
        <rFont val="Calibri"/>
        <family val="2"/>
        <scheme val="minor"/>
      </rPr>
      <t>: God's control over history and nations</t>
    </r>
  </si>
  <si>
    <r>
      <t>Messianic Hope</t>
    </r>
    <r>
      <rPr>
        <sz val="11"/>
        <color theme="1"/>
        <rFont val="Calibri"/>
        <family val="2"/>
        <scheme val="minor"/>
      </rPr>
      <t>: Rich prophecies about the coming Messiah and His kingdom</t>
    </r>
  </si>
  <si>
    <r>
      <t>Restoration and Rebuilding</t>
    </r>
    <r>
      <rPr>
        <sz val="11"/>
        <color theme="1"/>
        <rFont val="Calibri"/>
        <family val="2"/>
        <scheme val="minor"/>
      </rPr>
      <t>: Focus on rebuilding the temple and restoration of Jerusalem</t>
    </r>
  </si>
  <si>
    <t>Key Characteristics of the Book of Zechariah</t>
  </si>
  <si>
    <t>Malachi:</t>
  </si>
  <si>
    <t>Zechariah 14:9</t>
  </si>
  <si>
    <t>God becomes King over all the earth</t>
  </si>
  <si>
    <t>Zechariah 14:12-15</t>
  </si>
  <si>
    <t>Supernatural plague on nations that fight against Jerusalem</t>
  </si>
  <si>
    <t>Zechariah 14:4</t>
  </si>
  <si>
    <t>God's feet standing on Mount of Olives, splitting the mountain</t>
  </si>
  <si>
    <t>Zechariah 14:1-21</t>
  </si>
  <si>
    <t>Prophecy of the Day of the LORD - divine intervention in history</t>
  </si>
  <si>
    <t>Zechariah 13:9</t>
  </si>
  <si>
    <t>God promises to refine remnant like silver and gold</t>
  </si>
  <si>
    <t>Zechariah 13:7</t>
  </si>
  <si>
    <t>Prophecy of striking the Shepherd and scattering the sheep</t>
  </si>
  <si>
    <t>Zechariah 13:2</t>
  </si>
  <si>
    <t>God promises to cut off idols and false prophets from the land</t>
  </si>
  <si>
    <t>Zechariah 13:1</t>
  </si>
  <si>
    <t>God promises cleansing fountain for sin and uncleanness</t>
  </si>
  <si>
    <t>Zechariah 12:10</t>
  </si>
  <si>
    <t>God promises to pour out spirit of grace and supplication</t>
  </si>
  <si>
    <t>Zechariah 12:9</t>
  </si>
  <si>
    <t>God promises to destroy nations that attack Jerusalem</t>
  </si>
  <si>
    <t>Zechariah 12:2-3</t>
  </si>
  <si>
    <t>God declares He will make Jerusalem a cup of trembling to nations</t>
  </si>
  <si>
    <t>c. 518 BC</t>
  </si>
  <si>
    <t>Zechariah 11:1-17</t>
  </si>
  <si>
    <t>Prophecy of shepherds and flock - divine judgment and protection</t>
  </si>
  <si>
    <t>Various nations</t>
  </si>
  <si>
    <t>Zechariah 10:8-12</t>
  </si>
  <si>
    <t>God promises to gather His people from all nations</t>
  </si>
  <si>
    <t>Zechariah 10:1</t>
  </si>
  <si>
    <t>God promises to bring rain in season and give prosperity</t>
  </si>
  <si>
    <t>Zechariah 9:11-17</t>
  </si>
  <si>
    <t>God promises to free prisoners and restore double blessing</t>
  </si>
  <si>
    <t>Zechariah 9:9-10</t>
  </si>
  <si>
    <t>Messianic prophecy - King coming on donkey, bringing peace</t>
  </si>
  <si>
    <t>Zechariah 9:1-8</t>
  </si>
  <si>
    <t>Prophecy against surrounding nations - divine judgment</t>
  </si>
  <si>
    <t>Zechariah 8:4-23</t>
  </si>
  <si>
    <t>God promises miraculous restoration and blessing of Jerusalem</t>
  </si>
  <si>
    <t>Zechariah 8:3</t>
  </si>
  <si>
    <t>God promises to return to Zion and dwell in Jerusalem</t>
  </si>
  <si>
    <t>Zechariah 7:1-14</t>
  </si>
  <si>
    <t>God reveals His anger against empty religious rituals</t>
  </si>
  <si>
    <t>c. 520-518 BC</t>
  </si>
  <si>
    <t>Zechariah 6:9-15</t>
  </si>
  <si>
    <t>God commands making crown for Joshua as prophetic sign of the Branch</t>
  </si>
  <si>
    <t>Zechariah 6:1-8</t>
  </si>
  <si>
    <t>Vision of four chariots as spirits of heaven going throughout the earth</t>
  </si>
  <si>
    <t>Zechariah 5:5-11</t>
  </si>
  <si>
    <t>Vision of woman in basket (wickedness) removed to Babylon</t>
  </si>
  <si>
    <t>Zechariah 5:1-4</t>
  </si>
  <si>
    <t>Vision of flying scroll bringing curse upon thieves and oath-breakers</t>
  </si>
  <si>
    <t>Zechariah 4:7</t>
  </si>
  <si>
    <t>Mountain made plain before Zerubbabel by God's power</t>
  </si>
  <si>
    <t>Zechariah 4:6</t>
  </si>
  <si>
    <t>God declares "Not by might nor by power, but by My Spirit"</t>
  </si>
  <si>
    <t>Zechariah 4:1-14</t>
  </si>
  <si>
    <t>Vision of golden lampstand and two olive trees - God's Spirit empowers</t>
  </si>
  <si>
    <t>Zechariah 3:9</t>
  </si>
  <si>
    <t>God promises to remove iniquity of the land in one day</t>
  </si>
  <si>
    <t>Zechariah 3:2</t>
  </si>
  <si>
    <t>Satan rebuked by the Angel of the LORD</t>
  </si>
  <si>
    <t>Zechariah 3:1-10</t>
  </si>
  <si>
    <t>Vision of Joshua the high priest cleansed and clothed with clean garments</t>
  </si>
  <si>
    <t>Zechariah 2:5</t>
  </si>
  <si>
    <t>God promises to be a wall of fire around Jerusalem and glory within</t>
  </si>
  <si>
    <t>Zechariah 2:1-13</t>
  </si>
  <si>
    <t>Vision of man with measuring line - Jerusalem to be inhabited without walls</t>
  </si>
  <si>
    <t>Zechariah 1:18-21</t>
  </si>
  <si>
    <t>Vision of four horns and four craftsmen representing nations and their judgment</t>
  </si>
  <si>
    <t>Zechariah 1:7-17</t>
  </si>
  <si>
    <t>Vision of the man among the myrtle trees with measuring the earth</t>
  </si>
  <si>
    <t>Zechariah 1:3</t>
  </si>
  <si>
    <t>God calls for Israel's return and promises His return to them</t>
  </si>
  <si>
    <t>a comprehensive table for the Book of Malachi, organized by scripture reference in ascending order. The book of Malachi contains several significant supernatural elements and divine communications:</t>
  </si>
  <si>
    <t>Key Supernatural Elements Include:</t>
  </si>
  <si>
    <r>
      <t>Divine Challenges and Tests</t>
    </r>
    <r>
      <rPr>
        <sz val="11"/>
        <color theme="1"/>
        <rFont val="Calibri"/>
        <family val="2"/>
        <scheme val="minor"/>
      </rPr>
      <t xml:space="preserve"> - God's unique invitation to "test Me" regarding tithing</t>
    </r>
  </si>
  <si>
    <r>
      <t>Promised Supernatural Blessings</t>
    </r>
    <r>
      <rPr>
        <sz val="11"/>
        <color theme="1"/>
        <rFont val="Calibri"/>
        <family val="2"/>
        <scheme val="minor"/>
      </rPr>
      <t xml:space="preserve"> - Opening heaven's windows, rebuking pests</t>
    </r>
  </si>
  <si>
    <r>
      <t>Eschatological Prophecies</t>
    </r>
    <r>
      <rPr>
        <sz val="11"/>
        <color theme="1"/>
        <rFont val="Calibri"/>
        <family val="2"/>
        <scheme val="minor"/>
      </rPr>
      <t xml:space="preserve"> - The Day of the Lord with supernatural fire</t>
    </r>
  </si>
  <si>
    <r>
      <t>Messianic Promises</t>
    </r>
    <r>
      <rPr>
        <sz val="11"/>
        <color theme="1"/>
        <rFont val="Calibri"/>
        <family val="2"/>
        <scheme val="minor"/>
      </rPr>
      <t xml:space="preserve"> - The coming Messenger and return of Elijah</t>
    </r>
  </si>
  <si>
    <r>
      <t>Divine Curses and Blessings</t>
    </r>
    <r>
      <rPr>
        <sz val="11"/>
        <color theme="1"/>
        <rFont val="Calibri"/>
        <family val="2"/>
        <scheme val="minor"/>
      </rPr>
      <t xml:space="preserve"> - Supernatural consequences for covenant faithfulness</t>
    </r>
  </si>
  <si>
    <r>
      <t>Unique Characteristics of Malachi:</t>
    </r>
    <r>
      <rPr>
        <sz val="11"/>
        <color theme="1"/>
        <rFont val="Calibri"/>
        <family val="2"/>
        <scheme val="minor"/>
      </rPr>
      <t xml:space="preserve"> The book serves as the bridge between the Old and New Testaments, containing crucial Messianic prophecies that are fulfilled in the Gospels (particularly the promise of the forerunner in Malachi 3:1 and 4:5-6, fulfilled in John the Baptist). Its dialogue format presents God's case against His people's spiritual apathy while promising ultimate restoration.</t>
    </r>
  </si>
  <si>
    <t>The supernatural elements in Malachi focus heavily on future divine interventions rather than immediate miraculous events, making it a book of prophetic promise that points toward the coming of Christ and the establishment of His kingdom.</t>
  </si>
  <si>
    <r>
      <t>Note:</t>
    </r>
    <r>
      <rPr>
        <sz val="11"/>
        <color theme="1"/>
        <rFont val="Calibri"/>
        <family val="2"/>
        <scheme val="minor"/>
      </rPr>
      <t xml:space="preserve"> Malachi emphasizes God's supernatural power through His promises of future intervention, His control over natural forces (blessing and cursing), and His ability to transform hearts. The book's primary supernatural elements focus on God's promised interventions - both in judgment and blessing - and His ultimate plan for restoration through the coming Messiah and return of Elijah.</t>
    </r>
  </si>
  <si>
    <r>
      <t>Promise of Restoration</t>
    </r>
    <r>
      <rPr>
        <sz val="11"/>
        <color theme="1"/>
        <rFont val="Calibri"/>
        <family val="2"/>
        <scheme val="minor"/>
      </rPr>
      <t>: Hope for future divine intervention and blessing</t>
    </r>
  </si>
  <si>
    <r>
      <t>Call to Faithfulness</t>
    </r>
    <r>
      <rPr>
        <sz val="11"/>
        <color theme="1"/>
        <rFont val="Calibri"/>
        <family val="2"/>
        <scheme val="minor"/>
      </rPr>
      <t>: Final appeal for covenant loyalty before the New Testament era</t>
    </r>
  </si>
  <si>
    <r>
      <t>Messianic Expectations</t>
    </r>
    <r>
      <rPr>
        <sz val="11"/>
        <color theme="1"/>
        <rFont val="Calibri"/>
        <family val="2"/>
        <scheme val="minor"/>
      </rPr>
      <t>: Sets stage for 400 years of silence before Christ's coming</t>
    </r>
  </si>
  <si>
    <r>
      <t>Last Old Testament Prophet</t>
    </r>
    <r>
      <rPr>
        <sz val="11"/>
        <color theme="1"/>
        <rFont val="Calibri"/>
        <family val="2"/>
        <scheme val="minor"/>
      </rPr>
      <t>: Malachi concludes the prophetic era</t>
    </r>
  </si>
  <si>
    <r>
      <t>Social Issues</t>
    </r>
    <r>
      <rPr>
        <sz val="11"/>
        <color theme="1"/>
        <rFont val="Calibri"/>
        <family val="2"/>
        <scheme val="minor"/>
      </rPr>
      <t>: Problems with divorce, intermarriage, and neglect of tithes and offerings</t>
    </r>
  </si>
  <si>
    <r>
      <t>Religious Condition</t>
    </r>
    <r>
      <rPr>
        <sz val="11"/>
        <color theme="1"/>
        <rFont val="Calibri"/>
        <family val="2"/>
        <scheme val="minor"/>
      </rPr>
      <t>: Formal worship continued but with corruption and spiritual apathy</t>
    </r>
  </si>
  <si>
    <r>
      <t>Political Situation</t>
    </r>
    <r>
      <rPr>
        <sz val="11"/>
        <color theme="1"/>
        <rFont val="Calibri"/>
        <family val="2"/>
        <scheme val="minor"/>
      </rPr>
      <t>: Under Persian rule, temple rebuilt but spiritual decline evident</t>
    </r>
  </si>
  <si>
    <r>
      <t>Time Period</t>
    </r>
    <r>
      <rPr>
        <sz val="11"/>
        <color theme="1"/>
        <rFont val="Calibri"/>
        <family val="2"/>
        <scheme val="minor"/>
      </rPr>
      <t>: c. 430-400 BC, post-exilic period</t>
    </r>
  </si>
  <si>
    <r>
      <t>Divine Curses and Blessings</t>
    </r>
    <r>
      <rPr>
        <sz val="11"/>
        <color theme="1"/>
        <rFont val="Calibri"/>
        <family val="2"/>
        <scheme val="minor"/>
      </rPr>
      <t>: Supernatural consequences for obedience and disobedience</t>
    </r>
  </si>
  <si>
    <r>
      <t>Messianic Prophecy</t>
    </r>
    <r>
      <rPr>
        <sz val="11"/>
        <color theme="1"/>
        <rFont val="Calibri"/>
        <family val="2"/>
        <scheme val="minor"/>
      </rPr>
      <t>: Promise of the coming Messenger and return of Elijah</t>
    </r>
  </si>
  <si>
    <r>
      <t>Eschatological Promises</t>
    </r>
    <r>
      <rPr>
        <sz val="11"/>
        <color theme="1"/>
        <rFont val="Calibri"/>
        <family val="2"/>
        <scheme val="minor"/>
      </rPr>
      <t>: The Day of the Lord with supernatural fire and judgment</t>
    </r>
  </si>
  <si>
    <r>
      <t>Promised Supernatural Interventions</t>
    </r>
    <r>
      <rPr>
        <sz val="11"/>
        <color theme="1"/>
        <rFont val="Calibri"/>
        <family val="2"/>
        <scheme val="minor"/>
      </rPr>
      <t>: Opening of heaven's windows, divine protection from pests</t>
    </r>
  </si>
  <si>
    <r>
      <t>Divine Omniscience</t>
    </r>
    <r>
      <rPr>
        <sz val="11"/>
        <color theme="1"/>
        <rFont val="Calibri"/>
        <family val="2"/>
        <scheme val="minor"/>
      </rPr>
      <t>: God's knowledge of hearts and secret thoughts</t>
    </r>
  </si>
  <si>
    <r>
      <t>Bridge to New Testament</t>
    </r>
    <r>
      <rPr>
        <sz val="11"/>
        <color theme="1"/>
        <rFont val="Calibri"/>
        <family val="2"/>
        <scheme val="minor"/>
      </rPr>
      <t>: Contains key Messianic prophecies fulfilled in the Gospels</t>
    </r>
  </si>
  <si>
    <r>
      <t>Final Prophetic Book</t>
    </r>
    <r>
      <rPr>
        <sz val="11"/>
        <color theme="1"/>
        <rFont val="Calibri"/>
        <family val="2"/>
        <scheme val="minor"/>
      </rPr>
      <t>: Serves as the conclusion to the Old Testament prophetic corpus</t>
    </r>
  </si>
  <si>
    <r>
      <t>Rhetorical Questions</t>
    </r>
    <r>
      <rPr>
        <sz val="11"/>
        <color theme="1"/>
        <rFont val="Calibri"/>
        <family val="2"/>
        <scheme val="minor"/>
      </rPr>
      <t>: Uses Israel's objections to develop theological arguments</t>
    </r>
  </si>
  <si>
    <r>
      <t>Dialogue Format</t>
    </r>
    <r>
      <rPr>
        <sz val="11"/>
        <color theme="1"/>
        <rFont val="Calibri"/>
        <family val="2"/>
        <scheme val="minor"/>
      </rPr>
      <t>: Structured as a series of disputes between God and His people</t>
    </r>
  </si>
  <si>
    <r>
      <t>Eschatological Hope</t>
    </r>
    <r>
      <rPr>
        <sz val="11"/>
        <color theme="1"/>
        <rFont val="Calibri"/>
        <family val="2"/>
        <scheme val="minor"/>
      </rPr>
      <t>: Promises of future judgment and restoration</t>
    </r>
  </si>
  <si>
    <r>
      <t>Covenant Faithfulness</t>
    </r>
    <r>
      <rPr>
        <sz val="11"/>
        <color theme="1"/>
        <rFont val="Calibri"/>
        <family val="2"/>
        <scheme val="minor"/>
      </rPr>
      <t>: God's unchanging nature and His expectations for covenant loyalty</t>
    </r>
  </si>
  <si>
    <r>
      <t>Religious Corruption</t>
    </r>
    <r>
      <rPr>
        <sz val="11"/>
        <color theme="1"/>
        <rFont val="Calibri"/>
        <family val="2"/>
        <scheme val="minor"/>
      </rPr>
      <t>: Condemnation of corrupt priesthood and defiled worship</t>
    </r>
  </si>
  <si>
    <r>
      <t>Divine Love vs. Human Ingratitude</t>
    </r>
    <r>
      <rPr>
        <sz val="11"/>
        <color theme="1"/>
        <rFont val="Calibri"/>
        <family val="2"/>
        <scheme val="minor"/>
      </rPr>
      <t>: God's persistent love contrasted with Israel's spiritual apathy</t>
    </r>
  </si>
  <si>
    <t>Key Characteristics of the Book of Malachi</t>
  </si>
  <si>
    <t>God declares His love for Jacob over Esau and His judgment on Edom</t>
  </si>
  <si>
    <t>Malachi 1:2-5</t>
  </si>
  <si>
    <t>c. 430-400 BC</t>
  </si>
  <si>
    <t>Malachi</t>
  </si>
  <si>
    <t>God expresses His displeasure with corrupt priests and defiled offerings</t>
  </si>
  <si>
    <t>Malachi 1:6-14</t>
  </si>
  <si>
    <t>God threatens to curse the priests' blessings and spread dung on their faces</t>
  </si>
  <si>
    <t>Malachi 2:1-3</t>
  </si>
  <si>
    <t>God speaks of His covenant with Levi and the priests' corruption of it</t>
  </si>
  <si>
    <t>Malachi 2:4-9</t>
  </si>
  <si>
    <t>God condemns divorce and declares He hates it</t>
  </si>
  <si>
    <t>Malachi 2:10-16</t>
  </si>
  <si>
    <t>God promises to send His messenger to prepare the way before Him</t>
  </si>
  <si>
    <t>Malachi 3:1</t>
  </si>
  <si>
    <t>God declares He will suddenly come to His temple for judgment</t>
  </si>
  <si>
    <t>Malachi 3:1-5</t>
  </si>
  <si>
    <t>God declares His unchanging nature and calls for repentance</t>
  </si>
  <si>
    <t>Malachi 3:6-7</t>
  </si>
  <si>
    <t>God challenges Israel to test Him by bringing tithes and promises supernatural blessing</t>
  </si>
  <si>
    <t>Malachi 3:8-12</t>
  </si>
  <si>
    <t>God promises to open windows of heaven and pour out blessing</t>
  </si>
  <si>
    <t>Malachi 3:10</t>
  </si>
  <si>
    <t>God promises to rebuke the devourer (locusts/pests) for their sake</t>
  </si>
  <si>
    <t>Malachi 3:11</t>
  </si>
  <si>
    <t>God reveals His book of remembrance for those who fear Him</t>
  </si>
  <si>
    <t>Malachi 3:16-18</t>
  </si>
  <si>
    <t>God promises the coming Day of the Lord with supernatural fire and judgment</t>
  </si>
  <si>
    <t>Malachi 4:1-3</t>
  </si>
  <si>
    <t>God promises healing (rising with healing in His wings) for the righteous</t>
  </si>
  <si>
    <t>Malachi 4:2</t>
  </si>
  <si>
    <t>God commands remembrance of Moses' law given supernaturally at Horeb</t>
  </si>
  <si>
    <t>Malachi 4:4</t>
  </si>
  <si>
    <t>God promises to send Elijah the prophet before the great Day of the Lord</t>
  </si>
  <si>
    <t>Malachi 4:5-6</t>
  </si>
  <si>
    <t>God warns of striking the earth with a curse if hearts are not turned</t>
  </si>
  <si>
    <t>Malachi 4:6</t>
  </si>
  <si>
    <t>Matthew:</t>
  </si>
  <si>
    <t>a comprehensive table of miracles, acts of God, and divine communications in the Gospel of Matthew, ordered by scripture reference and including cross-references to other biblical passages.</t>
  </si>
  <si>
    <t>The Gospel of Matthew is rich with supernatural events, containing:</t>
  </si>
  <si>
    <t>Key Categories of Miracles:</t>
  </si>
  <si>
    <r>
      <t>Healing Miracles</t>
    </r>
    <r>
      <rPr>
        <sz val="11"/>
        <color theme="1"/>
        <rFont val="Calibri"/>
        <family val="2"/>
        <scheme val="minor"/>
      </rPr>
      <t>: Physical ailments, blindness, paralysis, etc.</t>
    </r>
  </si>
  <si>
    <r>
      <t>Nature Miracles</t>
    </r>
    <r>
      <rPr>
        <sz val="11"/>
        <color theme="1"/>
        <rFont val="Calibri"/>
        <family val="2"/>
        <scheme val="minor"/>
      </rPr>
      <t>: Walking on water, calming storms, feeding multitudes</t>
    </r>
  </si>
  <si>
    <r>
      <t>Exorcisms</t>
    </r>
    <r>
      <rPr>
        <sz val="11"/>
        <color theme="1"/>
        <rFont val="Calibri"/>
        <family val="2"/>
        <scheme val="minor"/>
      </rPr>
      <t>: Casting out demons and evil spirits</t>
    </r>
  </si>
  <si>
    <r>
      <t>Resurrection Miracles</t>
    </r>
    <r>
      <rPr>
        <sz val="11"/>
        <color theme="1"/>
        <rFont val="Calibri"/>
        <family val="2"/>
        <scheme val="minor"/>
      </rPr>
      <t>: Raising the dead, including Jesus' own resurrection</t>
    </r>
  </si>
  <si>
    <r>
      <t>Divine Communications</t>
    </r>
    <r>
      <rPr>
        <sz val="11"/>
        <color theme="1"/>
        <rFont val="Calibri"/>
        <family val="2"/>
        <scheme val="minor"/>
      </rPr>
      <t>: Angelic appearances, voices from heaven, prophetic revelations</t>
    </r>
  </si>
  <si>
    <t>Matthew records more miracles than any other Gospel</t>
  </si>
  <si>
    <t>Many events have parallel accounts in Mark, Luke, and John</t>
  </si>
  <si>
    <t>Frequent fulfillment of Old Testament prophecies</t>
  </si>
  <si>
    <t>Emphasis on Jesus' divine authority and Messianic identity</t>
  </si>
  <si>
    <t>The cross-references show how Matthew's account connects with other biblical books, demonstrating the consistency and reliability of the Gospel record. The book serves as a bridge between the Old and New Testaments, showing how Jesus fulfills ancient prophecies while establishing the foundation for the Christian faith.</t>
  </si>
  <si>
    <r>
      <t>Note:</t>
    </r>
    <r>
      <rPr>
        <sz val="11"/>
        <color theme="1"/>
        <rFont val="Calibri"/>
        <family val="2"/>
        <scheme val="minor"/>
      </rPr>
      <t xml:space="preserve"> Matthew contains the most comprehensive record of Jesus' miraculous ministry, emphasizing His divine authority over nature, disease, demons, and death. The gospel presents Jesus as both fully human and fully divine, with supernatural power confirming His identity as the Son of God and promised Messiah.</t>
    </r>
  </si>
  <si>
    <r>
      <t>Audience</t>
    </r>
    <r>
      <rPr>
        <sz val="11"/>
        <color theme="1"/>
        <rFont val="Calibri"/>
        <family val="2"/>
        <scheme val="minor"/>
      </rPr>
      <t>: Primarily Jewish Christians demonstrating Jesus as promised Messiah</t>
    </r>
  </si>
  <si>
    <r>
      <t>Religious Condition</t>
    </r>
    <r>
      <rPr>
        <sz val="11"/>
        <color theme="1"/>
        <rFont val="Calibri"/>
        <family val="2"/>
        <scheme val="minor"/>
      </rPr>
      <t>: Jewish religious establishment and expectation of Messiah</t>
    </r>
  </si>
  <si>
    <r>
      <t>Political Situation</t>
    </r>
    <r>
      <rPr>
        <sz val="11"/>
        <color theme="1"/>
        <rFont val="Calibri"/>
        <family val="2"/>
        <scheme val="minor"/>
      </rPr>
      <t>: Roman occupation of Palestine</t>
    </r>
  </si>
  <si>
    <r>
      <t>Time Period</t>
    </r>
    <r>
      <rPr>
        <sz val="11"/>
        <color theme="1"/>
        <rFont val="Calibri"/>
        <family val="2"/>
        <scheme val="minor"/>
      </rPr>
      <t>: c. 5 BC - 33 AD (Jesus' earthly ministry)</t>
    </r>
  </si>
  <si>
    <r>
      <t>Resurrection</t>
    </r>
    <r>
      <rPr>
        <sz val="11"/>
        <color theme="1"/>
        <rFont val="Calibri"/>
        <family val="2"/>
        <scheme val="minor"/>
      </rPr>
      <t>: The ultimate miracle of Jesus rising from the dead</t>
    </r>
  </si>
  <si>
    <r>
      <t>Divine Communications</t>
    </r>
    <r>
      <rPr>
        <sz val="11"/>
        <color theme="1"/>
        <rFont val="Calibri"/>
        <family val="2"/>
        <scheme val="minor"/>
      </rPr>
      <t>: Voices from heaven, angelic appearances, dreams</t>
    </r>
  </si>
  <si>
    <r>
      <t>Healing Miracles</t>
    </r>
    <r>
      <rPr>
        <sz val="11"/>
        <color theme="1"/>
        <rFont val="Calibri"/>
        <family val="2"/>
        <scheme val="minor"/>
      </rPr>
      <t>: Physical healings, exorcisms, resurrections</t>
    </r>
  </si>
  <si>
    <r>
      <t>Nature Miracles</t>
    </r>
    <r>
      <rPr>
        <sz val="11"/>
        <color theme="1"/>
        <rFont val="Calibri"/>
        <family val="2"/>
        <scheme val="minor"/>
      </rPr>
      <t>: Control over storms, walking on water, multiplying food</t>
    </r>
  </si>
  <si>
    <r>
      <t>Miraculous Birth</t>
    </r>
    <r>
      <rPr>
        <sz val="11"/>
        <color theme="1"/>
        <rFont val="Calibri"/>
        <family val="2"/>
        <scheme val="minor"/>
      </rPr>
      <t>: Virgin conception and birth of Jesus</t>
    </r>
  </si>
  <si>
    <r>
      <t>Genealogy</t>
    </r>
    <r>
      <rPr>
        <sz val="11"/>
        <color theme="1"/>
        <rFont val="Calibri"/>
        <family val="2"/>
        <scheme val="minor"/>
      </rPr>
      <t>: Traces Jesus' lineage to establish Messianic credentials</t>
    </r>
  </si>
  <si>
    <r>
      <t>Jewish Perspective</t>
    </r>
    <r>
      <rPr>
        <sz val="11"/>
        <color theme="1"/>
        <rFont val="Calibri"/>
        <family val="2"/>
        <scheme val="minor"/>
      </rPr>
      <t>: Written primarily for Jewish audience</t>
    </r>
  </si>
  <si>
    <r>
      <t>Fulfillment Formulas</t>
    </r>
    <r>
      <rPr>
        <sz val="11"/>
        <color theme="1"/>
        <rFont val="Calibri"/>
        <family val="2"/>
        <scheme val="minor"/>
      </rPr>
      <t>: "This was to fulfill what was spoken by the prophet..."</t>
    </r>
  </si>
  <si>
    <r>
      <t>Five Major Discourses</t>
    </r>
    <r>
      <rPr>
        <sz val="11"/>
        <color theme="1"/>
        <rFont val="Calibri"/>
        <family val="2"/>
        <scheme val="minor"/>
      </rPr>
      <t>: Organized teaching blocks (Sermon on the Mount, Mission, Parables, Church, Olivet)</t>
    </r>
  </si>
  <si>
    <r>
      <t>Fulfillment of Scripture</t>
    </r>
    <r>
      <rPr>
        <sz val="11"/>
        <color theme="1"/>
        <rFont val="Calibri"/>
        <family val="2"/>
        <scheme val="minor"/>
      </rPr>
      <t>: Frequent citations showing Jesus fulfills prophecy</t>
    </r>
  </si>
  <si>
    <r>
      <t>Discipleship</t>
    </r>
    <r>
      <rPr>
        <sz val="11"/>
        <color theme="1"/>
        <rFont val="Calibri"/>
        <family val="2"/>
        <scheme val="minor"/>
      </rPr>
      <t>: Teachings on following Jesus and living as His disciples</t>
    </r>
  </si>
  <si>
    <r>
      <t>Kingdom of Heaven</t>
    </r>
    <r>
      <rPr>
        <sz val="11"/>
        <color theme="1"/>
        <rFont val="Calibri"/>
        <family val="2"/>
        <scheme val="minor"/>
      </rPr>
      <t>: Central theme throughout the gospel</t>
    </r>
  </si>
  <si>
    <r>
      <t>Jesus as Messiah and King</t>
    </r>
    <r>
      <rPr>
        <sz val="11"/>
        <color theme="1"/>
        <rFont val="Calibri"/>
        <family val="2"/>
        <scheme val="minor"/>
      </rPr>
      <t>: Emphasizes Jesus' fulfillment of Old Testament prophecies</t>
    </r>
  </si>
  <si>
    <t>Key Characteristics of the Gospel of Matthew</t>
  </si>
  <si>
    <t>Mark:</t>
  </si>
  <si>
    <t>Virgin birth of Jesus through divine conception</t>
  </si>
  <si>
    <t>Matthew 1:18-25</t>
  </si>
  <si>
    <t>Bethlehem/Nazareth</t>
  </si>
  <si>
    <t>c. 5-4 BC</t>
  </si>
  <si>
    <t>Angel of the Lord</t>
  </si>
  <si>
    <t>Luke 1:26-38; Isaiah 7:14</t>
  </si>
  <si>
    <t>Angel appears to Joseph in a dream</t>
  </si>
  <si>
    <t>Matthew 1:20-21</t>
  </si>
  <si>
    <t>Nazareth</t>
  </si>
  <si>
    <t>Divine Communication/Dream</t>
  </si>
  <si>
    <t>Luke 1:26-38</t>
  </si>
  <si>
    <t>Star appears to guide the wise men to Jesus</t>
  </si>
  <si>
    <t>Matthew 2:1-2, 9-10</t>
  </si>
  <si>
    <t>Supernatural Sign</t>
  </si>
  <si>
    <t>Numbers 24:17</t>
  </si>
  <si>
    <t>Angel warns Joseph to flee to Egypt</t>
  </si>
  <si>
    <t>Matthew 2:13</t>
  </si>
  <si>
    <t>c. 4 BC</t>
  </si>
  <si>
    <t>Angel tells Joseph to return from Egypt</t>
  </si>
  <si>
    <t>Matthew 2:19-20</t>
  </si>
  <si>
    <t>Voice from heaven at Jesus' baptism</t>
  </si>
  <si>
    <t>Matthew 3:17</t>
  </si>
  <si>
    <t>c. 30 AD</t>
  </si>
  <si>
    <t>Mark 1:11; Luke 3:22; Psalm 2:7; Isaiah 42:1</t>
  </si>
  <si>
    <t>Holy Spirit descends like a dove</t>
  </si>
  <si>
    <t>Matthew 3:16</t>
  </si>
  <si>
    <t>Mark 1:10; Luke 3:22; John 1:32</t>
  </si>
  <si>
    <t>Satan tempts Jesus in the wilderness</t>
  </si>
  <si>
    <t>Matthew 4:1-11</t>
  </si>
  <si>
    <t>Judean Wilderness</t>
  </si>
  <si>
    <t>Satan/Jesus</t>
  </si>
  <si>
    <t>Spiritual Warfare</t>
  </si>
  <si>
    <t>Mark 1:12-13; Luke 4:1-13; Deuteronomy 8:3, 6:16, 6:13</t>
  </si>
  <si>
    <t>Jesus heals a leper</t>
  </si>
  <si>
    <t>Matthew 8:1-4</t>
  </si>
  <si>
    <t>Galilee</t>
  </si>
  <si>
    <t>c. 30-33 AD</t>
  </si>
  <si>
    <t>Healing Miracle</t>
  </si>
  <si>
    <t>Mark 1:40-45; Luke 5:12-16; Leviticus 14:1-32</t>
  </si>
  <si>
    <t>Jesus heals the centurion's servant</t>
  </si>
  <si>
    <t>Matthew 8:5-13</t>
  </si>
  <si>
    <t>Capernaum</t>
  </si>
  <si>
    <t>Luke 7:1-10; John 4:46-54</t>
  </si>
  <si>
    <t>Jesus heals Peter's mother-in-law</t>
  </si>
  <si>
    <t>Matthew 8:14-15</t>
  </si>
  <si>
    <t>Mark 1:29-31; Luke 4:38-39</t>
  </si>
  <si>
    <t>Jesus calms the storm</t>
  </si>
  <si>
    <t>Matthew 8:23-27</t>
  </si>
  <si>
    <t>Sea of Galilee</t>
  </si>
  <si>
    <t>Nature Miracle</t>
  </si>
  <si>
    <t>Mark 4:35-41; Luke 8:22-25; Psalm 107:29</t>
  </si>
  <si>
    <t>Jesus casts out demons from two men</t>
  </si>
  <si>
    <t>Matthew 8:28-34</t>
  </si>
  <si>
    <t>Gadara/Gerasa</t>
  </si>
  <si>
    <t>Exorcism</t>
  </si>
  <si>
    <t>Mark 5:1-20; Luke 8:26-39</t>
  </si>
  <si>
    <t>Jesus heals and forgives a paralytic</t>
  </si>
  <si>
    <t>Matthew 9:1-8</t>
  </si>
  <si>
    <t>Mark 2:1-12; Luke 5:17-26</t>
  </si>
  <si>
    <t>Jesus raises Jairus' daughter from the dead</t>
  </si>
  <si>
    <t>Matthew 9:18-19, 23-26</t>
  </si>
  <si>
    <t>Resurrection Miracle</t>
  </si>
  <si>
    <t>Mark 5:21-24, 35-43; Luke 8:40-42, 49-56</t>
  </si>
  <si>
    <t>Jesus heals a woman with bleeding</t>
  </si>
  <si>
    <t>Matthew 9:20-22</t>
  </si>
  <si>
    <t>Mark 5:25-34; Luke 8:43-48</t>
  </si>
  <si>
    <t>Jesus heals two blind men</t>
  </si>
  <si>
    <t>Matthew 20:29-34; Mark 10:46-52; Luke 18:35-43</t>
  </si>
  <si>
    <t>Jesus heals a mute demon-possessed man</t>
  </si>
  <si>
    <t>Exorcism/Healing</t>
  </si>
  <si>
    <t>Luke 11:14-15</t>
  </si>
  <si>
    <t>Jesus gives the Twelve authority over demons and disease</t>
  </si>
  <si>
    <t>Matthew 10:1, 8</t>
  </si>
  <si>
    <t>Mark 6:7; Luke 9:1-2</t>
  </si>
  <si>
    <t>Jesus feeds 5,000 people</t>
  </si>
  <si>
    <t>Matthew 14:13-21</t>
  </si>
  <si>
    <t>Near Bethsaida</t>
  </si>
  <si>
    <t>Provision Miracle</t>
  </si>
  <si>
    <t>Mark 6:30-44; Luke 9:10-17; John 6:1-15</t>
  </si>
  <si>
    <t>Jesus walks on water</t>
  </si>
  <si>
    <t>Matthew 14:22-33</t>
  </si>
  <si>
    <t>Mark 6:45-52; John 6:16-21</t>
  </si>
  <si>
    <t>Peter walks on water briefly</t>
  </si>
  <si>
    <t>Matthew 14:28-31</t>
  </si>
  <si>
    <t>Peter/Jesus</t>
  </si>
  <si>
    <t>Mark 6:45-52</t>
  </si>
  <si>
    <t>Jesus heals many sick people</t>
  </si>
  <si>
    <t>Matthew 14:34-36</t>
  </si>
  <si>
    <t>Gennesaret</t>
  </si>
  <si>
    <t>Mark 6:53-56</t>
  </si>
  <si>
    <t>Jesus heals the Canaanite woman's daughter</t>
  </si>
  <si>
    <t>Matthew 15:21-28</t>
  </si>
  <si>
    <t>Tyre and Sidon</t>
  </si>
  <si>
    <t>Mark 7:24-30</t>
  </si>
  <si>
    <t>Jesus heals many on a mountainside</t>
  </si>
  <si>
    <t>Jesus feeds 4,000 people</t>
  </si>
  <si>
    <t>Matthew 15:32-39</t>
  </si>
  <si>
    <t>Mark 8:1-10</t>
  </si>
  <si>
    <t>Voice from heaven at the Transfiguration</t>
  </si>
  <si>
    <t>Matthew 17:5</t>
  </si>
  <si>
    <t>Mount of Transfiguration</t>
  </si>
  <si>
    <t>Mark 9:7; Luke 9:35; 2 Peter 1:17-18</t>
  </si>
  <si>
    <t>Jesus' appearance is transfigured</t>
  </si>
  <si>
    <t>Matthew 17:2</t>
  </si>
  <si>
    <t>Mark 9:2-3; Luke 9:29; 2 Peter 1:16-18</t>
  </si>
  <si>
    <t>Moses and Elijah appear with Jesus</t>
  </si>
  <si>
    <t>Matthew 17:3</t>
  </si>
  <si>
    <t>Moses and Elijah</t>
  </si>
  <si>
    <t>Supernatural Appearance</t>
  </si>
  <si>
    <t>Mark 9:4; Luke 9:30-31</t>
  </si>
  <si>
    <t>Jesus heals an epileptic boy</t>
  </si>
  <si>
    <t>Matthew 17:14-21</t>
  </si>
  <si>
    <t>Healing Miracle/Exorcism</t>
  </si>
  <si>
    <t>Mark 9:14-29; Luke 9:37-43</t>
  </si>
  <si>
    <t>Fish provides coin for temple tax</t>
  </si>
  <si>
    <t>None</t>
  </si>
  <si>
    <t>Jesus heals two blind men near Jericho</t>
  </si>
  <si>
    <t>Matthew 20:29-34</t>
  </si>
  <si>
    <t>c. 33 AD</t>
  </si>
  <si>
    <t>Mark 10:46-52; Luke 18:35-43</t>
  </si>
  <si>
    <t>Fig tree withers at Jesus' word</t>
  </si>
  <si>
    <t>Matthew 21:18-22</t>
  </si>
  <si>
    <t>Bethany</t>
  </si>
  <si>
    <t>Mark 11:12-14, 20-25</t>
  </si>
  <si>
    <t>Jesus predicts His death and resurrection</t>
  </si>
  <si>
    <t>Matthew 26:2</t>
  </si>
  <si>
    <t>Prophetic Revelation</t>
  </si>
  <si>
    <t>Mark 14:1; Luke 22:1</t>
  </si>
  <si>
    <t>Jesus knows Judas will betray Him</t>
  </si>
  <si>
    <t>Matthew 26:20-25</t>
  </si>
  <si>
    <t>Mark 14:17-21; Luke 22:21-23; John 13:21-30</t>
  </si>
  <si>
    <t>Jesus institutes the Lord's Supper</t>
  </si>
  <si>
    <t>Matthew 26:26-29</t>
  </si>
  <si>
    <t>Divine Institution</t>
  </si>
  <si>
    <t>Mark 14:22-25; Luke 22:14-20; 1 Corinthians 11:23-26</t>
  </si>
  <si>
    <t>Jesus predicts Peter's denial</t>
  </si>
  <si>
    <t>Matthew 26:31-35</t>
  </si>
  <si>
    <t>Mark 14:27-31; Luke 22:31-34; John 13:36-38</t>
  </si>
  <si>
    <t>Angel strengthens Jesus in Gethsemane</t>
  </si>
  <si>
    <t>Matthew 26:36-46</t>
  </si>
  <si>
    <t>Gethsemane</t>
  </si>
  <si>
    <t>Divine Comfort</t>
  </si>
  <si>
    <t>Mark 14:32-42; Luke 22:39-46</t>
  </si>
  <si>
    <t>Darkness covers the land during crucifixion</t>
  </si>
  <si>
    <t>Matthew 27:45</t>
  </si>
  <si>
    <t>Mark 15:33; Luke 23:44-45; Amos 8:9</t>
  </si>
  <si>
    <t>Temple veil is torn in two</t>
  </si>
  <si>
    <t>Mark 15:38; Luke 23:45; Hebrews 10:19-20</t>
  </si>
  <si>
    <t>Earthquake and rocks split</t>
  </si>
  <si>
    <t>Saints rise from the dead</t>
  </si>
  <si>
    <t>Centurion recognizes Jesus as Son of God</t>
  </si>
  <si>
    <t>Matthew 27:54</t>
  </si>
  <si>
    <t>Centurion</t>
  </si>
  <si>
    <t>Mark 15:39; Luke 23:47</t>
  </si>
  <si>
    <t>Angel rolls away the stone from tomb</t>
  </si>
  <si>
    <t>Matthew 28:2</t>
  </si>
  <si>
    <t>Supernatural Act</t>
  </si>
  <si>
    <t>Mark 16:4; Luke 24:2; John 20:1</t>
  </si>
  <si>
    <t>Jesus rises from the dead</t>
  </si>
  <si>
    <t>Matthew 28:5-7</t>
  </si>
  <si>
    <t>Mark 16:6; Luke 24:5-7; John 20:11-18; 1 Corinthians 15:3-8</t>
  </si>
  <si>
    <t>Jesus appears to the women</t>
  </si>
  <si>
    <t>Matthew 28:9-10</t>
  </si>
  <si>
    <t>Resurrection Appearance</t>
  </si>
  <si>
    <t>Mark 16:9; John 20:14-18</t>
  </si>
  <si>
    <t>Jesus appears to the eleven disciples</t>
  </si>
  <si>
    <t>Matthew 28:16-20</t>
  </si>
  <si>
    <t>Mark 16:14-18; Luke 24:36-49; John 20:19-23; Acts 1:8</t>
  </si>
  <si>
    <t>a comprehensive table of miracles, acts of God, and divine communications in the Gospel of Mark, ordered by scripture reference and including cross-references to other biblical passages.</t>
  </si>
  <si>
    <t>Key Features of Mark's Gospel:</t>
  </si>
  <si>
    <t>Distinctive Elements:</t>
  </si>
  <si>
    <r>
      <t>Fast-paced narrative</t>
    </r>
    <r>
      <rPr>
        <sz val="11"/>
        <color theme="1"/>
        <rFont val="Calibri"/>
        <family val="2"/>
        <scheme val="minor"/>
      </rPr>
      <t>: Mark uses "immediately" (Greek: εὐθύς) over 40 times</t>
    </r>
  </si>
  <si>
    <r>
      <t>Emphasis on exorcisms</t>
    </r>
    <r>
      <rPr>
        <sz val="11"/>
        <color theme="1"/>
        <rFont val="Calibri"/>
        <family val="2"/>
        <scheme val="minor"/>
      </rPr>
      <t>: More demon-possession accounts than other Gospels</t>
    </r>
  </si>
  <si>
    <r>
      <t>Vivid eyewitness details</t>
    </r>
    <r>
      <rPr>
        <sz val="11"/>
        <color theme="1"/>
        <rFont val="Calibri"/>
        <family val="2"/>
        <scheme val="minor"/>
      </rPr>
      <t>: Specific descriptions suggesting Peter's testimony</t>
    </r>
  </si>
  <si>
    <r>
      <t>Human emotions</t>
    </r>
    <r>
      <rPr>
        <sz val="11"/>
        <color theme="1"/>
        <rFont val="Calibri"/>
        <family val="2"/>
        <scheme val="minor"/>
      </rPr>
      <t>: Shows Jesus' emotions (compassion, anger, amazement)</t>
    </r>
  </si>
  <si>
    <t>Supernatural Categories:</t>
  </si>
  <si>
    <r>
      <t>Exorcisms and Demon Encounters</t>
    </r>
    <r>
      <rPr>
        <sz val="11"/>
        <color theme="1"/>
        <rFont val="Calibri"/>
        <family val="2"/>
        <scheme val="minor"/>
      </rPr>
      <t>: 6 specific accounts</t>
    </r>
  </si>
  <si>
    <r>
      <t>Healing Miracles</t>
    </r>
    <r>
      <rPr>
        <sz val="11"/>
        <color theme="1"/>
        <rFont val="Calibri"/>
        <family val="2"/>
        <scheme val="minor"/>
      </rPr>
      <t>: 14 individual and group healings</t>
    </r>
  </si>
  <si>
    <r>
      <t>Nature Miracles</t>
    </r>
    <r>
      <rPr>
        <sz val="11"/>
        <color theme="1"/>
        <rFont val="Calibri"/>
        <family val="2"/>
        <scheme val="minor"/>
      </rPr>
      <t>: 5 demonstrations of power over natural forces</t>
    </r>
  </si>
  <si>
    <r>
      <t>Divine Communications</t>
    </r>
    <r>
      <rPr>
        <sz val="11"/>
        <color theme="1"/>
        <rFont val="Calibri"/>
        <family val="2"/>
        <scheme val="minor"/>
      </rPr>
      <t>: 4 direct communications from God</t>
    </r>
  </si>
  <si>
    <r>
      <t>Resurrection Events</t>
    </r>
    <r>
      <rPr>
        <sz val="11"/>
        <color theme="1"/>
        <rFont val="Calibri"/>
        <family val="2"/>
        <scheme val="minor"/>
      </rPr>
      <t>: Multiple post-resurrection appearances</t>
    </r>
  </si>
  <si>
    <t>Notable Unique Features:</t>
  </si>
  <si>
    <t>Only Gospel to record the healing of the deaf-mute man (7:31-37)</t>
  </si>
  <si>
    <t>Only Gospel with the two-stage healing of the blind man at Bethsaida (8:22-26)</t>
  </si>
  <si>
    <t>Preserves Aramaic words: "Talitha koum" (5:41), "Ephphatha" (7:34), "Eloi, Eloi, lema sabachthani" (15:34)</t>
  </si>
  <si>
    <t>Ends abruptly at 16:8 in earliest manuscripts (longer ending likely added later)</t>
  </si>
  <si>
    <t>Mark presents Jesus as the powerful Son of God whose divine authority is demonstrated through mighty works, while also emphasizing His human suffering and the cost of discipleship.</t>
  </si>
  <si>
    <r>
      <t>Note:</t>
    </r>
    <r>
      <rPr>
        <sz val="11"/>
        <color theme="1"/>
        <rFont val="Calibri"/>
        <family val="2"/>
        <scheme val="minor"/>
      </rPr>
      <t xml:space="preserve"> Mark's Gospel is characterized by its focus on action and power, presenting Jesus as One who speaks with authority and acts with divine power. The book emphasizes the immediacy and urgency of Jesus' ministry, with numerous miracles demonstrating His identity as the Son of God. Mark uniquely portrays the human emotions and reactions of both Jesus and His disciples, making it a vivid, eyewitness-style account of Jesus' ministry.</t>
    </r>
  </si>
  <si>
    <r>
      <t>Purpose</t>
    </r>
    <r>
      <rPr>
        <sz val="11"/>
        <color theme="1"/>
        <rFont val="Calibri"/>
        <family val="2"/>
        <scheme val="minor"/>
      </rPr>
      <t>: To present Jesus as the powerful Son of God who suffered for humanity</t>
    </r>
  </si>
  <si>
    <r>
      <t>Author</t>
    </r>
    <r>
      <rPr>
        <sz val="11"/>
        <color theme="1"/>
        <rFont val="Calibri"/>
        <family val="2"/>
        <scheme val="minor"/>
      </rPr>
      <t>: John Mark, likely based on Peter's eyewitness testimony</t>
    </r>
  </si>
  <si>
    <r>
      <t>Audience</t>
    </r>
    <r>
      <rPr>
        <sz val="11"/>
        <color theme="1"/>
        <rFont val="Calibri"/>
        <family val="2"/>
        <scheme val="minor"/>
      </rPr>
      <t>: Primarily Gentile (Roman) Christians</t>
    </r>
  </si>
  <si>
    <r>
      <t>Time Period</t>
    </r>
    <r>
      <rPr>
        <sz val="11"/>
        <color theme="1"/>
        <rFont val="Calibri"/>
        <family val="2"/>
        <scheme val="minor"/>
      </rPr>
      <t>: c. 30-33 AD (Jesus' earthly ministry)</t>
    </r>
  </si>
  <si>
    <r>
      <t>Resurrection</t>
    </r>
    <r>
      <rPr>
        <sz val="11"/>
        <color theme="1"/>
        <rFont val="Calibri"/>
        <family val="2"/>
        <scheme val="minor"/>
      </rPr>
      <t>: Central miracle confirming Jesus' divine identity</t>
    </r>
  </si>
  <si>
    <r>
      <t>Divine Manifestations</t>
    </r>
    <r>
      <rPr>
        <sz val="11"/>
        <color theme="1"/>
        <rFont val="Calibri"/>
        <family val="2"/>
        <scheme val="minor"/>
      </rPr>
      <t>: Transfiguration, voices from heaven, appearances</t>
    </r>
  </si>
  <si>
    <r>
      <t>Nature Miracles</t>
    </r>
    <r>
      <rPr>
        <sz val="11"/>
        <color theme="1"/>
        <rFont val="Calibri"/>
        <family val="2"/>
        <scheme val="minor"/>
      </rPr>
      <t>: Demonstrates Jesus' authority over natural forces</t>
    </r>
  </si>
  <si>
    <r>
      <t>Healing Miracles</t>
    </r>
    <r>
      <rPr>
        <sz val="11"/>
        <color theme="1"/>
        <rFont val="Calibri"/>
        <family val="2"/>
        <scheme val="minor"/>
      </rPr>
      <t>: Detailed accounts of Jesus' healing ministry</t>
    </r>
  </si>
  <si>
    <r>
      <t>Exorcisms</t>
    </r>
    <r>
      <rPr>
        <sz val="11"/>
        <color theme="1"/>
        <rFont val="Calibri"/>
        <family val="2"/>
        <scheme val="minor"/>
      </rPr>
      <t>: More emphasis on demon possession and deliverance than other Gospels</t>
    </r>
  </si>
  <si>
    <r>
      <t>Sandwich Structure</t>
    </r>
    <r>
      <rPr>
        <sz val="11"/>
        <color theme="1"/>
        <rFont val="Calibri"/>
        <family val="2"/>
        <scheme val="minor"/>
      </rPr>
      <t>: Intercalated stories that interpret each other</t>
    </r>
  </si>
  <si>
    <r>
      <t>Aramaic Words</t>
    </r>
    <r>
      <rPr>
        <sz val="11"/>
        <color theme="1"/>
        <rFont val="Calibri"/>
        <family val="2"/>
        <scheme val="minor"/>
      </rPr>
      <t>: Preserves Jesus' original Aramaic expressions</t>
    </r>
  </si>
  <si>
    <r>
      <t>Vivid Details</t>
    </r>
    <r>
      <rPr>
        <sz val="11"/>
        <color theme="1"/>
        <rFont val="Calibri"/>
        <family val="2"/>
        <scheme val="minor"/>
      </rPr>
      <t>: Eyewitness-style descriptions and emotional reactions</t>
    </r>
  </si>
  <si>
    <r>
      <t>Brevity and Action</t>
    </r>
    <r>
      <rPr>
        <sz val="11"/>
        <color theme="1"/>
        <rFont val="Calibri"/>
        <family val="2"/>
        <scheme val="minor"/>
      </rPr>
      <t>: Shortest Gospel with rapid narrative pace</t>
    </r>
  </si>
  <si>
    <r>
      <t>Messianic Secret</t>
    </r>
    <r>
      <rPr>
        <sz val="11"/>
        <color theme="1"/>
        <rFont val="Calibri"/>
        <family val="2"/>
        <scheme val="minor"/>
      </rPr>
      <t>: Jesus often commands silence about His identity</t>
    </r>
  </si>
  <si>
    <r>
      <t>Discipleship and Service</t>
    </r>
    <r>
      <rPr>
        <sz val="11"/>
        <color theme="1"/>
        <rFont val="Calibri"/>
        <family val="2"/>
        <scheme val="minor"/>
      </rPr>
      <t>: Focus on following Jesus through suffering</t>
    </r>
  </si>
  <si>
    <r>
      <t>Immediate Action</t>
    </r>
    <r>
      <rPr>
        <sz val="11"/>
        <color theme="1"/>
        <rFont val="Calibri"/>
        <family val="2"/>
        <scheme val="minor"/>
      </rPr>
      <t>: Fast-paced narrative with frequent use of "immediately"</t>
    </r>
  </si>
  <si>
    <r>
      <t>Jesus as Suffering Servant</t>
    </r>
    <r>
      <rPr>
        <sz val="11"/>
        <color theme="1"/>
        <rFont val="Calibri"/>
        <family val="2"/>
        <scheme val="minor"/>
      </rPr>
      <t>: Emphasizes Jesus' humanity and suffering</t>
    </r>
  </si>
  <si>
    <t>Key Characteristics of the Gospel of Mark</t>
  </si>
  <si>
    <t>Mark 1:11</t>
  </si>
  <si>
    <t>Matthew 3:17; Luke 3:22; Psalm 2:7; Isaiah 42:1</t>
  </si>
  <si>
    <t>Mark 1:10</t>
  </si>
  <si>
    <t>Matthew 3:16; Luke 3:22; John 1:32</t>
  </si>
  <si>
    <t>Mark 1:12-13</t>
  </si>
  <si>
    <t>Matthew 4:1-11; Luke 4:1-13</t>
  </si>
  <si>
    <t>Jesus casts out an unclean spirit</t>
  </si>
  <si>
    <t>Mark 1:21-28</t>
  </si>
  <si>
    <t>Luke 4:31-37</t>
  </si>
  <si>
    <t>Mark 1:29-31</t>
  </si>
  <si>
    <t>Matthew 8:14-15; Luke 4:38-39</t>
  </si>
  <si>
    <t>Jesus heals many sick and demon-possessed</t>
  </si>
  <si>
    <t>Mark 1:32-34</t>
  </si>
  <si>
    <t>Matthew 8:16-17; Luke 4:40-41</t>
  </si>
  <si>
    <t>Mark 1:40-45</t>
  </si>
  <si>
    <t>Matthew 8:1-4; Luke 5:12-16; Leviticus 14:1-32</t>
  </si>
  <si>
    <t>Mark 2:1-12</t>
  </si>
  <si>
    <t>Matthew 9:1-8; Luke 5:17-26</t>
  </si>
  <si>
    <t>Jesus heals a man with a withered hand</t>
  </si>
  <si>
    <t>Mark 3:1-6</t>
  </si>
  <si>
    <t>Synagogue</t>
  </si>
  <si>
    <t>Matthew 12:9-14; Luke 6:6-11</t>
  </si>
  <si>
    <t>Jesus heals many by the sea</t>
  </si>
  <si>
    <t>Mark 3:7-12</t>
  </si>
  <si>
    <t>Matthew 12:15-16; Luke 6:17-19</t>
  </si>
  <si>
    <t>Mark 4:35-41</t>
  </si>
  <si>
    <t>Matthew 8:23-27; Luke 8:22-25; Psalm 107:29</t>
  </si>
  <si>
    <t>Jesus casts out Legion of demons</t>
  </si>
  <si>
    <t>Mark 5:1-20</t>
  </si>
  <si>
    <t>Matthew 8:28-34; Luke 8:26-39</t>
  </si>
  <si>
    <t>Mark 5:25-34</t>
  </si>
  <si>
    <t>Matthew 9:20-22; Luke 8:43-48</t>
  </si>
  <si>
    <t>Mark 5:21-24, 35-43</t>
  </si>
  <si>
    <t>Matthew 9:18-19, 23-26; Luke 8:40-42, 49-56</t>
  </si>
  <si>
    <t>Jesus rejected in His hometown</t>
  </si>
  <si>
    <t>Mark 6:1-6</t>
  </si>
  <si>
    <t>Matthew 13:53-58; Luke 4:16-30</t>
  </si>
  <si>
    <t>Jesus gives the Twelve authority over demons</t>
  </si>
  <si>
    <t>Mark 6:7</t>
  </si>
  <si>
    <t>Matthew 10:1; Luke 9:1-2</t>
  </si>
  <si>
    <t>Mark 6:30-44</t>
  </si>
  <si>
    <t>Matthew 14:13-21; Luke 9:10-17; John 6:1-15</t>
  </si>
  <si>
    <t>Matthew 14:22-33; John 6:16-21</t>
  </si>
  <si>
    <t>Jesus heals the Syrophoenician woman's daughter</t>
  </si>
  <si>
    <t>Jesus heals a deaf and mute man</t>
  </si>
  <si>
    <t>Decapolis</t>
  </si>
  <si>
    <t>Jesus heals a blind man at Bethsaida</t>
  </si>
  <si>
    <t>Bethsaida</t>
  </si>
  <si>
    <t>Peter confesses Jesus as the Christ</t>
  </si>
  <si>
    <t>Mark 8:27-30</t>
  </si>
  <si>
    <t>Caesarea Philippi</t>
  </si>
  <si>
    <t>Matthew 16:13-20; Luke 9:18-21</t>
  </si>
  <si>
    <t>Mark 8:31-33</t>
  </si>
  <si>
    <t>Matthew 16:21-23; Luke 9:22</t>
  </si>
  <si>
    <t>Mark 9:2-3</t>
  </si>
  <si>
    <t>Matthew 17:2; Luke 9:29; 2 Peter 1:16-18</t>
  </si>
  <si>
    <t>Mark 9:4</t>
  </si>
  <si>
    <t>Matthew 17:3; Luke 9:30-31</t>
  </si>
  <si>
    <t>Mark 9:7</t>
  </si>
  <si>
    <t>Matthew 17:5; Luke 9:35; 2 Peter 1:17-18</t>
  </si>
  <si>
    <t>Mark 9:14-29</t>
  </si>
  <si>
    <t>Matthew 17:14-21; Luke 9:37-43</t>
  </si>
  <si>
    <t>Jesus again predicts His death and resurrection</t>
  </si>
  <si>
    <t>Mark 9:30-32</t>
  </si>
  <si>
    <t>Matthew 17:22-23; Luke 9:43-45</t>
  </si>
  <si>
    <t>Jesus third prediction of His death and resurrection</t>
  </si>
  <si>
    <t>Mark 10:32-34</t>
  </si>
  <si>
    <t>On the way to Jerusalem</t>
  </si>
  <si>
    <t>Matthew 20:17-19; Luke 18:31-34</t>
  </si>
  <si>
    <t>Jesus heals blind Bartimaeus</t>
  </si>
  <si>
    <t>Mark 10:46-52</t>
  </si>
  <si>
    <t>Matthew 20:29-34; Luke 18:35-43</t>
  </si>
  <si>
    <t>Jesus predicts the destruction of the temple</t>
  </si>
  <si>
    <t>Mark 13:1-2</t>
  </si>
  <si>
    <t>Matthew 24:1-2; Luke 21:5-6</t>
  </si>
  <si>
    <t>Jesus gives the Olivet Discourse</t>
  </si>
  <si>
    <t>Mark 13:3-37</t>
  </si>
  <si>
    <t>Matthew 24:3-51; Luke 21:7-36</t>
  </si>
  <si>
    <t>Mark 14:17-21</t>
  </si>
  <si>
    <t>Matthew 26:20-25; Luke 22:21-23; John 13:21-30</t>
  </si>
  <si>
    <t>Mark 14:22-25</t>
  </si>
  <si>
    <t>Matthew 26:26-29; Luke 22:14-20; 1 Corinthians 11:23-26</t>
  </si>
  <si>
    <t>Mark 14:27-31</t>
  </si>
  <si>
    <t>Matthew 26:31-35; Luke 22:31-34; John 13:36-38</t>
  </si>
  <si>
    <t>Jesus prays in Gethsemane</t>
  </si>
  <si>
    <t>Mark 14:32-42</t>
  </si>
  <si>
    <t>Matthew 26:36-46; Luke 22:39-46</t>
  </si>
  <si>
    <t>Jesus heals the high priest's servant's ear</t>
  </si>
  <si>
    <t>Mark 14:47</t>
  </si>
  <si>
    <t>Matthew 26:51; Luke 22:50-51; John 18:10-11</t>
  </si>
  <si>
    <t>Mark 15:33</t>
  </si>
  <si>
    <t>Matthew 27:45; Luke 23:44-45; Amos 8:9</t>
  </si>
  <si>
    <t>Jesus cries out to God from the cross</t>
  </si>
  <si>
    <t>Mark 15:34</t>
  </si>
  <si>
    <t>Matthew 27:46; Psalm 22:1</t>
  </si>
  <si>
    <t>Mark 15:38</t>
  </si>
  <si>
    <t>Matthew 27:51; Luke 23:45; Hebrews 10:19-20</t>
  </si>
  <si>
    <t>Mark 15:39</t>
  </si>
  <si>
    <t>Matthew 27:54; Luke 23:47</t>
  </si>
  <si>
    <t>Stone is rolled away from tomb</t>
  </si>
  <si>
    <t>Mark 16:4</t>
  </si>
  <si>
    <t>Matthew 28:2; Luke 24:2; John 20:1</t>
  </si>
  <si>
    <t>Angel announces Jesus' resurrection</t>
  </si>
  <si>
    <t>Mark 16:6</t>
  </si>
  <si>
    <t>Matthew 28:5-7; Luke 24:5-7</t>
  </si>
  <si>
    <t>Jesus appears to Mary Magdalene</t>
  </si>
  <si>
    <t>Mark 16:9</t>
  </si>
  <si>
    <t>Matthew 28:9-10; John 20:14-18</t>
  </si>
  <si>
    <t>Jesus appears to two disciples</t>
  </si>
  <si>
    <t>Mark 16:12</t>
  </si>
  <si>
    <t>Road to Emmaus</t>
  </si>
  <si>
    <t>Luke 24:13-35</t>
  </si>
  <si>
    <t>Mark 16:14-18</t>
  </si>
  <si>
    <t>Matthew 28:16-20; Luke 24:36-49; John 20:19-23</t>
  </si>
  <si>
    <t>Jesus ascends to heaven</t>
  </si>
  <si>
    <t>Mark 16:19</t>
  </si>
  <si>
    <t>Ascension</t>
  </si>
  <si>
    <t>Luke 24:50-53; Acts 1:9-11</t>
  </si>
  <si>
    <t>Disciples perform signs and wonders</t>
  </si>
  <si>
    <t>Mark 16:20</t>
  </si>
  <si>
    <t>c. 33 AD onward</t>
  </si>
  <si>
    <t>Disciples</t>
  </si>
  <si>
    <t>Acts 2:43; 5:12; Hebrews 2:3-4</t>
  </si>
  <si>
    <t>Luke:</t>
  </si>
  <si>
    <t>a comprehensive table of miracles, acts of God, and divine communications in the Gospel of Luke, ordered by scripture reference and including cross-references to other biblical passages.</t>
  </si>
  <si>
    <t>Key Features of Luke's Gospel:</t>
  </si>
  <si>
    <t>Unique Miracles Found Only in Luke:</t>
  </si>
  <si>
    <t>Angel Gabriel's appearances to Zechariah and Mary</t>
  </si>
  <si>
    <t>Jesus raising the widow's son at Nain</t>
  </si>
  <si>
    <t>Healing the woman crippled by a spirit</t>
  </si>
  <si>
    <t>Healing the man with dropsy</t>
  </si>
  <si>
    <t>Healing ten lepers (with only one returning to thank Jesus)</t>
  </si>
  <si>
    <t>Healing the high priest's servant's ear</t>
  </si>
  <si>
    <t>Luke's Special Emphases:</t>
  </si>
  <si>
    <r>
      <t>Medical Precision</t>
    </r>
    <r>
      <rPr>
        <sz val="11"/>
        <color theme="1"/>
        <rFont val="Calibri"/>
        <family val="2"/>
        <scheme val="minor"/>
      </rPr>
      <t>: As a physician, Luke provides detailed descriptions of illnesses and healings</t>
    </r>
  </si>
  <si>
    <r>
      <t>Universal Salvation</t>
    </r>
    <r>
      <rPr>
        <sz val="11"/>
        <color theme="1"/>
        <rFont val="Calibri"/>
        <family val="2"/>
        <scheme val="minor"/>
      </rPr>
      <t>: Emphasizes Jesus came for all people - Jews, Gentiles, women, poor, outcasts</t>
    </r>
  </si>
  <si>
    <r>
      <t>Holy Spirit Activity</t>
    </r>
    <r>
      <rPr>
        <sz val="11"/>
        <color theme="1"/>
        <rFont val="Calibri"/>
        <family val="2"/>
        <scheme val="minor"/>
      </rPr>
      <t>: More references to the Spirit's work than other Gospels</t>
    </r>
  </si>
  <si>
    <r>
      <t>Prayer Life</t>
    </r>
    <r>
      <rPr>
        <sz val="11"/>
        <color theme="1"/>
        <rFont val="Calibri"/>
        <family val="2"/>
        <scheme val="minor"/>
      </rPr>
      <t>: Unique focus on Jesus' prayer life and teaching on prayer</t>
    </r>
  </si>
  <si>
    <r>
      <t>Birth Narratives</t>
    </r>
    <r>
      <rPr>
        <sz val="11"/>
        <color theme="1"/>
        <rFont val="Calibri"/>
        <family val="2"/>
        <scheme val="minor"/>
      </rPr>
      <t>: Most comprehensive account of Jesus' birth and John the Baptist's birth</t>
    </r>
  </si>
  <si>
    <t>Literary Characteristics:</t>
  </si>
  <si>
    <t>Most historically precise Gospel with careful chronological details</t>
  </si>
  <si>
    <t>Written for a Greek audience (Theophilus)</t>
  </si>
  <si>
    <t>Emphasizes joy, praise, and celebration throughout</t>
  </si>
  <si>
    <t>Strong focus on social justice and God's concern for the marginalized</t>
  </si>
  <si>
    <t>Luke's Gospel contains the most complete supernatural narrative from Jesus' birth announcement through His ascension, demonstrating His divine authority while emphasizing His compassionate ministry to all people.</t>
  </si>
  <si>
    <r>
      <t>Note:</t>
    </r>
    <r>
      <rPr>
        <sz val="11"/>
        <color theme="1"/>
        <rFont val="Calibri"/>
        <family val="2"/>
        <scheme val="minor"/>
      </rPr>
      <t xml:space="preserve"> Luke provides the most medically precise and historically detailed account of Jesus' miraculous ministry. As a physician, Luke gives careful attention to healing miracles and includes unique miracles not found in other Gospels. The Gospel emphasizes the work of the Holy Spirit and presents Jesus as the universal Savior who brings salvation to all people, regardless of social status or ethnicity.</t>
    </r>
  </si>
  <si>
    <r>
      <t>Social Justice</t>
    </r>
    <r>
      <rPr>
        <sz val="11"/>
        <color theme="1"/>
        <rFont val="Calibri"/>
        <family val="2"/>
        <scheme val="minor"/>
      </rPr>
      <t>: Emphasis on God's concern for the poor and oppressed</t>
    </r>
  </si>
  <si>
    <r>
      <t>Women's Roles</t>
    </r>
    <r>
      <rPr>
        <sz val="11"/>
        <color theme="1"/>
        <rFont val="Calibri"/>
        <family val="2"/>
        <scheme val="minor"/>
      </rPr>
      <t>: Prominent place given to women throughout the Gospel</t>
    </r>
  </si>
  <si>
    <r>
      <t>Resurrection Appearances</t>
    </r>
    <r>
      <rPr>
        <sz val="11"/>
        <color theme="1"/>
        <rFont val="Calibri"/>
        <family val="2"/>
        <scheme val="minor"/>
      </rPr>
      <t>: Most comprehensive post-resurrection narrative</t>
    </r>
  </si>
  <si>
    <r>
      <t>Birth of John the Baptist</t>
    </r>
    <r>
      <rPr>
        <sz val="11"/>
        <color theme="1"/>
        <rFont val="Calibri"/>
        <family val="2"/>
        <scheme val="minor"/>
      </rPr>
      <t>: Only Gospel with detailed account</t>
    </r>
  </si>
  <si>
    <r>
      <t>Audience</t>
    </r>
    <r>
      <rPr>
        <sz val="11"/>
        <color theme="1"/>
        <rFont val="Calibri"/>
        <family val="2"/>
        <scheme val="minor"/>
      </rPr>
      <t>: Theophilus and Greek-speaking Christians</t>
    </r>
  </si>
  <si>
    <r>
      <t>Religious Condition</t>
    </r>
    <r>
      <rPr>
        <sz val="11"/>
        <color theme="1"/>
        <rFont val="Calibri"/>
        <family val="2"/>
        <scheme val="minor"/>
      </rPr>
      <t>: Jewish expectation of Messiah, Temple worship</t>
    </r>
  </si>
  <si>
    <r>
      <t>Political Situation</t>
    </r>
    <r>
      <rPr>
        <sz val="11"/>
        <color theme="1"/>
        <rFont val="Calibri"/>
        <family val="2"/>
        <scheme val="minor"/>
      </rPr>
      <t>: Roman Empire under Augustus and Tiberius</t>
    </r>
  </si>
  <si>
    <r>
      <t>Time Period</t>
    </r>
    <r>
      <rPr>
        <sz val="11"/>
        <color theme="1"/>
        <rFont val="Calibri"/>
        <family val="2"/>
        <scheme val="minor"/>
      </rPr>
      <t>: c. 6 BC - 33 AD (from John's birth announcement to Jesus' ascension)</t>
    </r>
  </si>
  <si>
    <r>
      <t>Prophetic Inspirations</t>
    </r>
    <r>
      <rPr>
        <sz val="11"/>
        <color theme="1"/>
        <rFont val="Calibri"/>
        <family val="2"/>
        <scheme val="minor"/>
      </rPr>
      <t>: Songs and prophecies through various individuals</t>
    </r>
  </si>
  <si>
    <r>
      <t>Resurrection Appearances</t>
    </r>
    <r>
      <rPr>
        <sz val="11"/>
        <color theme="1"/>
        <rFont val="Calibri"/>
        <family val="2"/>
        <scheme val="minor"/>
      </rPr>
      <t>: Comprehensive accounts of post-resurrection encounters</t>
    </r>
  </si>
  <si>
    <r>
      <t>Healing Miracles</t>
    </r>
    <r>
      <rPr>
        <sz val="11"/>
        <color theme="1"/>
        <rFont val="Calibri"/>
        <family val="2"/>
        <scheme val="minor"/>
      </rPr>
      <t>: Detailed medical descriptions of healings</t>
    </r>
  </si>
  <si>
    <r>
      <t>Holy Spirit Activity</t>
    </r>
    <r>
      <rPr>
        <sz val="11"/>
        <color theme="1"/>
        <rFont val="Calibri"/>
        <family val="2"/>
        <scheme val="minor"/>
      </rPr>
      <t>: Extensive role of Spirit in conception, baptism, ministry</t>
    </r>
  </si>
  <si>
    <r>
      <t>Angelic Appearances</t>
    </r>
    <r>
      <rPr>
        <sz val="11"/>
        <color theme="1"/>
        <rFont val="Calibri"/>
        <family val="2"/>
        <scheme val="minor"/>
      </rPr>
      <t>: Frequent angelic visitations and announcements</t>
    </r>
  </si>
  <si>
    <r>
      <t>Travel Narrative</t>
    </r>
    <r>
      <rPr>
        <sz val="11"/>
        <color theme="1"/>
        <rFont val="Calibri"/>
        <family val="2"/>
        <scheme val="minor"/>
      </rPr>
      <t>: Extended section on Jesus' journey to Jerusalem (9:51-19:44)</t>
    </r>
  </si>
  <si>
    <r>
      <t>Birth Narratives</t>
    </r>
    <r>
      <rPr>
        <sz val="11"/>
        <color theme="1"/>
        <rFont val="Calibri"/>
        <family val="2"/>
        <scheme val="minor"/>
      </rPr>
      <t>: Most detailed account of Jesus' birth and early life</t>
    </r>
  </si>
  <si>
    <r>
      <t>Gentile Perspective</t>
    </r>
    <r>
      <rPr>
        <sz val="11"/>
        <color theme="1"/>
        <rFont val="Calibri"/>
        <family val="2"/>
        <scheme val="minor"/>
      </rPr>
      <t>: Written for Greek audience, emphasizing Jesus' universal mission</t>
    </r>
  </si>
  <si>
    <r>
      <t>Medical Terminology</t>
    </r>
    <r>
      <rPr>
        <sz val="11"/>
        <color theme="1"/>
        <rFont val="Calibri"/>
        <family val="2"/>
        <scheme val="minor"/>
      </rPr>
      <t>: Reflects Luke's background as a physician</t>
    </r>
  </si>
  <si>
    <r>
      <t>Historical Precision</t>
    </r>
    <r>
      <rPr>
        <sz val="11"/>
        <color theme="1"/>
        <rFont val="Calibri"/>
        <family val="2"/>
        <scheme val="minor"/>
      </rPr>
      <t>: Careful attention to historical details and chronology</t>
    </r>
  </si>
  <si>
    <r>
      <t>Joy and Praise</t>
    </r>
    <r>
      <rPr>
        <sz val="11"/>
        <color theme="1"/>
        <rFont val="Calibri"/>
        <family val="2"/>
        <scheme val="minor"/>
      </rPr>
      <t>: Gospel filled with songs, celebrations, and expressions of joy</t>
    </r>
  </si>
  <si>
    <r>
      <t>Prayer and the Holy Spirit</t>
    </r>
    <r>
      <rPr>
        <sz val="11"/>
        <color theme="1"/>
        <rFont val="Calibri"/>
        <family val="2"/>
        <scheme val="minor"/>
      </rPr>
      <t>: Extensive emphasis on Jesus' prayer life and Spirit's work</t>
    </r>
  </si>
  <si>
    <r>
      <t>Compassion for the Marginalized</t>
    </r>
    <r>
      <rPr>
        <sz val="11"/>
        <color theme="1"/>
        <rFont val="Calibri"/>
        <family val="2"/>
        <scheme val="minor"/>
      </rPr>
      <t>: Focus on women, poor, outcasts, and foreigners</t>
    </r>
  </si>
  <si>
    <r>
      <t>Jesus as Savior of All People</t>
    </r>
    <r>
      <rPr>
        <sz val="11"/>
        <color theme="1"/>
        <rFont val="Calibri"/>
        <family val="2"/>
        <scheme val="minor"/>
      </rPr>
      <t>: Emphasizes universal salvation for Jews and Gentiles</t>
    </r>
  </si>
  <si>
    <t>Key Characteristics of the Gospel of Luke</t>
  </si>
  <si>
    <t>Mark 16:19; Acts 1:9-11</t>
  </si>
  <si>
    <t>Luke 24:50-53</t>
  </si>
  <si>
    <t>Jesus ascends into heaven</t>
  </si>
  <si>
    <t>Matthew 28:16-20; Mark 16:14-18; John 20:19-23</t>
  </si>
  <si>
    <t>Luke 24:36-49</t>
  </si>
  <si>
    <t>Jesus appears to the disciples in Jerusalem</t>
  </si>
  <si>
    <t>Mark 16:12-13</t>
  </si>
  <si>
    <t>Emmaus</t>
  </si>
  <si>
    <t>Jesus appears to two disciples on Emmaus road</t>
  </si>
  <si>
    <t>Matthew 28:5-7; Mark 16:6; John 20:11-18</t>
  </si>
  <si>
    <t>Luke 24:5-7</t>
  </si>
  <si>
    <t>Matthew 27:54; Mark 15:39</t>
  </si>
  <si>
    <t>Luke 23:47</t>
  </si>
  <si>
    <t>Centurion praises God at Jesus' death</t>
  </si>
  <si>
    <t>Matthew 27:51; Mark 15:38</t>
  </si>
  <si>
    <t>Luke 23:45</t>
  </si>
  <si>
    <t>Matthew 27:45; Mark 15:33</t>
  </si>
  <si>
    <t>Luke 23:44-45</t>
  </si>
  <si>
    <t>Matthew 26:51; Mark 14:47; John 18:10</t>
  </si>
  <si>
    <t>Luke 22:50-51</t>
  </si>
  <si>
    <t>Matthew 26:36-46; Mark 14:32-42</t>
  </si>
  <si>
    <t>Luke 22:43-44</t>
  </si>
  <si>
    <t>Matthew 26:31-35; Mark 14:27-31; John 13:36-38</t>
  </si>
  <si>
    <t>Luke 22:31-34</t>
  </si>
  <si>
    <t>Luke 19:1-10</t>
  </si>
  <si>
    <t>Jesus knows Zacchaeus and calls him down</t>
  </si>
  <si>
    <t>Matthew 20:29-34; Mark 10:46-52</t>
  </si>
  <si>
    <t>Luke 18:35-43</t>
  </si>
  <si>
    <t>Samaria/Galilee border</t>
  </si>
  <si>
    <t>Jesus heals ten lepers</t>
  </si>
  <si>
    <t>Pharisee's house</t>
  </si>
  <si>
    <t>Jesus heals a man with dropsy on Sabbath</t>
  </si>
  <si>
    <t>Jesus heals a woman crippled by a spirit</t>
  </si>
  <si>
    <t>Matthew 9:32-34; Matthew 12:22</t>
  </si>
  <si>
    <t>Luke 11:14</t>
  </si>
  <si>
    <t>Jesus casts out a mute demon</t>
  </si>
  <si>
    <t>Matthew 11:25-27</t>
  </si>
  <si>
    <t>Divine Inspiration</t>
  </si>
  <si>
    <t>Holy Spirit/Jesus</t>
  </si>
  <si>
    <t>Luke 10:21-22</t>
  </si>
  <si>
    <t>Jesus rejoices in the Holy Spirit</t>
  </si>
  <si>
    <t>Luke 10:1, 17-20</t>
  </si>
  <si>
    <t>Jesus sends out the seventy-two with power</t>
  </si>
  <si>
    <t>Matthew 17:14-21; Mark 9:14-29</t>
  </si>
  <si>
    <t>Luke 9:37-43</t>
  </si>
  <si>
    <t>Matthew 17:5; Mark 9:7</t>
  </si>
  <si>
    <t>Luke 9:35</t>
  </si>
  <si>
    <t>Matthew 17:3; Mark 9:4</t>
  </si>
  <si>
    <t>Luke 9:30-31</t>
  </si>
  <si>
    <t>Matthew 17:2; Mark 9:2-3</t>
  </si>
  <si>
    <t>Luke 9:29</t>
  </si>
  <si>
    <t>Matthew 14:13-21; Mark 6:30-44; John 6:1-15</t>
  </si>
  <si>
    <t>Luke 9:10-17</t>
  </si>
  <si>
    <t>Matthew 10:1; Mark 6:7</t>
  </si>
  <si>
    <t>Luke 9:1-2</t>
  </si>
  <si>
    <t>Jesus gives the Twelve power over demons and disease</t>
  </si>
  <si>
    <t>Matthew 9:18-26; Mark 5:21-43</t>
  </si>
  <si>
    <t>Luke 8:40-42, 49-56</t>
  </si>
  <si>
    <t>Matthew 9:20-22; Mark 5:25-34</t>
  </si>
  <si>
    <t>Luke 8:43-48</t>
  </si>
  <si>
    <t>Jesus heals woman with bleeding</t>
  </si>
  <si>
    <t>Matthew 8:28-34; Mark 5:1-20</t>
  </si>
  <si>
    <t>Gerasene country</t>
  </si>
  <si>
    <t>Luke 8:26-39</t>
  </si>
  <si>
    <t>Jesus casts Legion out of demon-possessed man</t>
  </si>
  <si>
    <t>Matthew 8:23-27; Mark 4:35-41</t>
  </si>
  <si>
    <t>Luke 8:22-25</t>
  </si>
  <si>
    <t>1 Kings 17:17-24; 2 Kings 4:32-37</t>
  </si>
  <si>
    <t>Nain</t>
  </si>
  <si>
    <t>Jesus raises the widow's son at Nain</t>
  </si>
  <si>
    <t>Matthew 8:5-13; John 4:46-54</t>
  </si>
  <si>
    <t>Luke 7:1-10</t>
  </si>
  <si>
    <t>Matthew 12:9-14; Mark 3:1-6</t>
  </si>
  <si>
    <t>Luke 6:6-11</t>
  </si>
  <si>
    <t>Jesus heals a man's withered hand on Sabbath</t>
  </si>
  <si>
    <t>Matthew 9:1-8; Mark 2:1-12</t>
  </si>
  <si>
    <t>Luke 5:17-26</t>
  </si>
  <si>
    <t>Matthew 8:1-4; Mark 1:40-45</t>
  </si>
  <si>
    <t>Luke 5:12-16</t>
  </si>
  <si>
    <t>John 21:1-11</t>
  </si>
  <si>
    <t>Miraculous catch of fish</t>
  </si>
  <si>
    <t>Matthew 8:16; Mark 1:32-34</t>
  </si>
  <si>
    <t>Luke 4:40-41</t>
  </si>
  <si>
    <t>Jesus heals many sick and casts out demons</t>
  </si>
  <si>
    <t>Matthew 8:14-15; Mark 1:29-31</t>
  </si>
  <si>
    <t>Luke 4:38-39</t>
  </si>
  <si>
    <t>Jesus casts out unclean spirit</t>
  </si>
  <si>
    <t>Luke 4:28-30</t>
  </si>
  <si>
    <t>Jesus escapes through hostile crowd</t>
  </si>
  <si>
    <t>Isaiah 61:1-2</t>
  </si>
  <si>
    <t>Luke 4:16-21</t>
  </si>
  <si>
    <t>Jesus reads Isaiah prophecy and declares fulfillment</t>
  </si>
  <si>
    <t>Matthew 4:1-11; Mark 1:12-13</t>
  </si>
  <si>
    <t>Luke 4:2-13</t>
  </si>
  <si>
    <t>Matthew 4:1; Mark 1:12</t>
  </si>
  <si>
    <t>Divine Leading</t>
  </si>
  <si>
    <t>Luke 4:1</t>
  </si>
  <si>
    <t>Jesus led by Spirit into wilderness</t>
  </si>
  <si>
    <t>Matthew 3:16; Mark 1:10; John 1:32</t>
  </si>
  <si>
    <t>Luke 3:22</t>
  </si>
  <si>
    <t>Matthew 3:17; Mark 1:11; Psalm 2:7; Isaiah 42:1</t>
  </si>
  <si>
    <t>Luke 2:36-38</t>
  </si>
  <si>
    <t>Anna's prophetic recognition of Jesus</t>
  </si>
  <si>
    <t>Isaiah 49:6</t>
  </si>
  <si>
    <t>Luke 2:25-35</t>
  </si>
  <si>
    <t>Simeon's prophetic recognition of Jesus</t>
  </si>
  <si>
    <t>Heavenly Host</t>
  </si>
  <si>
    <t>Luke 2:13-14</t>
  </si>
  <si>
    <t>Heavenly host appears praising God</t>
  </si>
  <si>
    <t>Luke 2:8-14</t>
  </si>
  <si>
    <t>Angel announces Jesus' birth to shepherds</t>
  </si>
  <si>
    <t>Malachi 3:1, 4:5-6</t>
  </si>
  <si>
    <t>c. 5 BC</t>
  </si>
  <si>
    <t>Judea</t>
  </si>
  <si>
    <t>Luke 1:67-79</t>
  </si>
  <si>
    <t>Zechariah filled with Holy Spirit and prophesies</t>
  </si>
  <si>
    <t>Luke 1:20</t>
  </si>
  <si>
    <t>Luke 1:64</t>
  </si>
  <si>
    <t>Zechariah's speech restored at John's naming</t>
  </si>
  <si>
    <t>1 Samuel 2:1-10</t>
  </si>
  <si>
    <t>Luke 1:46-55</t>
  </si>
  <si>
    <t>Mary's prophetic song (Magnificat)</t>
  </si>
  <si>
    <t>Luke 1:41-45</t>
  </si>
  <si>
    <t>Elizabeth filled with Holy Spirit and prophesies</t>
  </si>
  <si>
    <t>John the Baptist</t>
  </si>
  <si>
    <t>Luke 1:41</t>
  </si>
  <si>
    <t>Elizabeth's baby leaps in the womb</t>
  </si>
  <si>
    <t>Matthew 1:18-25; Isaiah 7:14</t>
  </si>
  <si>
    <t>Luke 1:31, 35</t>
  </si>
  <si>
    <t>Virgin conception of Jesus</t>
  </si>
  <si>
    <t>Angel Gabriel</t>
  </si>
  <si>
    <t>Angel Gabriel announces Jesus' birth to Mary</t>
  </si>
  <si>
    <t>c. 6-5 BC</t>
  </si>
  <si>
    <t>Zechariah struck mute for unbelief</t>
  </si>
  <si>
    <t>Daniel 8:16, 9:21</t>
  </si>
  <si>
    <t>Luke 1:11-20</t>
  </si>
  <si>
    <t>Angel Gabriel appears to Zechariah</t>
  </si>
  <si>
    <t>John:</t>
  </si>
  <si>
    <t>a comprehensive table of miracles, acts of God, and divine communications in the Gospel of John, ordered by scripture reference and including cross-references to other biblical passages.</t>
  </si>
  <si>
    <t>Key Distinctive Features of John's Gospel:</t>
  </si>
  <si>
    <t>The Seven Signs:</t>
  </si>
  <si>
    <t>1. Water to wine (2:1-11)</t>
  </si>
  <si>
    <t>2. Healing the royal official's son (4:46-54)</t>
  </si>
  <si>
    <t>3. Healing the paralytic at Bethesda (5:1-15)</t>
  </si>
  <si>
    <t>4. Feeding the 5,000 (6:1-15)</t>
  </si>
  <si>
    <t>5. Walking on water (6:16-21)</t>
  </si>
  <si>
    <t>6. Healing the man born blind (9:1-41)</t>
  </si>
  <si>
    <t>7. Raising Lazarus (11:17-44)</t>
  </si>
  <si>
    <t>Unique Supernatural Elements:</t>
  </si>
  <si>
    <r>
      <t>Divine Self-Revelations</t>
    </r>
    <r>
      <rPr>
        <sz val="11"/>
        <color theme="1"/>
        <rFont val="Calibri"/>
        <family val="2"/>
        <scheme val="minor"/>
      </rPr>
      <t>: Jesus' "I AM" statements claiming deity</t>
    </r>
  </si>
  <si>
    <r>
      <t>Supernatural Knowledge</t>
    </r>
    <r>
      <rPr>
        <sz val="11"/>
        <color theme="1"/>
        <rFont val="Calibri"/>
        <family val="2"/>
        <scheme val="minor"/>
      </rPr>
      <t>: Jesus' insight into hearts, thoughts, and future events</t>
    </r>
  </si>
  <si>
    <r>
      <t>Divine Protection</t>
    </r>
    <r>
      <rPr>
        <sz val="11"/>
        <color theme="1"/>
        <rFont val="Calibri"/>
        <family val="2"/>
        <scheme val="minor"/>
      </rPr>
      <t>: Jesus' ability to escape hostile situations supernaturally</t>
    </r>
  </si>
  <si>
    <r>
      <t>Post-Resurrection Appearances</t>
    </r>
    <r>
      <rPr>
        <sz val="11"/>
        <color theme="1"/>
        <rFont val="Calibri"/>
        <family val="2"/>
        <scheme val="minor"/>
      </rPr>
      <t>: Detailed accounts with physical manifestations</t>
    </r>
  </si>
  <si>
    <r>
      <t>Theological Emphasis:</t>
    </r>
    <r>
      <rPr>
        <sz val="11"/>
        <color theme="1"/>
        <rFont val="Calibri"/>
        <family val="2"/>
        <scheme val="minor"/>
      </rPr>
      <t xml:space="preserve"> Unlike the Synoptic Gospels, John presents miracles as "signs" (σημεῖα) that point to Jesus' divine identity rather than just acts of compassion. The gospel builds a cumulative case for Jesus' deity through these supernatural works, culminating in the ultimate miracle of resurrection.</t>
    </r>
  </si>
  <si>
    <t>The cross-references show how John's account complements and sometimes provides unique details not found in the other Gospels, making it an essential witness to the supernatural ministry of Jesus Christ.</t>
  </si>
  <si>
    <r>
      <t>Note:</t>
    </r>
    <r>
      <rPr>
        <sz val="11"/>
        <color theme="1"/>
        <rFont val="Calibri"/>
        <family val="2"/>
        <scheme val="minor"/>
      </rPr>
      <t xml:space="preserve"> John's Gospel uniquely emphasizes Jesus' divine nature through carefully selected signs and revelations. Unlike the Synoptic Gospels, John focuses on the theological significance of Jesus' miraculous works, presenting them as signs that reveal His glory and divine identity. The book contains the most explicit claims to deity found in the Gospels and provides the theological foundation for understanding Jesus as both fully God and fully man.</t>
    </r>
  </si>
  <si>
    <r>
      <t>Audience</t>
    </r>
    <r>
      <rPr>
        <sz val="11"/>
        <color theme="1"/>
        <rFont val="Calibri"/>
        <family val="2"/>
        <scheme val="minor"/>
      </rPr>
      <t>: Both Jewish and Gentile readers seeking to understand Jesus' divine identity</t>
    </r>
  </si>
  <si>
    <r>
      <t>Purpose</t>
    </r>
    <r>
      <rPr>
        <sz val="11"/>
        <color theme="1"/>
        <rFont val="Calibri"/>
        <family val="2"/>
        <scheme val="minor"/>
      </rPr>
      <t>: "That you may believe that Jesus is the Christ, the Son of God" (20:31)</t>
    </r>
  </si>
  <si>
    <r>
      <t>Authorship</t>
    </r>
    <r>
      <rPr>
        <sz val="11"/>
        <color theme="1"/>
        <rFont val="Calibri"/>
        <family val="2"/>
        <scheme val="minor"/>
      </rPr>
      <t>: Written by John the Apostle, eyewitness to events</t>
    </r>
  </si>
  <si>
    <r>
      <t>Post-Resurrection Appearances</t>
    </r>
    <r>
      <rPr>
        <sz val="11"/>
        <color theme="1"/>
        <rFont val="Calibri"/>
        <family val="2"/>
        <scheme val="minor"/>
      </rPr>
      <t>: Detailed accounts of Jesus' risen appearances</t>
    </r>
  </si>
  <si>
    <r>
      <t>High Priestly Prayer</t>
    </r>
    <r>
      <rPr>
        <sz val="11"/>
        <color theme="1"/>
        <rFont val="Calibri"/>
        <family val="2"/>
        <scheme val="minor"/>
      </rPr>
      <t>: Intimate glimpse into Jesus' prayer life</t>
    </r>
  </si>
  <si>
    <r>
      <t>Paraclete Teaching</t>
    </r>
    <r>
      <rPr>
        <sz val="11"/>
        <color theme="1"/>
        <rFont val="Calibri"/>
        <family val="2"/>
        <scheme val="minor"/>
      </rPr>
      <t>: Detailed instruction about the Holy Spirit's ministry</t>
    </r>
  </si>
  <si>
    <r>
      <t>Divine Self-Revelation</t>
    </r>
    <r>
      <rPr>
        <sz val="11"/>
        <color theme="1"/>
        <rFont val="Calibri"/>
        <family val="2"/>
        <scheme val="minor"/>
      </rPr>
      <t>: Jesus' clear claims to deity throughout the gospel</t>
    </r>
  </si>
  <si>
    <r>
      <t>Pre-existence</t>
    </r>
    <r>
      <rPr>
        <sz val="11"/>
        <color theme="1"/>
        <rFont val="Calibri"/>
        <family val="2"/>
        <scheme val="minor"/>
      </rPr>
      <t>: Emphasis on Jesus' eternal existence with the Father</t>
    </r>
  </si>
  <si>
    <r>
      <t>Supernatural Protection</t>
    </r>
    <r>
      <rPr>
        <sz val="11"/>
        <color theme="1"/>
        <rFont val="Calibri"/>
        <family val="2"/>
        <scheme val="minor"/>
      </rPr>
      <t>: Jesus' ability to escape hostile situations</t>
    </r>
  </si>
  <si>
    <r>
      <t>Divine Knowledge</t>
    </r>
    <r>
      <rPr>
        <sz val="11"/>
        <color theme="1"/>
        <rFont val="Calibri"/>
        <family val="2"/>
        <scheme val="minor"/>
      </rPr>
      <t>: Jesus' supernatural insight into hearts and future events</t>
    </r>
  </si>
  <si>
    <r>
      <t>Resurrection</t>
    </r>
    <r>
      <rPr>
        <sz val="11"/>
        <color theme="1"/>
        <rFont val="Calibri"/>
        <family val="2"/>
        <scheme val="minor"/>
      </rPr>
      <t>: Central climactic miracle with detailed appearances</t>
    </r>
  </si>
  <si>
    <r>
      <t>Healing Miracles</t>
    </r>
    <r>
      <rPr>
        <sz val="11"/>
        <color theme="1"/>
        <rFont val="Calibri"/>
        <family val="2"/>
        <scheme val="minor"/>
      </rPr>
      <t>: Emphasis on spiritual as well as physical healing</t>
    </r>
  </si>
  <si>
    <r>
      <t>Nature Miracles</t>
    </r>
    <r>
      <rPr>
        <sz val="11"/>
        <color theme="1"/>
        <rFont val="Calibri"/>
        <family val="2"/>
        <scheme val="minor"/>
      </rPr>
      <t>: Water to wine, walking on water, miraculous catches of fish</t>
    </r>
  </si>
  <si>
    <r>
      <t>Divine Incarnation</t>
    </r>
    <r>
      <rPr>
        <sz val="11"/>
        <color theme="1"/>
        <rFont val="Calibri"/>
        <family val="2"/>
        <scheme val="minor"/>
      </rPr>
      <t>: The Word becoming flesh - ultimate supernatural event</t>
    </r>
  </si>
  <si>
    <r>
      <t>Intimate Perspective</t>
    </r>
    <r>
      <rPr>
        <sz val="11"/>
        <color theme="1"/>
        <rFont val="Calibri"/>
        <family val="2"/>
        <scheme val="minor"/>
      </rPr>
      <t>: Written by "the disciple whom Jesus loved"</t>
    </r>
  </si>
  <si>
    <r>
      <t>Theological Focus</t>
    </r>
    <r>
      <rPr>
        <sz val="11"/>
        <color theme="1"/>
        <rFont val="Calibri"/>
        <family val="2"/>
        <scheme val="minor"/>
      </rPr>
      <t>: More theological than chronological presentation</t>
    </r>
  </si>
  <si>
    <r>
      <t>Symbolic Language</t>
    </r>
    <r>
      <rPr>
        <sz val="11"/>
        <color theme="1"/>
        <rFont val="Calibri"/>
        <family val="2"/>
        <scheme val="minor"/>
      </rPr>
      <t>: Rich use of metaphors (water, bread, light, shepherd, vine)</t>
    </r>
  </si>
  <si>
    <r>
      <t>Seven Signs</t>
    </r>
    <r>
      <rPr>
        <sz val="11"/>
        <color theme="1"/>
        <rFont val="Calibri"/>
        <family val="2"/>
        <scheme val="minor"/>
      </rPr>
      <t>: Carefully selected miracles that reveal Jesus' glory</t>
    </r>
  </si>
  <si>
    <r>
      <t>Seven "I AM" Statements</t>
    </r>
    <r>
      <rPr>
        <sz val="11"/>
        <color theme="1"/>
        <rFont val="Calibri"/>
        <family val="2"/>
        <scheme val="minor"/>
      </rPr>
      <t>: Jesus' divine self-revelations using God's covenant name</t>
    </r>
  </si>
  <si>
    <r>
      <t>Love</t>
    </r>
    <r>
      <rPr>
        <sz val="11"/>
        <color theme="1"/>
        <rFont val="Calibri"/>
        <family val="2"/>
        <scheme val="minor"/>
      </rPr>
      <t>: God's love demonstrated through Jesus and commanded for believers</t>
    </r>
  </si>
  <si>
    <r>
      <t>Light vs. Darkness</t>
    </r>
    <r>
      <rPr>
        <sz val="11"/>
        <color theme="1"/>
        <rFont val="Calibri"/>
        <family val="2"/>
        <scheme val="minor"/>
      </rPr>
      <t>: Spiritual themes of truth, revelation, and spiritual blindness</t>
    </r>
  </si>
  <si>
    <r>
      <t>Signs and Belief</t>
    </r>
    <r>
      <rPr>
        <sz val="11"/>
        <color theme="1"/>
        <rFont val="Calibri"/>
        <family val="2"/>
        <scheme val="minor"/>
      </rPr>
      <t>: Miracles presented as signs pointing to Jesus' identity</t>
    </r>
  </si>
  <si>
    <r>
      <t>Eternal Life</t>
    </r>
    <r>
      <rPr>
        <sz val="11"/>
        <color theme="1"/>
        <rFont val="Calibri"/>
        <family val="2"/>
        <scheme val="minor"/>
      </rPr>
      <t>: Central focus on salvation and spiritual rebirth</t>
    </r>
  </si>
  <si>
    <r>
      <t>Jesus as the Son of God</t>
    </r>
    <r>
      <rPr>
        <sz val="11"/>
        <color theme="1"/>
        <rFont val="Calibri"/>
        <family val="2"/>
        <scheme val="minor"/>
      </rPr>
      <t>: Emphasis on Jesus' divine nature and identity</t>
    </r>
  </si>
  <si>
    <t>Key Characteristics of the Gospel of John</t>
  </si>
  <si>
    <t>The Word becomes flesh (Incarnation)</t>
  </si>
  <si>
    <t>John 1:1-18</t>
  </si>
  <si>
    <t>Jesus/Word</t>
  </si>
  <si>
    <t>Matthew 1:18-25; Luke 1:26-38; Philippians 2:6-8</t>
  </si>
  <si>
    <t>John the Baptist sees the Spirit descend on Jesus</t>
  </si>
  <si>
    <t>John 1:32-34</t>
  </si>
  <si>
    <t>Matthew 3:16; Mark 1:10; Luke 3:22</t>
  </si>
  <si>
    <t>Jesus turns water into wine at Cana</t>
  </si>
  <si>
    <t>Cana in Galilee</t>
  </si>
  <si>
    <t>Jesus predicts His resurrection (temple saying)</t>
  </si>
  <si>
    <t>John 2:19-22</t>
  </si>
  <si>
    <t>Matthew 26:61; Mark 14:58</t>
  </si>
  <si>
    <t>Jesus demonstrates supernatural knowledge of Nicodemus</t>
  </si>
  <si>
    <t>John 3:1-21</t>
  </si>
  <si>
    <t>Jesus reveals supernatural knowledge of the Samaritan woman</t>
  </si>
  <si>
    <t>John 4:16-19, 25-26</t>
  </si>
  <si>
    <t>Sychar, Samaria</t>
  </si>
  <si>
    <t>Jesus heals the royal official's son</t>
  </si>
  <si>
    <t>Matthew 8:5-13; Luke 7:1-10</t>
  </si>
  <si>
    <t>Jesus heals the paralytic at Bethesda</t>
  </si>
  <si>
    <t>John 5:1-15</t>
  </si>
  <si>
    <t>John 6:1-15</t>
  </si>
  <si>
    <t>Near Sea of Galilee</t>
  </si>
  <si>
    <t>Matthew 14:13-21; Mark 6:30-44; Luke 9:10-17</t>
  </si>
  <si>
    <t>John 6:16-21</t>
  </si>
  <si>
    <t>Matthew 14:22-33; Mark 6:45-52</t>
  </si>
  <si>
    <t>Jesus claims divine origin and authority</t>
  </si>
  <si>
    <t>John 6:35-71</t>
  </si>
  <si>
    <t>Jesus demonstrates knowledge of hidden thoughts</t>
  </si>
  <si>
    <t>John 6:64</t>
  </si>
  <si>
    <t>Jesus declares His pre-existence before Abraham</t>
  </si>
  <si>
    <t>John 8:58</t>
  </si>
  <si>
    <t>Exodus 3:14</t>
  </si>
  <si>
    <t>Jesus escapes from hostile crowd supernaturally</t>
  </si>
  <si>
    <t>Luke 4:29-30</t>
  </si>
  <si>
    <t>Jesus heals a man born blind</t>
  </si>
  <si>
    <t>Jesus declares Himself the Good Shepherd</t>
  </si>
  <si>
    <t>John 10:11-18</t>
  </si>
  <si>
    <t>Psalm 23; Ezekiel 34:11-16</t>
  </si>
  <si>
    <t>Jesus escapes arrest attempt supernaturally</t>
  </si>
  <si>
    <t>John 10:39</t>
  </si>
  <si>
    <t>Jesus receives word about Lazarus supernaturally</t>
  </si>
  <si>
    <t>John 11:4, 11-14</t>
  </si>
  <si>
    <t>Perea</t>
  </si>
  <si>
    <t>Jesus raises Lazarus from the dead</t>
  </si>
  <si>
    <t>John 11:17-44</t>
  </si>
  <si>
    <t>Voice from heaven responds to Jesus</t>
  </si>
  <si>
    <t>John 12:28-30</t>
  </si>
  <si>
    <t>Matthew 3:17; 17:5; Mark 1:11; 9:7</t>
  </si>
  <si>
    <t>Jesus predicts His crucifixion method</t>
  </si>
  <si>
    <t>John 12:32-33</t>
  </si>
  <si>
    <t>Matthew 20:19; Mark 10:33-34</t>
  </si>
  <si>
    <t>Jesus demonstrates divine knowledge of disciples' hearts</t>
  </si>
  <si>
    <t>John 13:1-3</t>
  </si>
  <si>
    <t>Jesus washes disciples' feet as prophetic act</t>
  </si>
  <si>
    <t>John 13:4-17</t>
  </si>
  <si>
    <t>Prophetic Sign</t>
  </si>
  <si>
    <t>Jesus predicts Judas' betrayal</t>
  </si>
  <si>
    <t>John 13:18-30</t>
  </si>
  <si>
    <t>Matthew 26:20-25; Mark 14:17-21; Luke 22:21-23</t>
  </si>
  <si>
    <t>John 13:36-38</t>
  </si>
  <si>
    <t>Matthew 26:31-35; Mark 14:27-31; Luke 22:31-34</t>
  </si>
  <si>
    <t>Jesus promises the Holy Spirit</t>
  </si>
  <si>
    <t>John 14:16-17, 26</t>
  </si>
  <si>
    <t>Acts 1:4-5; 2:1-4</t>
  </si>
  <si>
    <t>Jesus reveals divine unity with the Father</t>
  </si>
  <si>
    <t>John 14:8-11</t>
  </si>
  <si>
    <t>John 10:30; Colossians 1:15</t>
  </si>
  <si>
    <t>Jesus promises answered prayer in His name</t>
  </si>
  <si>
    <t>John 14:13-14</t>
  </si>
  <si>
    <t>Matthew 7:7; Mark 11:24</t>
  </si>
  <si>
    <t>Jesus predicts the Spirit's ministry</t>
  </si>
  <si>
    <t>John 16:7-15</t>
  </si>
  <si>
    <t>Acts 2:1-4; 1 Corinthians 2:10-16</t>
  </si>
  <si>
    <t>Jesus' high priestly prayer</t>
  </si>
  <si>
    <t>John 17:1-26</t>
  </si>
  <si>
    <t>Hebrews 7:25</t>
  </si>
  <si>
    <t>Roman soldiers fall backward at Jesus' words</t>
  </si>
  <si>
    <t>John 18:4-6</t>
  </si>
  <si>
    <t>Jesus heals Malchus' ear</t>
  </si>
  <si>
    <t>John 18:10-11</t>
  </si>
  <si>
    <t>Matthew 26:51; Mark 14:47; Luke 22:50-51</t>
  </si>
  <si>
    <t>Jesus demonstrates supernatural knowledge during trial</t>
  </si>
  <si>
    <t>John 18:37</t>
  </si>
  <si>
    <t>Jesus commits His mother to John's care</t>
  </si>
  <si>
    <t>John 19:26-27</t>
  </si>
  <si>
    <t>Jesus declares "It is finished"</t>
  </si>
  <si>
    <t>John 19:30</t>
  </si>
  <si>
    <t>Blood and water flow from Jesus' pierced side</t>
  </si>
  <si>
    <t>John 19:34</t>
  </si>
  <si>
    <t>1 John 5:6-8; Zechariah 12:10</t>
  </si>
  <si>
    <t>John 20:1-10</t>
  </si>
  <si>
    <t>Matthew 28:1-10; Mark 16:1-8; Luke 24:1-12</t>
  </si>
  <si>
    <t>John 20:11-18</t>
  </si>
  <si>
    <t>Matthew 28:9-10; Mark 16:9</t>
  </si>
  <si>
    <t>Jesus appears to disciples through locked doors</t>
  </si>
  <si>
    <t>John 20:19-23</t>
  </si>
  <si>
    <t>Mark 16:14; Luke 24:36-43</t>
  </si>
  <si>
    <t>Jesus appears to Thomas</t>
  </si>
  <si>
    <t>John 20:24-29</t>
  </si>
  <si>
    <t>Jesus provides miraculous catch of fish</t>
  </si>
  <si>
    <t>Jesus predicts Peter's martyrdom</t>
  </si>
  <si>
    <t>John 21:18-19</t>
  </si>
  <si>
    <t>2 Peter 1:14</t>
  </si>
  <si>
    <t>Jesus makes prophetic statement about John's future</t>
  </si>
  <si>
    <t>John 21:22-23</t>
  </si>
  <si>
    <t>Revelation 1:1-2</t>
  </si>
  <si>
    <t>Acts:</t>
  </si>
  <si>
    <t>a comprehensive table of miracles, acts of God, and divine communications in the Book of Acts, ordered by scripture reference and including cross-references to other biblical passages.</t>
  </si>
  <si>
    <t>The Book of Acts is particularly rich in supernatural events, demonstrating:</t>
  </si>
  <si>
    <r>
      <t>Holy Spirit Manifestations</t>
    </r>
    <r>
      <rPr>
        <sz val="11"/>
        <color theme="1"/>
        <rFont val="Calibri"/>
        <family val="2"/>
        <scheme val="minor"/>
      </rPr>
      <t>: Pentecost, tongues, divine outpourings</t>
    </r>
  </si>
  <si>
    <r>
      <t>Healing Miracles</t>
    </r>
    <r>
      <rPr>
        <sz val="11"/>
        <color theme="1"/>
        <rFont val="Calibri"/>
        <family val="2"/>
        <scheme val="minor"/>
      </rPr>
      <t>: Physical healings through the apostles</t>
    </r>
  </si>
  <si>
    <r>
      <t>Divine Deliverances</t>
    </r>
    <r>
      <rPr>
        <sz val="11"/>
        <color theme="1"/>
        <rFont val="Calibri"/>
        <family val="2"/>
        <scheme val="minor"/>
      </rPr>
      <t>: Prison escapes through angelic intervention</t>
    </r>
  </si>
  <si>
    <r>
      <t>Resurrection Miracles</t>
    </r>
    <r>
      <rPr>
        <sz val="11"/>
        <color theme="1"/>
        <rFont val="Calibri"/>
        <family val="2"/>
        <scheme val="minor"/>
      </rPr>
      <t>: Raising the dead (Tabitha, Eutychus)</t>
    </r>
  </si>
  <si>
    <r>
      <t>Divine Visions</t>
    </r>
    <r>
      <rPr>
        <sz val="11"/>
        <color theme="1"/>
        <rFont val="Calibri"/>
        <family val="2"/>
        <scheme val="minor"/>
      </rPr>
      <t>: God directing the church's mission</t>
    </r>
  </si>
  <si>
    <r>
      <t>Divine Judgment</t>
    </r>
    <r>
      <rPr>
        <sz val="11"/>
        <color theme="1"/>
        <rFont val="Calibri"/>
        <family val="2"/>
        <scheme val="minor"/>
      </rPr>
      <t>: God's intervention against opposition (Ananias/Sapphira, Herod)</t>
    </r>
  </si>
  <si>
    <r>
      <t>Divine Protection</t>
    </r>
    <r>
      <rPr>
        <sz val="11"/>
        <color theme="1"/>
        <rFont val="Calibri"/>
        <family val="2"/>
        <scheme val="minor"/>
      </rPr>
      <t>: Supernatural preservation from harm</t>
    </r>
  </si>
  <si>
    <t>Acts records the most diverse collection of miracles in the New Testament</t>
  </si>
  <si>
    <t>Shows the transition from Jesus' ministry to the apostolic church</t>
  </si>
  <si>
    <t>Demonstrates the Holy Spirit's power working through ordinary believers</t>
  </si>
  <si>
    <t>Records the expansion of Christianity from Jerusalem to the Roman Empire</t>
  </si>
  <si>
    <t>Contains unique miracles not found elsewhere (Pentecost, Paul's transportation, etc.)</t>
  </si>
  <si>
    <t>The cross-references show how Acts connects with both Old Testament precedents and New Testament teachings. The book serves as a bridge showing how the promises Jesus made to His disciples were fulfilled through the power of the Holy Spirit in the early church.</t>
  </si>
  <si>
    <r>
      <t>Note:</t>
    </r>
    <r>
      <rPr>
        <sz val="11"/>
        <color theme="1"/>
        <rFont val="Calibri"/>
        <family val="2"/>
        <scheme val="minor"/>
      </rPr>
      <t xml:space="preserve"> Acts demonstrates the supernatural power available to the early church through the Holy Spirit. The book records numerous miracles that parallel and even exceed those in Jesus' ministry, showing that His followers continued His work with divine authority. The emphasis is on God's active involvement in spreading the Gospel message to all nations through supernatural signs, wonders, and divine guidance.</t>
    </r>
  </si>
  <si>
    <r>
      <t>Divine Validation</t>
    </r>
    <r>
      <rPr>
        <sz val="11"/>
        <color theme="1"/>
        <rFont val="Calibri"/>
        <family val="2"/>
        <scheme val="minor"/>
      </rPr>
      <t>: Miracles confirming the apostolic message</t>
    </r>
  </si>
  <si>
    <r>
      <t>Church Establishment</t>
    </r>
    <r>
      <rPr>
        <sz val="11"/>
        <color theme="1"/>
        <rFont val="Calibri"/>
        <family val="2"/>
        <scheme val="minor"/>
      </rPr>
      <t>: Foundation of Christian communities worldwide</t>
    </r>
  </si>
  <si>
    <r>
      <t>Universal Gospel</t>
    </r>
    <r>
      <rPr>
        <sz val="11"/>
        <color theme="1"/>
        <rFont val="Calibri"/>
        <family val="2"/>
        <scheme val="minor"/>
      </rPr>
      <t>: Breaking down ethnic and cultural barriers</t>
    </r>
  </si>
  <si>
    <r>
      <t>Fulfillment of Jesus' Promise</t>
    </r>
    <r>
      <rPr>
        <sz val="11"/>
        <color theme="1"/>
        <rFont val="Calibri"/>
        <family val="2"/>
        <scheme val="minor"/>
      </rPr>
      <t>: "You will receive power when the Holy Spirit comes" (Acts 1:8)</t>
    </r>
  </si>
  <si>
    <r>
      <t>Geographic Scope</t>
    </r>
    <r>
      <rPr>
        <sz val="11"/>
        <color theme="1"/>
        <rFont val="Calibri"/>
        <family val="2"/>
        <scheme val="minor"/>
      </rPr>
      <t>: From Jerusalem through Asia Minor to Rome</t>
    </r>
  </si>
  <si>
    <r>
      <t>Religious Context</t>
    </r>
    <r>
      <rPr>
        <sz val="11"/>
        <color theme="1"/>
        <rFont val="Calibri"/>
        <family val="2"/>
        <scheme val="minor"/>
      </rPr>
      <t>: Transition from Judaism to Christianity</t>
    </r>
  </si>
  <si>
    <r>
      <t>Political Situation</t>
    </r>
    <r>
      <rPr>
        <sz val="11"/>
        <color theme="1"/>
        <rFont val="Calibri"/>
        <family val="2"/>
        <scheme val="minor"/>
      </rPr>
      <t>: Roman Empire providing roads and peace for Gospel spread</t>
    </r>
  </si>
  <si>
    <r>
      <t>Time Period</t>
    </r>
    <r>
      <rPr>
        <sz val="11"/>
        <color theme="1"/>
        <rFont val="Calibri"/>
        <family val="2"/>
        <scheme val="minor"/>
      </rPr>
      <t>: c. 33-62 AD (30 years of early church history)</t>
    </r>
  </si>
  <si>
    <r>
      <t>Resurrection Miracles</t>
    </r>
    <r>
      <rPr>
        <sz val="11"/>
        <color theme="1"/>
        <rFont val="Calibri"/>
        <family val="2"/>
        <scheme val="minor"/>
      </rPr>
      <t>: Raising the dead demonstrating power over death</t>
    </r>
  </si>
  <si>
    <r>
      <t>Divine Judgment</t>
    </r>
    <r>
      <rPr>
        <sz val="11"/>
        <color theme="1"/>
        <rFont val="Calibri"/>
        <family val="2"/>
        <scheme val="minor"/>
      </rPr>
      <t>: God's intervention against those opposing His work</t>
    </r>
  </si>
  <si>
    <r>
      <t>Prison Deliverances</t>
    </r>
    <r>
      <rPr>
        <sz val="11"/>
        <color theme="1"/>
        <rFont val="Calibri"/>
        <family val="2"/>
        <scheme val="minor"/>
      </rPr>
      <t>: Miraculous escapes demonstrating God's protection</t>
    </r>
  </si>
  <si>
    <r>
      <t>Divine Visions</t>
    </r>
    <r>
      <rPr>
        <sz val="11"/>
        <color theme="1"/>
        <rFont val="Calibri"/>
        <family val="2"/>
        <scheme val="minor"/>
      </rPr>
      <t>: God directing the mission through supernatural revelation</t>
    </r>
  </si>
  <si>
    <r>
      <t>Healing Miracles</t>
    </r>
    <r>
      <rPr>
        <sz val="11"/>
        <color theme="1"/>
        <rFont val="Calibri"/>
        <family val="2"/>
        <scheme val="minor"/>
      </rPr>
      <t>: Physical healings confirming the Gospel message</t>
    </r>
  </si>
  <si>
    <r>
      <t>Pentecostal Outpouring</t>
    </r>
    <r>
      <rPr>
        <sz val="11"/>
        <color theme="1"/>
        <rFont val="Calibri"/>
        <family val="2"/>
        <scheme val="minor"/>
      </rPr>
      <t>: Initial filling and subsequent outpourings of the Holy Spirit</t>
    </r>
  </si>
  <si>
    <r>
      <t>Speeches and Sermons</t>
    </r>
    <r>
      <rPr>
        <sz val="11"/>
        <color theme="1"/>
        <rFont val="Calibri"/>
        <family val="2"/>
        <scheme val="minor"/>
      </rPr>
      <t>: Key proclamations of the Gospel message</t>
    </r>
  </si>
  <si>
    <r>
      <t>Missionary Journeys</t>
    </r>
    <r>
      <rPr>
        <sz val="11"/>
        <color theme="1"/>
        <rFont val="Calibri"/>
        <family val="2"/>
        <scheme val="minor"/>
      </rPr>
      <t>: Detailed accounts of Paul's three missionary trips</t>
    </r>
  </si>
  <si>
    <r>
      <t>Transition from Jesus to Church</t>
    </r>
    <r>
      <rPr>
        <sz val="11"/>
        <color theme="1"/>
        <rFont val="Calibri"/>
        <family val="2"/>
        <scheme val="minor"/>
      </rPr>
      <t>: Bridge between Gospels and Epistles</t>
    </r>
  </si>
  <si>
    <r>
      <t>Historical Narrative</t>
    </r>
    <r>
      <rPr>
        <sz val="11"/>
        <color theme="1"/>
        <rFont val="Calibri"/>
        <family val="2"/>
        <scheme val="minor"/>
      </rPr>
      <t>: Chronological account of early church development</t>
    </r>
  </si>
  <si>
    <r>
      <t>Apostolic Authority</t>
    </r>
    <r>
      <rPr>
        <sz val="11"/>
        <color theme="1"/>
        <rFont val="Calibri"/>
        <family val="2"/>
        <scheme val="minor"/>
      </rPr>
      <t>: Demonstrating divine approval through signs and wonders</t>
    </r>
  </si>
  <si>
    <r>
      <t>Gospel to All Nations</t>
    </r>
    <r>
      <rPr>
        <sz val="11"/>
        <color theme="1"/>
        <rFont val="Calibri"/>
        <family val="2"/>
        <scheme val="minor"/>
      </rPr>
      <t>: Breaking down barriers between Jews and Gentiles</t>
    </r>
  </si>
  <si>
    <r>
      <t>Growth of the Church</t>
    </r>
    <r>
      <rPr>
        <sz val="11"/>
        <color theme="1"/>
        <rFont val="Calibri"/>
        <family val="2"/>
        <scheme val="minor"/>
      </rPr>
      <t>: From Jerusalem to Rome, showing geographical and numerical expansion</t>
    </r>
  </si>
  <si>
    <r>
      <t>Power of the Holy Spirit</t>
    </r>
    <r>
      <rPr>
        <sz val="11"/>
        <color theme="1"/>
        <rFont val="Calibri"/>
        <family val="2"/>
        <scheme val="minor"/>
      </rPr>
      <t>: The Spirit empowers the early church for mission and ministry</t>
    </r>
  </si>
  <si>
    <t>Key Characteristics of the Book of Acts</t>
  </si>
  <si>
    <t>James 5:14-15; Mark 6:13</t>
  </si>
  <si>
    <t>Paul</t>
  </si>
  <si>
    <t>c. 60 AD</t>
  </si>
  <si>
    <t>Malta</t>
  </si>
  <si>
    <t>Acts 28:7-9</t>
  </si>
  <si>
    <t>Paul heals Publius' father and others</t>
  </si>
  <si>
    <t>Mark 16:18; Luke 10:19; Psalm 91:13</t>
  </si>
  <si>
    <t>God/Paul</t>
  </si>
  <si>
    <t>Acts 28:3-6</t>
  </si>
  <si>
    <t>Paul unharmed by viper bite</t>
  </si>
  <si>
    <t>Genesis 15:1; Daniel 10:12</t>
  </si>
  <si>
    <t>Angel of God</t>
  </si>
  <si>
    <t>Acts 27:23-24</t>
  </si>
  <si>
    <t>Angel tells Paul all aboard ship will be saved</t>
  </si>
  <si>
    <t>Acts 18:9-10; 2 Timothy 4:17</t>
  </si>
  <si>
    <t>c. 57 AD</t>
  </si>
  <si>
    <t>Acts 23:11</t>
  </si>
  <si>
    <t>Jesus appears to Paul in the night</t>
  </si>
  <si>
    <t>1 Corinthians 14:18; 2 Corinthians 12:1-4</t>
  </si>
  <si>
    <t>Jesus/Paul</t>
  </si>
  <si>
    <t>Acts 22:17-21</t>
  </si>
  <si>
    <t>Paul speaks in tongues</t>
  </si>
  <si>
    <t>Acts 11:28; Ephesians 4:11</t>
  </si>
  <si>
    <t>Agabus</t>
  </si>
  <si>
    <t>Caesarea</t>
  </si>
  <si>
    <t>Acts 21:10-11</t>
  </si>
  <si>
    <t>Agabus prophesies Paul's imprisonment</t>
  </si>
  <si>
    <t>Troas</t>
  </si>
  <si>
    <t>Paul raises Eutychus from the dead</t>
  </si>
  <si>
    <t>Mark 9:38-40; Matthew 12:43-45</t>
  </si>
  <si>
    <t>Evil spirit</t>
  </si>
  <si>
    <t>c. 54-57 AD</t>
  </si>
  <si>
    <t>Ephesus</t>
  </si>
  <si>
    <t>Acts 19:13-16</t>
  </si>
  <si>
    <t>Seven sons of Sceva overpowered by evil spirit</t>
  </si>
  <si>
    <t>Acts 5:15; 2 Kings 4:29</t>
  </si>
  <si>
    <t>Paul performs extraordinary miracles in Ephesus</t>
  </si>
  <si>
    <t>Job 38:4-7; Psalm 18:7</t>
  </si>
  <si>
    <t>c. 50 AD</t>
  </si>
  <si>
    <t>Philippi</t>
  </si>
  <si>
    <t>Acts 16:25-34</t>
  </si>
  <si>
    <t>Earthquake frees Paul and Silas from prison</t>
  </si>
  <si>
    <t>Mark 16:17; Luke 8:2</t>
  </si>
  <si>
    <t>Acts 16:16-18</t>
  </si>
  <si>
    <t>Spirit of divination cast out of slave girl</t>
  </si>
  <si>
    <t>2 Corinthians 12:1; Daniel 2:19</t>
  </si>
  <si>
    <t>Vision/Paul</t>
  </si>
  <si>
    <t>Acts 16:9-10</t>
  </si>
  <si>
    <t>Vision of the man from Macedonia</t>
  </si>
  <si>
    <t>Paul and Barnabas</t>
  </si>
  <si>
    <t>c. 48 AD</t>
  </si>
  <si>
    <t>Lystra</t>
  </si>
  <si>
    <t>Acts 14:11-18</t>
  </si>
  <si>
    <t>People mistake Paul and Barnabas for gods</t>
  </si>
  <si>
    <t>Acts 3:1-10; John 5:1-9</t>
  </si>
  <si>
    <t>Paul heals a lame man in Lystra</t>
  </si>
  <si>
    <t>2 Kings 6:18; Matthew 23:16</t>
  </si>
  <si>
    <t>c. 47 AD</t>
  </si>
  <si>
    <t>Paphos, Cyprus</t>
  </si>
  <si>
    <t>Acts 13:8-12</t>
  </si>
  <si>
    <t>Paul strikes Elymas blind</t>
  </si>
  <si>
    <t>1 Timothy 4:14; Romans 1:1</t>
  </si>
  <si>
    <t>Antioch</t>
  </si>
  <si>
    <t>Acts 13:2-4</t>
  </si>
  <si>
    <t>Holy Spirit separates Barnabas and Saul for mission work</t>
  </si>
  <si>
    <t>2 Chronicles 26:16-21; Daniel 4:28-37</t>
  </si>
  <si>
    <t>c. 44 AD</t>
  </si>
  <si>
    <t>Acts 12:20-23</t>
  </si>
  <si>
    <t>Herod Agrippa struck down by an angel and dies</t>
  </si>
  <si>
    <t>Acts 5:19; Psalm 34:7; Daniel 6:22</t>
  </si>
  <si>
    <t>Angel frees Peter from prison</t>
  </si>
  <si>
    <t>Acts 2:1-4; Ephesians 2:11-22</t>
  </si>
  <si>
    <t>c. 36 AD</t>
  </si>
  <si>
    <t>Acts 10:44-48</t>
  </si>
  <si>
    <t>Holy Spirit falls on Cornelius' household</t>
  </si>
  <si>
    <t>Leviticus 11:1-47; Mark 7:19</t>
  </si>
  <si>
    <t>Voice from heaven</t>
  </si>
  <si>
    <t>Joppa</t>
  </si>
  <si>
    <t>Acts 10:9-16</t>
  </si>
  <si>
    <t>Peter receives vision of the sheet with animals</t>
  </si>
  <si>
    <t>Daniel 9:21; Luke 1:11-20</t>
  </si>
  <si>
    <t>Acts 10:1-8</t>
  </si>
  <si>
    <t>Cornelius receives vision of an angel</t>
  </si>
  <si>
    <t>1 Kings 17:17-24; 2 Kings 4:18-37; Luke 7:11-17</t>
  </si>
  <si>
    <t>Peter</t>
  </si>
  <si>
    <t>c. 35 AD</t>
  </si>
  <si>
    <t>Peter raises Tabitha (Dorcas) from the dead</t>
  </si>
  <si>
    <t>Lydda</t>
  </si>
  <si>
    <t>Peter heals Aeneas of paralysis</t>
  </si>
  <si>
    <t>2 Kings 6:17-20; John 9:1-41</t>
  </si>
  <si>
    <t>Ananias</t>
  </si>
  <si>
    <t>c. 34 AD</t>
  </si>
  <si>
    <t>Acts 9:10-19</t>
  </si>
  <si>
    <t>Ananias heals Saul's blindness</t>
  </si>
  <si>
    <t>1 Corinthians 15:8; Galatians 1:15-16</t>
  </si>
  <si>
    <t>Damascus Road</t>
  </si>
  <si>
    <t>Acts 9:3-9</t>
  </si>
  <si>
    <t>Jesus appears to Saul on the road to Damascus</t>
  </si>
  <si>
    <t>Acts 19:6; 1 Timothy 4:14</t>
  </si>
  <si>
    <t>Peter and John</t>
  </si>
  <si>
    <t>Acts 8:14-19</t>
  </si>
  <si>
    <t>Simon the sorcerer sees the Spirit given through laying on of hands</t>
  </si>
  <si>
    <t>Mark 16:17-18; Luke 10:17</t>
  </si>
  <si>
    <t>Philip</t>
  </si>
  <si>
    <t>Acts 8:6-7</t>
  </si>
  <si>
    <t>Philip performs signs and wonders in Samaria</t>
  </si>
  <si>
    <t>1 Kings 18:12; 2 Kings 2:16; Ezekiel 3:14</t>
  </si>
  <si>
    <t>Gaza to Azotus</t>
  </si>
  <si>
    <t>Acts 8:39-40</t>
  </si>
  <si>
    <t>Philip transported by the Spirit</t>
  </si>
  <si>
    <t>Daniel 7:13; Mark 14:62; Hebrews 1:3</t>
  </si>
  <si>
    <t>Stephen</t>
  </si>
  <si>
    <t>Stephen sees Jesus standing at God's right hand</t>
  </si>
  <si>
    <t>1 Corinthians 11:30; Joshua 7:1-26</t>
  </si>
  <si>
    <t>Holy Spirit/Peter</t>
  </si>
  <si>
    <t>c. 33-34 AD</t>
  </si>
  <si>
    <t>Ananias and Sapphira struck dead for lying</t>
  </si>
  <si>
    <t>Acts 12:6-11; Psalm 34:7</t>
  </si>
  <si>
    <t>Acts 5:17-20</t>
  </si>
  <si>
    <t>Angel frees apostles from prison</t>
  </si>
  <si>
    <t>Matthew 9:20-22; Mark 6:56</t>
  </si>
  <si>
    <t>Acts 5:15-16</t>
  </si>
  <si>
    <t>Peter's shadow heals the sick</t>
  </si>
  <si>
    <t>Matthew 10:8; Mark 16:17-18</t>
  </si>
  <si>
    <t>Peter heals a lame man at the temple</t>
  </si>
  <si>
    <t>1 Corinthians 14:1-25; Mark 16:17</t>
  </si>
  <si>
    <t>Holy Spirit/Disciples</t>
  </si>
  <si>
    <t>Acts 2:4-11</t>
  </si>
  <si>
    <t>Disciples speak in other tongues</t>
  </si>
  <si>
    <t>Joel 2:28-32; 1 Corinthians 12:13</t>
  </si>
  <si>
    <t>Acts 2:1-4</t>
  </si>
  <si>
    <t>Holy Spirit comes at Pentecost with wind and fire</t>
  </si>
  <si>
    <t>Mark 16:19; Luke 24:50-53; Ephesians 4:8-10</t>
  </si>
  <si>
    <t>Jesus/Angels</t>
  </si>
  <si>
    <t>Acts 1:9-11</t>
  </si>
  <si>
    <t>Conslidate gospel miracles?</t>
  </si>
  <si>
    <t>Romans:</t>
  </si>
  <si>
    <t>a comprehensive table for the Book of Romans. This epistle is quite different from the Gospels or narrative books - it contains fewer dramatic supernatural events and focuses more on theological truths about God's supernatural work in salvation and spiritual transformation.</t>
  </si>
  <si>
    <t>Key Observations about Romans:</t>
  </si>
  <si>
    <t>Types of Divine Acts:</t>
  </si>
  <si>
    <r>
      <t>Theological Miracles</t>
    </r>
    <r>
      <rPr>
        <sz val="11"/>
        <color theme="1"/>
        <rFont val="Calibri"/>
        <family val="2"/>
        <scheme val="minor"/>
      </rPr>
      <t>: God's work of justification, sanctification, and spiritual transformation</t>
    </r>
  </si>
  <si>
    <r>
      <t>Divine Sovereignty</t>
    </r>
    <r>
      <rPr>
        <sz val="11"/>
        <color theme="1"/>
        <rFont val="Calibri"/>
        <family val="2"/>
        <scheme val="minor"/>
      </rPr>
      <t>: God's control over salvation, hardening/softening hearts, and historical events</t>
    </r>
  </si>
  <si>
    <r>
      <t>Spiritual Gifts</t>
    </r>
    <r>
      <rPr>
        <sz val="11"/>
        <color theme="1"/>
        <rFont val="Calibri"/>
        <family val="2"/>
        <scheme val="minor"/>
      </rPr>
      <t>: Supernatural abilities given to believers</t>
    </r>
  </si>
  <si>
    <r>
      <t>Divine Revelation</t>
    </r>
    <r>
      <rPr>
        <sz val="11"/>
        <color theme="1"/>
        <rFont val="Calibri"/>
        <family val="2"/>
        <scheme val="minor"/>
      </rPr>
      <t>: God revealing Himself through creation, conscience, and Scripture</t>
    </r>
  </si>
  <si>
    <r>
      <t>Prophetic Promises</t>
    </r>
    <r>
      <rPr>
        <sz val="11"/>
        <color theme="1"/>
        <rFont val="Calibri"/>
        <family val="2"/>
        <scheme val="minor"/>
      </rPr>
      <t>: Future supernatural fulfillment of God's plans</t>
    </r>
  </si>
  <si>
    <t>Most entries refer to ongoing spiritual realities rather than one-time miraculous events</t>
  </si>
  <si>
    <t>Heavy emphasis on God's sovereignty in salvation and history</t>
  </si>
  <si>
    <t>References to historical miracles (Abraham/Sarah, Pharaoh, Paul's ministry) to support theological points</t>
  </si>
  <si>
    <t>Focus on the supernatural transformation that occurs in believers</t>
  </si>
  <si>
    <t>Cross-References:</t>
  </si>
  <si>
    <t>Extensive connections to Old Testament passages, showing continuity of God's plan</t>
  </si>
  <si>
    <t>Links to other Pauline epistles that develop similar themes</t>
  </si>
  <si>
    <t>References to historical events that demonstrate God's supernatural intervention</t>
  </si>
  <si>
    <t>Romans demonstrates that while God's miraculous power is often displayed in dramatic supernatural events, His greatest miracle may be the transformation of human hearts and the working out of His eternal plan of salvation through history.</t>
  </si>
  <si>
    <r>
      <t>Note:</t>
    </r>
    <r>
      <rPr>
        <sz val="11"/>
        <color theme="1"/>
        <rFont val="Calibri"/>
        <family val="2"/>
        <scheme val="minor"/>
      </rPr>
      <t xml:space="preserve"> Romans is primarily a theological treatise rather than a narrative of miraculous events. The "miracles" in Romans are largely theological concepts - God's supernatural work of salvation, spiritual transformation, and divine sovereignty. The book emphasizes God's miraculous power in justification, sanctification, and the overall plan of redemption, while also referencing the miraculous signs that accompanied Paul's apostolic ministry.</t>
    </r>
  </si>
  <si>
    <r>
      <t>Practical Application</t>
    </r>
    <r>
      <rPr>
        <sz val="11"/>
        <color theme="1"/>
        <rFont val="Calibri"/>
        <family val="2"/>
        <scheme val="minor"/>
      </rPr>
      <t>: Connects deep theology with everyday Christian living</t>
    </r>
  </si>
  <si>
    <r>
      <t>Universal Scope</t>
    </r>
    <r>
      <rPr>
        <sz val="11"/>
        <color theme="1"/>
        <rFont val="Calibri"/>
        <family val="2"/>
        <scheme val="minor"/>
      </rPr>
      <t>: Addresses God's dealing with all humanity throughout history</t>
    </r>
  </si>
  <si>
    <r>
      <t>Systematic Salvation</t>
    </r>
    <r>
      <rPr>
        <sz val="11"/>
        <color theme="1"/>
        <rFont val="Calibri"/>
        <family val="2"/>
        <scheme val="minor"/>
      </rPr>
      <t>: Comprehensive explanation of how God saves sinners</t>
    </r>
  </si>
  <si>
    <r>
      <t>Foundation of Reformation</t>
    </r>
    <r>
      <rPr>
        <sz val="11"/>
        <color theme="1"/>
        <rFont val="Calibri"/>
        <family val="2"/>
        <scheme val="minor"/>
      </rPr>
      <t>: Luther's study of Romans sparked the Protestant Reformation</t>
    </r>
  </si>
  <si>
    <r>
      <t>Audience</t>
    </r>
    <r>
      <rPr>
        <sz val="11"/>
        <color theme="1"/>
        <rFont val="Calibri"/>
        <family val="2"/>
        <scheme val="minor"/>
      </rPr>
      <t>: Mixed congregation of Jewish and Gentile believers in Rome</t>
    </r>
  </si>
  <si>
    <r>
      <t>Religious Condition</t>
    </r>
    <r>
      <rPr>
        <sz val="11"/>
        <color theme="1"/>
        <rFont val="Calibri"/>
        <family val="2"/>
        <scheme val="minor"/>
      </rPr>
      <t>: Tensions between Jewish and Gentile Christians</t>
    </r>
  </si>
  <si>
    <r>
      <t>Political Situation</t>
    </r>
    <r>
      <rPr>
        <sz val="11"/>
        <color theme="1"/>
        <rFont val="Calibri"/>
        <family val="2"/>
        <scheme val="minor"/>
      </rPr>
      <t>: Height of Roman Empire under Nero</t>
    </r>
  </si>
  <si>
    <r>
      <t>Location</t>
    </r>
    <r>
      <rPr>
        <sz val="11"/>
        <color theme="1"/>
        <rFont val="Calibri"/>
        <family val="2"/>
        <scheme val="minor"/>
      </rPr>
      <t>: Written from Corinth to the church in Rome</t>
    </r>
  </si>
  <si>
    <r>
      <t>Time Period</t>
    </r>
    <r>
      <rPr>
        <sz val="11"/>
        <color theme="1"/>
        <rFont val="Calibri"/>
        <family val="2"/>
        <scheme val="minor"/>
      </rPr>
      <t>: Written c. 57 AD during Paul's third missionary journey</t>
    </r>
  </si>
  <si>
    <r>
      <t>Prophetic Promises</t>
    </r>
    <r>
      <rPr>
        <sz val="11"/>
        <color theme="1"/>
        <rFont val="Calibri"/>
        <family val="2"/>
        <scheme val="minor"/>
      </rPr>
      <t>: Future fulfillment of God's plans for Israel and the church</t>
    </r>
  </si>
  <si>
    <r>
      <t>Miraculous Ministry</t>
    </r>
    <r>
      <rPr>
        <sz val="11"/>
        <color theme="1"/>
        <rFont val="Calibri"/>
        <family val="2"/>
        <scheme val="minor"/>
      </rPr>
      <t>: Signs and wonders accompanying apostolic ministry</t>
    </r>
  </si>
  <si>
    <r>
      <t>Divine Sovereignty</t>
    </r>
    <r>
      <rPr>
        <sz val="11"/>
        <color theme="1"/>
        <rFont val="Calibri"/>
        <family val="2"/>
        <scheme val="minor"/>
      </rPr>
      <t>: God's control over salvation, history, and individual lives</t>
    </r>
  </si>
  <si>
    <r>
      <t>Spiritual Transformation</t>
    </r>
    <r>
      <rPr>
        <sz val="11"/>
        <color theme="1"/>
        <rFont val="Calibri"/>
        <family val="2"/>
        <scheme val="minor"/>
      </rPr>
      <t>: Supernatural change in believers through the Holy Spirit</t>
    </r>
  </si>
  <si>
    <r>
      <t>Divine Revelation</t>
    </r>
    <r>
      <rPr>
        <sz val="11"/>
        <color theme="1"/>
        <rFont val="Calibri"/>
        <family val="2"/>
        <scheme val="minor"/>
      </rPr>
      <t>: God's truth revealed through creation, conscience, and Scripture</t>
    </r>
  </si>
  <si>
    <r>
      <t>Rhetorical Questions</t>
    </r>
    <r>
      <rPr>
        <sz val="11"/>
        <color theme="1"/>
        <rFont val="Calibri"/>
        <family val="2"/>
        <scheme val="minor"/>
      </rPr>
      <t>: Used to engage readers and advance the argument</t>
    </r>
  </si>
  <si>
    <r>
      <t>Old Testament Citations</t>
    </r>
    <r>
      <rPr>
        <sz val="11"/>
        <color theme="1"/>
        <rFont val="Calibri"/>
        <family val="2"/>
        <scheme val="minor"/>
      </rPr>
      <t>: Extensive use of Hebrew Scriptures to support arguments</t>
    </r>
  </si>
  <si>
    <r>
      <t>Logical Argumentation</t>
    </r>
    <r>
      <rPr>
        <sz val="11"/>
        <color theme="1"/>
        <rFont val="Calibri"/>
        <family val="2"/>
        <scheme val="minor"/>
      </rPr>
      <t>: Paul builds his case step by step with careful reasoning</t>
    </r>
  </si>
  <si>
    <r>
      <t>Systematic Theology</t>
    </r>
    <r>
      <rPr>
        <sz val="11"/>
        <color theme="1"/>
        <rFont val="Calibri"/>
        <family val="2"/>
        <scheme val="minor"/>
      </rPr>
      <t>: Most systematic presentation of Christian doctrine in the New Testament</t>
    </r>
  </si>
  <si>
    <r>
      <t>Christian Living</t>
    </r>
    <r>
      <rPr>
        <sz val="11"/>
        <color theme="1"/>
        <rFont val="Calibri"/>
        <family val="2"/>
        <scheme val="minor"/>
      </rPr>
      <t>: Practical implications of salvation for daily life</t>
    </r>
  </si>
  <si>
    <r>
      <t>Israel and the Gentiles</t>
    </r>
    <r>
      <rPr>
        <sz val="11"/>
        <color theme="1"/>
        <rFont val="Calibri"/>
        <family val="2"/>
        <scheme val="minor"/>
      </rPr>
      <t>: God's plan for both Jewish and non-Jewish peoples</t>
    </r>
  </si>
  <si>
    <r>
      <t>Universal Need for Salvation</t>
    </r>
    <r>
      <rPr>
        <sz val="11"/>
        <color theme="1"/>
        <rFont val="Calibri"/>
        <family val="2"/>
        <scheme val="minor"/>
      </rPr>
      <t>: All have sinned and need God's grace</t>
    </r>
  </si>
  <si>
    <r>
      <t>God's Righteousness</t>
    </r>
    <r>
      <rPr>
        <sz val="11"/>
        <color theme="1"/>
        <rFont val="Calibri"/>
        <family val="2"/>
        <scheme val="minor"/>
      </rPr>
      <t>: Both His righteous character and the righteousness He provides</t>
    </r>
  </si>
  <si>
    <r>
      <t>Justification by Faith</t>
    </r>
    <r>
      <rPr>
        <sz val="11"/>
        <color theme="1"/>
        <rFont val="Calibri"/>
        <family val="2"/>
        <scheme val="minor"/>
      </rPr>
      <t>: Central doctrine that salvation comes through faith, not works</t>
    </r>
  </si>
  <si>
    <t>Key Characteristics of the Book of Romans</t>
  </si>
  <si>
    <t>God's wrath revealed against ungodliness</t>
  </si>
  <si>
    <t>Romans 1:18</t>
  </si>
  <si>
    <t>Ephesians 5:6; Colossians 3:6; Revelation 16:1</t>
  </si>
  <si>
    <t>God gives people over to sinful desires as judgment</t>
  </si>
  <si>
    <t>Romans 1:24, 26, 28</t>
  </si>
  <si>
    <t>Psalm 81:12; Acts 7:42; 2 Thessalonians 2:11</t>
  </si>
  <si>
    <t>God's invisible qualities revealed through creation</t>
  </si>
  <si>
    <t>Romans 1:20</t>
  </si>
  <si>
    <t>Since creation</t>
  </si>
  <si>
    <t>Psalm 19:1; Acts 14:17; Job 12:7-10</t>
  </si>
  <si>
    <t>Abraham's faith counted as righteousness</t>
  </si>
  <si>
    <t>Romans 4:3, 16-22</t>
  </si>
  <si>
    <t>Ancient</t>
  </si>
  <si>
    <t>c. 2000 BC</t>
  </si>
  <si>
    <t>Genesis 15:6; Galatians 3:6; James 2:23</t>
  </si>
  <si>
    <t>God gives life to the dead and calls things into being</t>
  </si>
  <si>
    <t>Romans 4:17</t>
  </si>
  <si>
    <t>Creative Power</t>
  </si>
  <si>
    <t>Genesis 17:5; John 5:21; 1 Corinthians 1:28</t>
  </si>
  <si>
    <t>Abraham and Sarah given ability to conceive Isaac</t>
  </si>
  <si>
    <t>Romans 4:19-21</t>
  </si>
  <si>
    <t>Genesis 17:15-19; 18:10-14; 21:1-3; Hebrews 11:11</t>
  </si>
  <si>
    <t>Holy Spirit given to believers</t>
  </si>
  <si>
    <t>Romans 5:5</t>
  </si>
  <si>
    <t>Pentecost onward</t>
  </si>
  <si>
    <t>God/Holy Spirit</t>
  </si>
  <si>
    <t>Spiritual Gift</t>
  </si>
  <si>
    <t>Acts 2:1-4; 1 Corinthians 12:13; Galatians 4:6</t>
  </si>
  <si>
    <t>Believers baptized into Christ's death and resurrection</t>
  </si>
  <si>
    <t>Romans 6:3-4</t>
  </si>
  <si>
    <t>At baptism</t>
  </si>
  <si>
    <t>Spiritual Transformation</t>
  </si>
  <si>
    <t>Galatians 3:27; Colossians 2:12; 1 Peter 3:21</t>
  </si>
  <si>
    <t>Believers freed from sin and made alive to God</t>
  </si>
  <si>
    <t>Romans 6:7, 11</t>
  </si>
  <si>
    <t>At salvation</t>
  </si>
  <si>
    <t>Spiritual Liberation</t>
  </si>
  <si>
    <t>Galatians 2:20; Ephesians 2:1-5; Colossians 3:3</t>
  </si>
  <si>
    <t>Holy Spirit helps believers and intercedes</t>
  </si>
  <si>
    <t>Romans 8:26-27</t>
  </si>
  <si>
    <t>John 14:16; Ephesians 6:18; Hebrews 7:25</t>
  </si>
  <si>
    <t>God predestines, calls, justifies, and glorifies</t>
  </si>
  <si>
    <t>Romans 8:29-30</t>
  </si>
  <si>
    <t>Eternal/temporal</t>
  </si>
  <si>
    <t>Ephesians 1:4-5; 1 Peter 1:2; 2 Timothy 1:9</t>
  </si>
  <si>
    <t>All things work together for good for those who love God</t>
  </si>
  <si>
    <t>Romans 8:28</t>
  </si>
  <si>
    <t>Genesis 50:20; Psalm 84:11; Ephesians 1:11</t>
  </si>
  <si>
    <t>God's mercy on Israel and Gentiles</t>
  </si>
  <si>
    <t>Romans 9:15-16, 18</t>
  </si>
  <si>
    <t>Exodus 33:19; Ephesians 2:4; Titus 3:5</t>
  </si>
  <si>
    <t>God hardens whom He wills</t>
  </si>
  <si>
    <t>Romans 9:18</t>
  </si>
  <si>
    <t>According to His will</t>
  </si>
  <si>
    <t>Exodus 4:21; 7:3; 14:4; Joshua 11:20</t>
  </si>
  <si>
    <t>God raises up Pharaoh to show His power</t>
  </si>
  <si>
    <t>Romans 9:17</t>
  </si>
  <si>
    <t>c. 1450 BC</t>
  </si>
  <si>
    <t>Exodus 9:16; 1 Samuel 2:6-7</t>
  </si>
  <si>
    <t>God's irrevocable gifts and calling to Israel</t>
  </si>
  <si>
    <t>Romans 11:29</t>
  </si>
  <si>
    <t>Numbers 23:19; 1 Samuel 15:29; 2 Timothy 2:13</t>
  </si>
  <si>
    <t>God's plan to save all Israel</t>
  </si>
  <si>
    <t>Romans 11:26</t>
  </si>
  <si>
    <t>Prophetic Promise</t>
  </si>
  <si>
    <t>Isaiah 59:20-21; Zechariah 12:10; 13:1</t>
  </si>
  <si>
    <t>Spiritual gifts given by God's grace</t>
  </si>
  <si>
    <t>Romans 12:3-8</t>
  </si>
  <si>
    <t>Church</t>
  </si>
  <si>
    <t>Spiritual Gifts</t>
  </si>
  <si>
    <t>1 Corinthians 12:4-11; Ephesians 4:7-12; 1 Peter 4:10-11</t>
  </si>
  <si>
    <t>Signs, wonders, and miracles through Paul's ministry</t>
  </si>
  <si>
    <t>Romans 15:18-19</t>
  </si>
  <si>
    <t>Paul's missionary journeys</t>
  </si>
  <si>
    <t>c. 49-57 AD</t>
  </si>
  <si>
    <t>Paul/Holy Spirit</t>
  </si>
  <si>
    <t>Miraculous Signs</t>
  </si>
  <si>
    <t>2 Corinthians 12:12; Acts 14:3; 19:11; Hebrews 2:4</t>
  </si>
  <si>
    <t>Power of the Holy Spirit in Paul's ministry</t>
  </si>
  <si>
    <t>Romans 15:19</t>
  </si>
  <si>
    <t>Divine Power</t>
  </si>
  <si>
    <t>Acts 1:8; 1 Corinthians 2:4; 1 Thessalonians 1:5</t>
  </si>
  <si>
    <t>1 Corinthians:</t>
  </si>
  <si>
    <t>a comprehensive table for 1 Corinthians, ordered by scripture reference and including cross-references.</t>
  </si>
  <si>
    <t>Key Observations about 1 Corinthians:</t>
  </si>
  <si>
    <t>Supernatural Focus Areas:</t>
  </si>
  <si>
    <r>
      <t>Spiritual Gifts</t>
    </r>
    <r>
      <rPr>
        <sz val="11"/>
        <color theme="1"/>
        <rFont val="Calibri"/>
        <family val="2"/>
        <scheme val="minor"/>
      </rPr>
      <t>: The most detailed biblical discussion of miraculous spiritual gifts (chapters 12-14)</t>
    </r>
  </si>
  <si>
    <r>
      <t>Divine Revelation</t>
    </r>
    <r>
      <rPr>
        <sz val="11"/>
        <color theme="1"/>
        <rFont val="Calibri"/>
        <family val="2"/>
        <scheme val="minor"/>
      </rPr>
      <t>: Paul's direct revelations from Christ, especially regarding the Lord's Supper</t>
    </r>
  </si>
  <si>
    <r>
      <t>Resurrection Power</t>
    </r>
    <r>
      <rPr>
        <sz val="11"/>
        <color theme="1"/>
        <rFont val="Calibri"/>
        <family val="2"/>
        <scheme val="minor"/>
      </rPr>
      <t>: Extensive teaching on Christ's resurrection and future bodily resurrection</t>
    </r>
  </si>
  <si>
    <r>
      <t>Divine Discipline</t>
    </r>
    <r>
      <rPr>
        <sz val="11"/>
        <color theme="1"/>
        <rFont val="Calibri"/>
        <family val="2"/>
        <scheme val="minor"/>
      </rPr>
      <t>: God's supernatural intervention for church correction</t>
    </r>
  </si>
  <si>
    <t>Unique Characteristics:</t>
  </si>
  <si>
    <t>Unlike the Gospels which record historical miracles, 1 Corinthians focuses on the ongoing supernatural work of the Holy Spirit in the church</t>
  </si>
  <si>
    <t>Emphasizes the distribution and proper use of spiritual gifts</t>
  </si>
  <si>
    <t>Reveals mysteries about the future resurrection and transformation of believers</t>
  </si>
  <si>
    <t>Shows God's active involvement in church discipline and growth</t>
  </si>
  <si>
    <t>Bridges the gap between Christ's earthly ministry and the church's ongoing supernatural ministry</t>
  </si>
  <si>
    <t>Establishes principles for how God continues to work miraculously through His people</t>
  </si>
  <si>
    <t>Provides the foundation for understanding spiritual gifts in the church age</t>
  </si>
  <si>
    <t>Demonstrates that the supernatural is not limited to apostolic times but continues through the Spirit's work</t>
  </si>
  <si>
    <t>The letter shows that while the nature of God's supernatural work may have evolved from Christ's earthly ministry, it continues powerfully through the Holy Spirit in the church.</t>
  </si>
  <si>
    <r>
      <t>Note:</t>
    </r>
    <r>
      <rPr>
        <sz val="11"/>
        <color theme="1"/>
        <rFont val="Calibri"/>
        <family val="2"/>
        <scheme val="minor"/>
      </rPr>
      <t xml:space="preserve"> While 1 Corinthians doesn't record many specific miraculous events like the Gospels, it provides the most comprehensive biblical teaching on spiritual gifts and their operation. The letter reveals God's supernatural work through the church, including gifts of healing, miracles, prophecy, and other manifestations of the Holy Spirit. Paul's own divine revelations and apostolic authority demonstrate ongoing supernatural communication between God and His people.</t>
    </r>
  </si>
  <si>
    <r>
      <t>Cultural Context</t>
    </r>
    <r>
      <rPr>
        <sz val="11"/>
        <color theme="1"/>
        <rFont val="Calibri"/>
        <family val="2"/>
        <scheme val="minor"/>
      </rPr>
      <t>: Greco-Roman culture influencing church practices</t>
    </r>
  </si>
  <si>
    <r>
      <t>Church Situation</t>
    </r>
    <r>
      <rPr>
        <sz val="11"/>
        <color theme="1"/>
        <rFont val="Calibri"/>
        <family val="2"/>
        <scheme val="minor"/>
      </rPr>
      <t>: Young church struggling with divisions, immorality, and spiritual gifts</t>
    </r>
  </si>
  <si>
    <r>
      <t>Location</t>
    </r>
    <r>
      <rPr>
        <sz val="11"/>
        <color theme="1"/>
        <rFont val="Calibri"/>
        <family val="2"/>
        <scheme val="minor"/>
      </rPr>
      <t>: Written from Ephesus to the church in Corinth</t>
    </r>
  </si>
  <si>
    <r>
      <t>Time Period</t>
    </r>
    <r>
      <rPr>
        <sz val="11"/>
        <color theme="1"/>
        <rFont val="Calibri"/>
        <family val="2"/>
        <scheme val="minor"/>
      </rPr>
      <t>: c. 55 AD during Paul's third missionary journey</t>
    </r>
  </si>
  <si>
    <r>
      <t>Prophetic Insight</t>
    </r>
    <r>
      <rPr>
        <sz val="11"/>
        <color theme="1"/>
        <rFont val="Calibri"/>
        <family val="2"/>
        <scheme val="minor"/>
      </rPr>
      <t>: Revelation of future mysteries and transformations</t>
    </r>
  </si>
  <si>
    <r>
      <t>Divine Discipline</t>
    </r>
    <r>
      <rPr>
        <sz val="11"/>
        <color theme="1"/>
        <rFont val="Calibri"/>
        <family val="2"/>
        <scheme val="minor"/>
      </rPr>
      <t>: God's supernatural intervention for correction</t>
    </r>
  </si>
  <si>
    <r>
      <t>Resurrection Power</t>
    </r>
    <r>
      <rPr>
        <sz val="11"/>
        <color theme="1"/>
        <rFont val="Calibri"/>
        <family val="2"/>
        <scheme val="minor"/>
      </rPr>
      <t>: Emphasis on Christ's resurrection and future bodily resurrection</t>
    </r>
  </si>
  <si>
    <r>
      <t>Divine Revelation</t>
    </r>
    <r>
      <rPr>
        <sz val="11"/>
        <color theme="1"/>
        <rFont val="Calibri"/>
        <family val="2"/>
        <scheme val="minor"/>
      </rPr>
      <t>: Paul's reception of direct revelation from Christ</t>
    </r>
  </si>
  <si>
    <r>
      <t>Spiritual Gifts</t>
    </r>
    <r>
      <rPr>
        <sz val="11"/>
        <color theme="1"/>
        <rFont val="Calibri"/>
        <family val="2"/>
        <scheme val="minor"/>
      </rPr>
      <t>: Detailed discussion of miraculous gifts of the Spirit</t>
    </r>
  </si>
  <si>
    <r>
      <t>Balance of Correction and Encouragement</t>
    </r>
    <r>
      <rPr>
        <sz val="11"/>
        <color theme="1"/>
        <rFont val="Calibri"/>
        <family val="2"/>
        <scheme val="minor"/>
      </rPr>
      <t>: Firm but loving pastoral approach</t>
    </r>
  </si>
  <si>
    <r>
      <t>Problem-Solution Format</t>
    </r>
    <r>
      <rPr>
        <sz val="11"/>
        <color theme="1"/>
        <rFont val="Calibri"/>
        <family val="2"/>
        <scheme val="minor"/>
      </rPr>
      <t>: Identifies issues and provides divine solutions</t>
    </r>
  </si>
  <si>
    <r>
      <t>Practical Theology</t>
    </r>
    <r>
      <rPr>
        <sz val="11"/>
        <color theme="1"/>
        <rFont val="Calibri"/>
        <family val="2"/>
        <scheme val="minor"/>
      </rPr>
      <t>: Applies theological truths to everyday situations</t>
    </r>
  </si>
  <si>
    <r>
      <t>Pastoral Letter</t>
    </r>
    <r>
      <rPr>
        <sz val="11"/>
        <color theme="1"/>
        <rFont val="Calibri"/>
        <family val="2"/>
        <scheme val="minor"/>
      </rPr>
      <t>: Addresses specific problems in the Corinthian church</t>
    </r>
  </si>
  <si>
    <r>
      <t>Resurrection</t>
    </r>
    <r>
      <rPr>
        <sz val="11"/>
        <color theme="1"/>
        <rFont val="Calibri"/>
        <family val="2"/>
        <scheme val="minor"/>
      </rPr>
      <t>: Christ's resurrection and believers' future resurrection</t>
    </r>
  </si>
  <si>
    <r>
      <t>Christian Living</t>
    </r>
    <r>
      <rPr>
        <sz val="11"/>
        <color theme="1"/>
        <rFont val="Calibri"/>
        <family val="2"/>
        <scheme val="minor"/>
      </rPr>
      <t>: Practical holiness and ethical behavior</t>
    </r>
  </si>
  <si>
    <r>
      <t>Spiritual Gifts</t>
    </r>
    <r>
      <rPr>
        <sz val="11"/>
        <color theme="1"/>
        <rFont val="Calibri"/>
        <family val="2"/>
        <scheme val="minor"/>
      </rPr>
      <t>: Proper use and understanding of miraculous gifts</t>
    </r>
  </si>
  <si>
    <r>
      <t>Church Unity</t>
    </r>
    <r>
      <rPr>
        <sz val="11"/>
        <color theme="1"/>
        <rFont val="Calibri"/>
        <family val="2"/>
        <scheme val="minor"/>
      </rPr>
      <t>: Addressing divisions and promoting spiritual unity</t>
    </r>
  </si>
  <si>
    <t>Key Characteristics of 1 Corinthians</t>
  </si>
  <si>
    <t>2 Corinthians:</t>
  </si>
  <si>
    <t>Acts 5:1-11; Hebrews 12:5-11; 1 Peter 4:17</t>
  </si>
  <si>
    <t>c. 55 AD</t>
  </si>
  <si>
    <t>Corinth</t>
  </si>
  <si>
    <t>1 Corinthians 11:29-32</t>
  </si>
  <si>
    <t>Divine discipline through sickness and death for abuse of communion</t>
  </si>
  <si>
    <t>Matthew 26:26-29; Mark 14:22-25; Luke 22:14-20</t>
  </si>
  <si>
    <t>1 Corinthians 11:23-26</t>
  </si>
  <si>
    <t>Paul's revelation of the Lord's Supper</t>
  </si>
  <si>
    <t>Isaiah 25:8; Hosea 13:14; 2 Timothy 1:10; Revelation 21:4</t>
  </si>
  <si>
    <t>1 Corinthians 15:54-57</t>
  </si>
  <si>
    <t>God gives victory over death through Christ</t>
  </si>
  <si>
    <t>1 Thessalonians 4:15-17; 2 Corinthians 12:1-4</t>
  </si>
  <si>
    <t>1 Corinthians 15:51-52</t>
  </si>
  <si>
    <t>The mystery of the rapture revealed</t>
  </si>
  <si>
    <t>Philippians 3:21; 1 John 3:2; 1 Thessalonians 4:17</t>
  </si>
  <si>
    <t>1 Corinthians 15:42-44, 51-52</t>
  </si>
  <si>
    <t>Believers' bodies will be transformed at the resurrection</t>
  </si>
  <si>
    <t>Daniel 12:2; John 5:28-29; 1 Thessalonians 4:16; Revelation 20:12-13</t>
  </si>
  <si>
    <t>Future Resurrection</t>
  </si>
  <si>
    <t>1 Corinthians 15:12-58</t>
  </si>
  <si>
    <t>Future resurrection of the dead</t>
  </si>
  <si>
    <t>Acts 9:3-6; 22:6-10; 26:12-18</t>
  </si>
  <si>
    <t>Damascus road</t>
  </si>
  <si>
    <t>1 Corinthians 15:8</t>
  </si>
  <si>
    <t>Christ appeared to Paul last of all</t>
  </si>
  <si>
    <t>Acts 1:3; Galatians 1:19</t>
  </si>
  <si>
    <t>1 Corinthians 15:7</t>
  </si>
  <si>
    <t>Christ appeared to James and all the apostles</t>
  </si>
  <si>
    <t>Luke 24:34; John 20:19-29; Acts 1:3-4</t>
  </si>
  <si>
    <t>Resurrection Appearances</t>
  </si>
  <si>
    <t>1 Corinthians 15:5-6</t>
  </si>
  <si>
    <t>Christ appeared to Cephas, the Twelve, and 500+ witnesses</t>
  </si>
  <si>
    <t>Matthew 28:1-10; Luke 24:1-49; John 20:1-29; Acts 1:3</t>
  </si>
  <si>
    <t>1 Corinthians 15:3-8</t>
  </si>
  <si>
    <t>Christ's resurrection from the dead</t>
  </si>
  <si>
    <t>1 Samuel 16:7; Jeremiah 17:10; Hebrews 4:12</t>
  </si>
  <si>
    <t>1 Corinthians 14:24-25</t>
  </si>
  <si>
    <t>Prophecy reveals secrets of hearts</t>
  </si>
  <si>
    <t>John 13:34-35; 1 John 4:7-21; Romans 13:10</t>
  </si>
  <si>
    <t>1 Corinthians 13:1-13</t>
  </si>
  <si>
    <t>Love as the more excellent way revealed by God</t>
  </si>
  <si>
    <t>Ephesians 4:11; Acts 13:1-3; 1 Timothy 2:7</t>
  </si>
  <si>
    <t>1 Corinthians 12:28</t>
  </si>
  <si>
    <t>God appoints apostles, prophets, and teachers in the church</t>
  </si>
  <si>
    <t>Romans 12:4-5; Ephesians 4:4, 15-16; Colossians 1:18</t>
  </si>
  <si>
    <t>1 Corinthians 12:12-27</t>
  </si>
  <si>
    <t>Body of Christ metaphor revealing spiritual unity</t>
  </si>
  <si>
    <t>1 Corinthians 14:5, 13, 27-28</t>
  </si>
  <si>
    <t>1 Corinthians 12:10</t>
  </si>
  <si>
    <t>Interpretation of tongues by the Spirit</t>
  </si>
  <si>
    <t>Acts 2:4; 10:46; 19:6; Mark 16:17</t>
  </si>
  <si>
    <t>Speaking in tongues by the Spirit</t>
  </si>
  <si>
    <t>1 John 4:1; Acts 16:16-18; 2 Corinthians 11:14</t>
  </si>
  <si>
    <t>Discerning of spirits by the Spirit</t>
  </si>
  <si>
    <t>Romans 12:6; Ephesians 4:11; 1 Thessalonians 5:20</t>
  </si>
  <si>
    <t>Prophecy given by the Spirit</t>
  </si>
  <si>
    <t>Acts 19:11; Galatians 3:5; Hebrews 2:4</t>
  </si>
  <si>
    <t>Working of miracles by the Spirit</t>
  </si>
  <si>
    <t>Mark 16:18; Acts 3:6-8; James 5:14-15</t>
  </si>
  <si>
    <t>1 Corinthians 12:9</t>
  </si>
  <si>
    <t>Gifts of healing given by the Spirit</t>
  </si>
  <si>
    <t>Romans 12:3; Ephesians 2:8; Hebrews 11:1</t>
  </si>
  <si>
    <t>Faith given by the Spirit</t>
  </si>
  <si>
    <t>2 Corinthians 11:6; Ephesians 3:19; Colossians 2:3</t>
  </si>
  <si>
    <t>1 Corinthians 12:8</t>
  </si>
  <si>
    <t>Word of knowledge given by the Spirit</t>
  </si>
  <si>
    <t>James 1:5; Proverbs 2:6; Daniel 2:20-21</t>
  </si>
  <si>
    <t>Word of wisdom given by the Spirit</t>
  </si>
  <si>
    <t>Romans 12:6-8; Ephesians 4:11; 1 Peter 4:10-11</t>
  </si>
  <si>
    <t>1 Corinthians 12:4-11</t>
  </si>
  <si>
    <t>Spiritual gifts distributed by the Holy Spirit</t>
  </si>
  <si>
    <t>2 Peter 2:9; Psalm 37:39-40; Isaiah 43:2</t>
  </si>
  <si>
    <t>All times</t>
  </si>
  <si>
    <t>1 Corinthians 10:13</t>
  </si>
  <si>
    <t>God provides a way of escape from temptation</t>
  </si>
  <si>
    <t>Acts 26:16-18; Galatians 2:7-8; Ephesians 3:2</t>
  </si>
  <si>
    <t>God/Jesus</t>
  </si>
  <si>
    <t>1 Corinthians 9:1-2, 17</t>
  </si>
  <si>
    <t>Paul's divine commission and apostolic authority</t>
  </si>
  <si>
    <t>Ephesians 4:6; 1 Timothy 2:5; Deuteronomy 6:4</t>
  </si>
  <si>
    <t>1 Corinthians 8:6</t>
  </si>
  <si>
    <t>Knowledge of food sacrificed to idols given by God</t>
  </si>
  <si>
    <t>Romans 12:18; 2 Corinthians 13:11; 1 Thessalonians 5:13</t>
  </si>
  <si>
    <t>1 Corinthians 7:15</t>
  </si>
  <si>
    <t>God calls believers to peace</t>
  </si>
  <si>
    <t>Romans 8:9; 2 Corinthians 6:16; Ephesians 2:22</t>
  </si>
  <si>
    <t>1 Corinthians 6:19</t>
  </si>
  <si>
    <t>Believers' bodies are temples of the Holy Spirit</t>
  </si>
  <si>
    <t>1 Timothy 1:20; Job 1:12; 2:6</t>
  </si>
  <si>
    <t>Paul/Satan</t>
  </si>
  <si>
    <t>1 Corinthians 5:5</t>
  </si>
  <si>
    <t>Paul delivered the immoral man to Satan for discipline</t>
  </si>
  <si>
    <t>Romans 2:16; Hebrews 4:12-13; Revelation 20:12</t>
  </si>
  <si>
    <t>1 Corinthians 4:5</t>
  </si>
  <si>
    <t>God reveals the secrets of hearts at judgment</t>
  </si>
  <si>
    <t>2 Corinthians 6:16; Ephesians 2:21-22; 1 Peter 2:5</t>
  </si>
  <si>
    <t>1 Corinthians 3:16-17</t>
  </si>
  <si>
    <t>Believers are God's temple with His Spirit dwelling within</t>
  </si>
  <si>
    <t>2 Corinthians 9:10; Colossians 2:19</t>
  </si>
  <si>
    <t>1 Corinthians 3:6-7</t>
  </si>
  <si>
    <t>God gives growth to what is planted and watered</t>
  </si>
  <si>
    <t>John 14:26; 16:13; Romans 8:26-27</t>
  </si>
  <si>
    <t>1 Corinthians 2:10-16</t>
  </si>
  <si>
    <t>Holy Spirit reveals God's wisdom to believers</t>
  </si>
  <si>
    <t>James 2:5; Matthew 11:25; Luke 10:21</t>
  </si>
  <si>
    <t>1 Corinthians 1:27-29</t>
  </si>
  <si>
    <t>God's choice of the foolish to shame the wise</t>
  </si>
  <si>
    <t>Acts 9:1-19; Galatians 1:1, 15-16; Ephesians 1:1</t>
  </si>
  <si>
    <t>1 Corinthians 1:1</t>
  </si>
  <si>
    <t>Paul's calling as an apostle by God's will</t>
  </si>
  <si>
    <t>a comprehensive table for 2 Corinthians, ordered by scripture reference with cross-references included.</t>
  </si>
  <si>
    <t>Key Observations about 2 Corinthians:</t>
  </si>
  <si>
    <r>
      <t>Paul's Third Heaven Experience</t>
    </r>
    <r>
      <rPr>
        <sz val="11"/>
        <color theme="1"/>
        <rFont val="Calibri"/>
        <family val="2"/>
        <scheme val="minor"/>
      </rPr>
      <t>: One of the most extraordinary mystical experiences recorded in Scripture (12:2-4)</t>
    </r>
  </si>
  <si>
    <r>
      <t>Apostolic Signs</t>
    </r>
    <r>
      <rPr>
        <sz val="11"/>
        <color theme="1"/>
        <rFont val="Calibri"/>
        <family val="2"/>
        <scheme val="minor"/>
      </rPr>
      <t>: Reference to miraculous works that authenticated Paul's ministry</t>
    </r>
  </si>
  <si>
    <r>
      <t>Divine Comfort and Deliverance</t>
    </r>
    <r>
      <rPr>
        <sz val="11"/>
        <color theme="1"/>
        <rFont val="Calibri"/>
        <family val="2"/>
        <scheme val="minor"/>
      </rPr>
      <t>: Supernatural intervention in Paul's sufferings</t>
    </r>
  </si>
  <si>
    <r>
      <t>Ongoing Transformation</t>
    </r>
    <r>
      <rPr>
        <sz val="11"/>
        <color theme="1"/>
        <rFont val="Calibri"/>
        <family val="2"/>
        <scheme val="minor"/>
      </rPr>
      <t>: The supernatural process of believers being changed into Christ's likeness</t>
    </r>
  </si>
  <si>
    <r>
      <t>Different from Narrative Books:</t>
    </r>
    <r>
      <rPr>
        <sz val="11"/>
        <color theme="1"/>
        <rFont val="Calibri"/>
        <family val="2"/>
        <scheme val="minor"/>
      </rPr>
      <t xml:space="preserve"> Unlike the Gospels or historical books, 2 Corinthians focuses more on:</t>
    </r>
  </si>
  <si>
    <r>
      <t>Theological revelation</t>
    </r>
    <r>
      <rPr>
        <sz val="11"/>
        <color theme="1"/>
        <rFont val="Calibri"/>
        <family val="2"/>
        <scheme val="minor"/>
      </rPr>
      <t xml:space="preserve"> about God's nature and work</t>
    </r>
  </si>
  <si>
    <r>
      <t>Personal testimony</t>
    </r>
    <r>
      <rPr>
        <sz val="11"/>
        <color theme="1"/>
        <rFont val="Calibri"/>
        <family val="2"/>
        <scheme val="minor"/>
      </rPr>
      <t xml:space="preserve"> of God's supernatural intervention</t>
    </r>
  </si>
  <si>
    <r>
      <t>Spiritual principles</t>
    </r>
    <r>
      <rPr>
        <sz val="11"/>
        <color theme="1"/>
        <rFont val="Calibri"/>
        <family val="2"/>
        <scheme val="minor"/>
      </rPr>
      <t xml:space="preserve"> rather than specific miraculous events</t>
    </r>
  </si>
  <si>
    <r>
      <t>Divine empowerment</t>
    </r>
    <r>
      <rPr>
        <sz val="11"/>
        <color theme="1"/>
        <rFont val="Calibri"/>
        <family val="2"/>
        <scheme val="minor"/>
      </rPr>
      <t xml:space="preserve"> for ministry and Christian living</t>
    </r>
  </si>
  <si>
    <r>
      <t>Pastoral and Apologetic Nature:</t>
    </r>
    <r>
      <rPr>
        <sz val="11"/>
        <color theme="1"/>
        <rFont val="Calibri"/>
        <family val="2"/>
        <scheme val="minor"/>
      </rPr>
      <t xml:space="preserve"> The supernatural elements serve to:</t>
    </r>
  </si>
  <si>
    <t>Validate Paul's apostolic authority</t>
  </si>
  <si>
    <t>Demonstrate God's power in weakness</t>
  </si>
  <si>
    <t>Encourage believers facing persecution</t>
  </si>
  <si>
    <t>Warn against false spiritual manifestations</t>
  </si>
  <si>
    <t>This epistle provides a unique perspective on how God's supernatural power operates through human weakness and suffering, making it a profound theological treatise on divine grace and strength in the Christian life.</t>
  </si>
  <si>
    <r>
      <t>Note:</t>
    </r>
    <r>
      <rPr>
        <sz val="11"/>
        <color theme="1"/>
        <rFont val="Calibri"/>
        <family val="2"/>
        <scheme val="minor"/>
      </rPr>
      <t xml:space="preserve"> While 2 Corinthians contains fewer narrative miracles than the Gospels or Acts, it reveals the ongoing supernatural work of God in apostolic ministry, personal transformation, and divine revelation. The letter emphasizes that God's power is most clearly displayed through human weakness and suffering, making it a profound testament to supernatural grace and strength.</t>
    </r>
  </si>
  <si>
    <r>
      <t>Divine Grace</t>
    </r>
    <r>
      <rPr>
        <sz val="11"/>
        <color theme="1"/>
        <rFont val="Calibri"/>
        <family val="2"/>
        <scheme val="minor"/>
      </rPr>
      <t>: Sufficiency of God's grace for all circumstances</t>
    </r>
  </si>
  <si>
    <r>
      <t>Heavenly Vision</t>
    </r>
    <r>
      <rPr>
        <sz val="11"/>
        <color theme="1"/>
        <rFont val="Calibri"/>
        <family val="2"/>
        <scheme val="minor"/>
      </rPr>
      <t>: Rare glimpse into Paul's mystical experiences</t>
    </r>
  </si>
  <si>
    <r>
      <t>Apostolic Credentials</t>
    </r>
    <r>
      <rPr>
        <sz val="11"/>
        <color theme="1"/>
        <rFont val="Calibri"/>
        <family val="2"/>
        <scheme val="minor"/>
      </rPr>
      <t>: Validation of Paul's calling through supernatural signs</t>
    </r>
  </si>
  <si>
    <r>
      <t>Weakness and Strength</t>
    </r>
    <r>
      <rPr>
        <sz val="11"/>
        <color theme="1"/>
        <rFont val="Calibri"/>
        <family val="2"/>
        <scheme val="minor"/>
      </rPr>
      <t>: God's power perfected in human weakness</t>
    </r>
  </si>
  <si>
    <r>
      <t>Audience</t>
    </r>
    <r>
      <rPr>
        <sz val="11"/>
        <color theme="1"/>
        <rFont val="Calibri"/>
        <family val="2"/>
        <scheme val="minor"/>
      </rPr>
      <t>: Corinthian church and believers throughout Achaia</t>
    </r>
  </si>
  <si>
    <r>
      <t>Location</t>
    </r>
    <r>
      <rPr>
        <sz val="11"/>
        <color theme="1"/>
        <rFont val="Calibri"/>
        <family val="2"/>
        <scheme val="minor"/>
      </rPr>
      <t>: Likely written from Macedonia after leaving Ephesus</t>
    </r>
  </si>
  <si>
    <r>
      <t>Occasion</t>
    </r>
    <r>
      <rPr>
        <sz val="11"/>
        <color theme="1"/>
        <rFont val="Calibri"/>
        <family val="2"/>
        <scheme val="minor"/>
      </rPr>
      <t>: Response to crisis in Corinth and attacks on Paul's ministry</t>
    </r>
  </si>
  <si>
    <r>
      <t>Time Period</t>
    </r>
    <r>
      <rPr>
        <sz val="11"/>
        <color theme="1"/>
        <rFont val="Calibri"/>
        <family val="2"/>
        <scheme val="minor"/>
      </rPr>
      <t>: c. 55-56 AD during Paul's third missionary journey</t>
    </r>
  </si>
  <si>
    <r>
      <t>Prophetic Revelation</t>
    </r>
    <r>
      <rPr>
        <sz val="11"/>
        <color theme="1"/>
        <rFont val="Calibri"/>
        <family val="2"/>
        <scheme val="minor"/>
      </rPr>
      <t>: Direct communication from God through Paul</t>
    </r>
  </si>
  <si>
    <r>
      <t>Spiritual Transformation</t>
    </r>
    <r>
      <rPr>
        <sz val="11"/>
        <color theme="1"/>
        <rFont val="Calibri"/>
        <family val="2"/>
        <scheme val="minor"/>
      </rPr>
      <t>: Ongoing supernatural change in believers</t>
    </r>
  </si>
  <si>
    <r>
      <t>Divine Comfort and Deliverance</t>
    </r>
    <r>
      <rPr>
        <sz val="11"/>
        <color theme="1"/>
        <rFont val="Calibri"/>
        <family val="2"/>
        <scheme val="minor"/>
      </rPr>
      <t>: God's supernatural intervention in suffering</t>
    </r>
  </si>
  <si>
    <r>
      <t>Apostolic Signs</t>
    </r>
    <r>
      <rPr>
        <sz val="11"/>
        <color theme="1"/>
        <rFont val="Calibri"/>
        <family val="2"/>
        <scheme val="minor"/>
      </rPr>
      <t>: Miraculous signs, wonders, and mighty works</t>
    </r>
  </si>
  <si>
    <r>
      <t>Divine Visions</t>
    </r>
    <r>
      <rPr>
        <sz val="11"/>
        <color theme="1"/>
        <rFont val="Calibri"/>
        <family val="2"/>
        <scheme val="minor"/>
      </rPr>
      <t>: Paul's experience of being caught up to the third heaven</t>
    </r>
  </si>
  <si>
    <r>
      <t>Autobiography</t>
    </r>
    <r>
      <rPr>
        <sz val="11"/>
        <color theme="1"/>
        <rFont val="Calibri"/>
        <family val="2"/>
        <scheme val="minor"/>
      </rPr>
      <t>: Contains significant biographical details about Paul</t>
    </r>
  </si>
  <si>
    <r>
      <t>Paradoxical Themes</t>
    </r>
    <r>
      <rPr>
        <sz val="11"/>
        <color theme="1"/>
        <rFont val="Calibri"/>
        <family val="2"/>
        <scheme val="minor"/>
      </rPr>
      <t>: Strength in weakness, treasure in earthen vessels</t>
    </r>
  </si>
  <si>
    <r>
      <t>Defensive Tone</t>
    </r>
    <r>
      <rPr>
        <sz val="11"/>
        <color theme="1"/>
        <rFont val="Calibri"/>
        <family val="2"/>
        <scheme val="minor"/>
      </rPr>
      <t>: Responds to attacks on his character and ministry</t>
    </r>
  </si>
  <si>
    <r>
      <t>Personal and Emotional</t>
    </r>
    <r>
      <rPr>
        <sz val="11"/>
        <color theme="1"/>
        <rFont val="Calibri"/>
        <family val="2"/>
        <scheme val="minor"/>
      </rPr>
      <t>: Most personal of Paul's letters, revealing his heart</t>
    </r>
  </si>
  <si>
    <r>
      <t>False Teachers</t>
    </r>
    <r>
      <rPr>
        <sz val="11"/>
        <color theme="1"/>
        <rFont val="Calibri"/>
        <family val="2"/>
        <scheme val="minor"/>
      </rPr>
      <t>: Warning against those who corrupt the gospel</t>
    </r>
  </si>
  <si>
    <r>
      <t>Generous Giving</t>
    </r>
    <r>
      <rPr>
        <sz val="11"/>
        <color theme="1"/>
        <rFont val="Calibri"/>
        <family val="2"/>
        <scheme val="minor"/>
      </rPr>
      <t>: Principles of Christian stewardship and generosity</t>
    </r>
  </si>
  <si>
    <r>
      <t>Ministry of Reconciliation</t>
    </r>
    <r>
      <rPr>
        <sz val="11"/>
        <color theme="1"/>
        <rFont val="Calibri"/>
        <family val="2"/>
        <scheme val="minor"/>
      </rPr>
      <t>: God's work of reconciling the world to Himself</t>
    </r>
  </si>
  <si>
    <r>
      <t>Suffering and Comfort</t>
    </r>
    <r>
      <rPr>
        <sz val="11"/>
        <color theme="1"/>
        <rFont val="Calibri"/>
        <family val="2"/>
        <scheme val="minor"/>
      </rPr>
      <t>: God's comfort in tribulation and weakness made strong</t>
    </r>
  </si>
  <si>
    <r>
      <t>Paul's Apostolic Authority</t>
    </r>
    <r>
      <rPr>
        <sz val="11"/>
        <color theme="1"/>
        <rFont val="Calibri"/>
        <family val="2"/>
        <scheme val="minor"/>
      </rPr>
      <t>: Defense of his ministry and calling</t>
    </r>
  </si>
  <si>
    <t>Key Characteristics of 2 Corinthians</t>
  </si>
  <si>
    <t>Galatians:</t>
  </si>
  <si>
    <t>God comforts Paul in all his afflictions</t>
  </si>
  <si>
    <t>2 Corinthians 1:3-4</t>
  </si>
  <si>
    <t>c. 55-56 AD</t>
  </si>
  <si>
    <t>Psalm 34:18; Isaiah 61:2-3; Romans 15:5</t>
  </si>
  <si>
    <t>God delivers Paul from deadly peril</t>
  </si>
  <si>
    <t>2 Corinthians 1:8-10</t>
  </si>
  <si>
    <t>Asia (likely Ephesus)</t>
  </si>
  <si>
    <t>Acts 19:23-41; 1 Corinthians 15:32; Psalm 34:19</t>
  </si>
  <si>
    <t>God always leads in triumphal procession in Christ</t>
  </si>
  <si>
    <t>2 Corinthians 2:14</t>
  </si>
  <si>
    <t>Paul's ministry locations</t>
  </si>
  <si>
    <t>Romans 8:37; Colossians 2:15; Ephesians 4:8</t>
  </si>
  <si>
    <t>God makes Paul and others competent as ministers</t>
  </si>
  <si>
    <t>2 Corinthians 3:5-6</t>
  </si>
  <si>
    <t>Paul's ministry</t>
  </si>
  <si>
    <t>1 Corinthians 15:10; Ephesians 3:7; Philippians 4:13</t>
  </si>
  <si>
    <t>Miraculous transformation from glory to glory</t>
  </si>
  <si>
    <t>2 Corinthians 3:18</t>
  </si>
  <si>
    <t>Believers' lives</t>
  </si>
  <si>
    <t>Romans 8:29; 1 John 3:2; Romans 12:2</t>
  </si>
  <si>
    <t>God shines light in hearts for knowledge of His glory</t>
  </si>
  <si>
    <t>2 Corinthians 4:6</t>
  </si>
  <si>
    <t>Paul's conversion/ministry</t>
  </si>
  <si>
    <t>Acts 9:3-6; Genesis 1:3; Ephesians 1:17-18</t>
  </si>
  <si>
    <t>God's power perfected in weakness</t>
  </si>
  <si>
    <t>2 Corinthians 4:7</t>
  </si>
  <si>
    <t>2 Corinthians 12:9; 1 Corinthians 1:27; Isaiah 40:29</t>
  </si>
  <si>
    <t>God raises the dead and will raise believers</t>
  </si>
  <si>
    <t>2 Corinthians 4:14</t>
  </si>
  <si>
    <t>Future resurrection</t>
  </si>
  <si>
    <t>Resurrection Power</t>
  </si>
  <si>
    <t>1 Corinthians 15:20-23; Romans 6:5; 1 Thessalonians 4:16</t>
  </si>
  <si>
    <t>Believers receive a building from God in heaven</t>
  </si>
  <si>
    <t>2 Corinthians 5:1</t>
  </si>
  <si>
    <t>Heaven</t>
  </si>
  <si>
    <t>John 14:2; 1 Corinthians 15:44; Philippians 3:21</t>
  </si>
  <si>
    <t>God reconciles the world to Himself through Christ</t>
  </si>
  <si>
    <t>2 Corinthians 5:18-19</t>
  </si>
  <si>
    <t>World/Paul's ministry</t>
  </si>
  <si>
    <t>Romans 5:10; Ephesians 2:16; Colossians 1:20</t>
  </si>
  <si>
    <t>God makes Christ to be sin for believers' righteousness</t>
  </si>
  <si>
    <t>2 Corinthians 5:21</t>
  </si>
  <si>
    <t>Cross/believers' lives</t>
  </si>
  <si>
    <t>c. 33 AD/ongoing</t>
  </si>
  <si>
    <t>Isaiah 53:6; 1 Peter 2:24; Romans 3:21-22</t>
  </si>
  <si>
    <t>God opens a door for the gospel</t>
  </si>
  <si>
    <t>2 Corinthians 2:12</t>
  </si>
  <si>
    <t>1 Corinthians 16:9; Colossians 4:3; Acts 14:27</t>
  </si>
  <si>
    <t>Signs, wonders, and mighty works performed among Corinthians</t>
  </si>
  <si>
    <t>2 Corinthians 12:12</t>
  </si>
  <si>
    <t>c. 50-52 AD</t>
  </si>
  <si>
    <t>Paul (by God's power)</t>
  </si>
  <si>
    <t>Apostolic Signs</t>
  </si>
  <si>
    <t>Romans 15:19; Hebrews 2:4; Acts 14:3</t>
  </si>
  <si>
    <t>Paul receives visions and revelations from the Lord</t>
  </si>
  <si>
    <t>2 Corinthians 12:1</t>
  </si>
  <si>
    <t>Before 55-56 AD</t>
  </si>
  <si>
    <t>Jesus/God</t>
  </si>
  <si>
    <t>Acts 9:3-6; Acts 22:17-21; Galatians 1:12</t>
  </si>
  <si>
    <t>Paul caught up to the third heaven/paradise</t>
  </si>
  <si>
    <t>2 Corinthians 12:2-4</t>
  </si>
  <si>
    <t>Third heaven</t>
  </si>
  <si>
    <t>c. 41-43 AD</t>
  </si>
  <si>
    <t>Revelation 4:1-2; Ezekiel 1:1; 1 Kings 22:19</t>
  </si>
  <si>
    <t>Paul hears inexpressible words in paradise</t>
  </si>
  <si>
    <t>2 Corinthians 12:4</t>
  </si>
  <si>
    <t>Paradise</t>
  </si>
  <si>
    <t>Revelation 2:7; Luke 23:43; Deuteronomy 29:29</t>
  </si>
  <si>
    <t>Christ's power rests on Paul through weakness</t>
  </si>
  <si>
    <t>2 Corinthians 12:9</t>
  </si>
  <si>
    <t>Christ</t>
  </si>
  <si>
    <t>2 Corinthians 4:7; Philippians 4:13; 1 Corinthians 1:27</t>
  </si>
  <si>
    <t>Christ speaks in Paul</t>
  </si>
  <si>
    <t>2 Corinthians 13:3</t>
  </si>
  <si>
    <t>Galatians 2:20; 1 Corinthians 14:37; 2 Peter 1:21</t>
  </si>
  <si>
    <t>God's grace is sufficient for all needs</t>
  </si>
  <si>
    <t>Paul's life/ministry</t>
  </si>
  <si>
    <t>Philippians 4:19; Hebrews 4:16; 1 Corinthians 10:13</t>
  </si>
  <si>
    <t>Satan disguises himself as an angel of light</t>
  </si>
  <si>
    <t>2 Corinthians 11:14</t>
  </si>
  <si>
    <t>False teachers' deception</t>
  </si>
  <si>
    <t>1 Timothy 4:1; 2 Timothy 3:13; 1 John 4:1</t>
  </si>
  <si>
    <t>Satan hinders Paul's ministry</t>
  </si>
  <si>
    <t>2 Corinthians 2:11</t>
  </si>
  <si>
    <t>1 Thessalonians 2:18; Ephesians 6:11; 1 Peter 5:8</t>
  </si>
  <si>
    <t>Believers being transformed into Christ's image</t>
  </si>
  <si>
    <t>Christian life</t>
  </si>
  <si>
    <t>Romans 8:29; Galatians 4:19; Philippians 3:21</t>
  </si>
  <si>
    <t>God supplies seed and bread for sowing and eating</t>
  </si>
  <si>
    <t>2 Corinthians 9:10</t>
  </si>
  <si>
    <t>Believers' giving</t>
  </si>
  <si>
    <t>Philippians 4:19; Matthew 6:26; Psalm 37:25</t>
  </si>
  <si>
    <t>a comprehensive table for the Book of Galatians, ordered by scripture reference and including cross-references.</t>
  </si>
  <si>
    <t>Key Observations about Galatians:</t>
  </si>
  <si>
    <t>The Book of Galatians differs significantly from narrative books like Matthew in that it contains fewer dramatic miracles and more emphasis on:</t>
  </si>
  <si>
    <t>Supernatural Elements Include:</t>
  </si>
  <si>
    <r>
      <t>Divine Revelation</t>
    </r>
    <r>
      <rPr>
        <sz val="11"/>
        <color theme="1"/>
        <rFont val="Calibri"/>
        <family val="2"/>
        <scheme val="minor"/>
      </rPr>
      <t>: Paul's direct reception of the gospel from Christ</t>
    </r>
  </si>
  <si>
    <r>
      <t>Miraculous Works</t>
    </r>
    <r>
      <rPr>
        <sz val="11"/>
        <color theme="1"/>
        <rFont val="Calibri"/>
        <family val="2"/>
        <scheme val="minor"/>
      </rPr>
      <t>: Signs and wonders performed among the Galatian churches</t>
    </r>
  </si>
  <si>
    <r>
      <t>Spirit's Ministry</t>
    </r>
    <r>
      <rPr>
        <sz val="11"/>
        <color theme="1"/>
        <rFont val="Calibri"/>
        <family val="2"/>
        <scheme val="minor"/>
      </rPr>
      <t>: The ongoing supernatural work of the Holy Spirit</t>
    </r>
  </si>
  <si>
    <r>
      <t>Spiritual Transformation</t>
    </r>
    <r>
      <rPr>
        <sz val="11"/>
        <color theme="1"/>
        <rFont val="Calibri"/>
        <family val="2"/>
        <scheme val="minor"/>
      </rPr>
      <t>: The miracle of justification and new creation</t>
    </r>
  </si>
  <si>
    <r>
      <t>Divine Calling</t>
    </r>
    <r>
      <rPr>
        <sz val="11"/>
        <color theme="1"/>
        <rFont val="Calibri"/>
        <family val="2"/>
        <scheme val="minor"/>
      </rPr>
      <t>: God's sovereign selection and commissioning</t>
    </r>
  </si>
  <si>
    <t>The book is more theological than narrative, focusing on doctrine rather than miracles</t>
  </si>
  <si>
    <t>References to historical supernatural events (Abraham's faith, Law-giving, Incarnation)</t>
  </si>
  <si>
    <t>Emphasis on the ongoing miraculous work of the Spirit in believers' lives</t>
  </si>
  <si>
    <t>Paul's own conversion serves as the foundational miracle validating his apostolic authority</t>
  </si>
  <si>
    <r>
      <t>Cross-References:</t>
    </r>
    <r>
      <rPr>
        <sz val="11"/>
        <color theme="1"/>
        <rFont val="Calibri"/>
        <family val="2"/>
        <scheme val="minor"/>
      </rPr>
      <t xml:space="preserve"> The cross-references show how Galatians connects with:</t>
    </r>
  </si>
  <si>
    <t>Acts (for historical context of Paul's ministry)</t>
  </si>
  <si>
    <t>Romans (for parallel theological development)</t>
  </si>
  <si>
    <t>Genesis (for Old Testament foundations)</t>
  </si>
  <si>
    <t>Other Pauline epistles (for complementary teaching)</t>
  </si>
  <si>
    <t>The book demonstrates that while not every biblical book contains dramatic supernatural events, the ongoing work of God through His Spirit in salvation, sanctification, and ministry represents profound miraculous activity that transforms lives and builds the church.</t>
  </si>
  <si>
    <r>
      <t>Note:</t>
    </r>
    <r>
      <rPr>
        <sz val="11"/>
        <color theme="1"/>
        <rFont val="Calibri"/>
        <family val="2"/>
        <scheme val="minor"/>
      </rPr>
      <t xml:space="preserve"> While Galatians contains fewer narrative miracles than the Gospels or Acts, it emphasizes the ongoing supernatural work of God through the Spirit in believers' lives. The book's primary "miracle" is the transformation that occurs when people are justified by faith and receive the Spirit. Paul's own supernatural conversion and calling serve as the foundation for his apostolic authority and gospel message.</t>
    </r>
  </si>
  <si>
    <r>
      <t>Practical Christianity</t>
    </r>
    <r>
      <rPr>
        <sz val="11"/>
        <color theme="1"/>
        <rFont val="Calibri"/>
        <family val="2"/>
        <scheme val="minor"/>
      </rPr>
      <t>: How the gospel transforms daily living</t>
    </r>
  </si>
  <si>
    <r>
      <t>Christian Identity</t>
    </r>
    <r>
      <rPr>
        <sz val="11"/>
        <color theme="1"/>
        <rFont val="Calibri"/>
        <family val="2"/>
        <scheme val="minor"/>
      </rPr>
      <t>: Understanding believers as sons of God through faith</t>
    </r>
  </si>
  <si>
    <r>
      <t>Gospel Definition</t>
    </r>
    <r>
      <rPr>
        <sz val="11"/>
        <color theme="1"/>
        <rFont val="Calibri"/>
        <family val="2"/>
        <scheme val="minor"/>
      </rPr>
      <t>: Clearest articulation of justification by faith alone</t>
    </r>
  </si>
  <si>
    <r>
      <t>Reformation Foundation</t>
    </r>
    <r>
      <rPr>
        <sz val="11"/>
        <color theme="1"/>
        <rFont val="Calibri"/>
        <family val="2"/>
        <scheme val="minor"/>
      </rPr>
      <t>: Key text for Protestant understanding of salvation</t>
    </r>
  </si>
  <si>
    <r>
      <t>Purpose</t>
    </r>
    <r>
      <rPr>
        <sz val="11"/>
        <color theme="1"/>
        <rFont val="Calibri"/>
        <family val="2"/>
        <scheme val="minor"/>
      </rPr>
      <t>: Defending justification by faith and Christian liberty</t>
    </r>
  </si>
  <si>
    <r>
      <t>Audience</t>
    </r>
    <r>
      <rPr>
        <sz val="11"/>
        <color theme="1"/>
        <rFont val="Calibri"/>
        <family val="2"/>
        <scheme val="minor"/>
      </rPr>
      <t>: Churches in Galatia (modern-day Turkey)</t>
    </r>
  </si>
  <si>
    <r>
      <t>Occasion</t>
    </r>
    <r>
      <rPr>
        <sz val="11"/>
        <color theme="1"/>
        <rFont val="Calibri"/>
        <family val="2"/>
        <scheme val="minor"/>
      </rPr>
      <t>: False teachers promoting circumcision and law-keeping</t>
    </r>
  </si>
  <si>
    <r>
      <t>Time Period</t>
    </r>
    <r>
      <rPr>
        <sz val="11"/>
        <color theme="1"/>
        <rFont val="Calibri"/>
        <family val="2"/>
        <scheme val="minor"/>
      </rPr>
      <t>: c. 48-49 AD (written during Paul's missionary journeys)</t>
    </r>
  </si>
  <si>
    <r>
      <t>Divine Calling</t>
    </r>
    <r>
      <rPr>
        <sz val="11"/>
        <color theme="1"/>
        <rFont val="Calibri"/>
        <family val="2"/>
        <scheme val="minor"/>
      </rPr>
      <t>: God's sovereign selection and commissioning of Paul</t>
    </r>
  </si>
  <si>
    <r>
      <t>Spiritual Transformation</t>
    </r>
    <r>
      <rPr>
        <sz val="11"/>
        <color theme="1"/>
        <rFont val="Calibri"/>
        <family val="2"/>
        <scheme val="minor"/>
      </rPr>
      <t>: New creation and Christ's indwelling presence</t>
    </r>
  </si>
  <si>
    <r>
      <t>Spirit's Ministry</t>
    </r>
    <r>
      <rPr>
        <sz val="11"/>
        <color theme="1"/>
        <rFont val="Calibri"/>
        <family val="2"/>
        <scheme val="minor"/>
      </rPr>
      <t>: Receiving, dwelling, and working of the Holy Spirit</t>
    </r>
  </si>
  <si>
    <r>
      <t>Miraculous Works</t>
    </r>
    <r>
      <rPr>
        <sz val="11"/>
        <color theme="1"/>
        <rFont val="Calibri"/>
        <family val="2"/>
        <scheme val="minor"/>
      </rPr>
      <t>: Signs and wonders performed among the Galatians</t>
    </r>
  </si>
  <si>
    <r>
      <t>Divine Revelation</t>
    </r>
    <r>
      <rPr>
        <sz val="11"/>
        <color theme="1"/>
        <rFont val="Calibri"/>
        <family val="2"/>
        <scheme val="minor"/>
      </rPr>
      <t>: Paul's direct reception of gospel truth from Christ</t>
    </r>
  </si>
  <si>
    <r>
      <t>Personal Appeal</t>
    </r>
    <r>
      <rPr>
        <sz val="11"/>
        <color theme="1"/>
        <rFont val="Calibri"/>
        <family val="2"/>
        <scheme val="minor"/>
      </rPr>
      <t>: Direct, emotional engagement with readers</t>
    </r>
  </si>
  <si>
    <r>
      <t>Theological Argumentation</t>
    </r>
    <r>
      <rPr>
        <sz val="11"/>
        <color theme="1"/>
        <rFont val="Calibri"/>
        <family val="2"/>
        <scheme val="minor"/>
      </rPr>
      <t>: Careful reasoning from Scripture</t>
    </r>
  </si>
  <si>
    <r>
      <t>Polemical Tone</t>
    </r>
    <r>
      <rPr>
        <sz val="11"/>
        <color theme="1"/>
        <rFont val="Calibri"/>
        <family val="2"/>
        <scheme val="minor"/>
      </rPr>
      <t>: Urgent, passionate defense of the gospel</t>
    </r>
  </si>
  <si>
    <r>
      <t>Autobiographical Elements</t>
    </r>
    <r>
      <rPr>
        <sz val="11"/>
        <color theme="1"/>
        <rFont val="Calibri"/>
        <family val="2"/>
        <scheme val="minor"/>
      </rPr>
      <t>: Paul's personal testimony and calling</t>
    </r>
  </si>
  <si>
    <r>
      <t>Unity in Christ</t>
    </r>
    <r>
      <rPr>
        <sz val="11"/>
        <color theme="1"/>
        <rFont val="Calibri"/>
        <family val="2"/>
        <scheme val="minor"/>
      </rPr>
      <t>: Breaking down barriers between Jew and Gentile</t>
    </r>
  </si>
  <si>
    <r>
      <t>Grace vs. Law</t>
    </r>
    <r>
      <rPr>
        <sz val="11"/>
        <color theme="1"/>
        <rFont val="Calibri"/>
        <family val="2"/>
        <scheme val="minor"/>
      </rPr>
      <t>: The superiority of grace over law-keeping for salvation</t>
    </r>
  </si>
  <si>
    <r>
      <t>Christian Freedom</t>
    </r>
    <r>
      <rPr>
        <sz val="11"/>
        <color theme="1"/>
        <rFont val="Calibri"/>
        <family val="2"/>
        <scheme val="minor"/>
      </rPr>
      <t>: Liberation from the bondage of legalism</t>
    </r>
  </si>
  <si>
    <r>
      <t>Justification by Faith</t>
    </r>
    <r>
      <rPr>
        <sz val="11"/>
        <color theme="1"/>
        <rFont val="Calibri"/>
        <family val="2"/>
        <scheme val="minor"/>
      </rPr>
      <t>: Salvation through faith alone, not works of the law</t>
    </r>
  </si>
  <si>
    <t>Key Characteristics of the Book of Galatians</t>
  </si>
  <si>
    <t>Ephesians:</t>
  </si>
  <si>
    <t>2 Corinthians 5:17; Ephesians 2:10; 4:24</t>
  </si>
  <si>
    <t>Galatians 6:15</t>
  </si>
  <si>
    <t>The new creation in Christ</t>
  </si>
  <si>
    <t>Genesis 16:1-16; 21:1-21; Romans 9:7-9</t>
  </si>
  <si>
    <t>Ancient Palestine</t>
  </si>
  <si>
    <t>Galatians 4:21-31</t>
  </si>
  <si>
    <t>Allegory of Sarah and Hagar representing covenants</t>
  </si>
  <si>
    <t>1 Thessalonians 2:13; Hebrews 13:2</t>
  </si>
  <si>
    <t>Galatia</t>
  </si>
  <si>
    <t>Galatians 4:14</t>
  </si>
  <si>
    <t>Galatians receive Paul as an angel of God/Christ Jesus</t>
  </si>
  <si>
    <t>Acts 14:1-20; 2 Corinthians 12:7-10</t>
  </si>
  <si>
    <t>Galatians 4:13-14</t>
  </si>
  <si>
    <t>Paul's illness becomes occasion for gospel preaching</t>
  </si>
  <si>
    <t>Romans 8:9, 15; 1 John 3:24; 4:13</t>
  </si>
  <si>
    <t>Spirit Gift</t>
  </si>
  <si>
    <t>c. 47-50 AD</t>
  </si>
  <si>
    <t>Galatians 4:6</t>
  </si>
  <si>
    <t>God sends the Spirit of His Son into believers' hearts</t>
  </si>
  <si>
    <t>Matthew 1:18-25; Luke 1:26-38; John 1:14</t>
  </si>
  <si>
    <t>Incarnation</t>
  </si>
  <si>
    <t>Galatians 4:4</t>
  </si>
  <si>
    <t>God sends His Son born of a woman at the appointed time</t>
  </si>
  <si>
    <t>Romans 8:15-17; Ephesians 1:5</t>
  </si>
  <si>
    <t>Spiritual Adoption</t>
  </si>
  <si>
    <t>Galatians 4:5-6</t>
  </si>
  <si>
    <t>Adoption as sons through the Spirit</t>
  </si>
  <si>
    <t>Genesis 12:7; 13:15; 17:8; 22:18</t>
  </si>
  <si>
    <t>Galatians 3:16-18</t>
  </si>
  <si>
    <t>God's promises to Abraham and his Seed (Christ)</t>
  </si>
  <si>
    <t>Exodus 19-20; Acts 7:53; Hebrews 2:2</t>
  </si>
  <si>
    <t>Angels/Moses</t>
  </si>
  <si>
    <t>Galatians 3:19</t>
  </si>
  <si>
    <t>The Law given through angels (supernatural mediation)</t>
  </si>
  <si>
    <t>Genesis 15:6; Romans 4:3, 16-22; James 2:23</t>
  </si>
  <si>
    <t>Galatians 3:6-9</t>
  </si>
  <si>
    <t>Abraham's supernatural faith counted as righteousness (historical reference)</t>
  </si>
  <si>
    <t>Acts 14:3; 1 Corinthians 2:4; 2 Corinthians 12:12</t>
  </si>
  <si>
    <t>Miraculous Works/Spirit Gift</t>
  </si>
  <si>
    <t>Galatians 3:5</t>
  </si>
  <si>
    <t>God supplies the Spirit and works miracles among believers</t>
  </si>
  <si>
    <t>Acts 14:3, 8-10; 2 Corinthians 12:12</t>
  </si>
  <si>
    <t>Miraculous Works</t>
  </si>
  <si>
    <t>Miraculous works performed among the Galatians</t>
  </si>
  <si>
    <t>Acts 2:38; 8:14-17; 10:44-48; 19:1-6</t>
  </si>
  <si>
    <t>Galatians 3:2, 14</t>
  </si>
  <si>
    <t>Believers receive the Spirit through faith</t>
  </si>
  <si>
    <t>1 Corinthians 1:23; 2:2</t>
  </si>
  <si>
    <t>Spiritual Revelation</t>
  </si>
  <si>
    <t>Paul through divine revelation</t>
  </si>
  <si>
    <t>Galatians 3:1</t>
  </si>
  <si>
    <t>Christ's crucifixion portrayed before Galatians' eyes</t>
  </si>
  <si>
    <t>Romans 8:10; Colossians 1:27; Ephesians 3:17</t>
  </si>
  <si>
    <t>Spiritual Indwelling</t>
  </si>
  <si>
    <t>Galatians 2:20</t>
  </si>
  <si>
    <t>Christ lives in believers</t>
  </si>
  <si>
    <t>Acts 15:1-2</t>
  </si>
  <si>
    <t>c. 49 AD</t>
  </si>
  <si>
    <t>Galatians 2:2</t>
  </si>
  <si>
    <t>God reveals by revelation that Paul should go to Jerusalem</t>
  </si>
  <si>
    <t>Acts 9:19-30</t>
  </si>
  <si>
    <t>Arabia</t>
  </si>
  <si>
    <t>Galatians 1:17</t>
  </si>
  <si>
    <t>Paul receives divine guidance not to go to Jerusalem immediately</t>
  </si>
  <si>
    <t>Acts 9:15; 22:21; 26:16-18; Romans 1:1</t>
  </si>
  <si>
    <t>Damascus/Arabia</t>
  </si>
  <si>
    <t>Galatians 1:15-16</t>
  </si>
  <si>
    <t>God reveals His Son to Paul for ministry to Gentiles</t>
  </si>
  <si>
    <t>Acts 9:1-19; 22:6-16; 26:12-18</t>
  </si>
  <si>
    <t>God/Jesus Christ</t>
  </si>
  <si>
    <t>Paul's dramatic conversion on the Damascus road (referenced)</t>
  </si>
  <si>
    <t>Acts 9:1-19; 22:6-16; 26:12-18; 1 Corinthians 15:8</t>
  </si>
  <si>
    <t>Jesus Christ</t>
  </si>
  <si>
    <t>Galatians 1:11-12</t>
  </si>
  <si>
    <t>Paul receives direct revelation of the gospel from Jesus Christ</t>
  </si>
  <si>
    <t>Ephesians 5:2; Titus 2:14; 1 Peter 2:24</t>
  </si>
  <si>
    <t>Redemptive Sacrifice</t>
  </si>
  <si>
    <t>Galatians 1:4</t>
  </si>
  <si>
    <t>Christ gave Himself for sins to deliver from present evil age</t>
  </si>
  <si>
    <t>a comprehensive table for the Book of Ephesians, ordered by scripture reference with cross-references included.</t>
  </si>
  <si>
    <t>Key Observations about Ephesians:</t>
  </si>
  <si>
    <r>
      <t xml:space="preserve">Unlike the Gospels which record physical miracles, Ephesians focuses on </t>
    </r>
    <r>
      <rPr>
        <b/>
        <sz val="11"/>
        <color theme="1"/>
        <rFont val="Calibri"/>
        <family val="2"/>
        <scheme val="minor"/>
      </rPr>
      <t>spiritual and theological miracles</t>
    </r>
    <r>
      <rPr>
        <sz val="11"/>
        <color theme="1"/>
        <rFont val="Calibri"/>
        <family val="2"/>
        <scheme val="minor"/>
      </rPr>
      <t>:</t>
    </r>
  </si>
  <si>
    <t>Primary Supernatural Elements:</t>
  </si>
  <si>
    <r>
      <t>Divine Election and Predestination</t>
    </r>
    <r>
      <rPr>
        <sz val="11"/>
        <color theme="1"/>
        <rFont val="Calibri"/>
        <family val="2"/>
        <scheme val="minor"/>
      </rPr>
      <t xml:space="preserve"> - God's eternal plan before creation</t>
    </r>
  </si>
  <si>
    <r>
      <t>Spiritual Resurrection</t>
    </r>
    <r>
      <rPr>
        <sz val="11"/>
        <color theme="1"/>
        <rFont val="Calibri"/>
        <family val="2"/>
        <scheme val="minor"/>
      </rPr>
      <t xml:space="preserve"> - Making spiritually dead people alive in Christ</t>
    </r>
  </si>
  <si>
    <r>
      <t>Divine Revelation</t>
    </r>
    <r>
      <rPr>
        <sz val="11"/>
        <color theme="1"/>
        <rFont val="Calibri"/>
        <family val="2"/>
        <scheme val="minor"/>
      </rPr>
      <t xml:space="preserve"> - Mysteries of God revealed to apostles</t>
    </r>
  </si>
  <si>
    <r>
      <t>Spiritual Transformation</t>
    </r>
    <r>
      <rPr>
        <sz val="11"/>
        <color theme="1"/>
        <rFont val="Calibri"/>
        <family val="2"/>
        <scheme val="minor"/>
      </rPr>
      <t xml:space="preserve"> - Believers being changed into Christ's likeness</t>
    </r>
  </si>
  <si>
    <r>
      <t>Spiritual Warfare</t>
    </r>
    <r>
      <rPr>
        <sz val="11"/>
        <color theme="1"/>
        <rFont val="Calibri"/>
        <family val="2"/>
        <scheme val="minor"/>
      </rPr>
      <t xml:space="preserve"> - Battle against supernatural evil forces</t>
    </r>
  </si>
  <si>
    <r>
      <t xml:space="preserve">Emphasizes the </t>
    </r>
    <r>
      <rPr>
        <b/>
        <sz val="11"/>
        <color theme="1"/>
        <rFont val="Calibri"/>
        <family val="2"/>
        <scheme val="minor"/>
      </rPr>
      <t>invisible spiritual realm</t>
    </r>
    <r>
      <rPr>
        <sz val="11"/>
        <color theme="1"/>
        <rFont val="Calibri"/>
        <family val="2"/>
        <scheme val="minor"/>
      </rPr>
      <t xml:space="preserve"> more than physical miracles</t>
    </r>
  </si>
  <si>
    <r>
      <t xml:space="preserve">Focuses on </t>
    </r>
    <r>
      <rPr>
        <b/>
        <sz val="11"/>
        <color theme="1"/>
        <rFont val="Calibri"/>
        <family val="2"/>
        <scheme val="minor"/>
      </rPr>
      <t>positional truth</t>
    </r>
    <r>
      <rPr>
        <sz val="11"/>
        <color theme="1"/>
        <rFont val="Calibri"/>
        <family val="2"/>
        <scheme val="minor"/>
      </rPr>
      <t xml:space="preserve"> - what believers have in Christ</t>
    </r>
  </si>
  <si>
    <r>
      <t xml:space="preserve">Reveals </t>
    </r>
    <r>
      <rPr>
        <b/>
        <sz val="11"/>
        <color theme="1"/>
        <rFont val="Calibri"/>
        <family val="2"/>
        <scheme val="minor"/>
      </rPr>
      <t>cosmic scope</t>
    </r>
    <r>
      <rPr>
        <sz val="11"/>
        <color theme="1"/>
        <rFont val="Calibri"/>
        <family val="2"/>
        <scheme val="minor"/>
      </rPr>
      <t xml:space="preserve"> of God's plan including heavenly realms</t>
    </r>
  </si>
  <si>
    <r>
      <t xml:space="preserve">Presents the </t>
    </r>
    <r>
      <rPr>
        <b/>
        <sz val="11"/>
        <color theme="1"/>
        <rFont val="Calibri"/>
        <family val="2"/>
        <scheme val="minor"/>
      </rPr>
      <t>church as a supernatural entity</t>
    </r>
    <r>
      <rPr>
        <sz val="11"/>
        <color theme="1"/>
        <rFont val="Calibri"/>
        <family val="2"/>
        <scheme val="minor"/>
      </rPr>
      <t xml:space="preserve"> - the body of Christ</t>
    </r>
  </si>
  <si>
    <t>The "Miracles" in Ephesians are primarily:</t>
  </si>
  <si>
    <r>
      <t>1. Soteriological</t>
    </r>
    <r>
      <rPr>
        <sz val="11"/>
        <color theme="1"/>
        <rFont val="Calibri"/>
        <family val="2"/>
        <scheme val="minor"/>
      </rPr>
      <t xml:space="preserve"> (salvation-related) - God's work of saving and transforming sinners</t>
    </r>
  </si>
  <si>
    <r>
      <t>2. Ecclesiological</t>
    </r>
    <r>
      <rPr>
        <sz val="11"/>
        <color theme="1"/>
        <rFont val="Calibri"/>
        <family val="2"/>
        <scheme val="minor"/>
      </rPr>
      <t xml:space="preserve"> (church-related) - Creating unity between Jews and Gentiles</t>
    </r>
  </si>
  <si>
    <r>
      <t>3. Revelatory</t>
    </r>
    <r>
      <rPr>
        <sz val="11"/>
        <color theme="1"/>
        <rFont val="Calibri"/>
        <family val="2"/>
        <scheme val="minor"/>
      </rPr>
      <t xml:space="preserve"> - Unveiling divine mysteries previously hidden</t>
    </r>
  </si>
  <si>
    <r>
      <t>4. Transformational</t>
    </r>
    <r>
      <rPr>
        <sz val="11"/>
        <color theme="1"/>
        <rFont val="Calibri"/>
        <family val="2"/>
        <scheme val="minor"/>
      </rPr>
      <t xml:space="preserve"> - Ongoing spiritual change in believers' lives</t>
    </r>
  </si>
  <si>
    <t>This makes Ephesians quite different from narrative books like Matthew, as it deals more with theological realities and spiritual truths than historical events, yet these spiritual realities are presented as genuine supernatural acts of God.</t>
  </si>
  <si>
    <r>
      <t>Note:</t>
    </r>
    <r>
      <rPr>
        <sz val="11"/>
        <color theme="1"/>
        <rFont val="Calibri"/>
        <family val="2"/>
        <scheme val="minor"/>
      </rPr>
      <t xml:space="preserve"> Ephesians focuses primarily on spiritual and supernatural realities rather than physical miracles. The "miracles" in Ephesians are largely theological - God's work of salvation, spiritual resurrection, revelation of mysteries, and the ongoing supernatural transformation of believers. The book emphasizes the invisible spiritual realm and God's mighty power working in and through the church.</t>
    </r>
  </si>
  <si>
    <r>
      <t>Authorship</t>
    </r>
    <r>
      <rPr>
        <sz val="11"/>
        <color theme="1"/>
        <rFont val="Calibri"/>
        <family val="2"/>
        <scheme val="minor"/>
      </rPr>
      <t>: Written by Paul from prison in Rome</t>
    </r>
  </si>
  <si>
    <r>
      <t>Purpose</t>
    </r>
    <r>
      <rPr>
        <sz val="11"/>
        <color theme="1"/>
        <rFont val="Calibri"/>
        <family val="2"/>
        <scheme val="minor"/>
      </rPr>
      <t>: To explain the believer's position in Christ and practical Christian living</t>
    </r>
  </si>
  <si>
    <r>
      <t>Recipients</t>
    </r>
    <r>
      <rPr>
        <sz val="11"/>
        <color theme="1"/>
        <rFont val="Calibri"/>
        <family val="2"/>
        <scheme val="minor"/>
      </rPr>
      <t>: Church at Ephesus and possibly circular letter to Asia Minor churches</t>
    </r>
  </si>
  <si>
    <r>
      <t>Time Period</t>
    </r>
    <r>
      <rPr>
        <sz val="11"/>
        <color theme="1"/>
        <rFont val="Calibri"/>
        <family val="2"/>
        <scheme val="minor"/>
      </rPr>
      <t>: c. 60-62 AD during Paul's Roman imprisonment</t>
    </r>
  </si>
  <si>
    <r>
      <t>Divine Transformation</t>
    </r>
    <r>
      <rPr>
        <sz val="11"/>
        <color theme="1"/>
        <rFont val="Calibri"/>
        <family val="2"/>
        <scheme val="minor"/>
      </rPr>
      <t>: Believers changed into Christ's likeness</t>
    </r>
  </si>
  <si>
    <r>
      <t>Spiritual Warfare</t>
    </r>
    <r>
      <rPr>
        <sz val="11"/>
        <color theme="1"/>
        <rFont val="Calibri"/>
        <family val="2"/>
        <scheme val="minor"/>
      </rPr>
      <t>: Battle against supernatural evil forces</t>
    </r>
  </si>
  <si>
    <r>
      <t>Spiritual Gifts</t>
    </r>
    <r>
      <rPr>
        <sz val="11"/>
        <color theme="1"/>
        <rFont val="Calibri"/>
        <family val="2"/>
        <scheme val="minor"/>
      </rPr>
      <t>: Christ's gifts to build up the church</t>
    </r>
  </si>
  <si>
    <r>
      <t>Divine Revelation</t>
    </r>
    <r>
      <rPr>
        <sz val="11"/>
        <color theme="1"/>
        <rFont val="Calibri"/>
        <family val="2"/>
        <scheme val="minor"/>
      </rPr>
      <t>: Mysteries revealed to apostles and prophets</t>
    </r>
  </si>
  <si>
    <r>
      <t>Spiritual Resurrection</t>
    </r>
    <r>
      <rPr>
        <sz val="11"/>
        <color theme="1"/>
        <rFont val="Calibri"/>
        <family val="2"/>
        <scheme val="minor"/>
      </rPr>
      <t>: Believers made alive in Christ</t>
    </r>
  </si>
  <si>
    <r>
      <t>Divine Predestination</t>
    </r>
    <r>
      <rPr>
        <sz val="11"/>
        <color theme="1"/>
        <rFont val="Calibri"/>
        <family val="2"/>
        <scheme val="minor"/>
      </rPr>
      <t>: God's eternal plan and election</t>
    </r>
  </si>
  <si>
    <r>
      <t>Rich Theological Language</t>
    </r>
    <r>
      <rPr>
        <sz val="11"/>
        <color theme="1"/>
        <rFont val="Calibri"/>
        <family val="2"/>
        <scheme val="minor"/>
      </rPr>
      <t>: Deep theological concepts and imagery</t>
    </r>
  </si>
  <si>
    <r>
      <t>Cosmic Perspective</t>
    </r>
    <r>
      <rPr>
        <sz val="11"/>
        <color theme="1"/>
        <rFont val="Calibri"/>
        <family val="2"/>
        <scheme val="minor"/>
      </rPr>
      <t>: Emphasis on heavenly realms and universal scope</t>
    </r>
  </si>
  <si>
    <r>
      <t>Doctrinal and Practical</t>
    </r>
    <r>
      <rPr>
        <sz val="11"/>
        <color theme="1"/>
        <rFont val="Calibri"/>
        <family val="2"/>
        <scheme val="minor"/>
      </rPr>
      <t>: First three chapters doctrinal, last three practical</t>
    </r>
  </si>
  <si>
    <r>
      <t>Prison Epistle</t>
    </r>
    <r>
      <rPr>
        <sz val="11"/>
        <color theme="1"/>
        <rFont val="Calibri"/>
        <family val="2"/>
        <scheme val="minor"/>
      </rPr>
      <t>: Written during Paul's Roman imprisonment</t>
    </r>
  </si>
  <si>
    <r>
      <t>Spiritual Warfare</t>
    </r>
    <r>
      <rPr>
        <sz val="11"/>
        <color theme="1"/>
        <rFont val="Calibri"/>
        <family val="2"/>
        <scheme val="minor"/>
      </rPr>
      <t>: Believers' battle against spiritual forces of evil</t>
    </r>
  </si>
  <si>
    <r>
      <t>The Church</t>
    </r>
    <r>
      <rPr>
        <sz val="11"/>
        <color theme="1"/>
        <rFont val="Calibri"/>
        <family val="2"/>
        <scheme val="minor"/>
      </rPr>
      <t>: As the body of Christ and bride of Christ</t>
    </r>
  </si>
  <si>
    <r>
      <t>Spiritual Blessings</t>
    </r>
    <r>
      <rPr>
        <sz val="11"/>
        <color theme="1"/>
        <rFont val="Calibri"/>
        <family val="2"/>
        <scheme val="minor"/>
      </rPr>
      <t>: Believers' position and privileges in Christ</t>
    </r>
  </si>
  <si>
    <t>Key Characteristics of the Book of Ephesians</t>
  </si>
  <si>
    <t>Isaiah 59:17; 1 Thessalonians 5:8</t>
  </si>
  <si>
    <t>c. 60-62 AD</t>
  </si>
  <si>
    <t>Ephesus/Universal Church</t>
  </si>
  <si>
    <t>Ephesians 6:11, 13-17</t>
  </si>
  <si>
    <t>God's armor provided for spiritual battle</t>
  </si>
  <si>
    <t>Daniel 10:13; 2 Corinthians 10:4</t>
  </si>
  <si>
    <t>Ephesians 6:12</t>
  </si>
  <si>
    <t>Spiritual warfare against evil powers</t>
  </si>
  <si>
    <t>Philippians 2:13; 1 Thessalonians 2:13</t>
  </si>
  <si>
    <t>Ephesians 3:20</t>
  </si>
  <si>
    <t>God's power working in believers</t>
  </si>
  <si>
    <t>Colossians 1:19; 2:9</t>
  </si>
  <si>
    <t>Ephesians 3:19</t>
  </si>
  <si>
    <t>Believers filled with all the fullness of God</t>
  </si>
  <si>
    <t>Romans 8:35-39; 1 John 3:1</t>
  </si>
  <si>
    <t>Christ's love surpasses knowledge</t>
  </si>
  <si>
    <t>Isaiah 63:10; 1 Thessalonians 5:19</t>
  </si>
  <si>
    <t>Ephesians 4:30</t>
  </si>
  <si>
    <t>Holy Spirit can be grieved by sin</t>
  </si>
  <si>
    <t>2 Corinthians 3:18; Colossians 3:10</t>
  </si>
  <si>
    <t>Ephesians 4:24</t>
  </si>
  <si>
    <t>Believers being transformed into Christ's likeness</t>
  </si>
  <si>
    <t>1 Corinthians 12:28; Romans 12:6-8</t>
  </si>
  <si>
    <t>Ephesians 4:11</t>
  </si>
  <si>
    <t>Christ's gifts to the church (apostles, prophets, etc.)</t>
  </si>
  <si>
    <t>Romans 4:21; 2 Corinthians 9:8</t>
  </si>
  <si>
    <t>God able to do immeasurably more than we ask or imagine</t>
  </si>
  <si>
    <t>1 Peter 1:12</t>
  </si>
  <si>
    <t>Ephesians 3:10</t>
  </si>
  <si>
    <t>Mystery made known through the church to heavenly powers</t>
  </si>
  <si>
    <t>Galatians 1:12; 1 Corinthians 2:10</t>
  </si>
  <si>
    <t>Prison (Rome)</t>
  </si>
  <si>
    <t>Ephesians 3:3</t>
  </si>
  <si>
    <t>Mystery of Christ revealed to Paul by revelation</t>
  </si>
  <si>
    <t>Galatians 3:28; Colossians 3:11</t>
  </si>
  <si>
    <t>Ephesians 2:14</t>
  </si>
  <si>
    <t>Christ broke down the dividing wall between Jew and Gentile</t>
  </si>
  <si>
    <t>2 Corinthians 5:17; Titus 2:14</t>
  </si>
  <si>
    <t>Ephesians 2:10</t>
  </si>
  <si>
    <t>God created believers for good works</t>
  </si>
  <si>
    <t>Colossians 3:1</t>
  </si>
  <si>
    <t>Spiritual Exaltation</t>
  </si>
  <si>
    <t>Ephesians 2:6</t>
  </si>
  <si>
    <t>God raised believers up and seated them in heavenly places</t>
  </si>
  <si>
    <t>Romans 6:11; Colossians 2:13</t>
  </si>
  <si>
    <t>Spiritual Resurrection</t>
  </si>
  <si>
    <t>Ephesians 2:1, 5</t>
  </si>
  <si>
    <t>God made believers alive who were dead in sins</t>
  </si>
  <si>
    <t>Romans 8:34; Philippians 2:9-11; Hebrews 1:3</t>
  </si>
  <si>
    <t>Ephesians 1:20</t>
  </si>
  <si>
    <t>God raised Christ from the dead and seated Him at His right hand</t>
  </si>
  <si>
    <t>Romans 1:16; 1 Corinthians 1:24</t>
  </si>
  <si>
    <t>Ephesians 1:19</t>
  </si>
  <si>
    <t>God's incomparably great power toward believers</t>
  </si>
  <si>
    <t>2 Corinthians 1:22; Ephesians 4:30</t>
  </si>
  <si>
    <t>Ephesians 1:13</t>
  </si>
  <si>
    <t>Believers sealed with the Holy Spirit</t>
  </si>
  <si>
    <t>Romans 16:25; Colossians 1:26-27</t>
  </si>
  <si>
    <t>Ephesians 1:9</t>
  </si>
  <si>
    <t>God reveals the mystery of His will</t>
  </si>
  <si>
    <t>Romans 3:24; Colossians 1:14</t>
  </si>
  <si>
    <t>Ephesians 1:7-8</t>
  </si>
  <si>
    <t>God's grace lavished upon believers</t>
  </si>
  <si>
    <t>2 Corinthians 9:8; 1 Peter 1:3</t>
  </si>
  <si>
    <t>Ephesians 1:3</t>
  </si>
  <si>
    <t>God blessed believers with every spiritual blessing</t>
  </si>
  <si>
    <t>Romans 8:29; Galatians 4:5</t>
  </si>
  <si>
    <t>Ephesians 1:5</t>
  </si>
  <si>
    <t>God predestined believers for adoption as sons</t>
  </si>
  <si>
    <t>Romans 8:29; 2 Timothy 1:9; 1 Peter 1:20</t>
  </si>
  <si>
    <t>Ephesians 1:4</t>
  </si>
  <si>
    <t>God chose believers before the foundation of the world</t>
  </si>
  <si>
    <t>Philippians:</t>
  </si>
  <si>
    <t>a comprehensive table for the Book of Philippians. This epistle presents a different type of supernatural content compared to narrative books like Matthew or the historical books.</t>
  </si>
  <si>
    <t>Key Differences in Philippians:</t>
  </si>
  <si>
    <r>
      <t>Theological vs. Narrative</t>
    </r>
    <r>
      <rPr>
        <sz val="11"/>
        <color theme="1"/>
        <rFont val="Calibri"/>
        <family val="2"/>
        <scheme val="minor"/>
      </rPr>
      <t>: Focuses on the supernatural work of God in salvation and sanctification rather than dramatic miraculous events</t>
    </r>
  </si>
  <si>
    <r>
      <t>Internal vs. External</t>
    </r>
    <r>
      <rPr>
        <sz val="11"/>
        <color theme="1"/>
        <rFont val="Calibri"/>
        <family val="2"/>
        <scheme val="minor"/>
      </rPr>
      <t>: Emphasizes God's work within believers' hearts and circumstances rather than external signs and wonders</t>
    </r>
  </si>
  <si>
    <r>
      <t>Ongoing vs. Historical</t>
    </r>
    <r>
      <rPr>
        <sz val="11"/>
        <color theme="1"/>
        <rFont val="Calibri"/>
        <family val="2"/>
        <scheme val="minor"/>
      </rPr>
      <t>: Describes continuous divine activity rather than specific historical miracle events</t>
    </r>
  </si>
  <si>
    <t>Notable Supernatural Elements:</t>
  </si>
  <si>
    <r>
      <t>Divine Transformation</t>
    </r>
    <r>
      <rPr>
        <sz val="11"/>
        <color theme="1"/>
        <rFont val="Calibri"/>
        <family val="2"/>
        <scheme val="minor"/>
      </rPr>
      <t>: God's ongoing work of salvation and sanctification (1:6, 2:13)</t>
    </r>
  </si>
  <si>
    <r>
      <t>Christ's Incarnation and Exaltation</t>
    </r>
    <r>
      <rPr>
        <sz val="11"/>
        <color theme="1"/>
        <rFont val="Calibri"/>
        <family val="2"/>
        <scheme val="minor"/>
      </rPr>
      <t>: The ultimate supernatural event described theologically (2:6-11)</t>
    </r>
  </si>
  <si>
    <r>
      <t>Divine Providence</t>
    </r>
    <r>
      <rPr>
        <sz val="11"/>
        <color theme="1"/>
        <rFont val="Calibri"/>
        <family val="2"/>
        <scheme val="minor"/>
      </rPr>
      <t>: God working through Paul's imprisonment for gospel advancement (1:12-14)</t>
    </r>
  </si>
  <si>
    <r>
      <t>Eschatological Hope</t>
    </r>
    <r>
      <rPr>
        <sz val="11"/>
        <color theme="1"/>
        <rFont val="Calibri"/>
        <family val="2"/>
        <scheme val="minor"/>
      </rPr>
      <t>: Future resurrection and bodily transformation (3:20-21)</t>
    </r>
  </si>
  <si>
    <r>
      <t>Divine Provision</t>
    </r>
    <r>
      <rPr>
        <sz val="11"/>
        <color theme="1"/>
        <rFont val="Calibri"/>
        <family val="2"/>
        <scheme val="minor"/>
      </rPr>
      <t>: God's supernatural supply of believers' needs (4:19)</t>
    </r>
  </si>
  <si>
    <t>The book demonstrates that God's supernatural work continues in the everyday experience of believers, not just in dramatic miraculous events. It shows how the gospel itself is a supernatural power that transforms lives and sustains believers through difficulties.</t>
  </si>
  <si>
    <r>
      <t>Note:</t>
    </r>
    <r>
      <rPr>
        <sz val="11"/>
        <color theme="1"/>
        <rFont val="Calibri"/>
        <family val="2"/>
        <scheme val="minor"/>
      </rPr>
      <t xml:space="preserve"> While Philippians is primarily a pastoral epistle rather than a narrative book, it contains profound theological truths about God's supernatural work in salvation, sanctification, and the believer's eternal destiny. The book emphasizes the ongoing miraculous work of God in transforming lives and sustaining believers through trials. The supernatural elements are more theological and experiential rather than dramatic miraculous events, focusing on God's internal work in the heart and His providential care for His people.</t>
    </r>
  </si>
  <si>
    <r>
      <t>Future Hope</t>
    </r>
    <r>
      <rPr>
        <sz val="11"/>
        <color theme="1"/>
        <rFont val="Calibri"/>
        <family val="2"/>
        <scheme val="minor"/>
      </rPr>
      <t>: Grounded in Christ's resurrection and promised return</t>
    </r>
  </si>
  <si>
    <r>
      <t>Ongoing Ministry</t>
    </r>
    <r>
      <rPr>
        <sz val="11"/>
        <color theme="1"/>
        <rFont val="Calibri"/>
        <family val="2"/>
        <scheme val="minor"/>
      </rPr>
      <t>: Sustained by divine enablement despite persecution</t>
    </r>
  </si>
  <si>
    <r>
      <t>Paul's Calling</t>
    </r>
    <r>
      <rPr>
        <sz val="11"/>
        <color theme="1"/>
        <rFont val="Calibri"/>
        <family val="2"/>
        <scheme val="minor"/>
      </rPr>
      <t>: Based on supernatural Damascus road experience</t>
    </r>
  </si>
  <si>
    <r>
      <t>Church Founding</t>
    </r>
    <r>
      <rPr>
        <sz val="11"/>
        <color theme="1"/>
        <rFont val="Calibri"/>
        <family val="2"/>
        <scheme val="minor"/>
      </rPr>
      <t>: Established through miraculous events (Acts 16:6-40)</t>
    </r>
  </si>
  <si>
    <t>Background to Supernatural Events:</t>
  </si>
  <si>
    <r>
      <t>Recipients</t>
    </r>
    <r>
      <rPr>
        <sz val="11"/>
        <color theme="1"/>
        <rFont val="Calibri"/>
        <family val="2"/>
        <scheme val="minor"/>
      </rPr>
      <t>: Philippian Christians, including bishops and deacons</t>
    </r>
  </si>
  <si>
    <r>
      <t>Occasion</t>
    </r>
    <r>
      <rPr>
        <sz val="11"/>
        <color theme="1"/>
        <rFont val="Calibri"/>
        <family val="2"/>
        <scheme val="minor"/>
      </rPr>
      <t>: Thank you letter for financial support and pastoral instruction</t>
    </r>
  </si>
  <si>
    <r>
      <t>Setting</t>
    </r>
    <r>
      <rPr>
        <sz val="11"/>
        <color theme="1"/>
        <rFont val="Calibri"/>
        <family val="2"/>
        <scheme val="minor"/>
      </rPr>
      <t>: Letter written from Rome to church in Philippi</t>
    </r>
  </si>
  <si>
    <r>
      <t>Time Period</t>
    </r>
    <r>
      <rPr>
        <sz val="11"/>
        <color theme="1"/>
        <rFont val="Calibri"/>
        <family val="2"/>
        <scheme val="minor"/>
      </rPr>
      <t>: c. 61-62 AD during Paul's Roman imprisonment</t>
    </r>
  </si>
  <si>
    <r>
      <t>Divine Provision</t>
    </r>
    <r>
      <rPr>
        <sz val="11"/>
        <color theme="1"/>
        <rFont val="Calibri"/>
        <family val="2"/>
        <scheme val="minor"/>
      </rPr>
      <t>: God meeting believers' needs supernaturally</t>
    </r>
  </si>
  <si>
    <r>
      <t>Eschatological Hope</t>
    </r>
    <r>
      <rPr>
        <sz val="11"/>
        <color theme="1"/>
        <rFont val="Calibri"/>
        <family val="2"/>
        <scheme val="minor"/>
      </rPr>
      <t>: Future resurrection and glorification</t>
    </r>
  </si>
  <si>
    <r>
      <t>Divine Providence</t>
    </r>
    <r>
      <rPr>
        <sz val="11"/>
        <color theme="1"/>
        <rFont val="Calibri"/>
        <family val="2"/>
        <scheme val="minor"/>
      </rPr>
      <t>: God working through circumstances for good</t>
    </r>
  </si>
  <si>
    <r>
      <t>Spiritual Empowerment</t>
    </r>
    <r>
      <rPr>
        <sz val="11"/>
        <color theme="1"/>
        <rFont val="Calibri"/>
        <family val="2"/>
        <scheme val="minor"/>
      </rPr>
      <t>: God enabling believers to live righteously</t>
    </r>
  </si>
  <si>
    <r>
      <t>Divine Transformation</t>
    </r>
    <r>
      <rPr>
        <sz val="11"/>
        <color theme="1"/>
        <rFont val="Calibri"/>
        <family val="2"/>
        <scheme val="minor"/>
      </rPr>
      <t>: God's ongoing work in believers' sanctification</t>
    </r>
  </si>
  <si>
    <r>
      <t>Pastoral Heart</t>
    </r>
    <r>
      <rPr>
        <sz val="11"/>
        <color theme="1"/>
        <rFont val="Calibri"/>
        <family val="2"/>
        <scheme val="minor"/>
      </rPr>
      <t>: Combines doctrinal teaching with practical application</t>
    </r>
  </si>
  <si>
    <r>
      <t>Autobiographical Elements</t>
    </r>
    <r>
      <rPr>
        <sz val="11"/>
        <color theme="1"/>
        <rFont val="Calibri"/>
        <family val="2"/>
        <scheme val="minor"/>
      </rPr>
      <t>: Paul shares his personal testimony and struggles</t>
    </r>
  </si>
  <si>
    <r>
      <t>Christ Hymn</t>
    </r>
    <r>
      <rPr>
        <sz val="11"/>
        <color theme="1"/>
        <rFont val="Calibri"/>
        <family val="2"/>
        <scheme val="minor"/>
      </rPr>
      <t>: Famous passage on Christ's incarnation and exaltation (2:6-11)</t>
    </r>
  </si>
  <si>
    <r>
      <t>Personal Letter</t>
    </r>
    <r>
      <rPr>
        <sz val="11"/>
        <color theme="1"/>
        <rFont val="Calibri"/>
        <family val="2"/>
        <scheme val="minor"/>
      </rPr>
      <t>: Intimate, warm tone from Paul to beloved church</t>
    </r>
  </si>
  <si>
    <r>
      <t>Contentment</t>
    </r>
    <r>
      <rPr>
        <sz val="11"/>
        <color theme="1"/>
        <rFont val="Calibri"/>
        <family val="2"/>
        <scheme val="minor"/>
      </rPr>
      <t>: Finding satisfaction in Christ regardless of circumstances</t>
    </r>
  </si>
  <si>
    <r>
      <t>Christian Living</t>
    </r>
    <r>
      <rPr>
        <sz val="11"/>
        <color theme="1"/>
        <rFont val="Calibri"/>
        <family val="2"/>
        <scheme val="minor"/>
      </rPr>
      <t>: Practical guidance for godly behavior</t>
    </r>
  </si>
  <si>
    <r>
      <t>Christ's Supremacy</t>
    </r>
    <r>
      <rPr>
        <sz val="11"/>
        <color theme="1"/>
        <rFont val="Calibri"/>
        <family val="2"/>
        <scheme val="minor"/>
      </rPr>
      <t>: The person and work of Jesus Christ</t>
    </r>
  </si>
  <si>
    <r>
      <t>Unity in the Gospel</t>
    </r>
    <r>
      <rPr>
        <sz val="11"/>
        <color theme="1"/>
        <rFont val="Calibri"/>
        <family val="2"/>
        <scheme val="minor"/>
      </rPr>
      <t>: Call for believers to work together in harmony</t>
    </r>
  </si>
  <si>
    <r>
      <t>Joy in Christ</t>
    </r>
    <r>
      <rPr>
        <sz val="11"/>
        <color theme="1"/>
        <rFont val="Calibri"/>
        <family val="2"/>
        <scheme val="minor"/>
      </rPr>
      <t>: Emphasis on rejoicing despite circumstances</t>
    </r>
  </si>
  <si>
    <t>Key Characteristics of the Book of Philippians</t>
  </si>
  <si>
    <t>Matthew 6:26-33; 2 Corinthians 9:8; Psalm 23:1</t>
  </si>
  <si>
    <t>c. 61-62 AD</t>
  </si>
  <si>
    <t>Philippi/Rome</t>
  </si>
  <si>
    <t>Philippians 4:19</t>
  </si>
  <si>
    <t>God's supernatural supply of all needs</t>
  </si>
  <si>
    <t>1 Corinthians 15:51-53; 2 Corinthians 5:1-4; 1 John 3:2</t>
  </si>
  <si>
    <t>Philippians 3:20-21</t>
  </si>
  <si>
    <t>Christ's power to transform believers' bodies</t>
  </si>
  <si>
    <t>Acts 9:15; 1 Corinthians 9:16; Galatians 1:15-16</t>
  </si>
  <si>
    <t>Philippians 3:14</t>
  </si>
  <si>
    <t>Paul's divine calling and apostolic commission</t>
  </si>
  <si>
    <t>Ezekiel 36:26-27; Galatians 2:20; Ephesians 2:10</t>
  </si>
  <si>
    <t>Philippians 2:13</t>
  </si>
  <si>
    <t>God works in believers to will and to act</t>
  </si>
  <si>
    <t>John 1:1-14; Hebrews 1:3; Isaiah 45:23</t>
  </si>
  <si>
    <t>Eternal/Historical</t>
  </si>
  <si>
    <t>Philippians 2:6-11</t>
  </si>
  <si>
    <t>Christ's supernatural humiliation and exaltation</t>
  </si>
  <si>
    <t>2 Timothy 1:8; Acts 28:30-31</t>
  </si>
  <si>
    <t>Rome</t>
  </si>
  <si>
    <t>Philippians 1:13-14</t>
  </si>
  <si>
    <t>Divine enablement for Paul's ministry despite chains</t>
  </si>
  <si>
    <t>Acts 28:30-31; Romans 8:28; 2 Timothy 2:9</t>
  </si>
  <si>
    <t>Philippians 1:12-14</t>
  </si>
  <si>
    <t>God's providential use of Paul's imprisonment for gospel advancement</t>
  </si>
  <si>
    <t>Ephesians 2:8-10; 2 Corinthians 5:17; Romans 8:29-30</t>
  </si>
  <si>
    <t>Philippians 1:6</t>
  </si>
  <si>
    <t>God's supernatural work of salvation in believers' hearts</t>
  </si>
  <si>
    <t>Colossians:</t>
  </si>
  <si>
    <t>a comprehensive table for the Book of Colossians, ordered by scripture reference with cross-references included.</t>
  </si>
  <si>
    <t>Key Observations about Colossians:</t>
  </si>
  <si>
    <r>
      <t xml:space="preserve">Unlike narrative books like Matthew, Colossians focuses on </t>
    </r>
    <r>
      <rPr>
        <b/>
        <sz val="11"/>
        <color theme="1"/>
        <rFont val="Calibri"/>
        <family val="2"/>
        <scheme val="minor"/>
      </rPr>
      <t>theological miracles</t>
    </r>
    <r>
      <rPr>
        <sz val="11"/>
        <color theme="1"/>
        <rFont val="Calibri"/>
        <family val="2"/>
        <scheme val="minor"/>
      </rPr>
      <t xml:space="preserve"> rather than physical ones. The supernatural elements include:</t>
    </r>
  </si>
  <si>
    <r>
      <t>Creation and Sustaining Miracles</t>
    </r>
    <r>
      <rPr>
        <sz val="11"/>
        <color theme="1"/>
        <rFont val="Calibri"/>
        <family val="2"/>
        <scheme val="minor"/>
      </rPr>
      <t>: Christ creating and holding all things together</t>
    </r>
  </si>
  <si>
    <r>
      <t>Spiritual Transformation</t>
    </r>
    <r>
      <rPr>
        <sz val="11"/>
        <color theme="1"/>
        <rFont val="Calibri"/>
        <family val="2"/>
        <scheme val="minor"/>
      </rPr>
      <t>: Regeneration, sanctification, and glorification</t>
    </r>
  </si>
  <si>
    <r>
      <t>Divine Revelation</t>
    </r>
    <r>
      <rPr>
        <sz val="11"/>
        <color theme="1"/>
        <rFont val="Calibri"/>
        <family val="2"/>
        <scheme val="minor"/>
      </rPr>
      <t>: God revealing mysteries and wisdom through Christ</t>
    </r>
  </si>
  <si>
    <r>
      <t>Spiritual Victory</t>
    </r>
    <r>
      <rPr>
        <sz val="11"/>
        <color theme="1"/>
        <rFont val="Calibri"/>
        <family val="2"/>
        <scheme val="minor"/>
      </rPr>
      <t>: Christ's triumph over demonic powers and authorities</t>
    </r>
  </si>
  <si>
    <r>
      <t>Union with Christ</t>
    </r>
    <r>
      <rPr>
        <sz val="11"/>
        <color theme="1"/>
        <rFont val="Calibri"/>
        <family val="2"/>
        <scheme val="minor"/>
      </rPr>
      <t>: Believers' supernatural connection to Christ's death and resurrection</t>
    </r>
  </si>
  <si>
    <r>
      <t>Cosmic Christology</t>
    </r>
    <r>
      <rPr>
        <sz val="11"/>
        <color theme="1"/>
        <rFont val="Calibri"/>
        <family val="2"/>
        <scheme val="minor"/>
      </rPr>
      <t>: Presents Jesus as supreme over all creation and spiritual powers</t>
    </r>
  </si>
  <si>
    <r>
      <t>Mystical Union</t>
    </r>
    <r>
      <rPr>
        <sz val="11"/>
        <color theme="1"/>
        <rFont val="Calibri"/>
        <family val="2"/>
        <scheme val="minor"/>
      </rPr>
      <t>: Emphasizes believers' supernatural participation in Christ's death and resurrection</t>
    </r>
  </si>
  <si>
    <r>
      <t>Hidden Mysteries</t>
    </r>
    <r>
      <rPr>
        <sz val="11"/>
        <color theme="1"/>
        <rFont val="Calibri"/>
        <family val="2"/>
        <scheme val="minor"/>
      </rPr>
      <t>: God revealing previously concealed truths about His plan</t>
    </r>
  </si>
  <si>
    <r>
      <t>Ongoing Miracles</t>
    </r>
    <r>
      <rPr>
        <sz val="11"/>
        <color theme="1"/>
        <rFont val="Calibri"/>
        <family val="2"/>
        <scheme val="minor"/>
      </rPr>
      <t>: Focus on present supernatural realities rather than past events</t>
    </r>
  </si>
  <si>
    <t>The book demonstrates that miracles aren't limited to physical healings and signs, but include the profound spiritual transformations that occur in salvation, the cosmic work of Christ in creation, and the ongoing supernatural realities of Christian life. Paul presents these as equally miraculous as any physical miracle, showing God's power operating in both visible and invisible realms.</t>
  </si>
  <si>
    <r>
      <t>Note:</t>
    </r>
    <r>
      <rPr>
        <sz val="11"/>
        <color theme="1"/>
        <rFont val="Calibri"/>
        <family val="2"/>
        <scheme val="minor"/>
      </rPr>
      <t xml:space="preserve"> While Colossians contains fewer narrative miracles than the Gospels, it emphasizes the supernatural work of God in creation, redemption, and spiritual transformation. The letter presents Christ as the cosmic Lord who performs the ultimate miracle of reconciling all things to God. Paul describes ongoing supernatural realities like spiritual circumcision, resurrection with Christ, and the indwelling presence of Christ that transform believers' lives. The book focuses on the miraculous nature of salvation itself and Christ's victory over spiritual powers.</t>
    </r>
  </si>
  <si>
    <r>
      <t>Eschatology</t>
    </r>
    <r>
      <rPr>
        <sz val="11"/>
        <color theme="1"/>
        <rFont val="Calibri"/>
        <family val="2"/>
        <scheme val="minor"/>
      </rPr>
      <t>: Present and future aspects of salvation and glorification</t>
    </r>
  </si>
  <si>
    <r>
      <t>Ecclesiology</t>
    </r>
    <r>
      <rPr>
        <sz val="11"/>
        <color theme="1"/>
        <rFont val="Calibri"/>
        <family val="2"/>
        <scheme val="minor"/>
      </rPr>
      <t>: The church as Christ's body with cosmic significance</t>
    </r>
  </si>
  <si>
    <r>
      <t>Soteriology</t>
    </r>
    <r>
      <rPr>
        <sz val="11"/>
        <color theme="1"/>
        <rFont val="Calibri"/>
        <family val="2"/>
        <scheme val="minor"/>
      </rPr>
      <t>: Complete salvation through Christ alone</t>
    </r>
  </si>
  <si>
    <r>
      <t>Christology</t>
    </r>
    <r>
      <rPr>
        <sz val="11"/>
        <color theme="1"/>
        <rFont val="Calibri"/>
        <family val="2"/>
        <scheme val="minor"/>
      </rPr>
      <t>: One of the highest Christological passages in Scripture (1:15-20)</t>
    </r>
  </si>
  <si>
    <r>
      <t>Purpose</t>
    </r>
    <r>
      <rPr>
        <sz val="11"/>
        <color theme="1"/>
        <rFont val="Calibri"/>
        <family val="2"/>
        <scheme val="minor"/>
      </rPr>
      <t>: To establish Christ's supremacy and counter heretical teachings</t>
    </r>
  </si>
  <si>
    <r>
      <t>Occasion</t>
    </r>
    <r>
      <rPr>
        <sz val="11"/>
        <color theme="1"/>
        <rFont val="Calibri"/>
        <family val="2"/>
        <scheme val="minor"/>
      </rPr>
      <t>: Response to false teaching (likely early Gnosticism and Jewish legalism)</t>
    </r>
  </si>
  <si>
    <r>
      <t>Recipients</t>
    </r>
    <r>
      <rPr>
        <sz val="11"/>
        <color theme="1"/>
        <rFont val="Calibri"/>
        <family val="2"/>
        <scheme val="minor"/>
      </rPr>
      <t>: Church at Colossae in Asia Minor (modern-day Turkey)</t>
    </r>
  </si>
  <si>
    <r>
      <t>Mystery Revelation</t>
    </r>
    <r>
      <rPr>
        <sz val="11"/>
        <color theme="1"/>
        <rFont val="Calibri"/>
        <family val="2"/>
        <scheme val="minor"/>
      </rPr>
      <t>: God revealing previously hidden truths</t>
    </r>
  </si>
  <si>
    <r>
      <t>Spiritual Victory</t>
    </r>
    <r>
      <rPr>
        <sz val="11"/>
        <color theme="1"/>
        <rFont val="Calibri"/>
        <family val="2"/>
        <scheme val="minor"/>
      </rPr>
      <t>: Triumph over demonic powers and spiritual forces</t>
    </r>
  </si>
  <si>
    <r>
      <t>Divine Indwelling</t>
    </r>
    <r>
      <rPr>
        <sz val="11"/>
        <color theme="1"/>
        <rFont val="Calibri"/>
        <family val="2"/>
        <scheme val="minor"/>
      </rPr>
      <t>: Christ and His Word dwelling in believers</t>
    </r>
  </si>
  <si>
    <r>
      <t>Spiritual Transformation</t>
    </r>
    <r>
      <rPr>
        <sz val="11"/>
        <color theme="1"/>
        <rFont val="Calibri"/>
        <family val="2"/>
        <scheme val="minor"/>
      </rPr>
      <t>: Regeneration, sanctification, glorification</t>
    </r>
  </si>
  <si>
    <r>
      <t>Cosmic Christ</t>
    </r>
    <r>
      <rPr>
        <sz val="11"/>
        <color theme="1"/>
        <rFont val="Calibri"/>
        <family val="2"/>
        <scheme val="minor"/>
      </rPr>
      <t>: Jesus as creator and sustainer of all things</t>
    </r>
  </si>
  <si>
    <r>
      <t>Prison Epistle</t>
    </r>
    <r>
      <rPr>
        <sz val="11"/>
        <color theme="1"/>
        <rFont val="Calibri"/>
        <family val="2"/>
        <scheme val="minor"/>
      </rPr>
      <t>: Written during Paul's imprisonment, likely in Rome</t>
    </r>
  </si>
  <si>
    <r>
      <t>Practical Application</t>
    </r>
    <r>
      <rPr>
        <sz val="11"/>
        <color theme="1"/>
        <rFont val="Calibri"/>
        <family val="2"/>
        <scheme val="minor"/>
      </rPr>
      <t>: Moves from theology to ethics seamlessly</t>
    </r>
  </si>
  <si>
    <r>
      <t>Theological Density</t>
    </r>
    <r>
      <rPr>
        <sz val="11"/>
        <color theme="1"/>
        <rFont val="Calibri"/>
        <family val="2"/>
        <scheme val="minor"/>
      </rPr>
      <t>: Packed with doctrinal content about Christ's nature</t>
    </r>
  </si>
  <si>
    <r>
      <t>Christ Hymn</t>
    </r>
    <r>
      <rPr>
        <sz val="11"/>
        <color theme="1"/>
        <rFont val="Calibri"/>
        <family val="2"/>
        <scheme val="minor"/>
      </rPr>
      <t>: Poetic description of Christ's supremacy (1:15-20)</t>
    </r>
  </si>
  <si>
    <r>
      <t>Practical Christian Living</t>
    </r>
    <r>
      <rPr>
        <sz val="11"/>
        <color theme="1"/>
        <rFont val="Calibri"/>
        <family val="2"/>
        <scheme val="minor"/>
      </rPr>
      <t>: How theology transforms daily life</t>
    </r>
  </si>
  <si>
    <r>
      <t>Mystery Revealed</t>
    </r>
    <r>
      <rPr>
        <sz val="11"/>
        <color theme="1"/>
        <rFont val="Calibri"/>
        <family val="2"/>
        <scheme val="minor"/>
      </rPr>
      <t>: The inclusion of Gentiles in God's redemptive plan</t>
    </r>
  </si>
  <si>
    <r>
      <t>Spiritual Warfare</t>
    </r>
    <r>
      <rPr>
        <sz val="11"/>
        <color theme="1"/>
        <rFont val="Calibri"/>
        <family val="2"/>
        <scheme val="minor"/>
      </rPr>
      <t>: Victory over spiritual forces through Christ</t>
    </r>
  </si>
  <si>
    <r>
      <t>Supremacy of Christ</t>
    </r>
    <r>
      <rPr>
        <sz val="11"/>
        <color theme="1"/>
        <rFont val="Calibri"/>
        <family val="2"/>
        <scheme val="minor"/>
      </rPr>
      <t>: Jesus as preeminent over all creation and spiritual powers</t>
    </r>
  </si>
  <si>
    <t>Key Characteristics of the Book of Colossians</t>
  </si>
  <si>
    <t>1 Corinthians 3:6; 2 Corinthians 3:5</t>
  </si>
  <si>
    <t>Paul's Ministry</t>
  </si>
  <si>
    <t>Colossians 4:11</t>
  </si>
  <si>
    <t>God enables faithful ministry through divine power</t>
  </si>
  <si>
    <t>Romans 8:17; 2 Corinthians 4:17; 1 John 3:2</t>
  </si>
  <si>
    <t>Colossians 3:4</t>
  </si>
  <si>
    <t>Believers will appear with Christ in glory</t>
  </si>
  <si>
    <t>1 John 3:2; 2 Corinthians 4:10-11</t>
  </si>
  <si>
    <t>Christ is revealed as believers' life</t>
  </si>
  <si>
    <t>John 15:7; 1 John 2:14, 24</t>
  </si>
  <si>
    <t>Colossians 3:16</t>
  </si>
  <si>
    <t>The Word of Christ dwells richly in believers</t>
  </si>
  <si>
    <t>1 Corinthians 7:15; Ephesians 2:14-17</t>
  </si>
  <si>
    <t>Colossians 3:15</t>
  </si>
  <si>
    <t>God calls believers to heavenly peace</t>
  </si>
  <si>
    <t>2 Corinthians 2:14; Ephesians 4:8</t>
  </si>
  <si>
    <t>Spiritual Realm</t>
  </si>
  <si>
    <t>Colossians 2:15</t>
  </si>
  <si>
    <t>Christ makes a public spectacle of defeated spiritual powers</t>
  </si>
  <si>
    <t>Ephesians 1:21; 1 Peter 3:22; Hebrews 2:14</t>
  </si>
  <si>
    <t>Spiritual Victory</t>
  </si>
  <si>
    <t>Christ disarms spiritual rulers and authorities</t>
  </si>
  <si>
    <t>Ephesians 2:15; Romans 7:4-6</t>
  </si>
  <si>
    <t>Colossians 2:14</t>
  </si>
  <si>
    <t>God cancels the debt of legal demands against us</t>
  </si>
  <si>
    <t>Ephesians 4:32; 1 John 1:9; Psalm 103:12</t>
  </si>
  <si>
    <t>At Conversion</t>
  </si>
  <si>
    <t>Colossians 2:13</t>
  </si>
  <si>
    <t>God forgives all trespasses</t>
  </si>
  <si>
    <t>Ephesians 2:1, 5; John 5:24</t>
  </si>
  <si>
    <t>God makes believers alive with Christ</t>
  </si>
  <si>
    <t>Romans 6:3-4; Ephesians 2:5-6</t>
  </si>
  <si>
    <t>Colossians 2:12</t>
  </si>
  <si>
    <t>Believers are buried and raised with Christ through baptism</t>
  </si>
  <si>
    <t>Romans 2:29; Philippians 3:3; Deuteronomy 30:6</t>
  </si>
  <si>
    <t>Colossians 2:11</t>
  </si>
  <si>
    <t>Believers receive spiritual circumcision made without hands</t>
  </si>
  <si>
    <t>1 Corinthians 1:24; Ephesians 3:10</t>
  </si>
  <si>
    <t>Colossians 2:3</t>
  </si>
  <si>
    <t>God reveals all treasures of wisdom and knowledge in Christ</t>
  </si>
  <si>
    <t>1 Corinthians 15:10; 2 Corinthians 12:9; Ephesians 3:7</t>
  </si>
  <si>
    <t>Colossians 1:29</t>
  </si>
  <si>
    <t>God empowers Paul's ministry with divine strength</t>
  </si>
  <si>
    <t>Galatians 2:20; Ephesians 3:17; 2 Corinthians 13:5</t>
  </si>
  <si>
    <t>Colossians 1:27</t>
  </si>
  <si>
    <t>Christ dwells in believers as the hope of glory</t>
  </si>
  <si>
    <t>Ephesians 3:3-6; Romans 16:25-26</t>
  </si>
  <si>
    <t>Colossians 1:26-27</t>
  </si>
  <si>
    <t>God reveals the mystery of Christ in the Gentiles</t>
  </si>
  <si>
    <t>Ephesians 1:4; 5:27; Jude 24</t>
  </si>
  <si>
    <t>Colossians 1:22</t>
  </si>
  <si>
    <t>God makes believers holy and blameless</t>
  </si>
  <si>
    <t>2 Corinthians 5:18-20; Ephesians 2:13-16</t>
  </si>
  <si>
    <t>God/Christ</t>
  </si>
  <si>
    <t>Colossians 1:20</t>
  </si>
  <si>
    <t>God reconciles all things through Christ's blood</t>
  </si>
  <si>
    <t>Hebrews 1:3; Nehemiah 9:6</t>
  </si>
  <si>
    <t>Colossians 1:17</t>
  </si>
  <si>
    <t>Christ holds all things together by His power</t>
  </si>
  <si>
    <t>John 1:3; 1 Corinthians 8:6; Hebrews 1:2</t>
  </si>
  <si>
    <t>Eternal/Creation</t>
  </si>
  <si>
    <t>Colossians 1:16</t>
  </si>
  <si>
    <t>Christ creates all things visible and invisible</t>
  </si>
  <si>
    <t>Ephesians 1:7; Hebrews 9:12; 1 Peter 1:18-19</t>
  </si>
  <si>
    <t>Colossians 1:14</t>
  </si>
  <si>
    <t>God provides redemption and forgiveness through Christ's blood</t>
  </si>
  <si>
    <t>John 5:24; Ephesians 2:6; 1 John 3:14</t>
  </si>
  <si>
    <t>Colossians 1:13</t>
  </si>
  <si>
    <t>God transfers believers into the Kingdom of His Son</t>
  </si>
  <si>
    <t>Acts 26:18; Ephesians 2:1-6; 1 Peter 2:9</t>
  </si>
  <si>
    <t>God delivers believers from the domain of darkness</t>
  </si>
  <si>
    <t>Ephesians 1:17; Philippians 1:9-11</t>
  </si>
  <si>
    <t>Colossae</t>
  </si>
  <si>
    <t>Colossians 1:9</t>
  </si>
  <si>
    <t>God reveals His will through apostolic ministry</t>
  </si>
  <si>
    <t>1 Thessalonians:</t>
  </si>
  <si>
    <t>a comprehensive table for 1 Thessalonians, ordered by scripture reference with cross-references included.</t>
  </si>
  <si>
    <t>Key Observations about 1 Thessalonians:</t>
  </si>
  <si>
    <r>
      <t>Different Type of Supernatural Content:</t>
    </r>
    <r>
      <rPr>
        <sz val="11"/>
        <color theme="1"/>
        <rFont val="Calibri"/>
        <family val="2"/>
        <scheme val="minor"/>
      </rPr>
      <t xml:space="preserve"> Unlike narrative books like Matthew or the historical books, 1 Thessalonians focuses on:</t>
    </r>
  </si>
  <si>
    <r>
      <t>Spiritual Miracles</t>
    </r>
    <r>
      <rPr>
        <sz val="11"/>
        <color theme="1"/>
        <rFont val="Calibri"/>
        <family val="2"/>
        <scheme val="minor"/>
      </rPr>
      <t>: Divine election, conversion, sanctification</t>
    </r>
  </si>
  <si>
    <r>
      <t>Prophetic Revelation</t>
    </r>
    <r>
      <rPr>
        <sz val="11"/>
        <color theme="1"/>
        <rFont val="Calibri"/>
        <family val="2"/>
        <scheme val="minor"/>
      </rPr>
      <t>: Detailed teachings about Christ's second coming</t>
    </r>
  </si>
  <si>
    <r>
      <t>Ongoing Divine Work</t>
    </r>
    <r>
      <rPr>
        <sz val="11"/>
        <color theme="1"/>
        <rFont val="Calibri"/>
        <family val="2"/>
        <scheme val="minor"/>
      </rPr>
      <t>: Holy Spirit's power in ministry and Christian living</t>
    </r>
  </si>
  <si>
    <r>
      <t>Future Supernatural Events</t>
    </r>
    <r>
      <rPr>
        <sz val="11"/>
        <color theme="1"/>
        <rFont val="Calibri"/>
        <family val="2"/>
        <scheme val="minor"/>
      </rPr>
      <t>: The rapture, resurrection, and final judgment</t>
    </r>
  </si>
  <si>
    <t>Unique Contributions:</t>
  </si>
  <si>
    <r>
      <t>Earliest Detailed Rapture Teaching</t>
    </r>
    <r>
      <rPr>
        <sz val="11"/>
        <color theme="1"/>
        <rFont val="Calibri"/>
        <family val="2"/>
        <scheme val="minor"/>
      </rPr>
      <t>: Provides the most comprehensive early description of believers being "caught up"</t>
    </r>
  </si>
  <si>
    <r>
      <t>Comfort Doctrine</t>
    </r>
    <r>
      <rPr>
        <sz val="11"/>
        <color theme="1"/>
        <rFont val="Calibri"/>
        <family val="2"/>
        <scheme val="minor"/>
      </rPr>
      <t>: Addresses grief over deceased believers with supernatural hope</t>
    </r>
  </si>
  <si>
    <r>
      <t>Practical Sanctification</t>
    </r>
    <r>
      <rPr>
        <sz val="11"/>
        <color theme="1"/>
        <rFont val="Calibri"/>
        <family val="2"/>
        <scheme val="minor"/>
      </rPr>
      <t>: Shows God's ongoing miraculous work in making believers holy</t>
    </r>
  </si>
  <si>
    <r>
      <t>Eschatological Focus:</t>
    </r>
    <r>
      <rPr>
        <sz val="11"/>
        <color theme="1"/>
        <rFont val="Calibri"/>
        <family val="2"/>
        <scheme val="minor"/>
      </rPr>
      <t xml:space="preserve"> The letter is heavily focused on future supernatural events, making it one of the most important New Testament books for understanding end-times theology. Paul reveals specific details about Christ's return that he received through divine revelation.</t>
    </r>
  </si>
  <si>
    <t>This demonstrates how different biblical books contain different types of supernatural content - from dramatic narrative miracles to profound spiritual truths about God's ongoing work in believers' lives and His future plans for humanity.</t>
  </si>
  <si>
    <r>
      <t>Note:</t>
    </r>
    <r>
      <rPr>
        <sz val="11"/>
        <color theme="1"/>
        <rFont val="Calibri"/>
        <family val="2"/>
        <scheme val="minor"/>
      </rPr>
      <t xml:space="preserve"> While 1 Thessalonians doesn't contain narrative miracles like the Gospels, it reveals God's supernatural work in salvation, sanctification, and future prophetic events. The letter emphasizes God's ongoing miraculous activity in the lives of believers and His ultimate supernatural intervention in history through Christ's return. The supernatural elements focus on spiritual transformation, divine revelation, and eschatological events rather than physical miracles.</t>
    </r>
  </si>
  <si>
    <r>
      <t>Ultimate Hope</t>
    </r>
    <r>
      <rPr>
        <sz val="11"/>
        <color theme="1"/>
        <rFont val="Calibri"/>
        <family val="2"/>
        <scheme val="minor"/>
      </rPr>
      <t>: Eternal fellowship with Christ as the believer's destiny</t>
    </r>
  </si>
  <si>
    <r>
      <t>Sudden Return</t>
    </r>
    <r>
      <rPr>
        <sz val="11"/>
        <color theme="1"/>
        <rFont val="Calibri"/>
        <family val="2"/>
        <scheme val="minor"/>
      </rPr>
      <t>: Emphasis on the unexpected timing of Christ's coming</t>
    </r>
  </si>
  <si>
    <r>
      <t>Comfort for the Grieving</t>
    </r>
    <r>
      <rPr>
        <sz val="11"/>
        <color theme="1"/>
        <rFont val="Calibri"/>
        <family val="2"/>
        <scheme val="minor"/>
      </rPr>
      <t>: Addresses concerns about believers who died before Christ's return</t>
    </r>
  </si>
  <si>
    <r>
      <t>Detailed Rapture Teaching</t>
    </r>
    <r>
      <rPr>
        <sz val="11"/>
        <color theme="1"/>
        <rFont val="Calibri"/>
        <family val="2"/>
        <scheme val="minor"/>
      </rPr>
      <t>: Most comprehensive early description of believers being "caught up"</t>
    </r>
  </si>
  <si>
    <t>Eschatological Significance:</t>
  </si>
  <si>
    <r>
      <t>Audience</t>
    </r>
    <r>
      <rPr>
        <sz val="11"/>
        <color theme="1"/>
        <rFont val="Calibri"/>
        <family val="2"/>
        <scheme val="minor"/>
      </rPr>
      <t>: Relatively new Gentile converts facing persecution</t>
    </r>
  </si>
  <si>
    <r>
      <t>Occasion</t>
    </r>
    <r>
      <rPr>
        <sz val="11"/>
        <color theme="1"/>
        <rFont val="Calibri"/>
        <family val="2"/>
        <scheme val="minor"/>
      </rPr>
      <t>: Follow-up to Paul's ministry there and addressing concerns about deceased believers</t>
    </r>
  </si>
  <si>
    <r>
      <t>Location</t>
    </r>
    <r>
      <rPr>
        <sz val="11"/>
        <color theme="1"/>
        <rFont val="Calibri"/>
        <family val="2"/>
        <scheme val="minor"/>
      </rPr>
      <t>: Written from Corinth to the church in Thessalonica</t>
    </r>
  </si>
  <si>
    <r>
      <t>Time Period</t>
    </r>
    <r>
      <rPr>
        <sz val="11"/>
        <color theme="1"/>
        <rFont val="Calibri"/>
        <family val="2"/>
        <scheme val="minor"/>
      </rPr>
      <t>: c. 51 AD (one of Paul's earliest letters)</t>
    </r>
  </si>
  <si>
    <r>
      <t>Resurrection and Rapture</t>
    </r>
    <r>
      <rPr>
        <sz val="11"/>
        <color theme="1"/>
        <rFont val="Calibri"/>
        <family val="2"/>
        <scheme val="minor"/>
      </rPr>
      <t>: Future miraculous events involving all believers</t>
    </r>
  </si>
  <si>
    <r>
      <t>Divine Sanctification</t>
    </r>
    <r>
      <rPr>
        <sz val="11"/>
        <color theme="1"/>
        <rFont val="Calibri"/>
        <family val="2"/>
        <scheme val="minor"/>
      </rPr>
      <t>: God's supernatural work of making believers holy</t>
    </r>
  </si>
  <si>
    <r>
      <t>Prophetic Revelation</t>
    </r>
    <r>
      <rPr>
        <sz val="11"/>
        <color theme="1"/>
        <rFont val="Calibri"/>
        <family val="2"/>
        <scheme val="minor"/>
      </rPr>
      <t>: Specific details about future events and Christ's return</t>
    </r>
  </si>
  <si>
    <r>
      <t>Holy Spirit's Power</t>
    </r>
    <r>
      <rPr>
        <sz val="11"/>
        <color theme="1"/>
        <rFont val="Calibri"/>
        <family val="2"/>
        <scheme val="minor"/>
      </rPr>
      <t>: Supernatural enablement for ministry and Christian living</t>
    </r>
  </si>
  <si>
    <r>
      <t>Divine Election and Calling</t>
    </r>
    <r>
      <rPr>
        <sz val="11"/>
        <color theme="1"/>
        <rFont val="Calibri"/>
        <family val="2"/>
        <scheme val="minor"/>
      </rPr>
      <t>: God's sovereign choice of believers</t>
    </r>
  </si>
  <si>
    <r>
      <t>Practical Ethics</t>
    </r>
    <r>
      <rPr>
        <sz val="11"/>
        <color theme="1"/>
        <rFont val="Calibri"/>
        <family val="2"/>
        <scheme val="minor"/>
      </rPr>
      <t>: Balance of doctrine and Christian conduct</t>
    </r>
  </si>
  <si>
    <r>
      <t>Thanksgiving and Prayer</t>
    </r>
    <r>
      <rPr>
        <sz val="11"/>
        <color theme="1"/>
        <rFont val="Calibri"/>
        <family val="2"/>
        <scheme val="minor"/>
      </rPr>
      <t>: Multiple expressions of gratitude and intercession</t>
    </r>
  </si>
  <si>
    <r>
      <t>Eschatological Focus</t>
    </r>
    <r>
      <rPr>
        <sz val="11"/>
        <color theme="1"/>
        <rFont val="Calibri"/>
        <family val="2"/>
        <scheme val="minor"/>
      </rPr>
      <t>: Significant emphasis on end times events</t>
    </r>
  </si>
  <si>
    <r>
      <t>Pastoral Letter</t>
    </r>
    <r>
      <rPr>
        <sz val="11"/>
        <color theme="1"/>
        <rFont val="Calibri"/>
        <family val="2"/>
        <scheme val="minor"/>
      </rPr>
      <t>: Personal and affectionate tone throughout</t>
    </r>
  </si>
  <si>
    <r>
      <t>Apostolic Ministry</t>
    </r>
    <r>
      <rPr>
        <sz val="11"/>
        <color theme="1"/>
        <rFont val="Calibri"/>
        <family val="2"/>
        <scheme val="minor"/>
      </rPr>
      <t>: Paul's relationship with the Thessalonian church</t>
    </r>
  </si>
  <si>
    <r>
      <t>Encouragement in Persecution</t>
    </r>
    <r>
      <rPr>
        <sz val="11"/>
        <color theme="1"/>
        <rFont val="Calibri"/>
        <family val="2"/>
        <scheme val="minor"/>
      </rPr>
      <t>: Comfort for believers facing trials</t>
    </r>
  </si>
  <si>
    <r>
      <t>Christian Living</t>
    </r>
    <r>
      <rPr>
        <sz val="11"/>
        <color theme="1"/>
        <rFont val="Calibri"/>
        <family val="2"/>
        <scheme val="minor"/>
      </rPr>
      <t>: Practical instructions for holy living and sanctification</t>
    </r>
  </si>
  <si>
    <r>
      <t>Second Coming of Christ</t>
    </r>
    <r>
      <rPr>
        <sz val="11"/>
        <color theme="1"/>
        <rFont val="Calibri"/>
        <family val="2"/>
        <scheme val="minor"/>
      </rPr>
      <t>: Detailed teaching about Christ's return and the rapture</t>
    </r>
  </si>
  <si>
    <t>Key Characteristics of 1 Thessalonians</t>
  </si>
  <si>
    <t>1 Corinthians 1:9; 10:13; 2 Timothy 2:13; Deuteronomy 7:9</t>
  </si>
  <si>
    <t>1 Thessalonians 5:24</t>
  </si>
  <si>
    <t>God's faithfulness guarantees His promises</t>
  </si>
  <si>
    <t>Philippians 1:6; Jude 1:24; 1 Peter 1:5</t>
  </si>
  <si>
    <t>1 Thessalonians 5:23</t>
  </si>
  <si>
    <t>God will preserve believers until Christ's coming</t>
  </si>
  <si>
    <t>Hebrews 13:20; Romans 15:33; 1 Corinthians 1:8</t>
  </si>
  <si>
    <t>c. 51 AD</t>
  </si>
  <si>
    <t>Thessalonica</t>
  </si>
  <si>
    <t>God of peace will sanctify believers completely</t>
  </si>
  <si>
    <t>Romans 8:30; 2 Thessalonians 2:13; John 3:17</t>
  </si>
  <si>
    <t>1 Thessalonians 5:9</t>
  </si>
  <si>
    <t>God has not destined believers for wrath but for salvation</t>
  </si>
  <si>
    <t>Luke 17:26-30; 2 Peter 3:7; Isaiah 13:8</t>
  </si>
  <si>
    <t>1 Thessalonians 5:3</t>
  </si>
  <si>
    <t>Sudden destruction will come upon the unrepentant</t>
  </si>
  <si>
    <t>2 Peter 3:10; Matthew 24:43; Revelation 3:3; 16:15</t>
  </si>
  <si>
    <t>1 Thessalonians 5:2</t>
  </si>
  <si>
    <t>Day of the Lord will come like a thief in the night</t>
  </si>
  <si>
    <t>1 Corinthians 15:51-52; 2 Corinthians 5:4; Philippians 3:21</t>
  </si>
  <si>
    <t>1 Thessalonians 4:17</t>
  </si>
  <si>
    <t>Living believers will be caught up in the air</t>
  </si>
  <si>
    <t>1 Corinthians 15:23; John 5:28-29; Daniel 12:2</t>
  </si>
  <si>
    <t>1 Thessalonians 4:16</t>
  </si>
  <si>
    <t>Dead in Christ will rise first</t>
  </si>
  <si>
    <t>1 Corinthians 15:52; Matthew 24:31; Revelation 11:15</t>
  </si>
  <si>
    <t>God's trumpet will sound</t>
  </si>
  <si>
    <t>Daniel 12:1; Jude 1:9; Revelation 12:7</t>
  </si>
  <si>
    <t>Archangel</t>
  </si>
  <si>
    <t>Archangel's voice will be heard</t>
  </si>
  <si>
    <t>2 Thessalonians 1:7; Matthew 24:30-31; Revelation 19:11-16</t>
  </si>
  <si>
    <t>The Lord will descend from heaven with supernatural signs</t>
  </si>
  <si>
    <t>1 Corinthians 15:51-52; 2 Thessalonians 2:1; John 14:3</t>
  </si>
  <si>
    <t>Various</t>
  </si>
  <si>
    <t>1 Thessalonians 4:15-17</t>
  </si>
  <si>
    <t>Divine revelation about the rapture and resurrection</t>
  </si>
  <si>
    <t>Acts 2:38; Romans 5:5; 1 Corinthians 6:19; Ezekiel 36:27</t>
  </si>
  <si>
    <t>c. 50-51 AD</t>
  </si>
  <si>
    <t>1 Thessalonians 4:8</t>
  </si>
  <si>
    <t>God gives His Holy Spirit to believers</t>
  </si>
  <si>
    <t>2 Timothy 1:9; 1 Peter 1:15; Ephesians 4:1</t>
  </si>
  <si>
    <t>1 Thessalonians 4:7</t>
  </si>
  <si>
    <t>God calls believers to holiness, not impurity</t>
  </si>
  <si>
    <t>Hebrews 12:14; 1 Peter 1:15-16; Leviticus 11:44</t>
  </si>
  <si>
    <t>1 Thessalonians 4:3</t>
  </si>
  <si>
    <t>God's will for sanctification revealed</t>
  </si>
  <si>
    <t>1 Corinthians 7:10; 1 Timothy 1:18</t>
  </si>
  <si>
    <t>1 Thessalonians 4:2</t>
  </si>
  <si>
    <t>Paul received divine revelation about proper Christian conduct</t>
  </si>
  <si>
    <t>Acts 14:15; 1 Corinthians 12:2; Galatians 4:8-9</t>
  </si>
  <si>
    <t>1 Thessalonians 1:9</t>
  </si>
  <si>
    <t>God delivered them from idols to serve the living God</t>
  </si>
  <si>
    <t>2 Corinthians 3:2-3; 1 Corinthians 11:1</t>
  </si>
  <si>
    <t>Macedonia/Achaia</t>
  </si>
  <si>
    <t>1 Thessalonians 1:7-8</t>
  </si>
  <si>
    <t>God's supernatural work made them an example to believers</t>
  </si>
  <si>
    <t>Acts 13:52; Romans 14:17; Galatians 5:22</t>
  </si>
  <si>
    <t>1 Thessalonians 1:6</t>
  </si>
  <si>
    <t>Thessalonians received the word with joy from the Holy Spirit despite persecution</t>
  </si>
  <si>
    <t>1 Corinthians 2:4; Romans 15:19; 2 Corinthians 12:12</t>
  </si>
  <si>
    <t>Holy Spirit/Paul</t>
  </si>
  <si>
    <t>1 Thessalonians 1:5</t>
  </si>
  <si>
    <t>Gospel came with power of the Holy Spirit</t>
  </si>
  <si>
    <t>Ephesians 1:4; 2 Thessalonians 2:13; Romans 8:29-30</t>
  </si>
  <si>
    <t>1 Thessalonians 1:4</t>
  </si>
  <si>
    <t>God chose the Thessalonians from the beginning for salvation</t>
  </si>
  <si>
    <t>2 Thessalonians:</t>
  </si>
  <si>
    <t>a comprehensive table for 2 Thessalonians, ordered by scripture reference and including cross-references. This epistle presents a different type of supernatural content compared to the Gospels - focusing more on divine revelations, prophetic insights, and God's spiritual work rather than physical miracles.</t>
  </si>
  <si>
    <t>Key Supernatural Elements in 2 Thessalonians:</t>
  </si>
  <si>
    <r>
      <t>1. Prophetic Revelations</t>
    </r>
    <r>
      <rPr>
        <sz val="11"/>
        <color theme="1"/>
        <rFont val="Calibri"/>
        <family val="2"/>
        <scheme val="minor"/>
      </rPr>
      <t>: Paul receives divine insight about end times events, particularly the sequence leading to Christ's return</t>
    </r>
  </si>
  <si>
    <r>
      <t>2. Future Miraculous Events</t>
    </r>
    <r>
      <rPr>
        <sz val="11"/>
        <color theme="1"/>
        <rFont val="Calibri"/>
        <family val="2"/>
        <scheme val="minor"/>
      </rPr>
      <t>: Vivid descriptions of Jesus' second coming with angels in flaming fire</t>
    </r>
  </si>
  <si>
    <r>
      <t>3. Divine Spiritual Work</t>
    </r>
    <r>
      <rPr>
        <sz val="11"/>
        <color theme="1"/>
        <rFont val="Calibri"/>
        <family val="2"/>
        <scheme val="minor"/>
      </rPr>
      <t>: God's ongoing supernatural activity in salvation, calling, sanctification, and protection of believers</t>
    </r>
  </si>
  <si>
    <r>
      <t>4. Eschatological Miracles</t>
    </r>
    <r>
      <rPr>
        <sz val="11"/>
        <color theme="1"/>
        <rFont val="Calibri"/>
        <family val="2"/>
        <scheme val="minor"/>
      </rPr>
      <t>: Future supernatural events including the revelation of the lawless one and Christ's ultimate victory</t>
    </r>
  </si>
  <si>
    <r>
      <t>5. False Supernatural Signs</t>
    </r>
    <r>
      <rPr>
        <sz val="11"/>
        <color theme="1"/>
        <rFont val="Calibri"/>
        <family val="2"/>
        <scheme val="minor"/>
      </rPr>
      <t>: Warning about Satan's deceptive miracles through the man of lawlessness</t>
    </r>
  </si>
  <si>
    <t>Distinctive Features:</t>
  </si>
  <si>
    <t>Heavy emphasis on future rather than past or present miracles</t>
  </si>
  <si>
    <t>Focus on divine communications and revelations rather than physical healings</t>
  </si>
  <si>
    <t>Emphasis on God's sovereignty over historical events and timing</t>
  </si>
  <si>
    <t>Integration of spiritual warfare elements with eschatological themes</t>
  </si>
  <si>
    <t>The book demonstrates that God's miraculous activity includes not only physical interventions but also prophetic revelations, divine protection, spiritual transformation, and ultimate control over the course of history leading to Christ's triumphant return.</t>
  </si>
  <si>
    <r>
      <t>Note:</t>
    </r>
    <r>
      <rPr>
        <sz val="11"/>
        <color theme="1"/>
        <rFont val="Calibri"/>
        <family val="2"/>
        <scheme val="minor"/>
      </rPr>
      <t xml:space="preserve"> While 2 Thessalonians contains fewer narrative miracles compared to the Gospels, it is rich with divine revelations about future supernatural events and God's ongoing spiritual work in believers' lives. The book emphasizes God's supernatural control over history and His ultimate plan for justice and glorification of His people. The miraculous elements focus primarily on divine communications, prophetic revelations, and promised future supernatural interventions rather than present physical miracles.</t>
    </r>
  </si>
  <si>
    <r>
      <t>Ultimate Victory</t>
    </r>
    <r>
      <rPr>
        <sz val="11"/>
        <color theme="1"/>
        <rFont val="Calibri"/>
        <family val="2"/>
        <scheme val="minor"/>
      </rPr>
      <t>: Christ's triumphant return and establishment of justice</t>
    </r>
  </si>
  <si>
    <r>
      <t>Divine Restraint</t>
    </r>
    <r>
      <rPr>
        <sz val="11"/>
        <color theme="1"/>
        <rFont val="Calibri"/>
        <family val="2"/>
        <scheme val="minor"/>
      </rPr>
      <t>: Supernatural holding back of evil until God's timing</t>
    </r>
  </si>
  <si>
    <r>
      <t>The Man of Lawlessness</t>
    </r>
    <r>
      <rPr>
        <sz val="11"/>
        <color theme="1"/>
        <rFont val="Calibri"/>
        <family val="2"/>
        <scheme val="minor"/>
      </rPr>
      <t>: Prophetic figure opposing God before Christ's return</t>
    </r>
  </si>
  <si>
    <r>
      <t>The Day of the Lord</t>
    </r>
    <r>
      <rPr>
        <sz val="11"/>
        <color theme="1"/>
        <rFont val="Calibri"/>
        <family val="2"/>
        <scheme val="minor"/>
      </rPr>
      <t>: Future divine intervention in history</t>
    </r>
  </si>
  <si>
    <t>Eschatological Focus:</t>
  </si>
  <si>
    <r>
      <t>Audience</t>
    </r>
    <r>
      <rPr>
        <sz val="11"/>
        <color theme="1"/>
        <rFont val="Calibri"/>
        <family val="2"/>
        <scheme val="minor"/>
      </rPr>
      <t>: Thessalonian Christians facing persecution and false teaching</t>
    </r>
  </si>
  <si>
    <r>
      <t>Religious Condition</t>
    </r>
    <r>
      <rPr>
        <sz val="11"/>
        <color theme="1"/>
        <rFont val="Calibri"/>
        <family val="2"/>
        <scheme val="minor"/>
      </rPr>
      <t>: Confusion about the timing of Christ's return</t>
    </r>
  </si>
  <si>
    <r>
      <t>Political Situation</t>
    </r>
    <r>
      <rPr>
        <sz val="11"/>
        <color theme="1"/>
        <rFont val="Calibri"/>
        <family val="2"/>
        <scheme val="minor"/>
      </rPr>
      <t>: Roman Empire with increasing persecution of Christians</t>
    </r>
  </si>
  <si>
    <r>
      <t>Time Period</t>
    </r>
    <r>
      <rPr>
        <sz val="11"/>
        <color theme="1"/>
        <rFont val="Calibri"/>
        <family val="2"/>
        <scheme val="minor"/>
      </rPr>
      <t>: c. 51-52 AD during Paul's second missionary journey</t>
    </r>
  </si>
  <si>
    <r>
      <t>Divine Protection and Establishment</t>
    </r>
    <r>
      <rPr>
        <sz val="11"/>
        <color theme="1"/>
        <rFont val="Calibri"/>
        <family val="2"/>
        <scheme val="minor"/>
      </rPr>
      <t>: God's ongoing supernatural care for believers</t>
    </r>
  </si>
  <si>
    <r>
      <t>Divine Judgment</t>
    </r>
    <r>
      <rPr>
        <sz val="11"/>
        <color theme="1"/>
        <rFont val="Calibri"/>
        <family val="2"/>
        <scheme val="minor"/>
      </rPr>
      <t>: God's righteous intervention in human affairs</t>
    </r>
  </si>
  <si>
    <r>
      <t>False Supernatural Signs</t>
    </r>
    <r>
      <rPr>
        <sz val="11"/>
        <color theme="1"/>
        <rFont val="Calibri"/>
        <family val="2"/>
        <scheme val="minor"/>
      </rPr>
      <t>: Satan's deceptive miracles through the lawless one</t>
    </r>
  </si>
  <si>
    <r>
      <t>Divine Election and Calling</t>
    </r>
    <r>
      <rPr>
        <sz val="11"/>
        <color theme="1"/>
        <rFont val="Calibri"/>
        <family val="2"/>
        <scheme val="minor"/>
      </rPr>
      <t>: God's supernatural work in salvation</t>
    </r>
  </si>
  <si>
    <r>
      <t>Future Miraculous Events</t>
    </r>
    <r>
      <rPr>
        <sz val="11"/>
        <color theme="1"/>
        <rFont val="Calibri"/>
        <family val="2"/>
        <scheme val="minor"/>
      </rPr>
      <t>: Jesus' return with angels in flaming fire</t>
    </r>
  </si>
  <si>
    <r>
      <t>Divine Revelations</t>
    </r>
    <r>
      <rPr>
        <sz val="11"/>
        <color theme="1"/>
        <rFont val="Calibri"/>
        <family val="2"/>
        <scheme val="minor"/>
      </rPr>
      <t>: Prophetic insights about end times events</t>
    </r>
  </si>
  <si>
    <r>
      <t>Authentication Marks</t>
    </r>
    <r>
      <rPr>
        <sz val="11"/>
        <color theme="1"/>
        <rFont val="Calibri"/>
        <family val="2"/>
        <scheme val="minor"/>
      </rPr>
      <t>: Paul's personal signature to verify genuine correspondence</t>
    </r>
  </si>
  <si>
    <r>
      <t>Theological Correction</t>
    </r>
    <r>
      <rPr>
        <sz val="11"/>
        <color theme="1"/>
        <rFont val="Calibri"/>
        <family val="2"/>
        <scheme val="minor"/>
      </rPr>
      <t>: Clarification of misunderstood eschatological teachings</t>
    </r>
  </si>
  <si>
    <r>
      <t>Pastoral Concern</t>
    </r>
    <r>
      <rPr>
        <sz val="11"/>
        <color theme="1"/>
        <rFont val="Calibri"/>
        <family val="2"/>
        <scheme val="minor"/>
      </rPr>
      <t>: Paul's care for confused and persecuted believers</t>
    </r>
  </si>
  <si>
    <r>
      <t>Apocalyptic Elements</t>
    </r>
    <r>
      <rPr>
        <sz val="11"/>
        <color theme="1"/>
        <rFont val="Calibri"/>
        <family val="2"/>
        <scheme val="minor"/>
      </rPr>
      <t>: Vivid descriptions of future divine intervention</t>
    </r>
  </si>
  <si>
    <r>
      <t>Perseverance</t>
    </r>
    <r>
      <rPr>
        <sz val="11"/>
        <color theme="1"/>
        <rFont val="Calibri"/>
        <family val="2"/>
        <scheme val="minor"/>
      </rPr>
      <t>: Encouragement to stand firm in persecution and truth</t>
    </r>
  </si>
  <si>
    <r>
      <t>End Times Deception</t>
    </r>
    <r>
      <rPr>
        <sz val="11"/>
        <color theme="1"/>
        <rFont val="Calibri"/>
        <family val="2"/>
        <scheme val="minor"/>
      </rPr>
      <t>: Warning about false signs and the man of lawlessness</t>
    </r>
  </si>
  <si>
    <r>
      <t>Divine Justice</t>
    </r>
    <r>
      <rPr>
        <sz val="11"/>
        <color theme="1"/>
        <rFont val="Calibri"/>
        <family val="2"/>
        <scheme val="minor"/>
      </rPr>
      <t>: God's righteous judgment on persecutors and reward for faithful</t>
    </r>
  </si>
  <si>
    <r>
      <t>Second Coming of Christ</t>
    </r>
    <r>
      <rPr>
        <sz val="11"/>
        <color theme="1"/>
        <rFont val="Calibri"/>
        <family val="2"/>
        <scheme val="minor"/>
      </rPr>
      <t>: Central focus on Jesus' return in power and glory</t>
    </r>
  </si>
  <si>
    <t>Key Characteristics of 2 Thessalonians</t>
  </si>
  <si>
    <t>Romans 16:20; 1 Corinthians 16:23; Galatians 6:18</t>
  </si>
  <si>
    <t>c. 51-52 AD</t>
  </si>
  <si>
    <t>Thessalonica (recipients)</t>
  </si>
  <si>
    <t>2 Thessalonians 3:18</t>
  </si>
  <si>
    <t>Final apostolic blessing of grace from Lord Jesus Christ</t>
  </si>
  <si>
    <t>1 Corinthians 16:21; Galatians 6:11; Colossians 4:18</t>
  </si>
  <si>
    <t>Apostolic Authentication</t>
  </si>
  <si>
    <t>From Paul to Thessalonica</t>
  </si>
  <si>
    <t>2 Thessalonians 3:17</t>
  </si>
  <si>
    <t>Paul writes with his own hand as authentication sign</t>
  </si>
  <si>
    <t>1 Thessalonians 3:11; Romans 5:5; Galatians 5:22</t>
  </si>
  <si>
    <t>Present</t>
  </si>
  <si>
    <t>2 Thessalonians 3:5</t>
  </si>
  <si>
    <t>The Lord will direct hearts into God's love and Christ's steadfastness</t>
  </si>
  <si>
    <t>1 Corinthians 1:9; 1 Thessalonians 5:24; 2 Timothy 2:13</t>
  </si>
  <si>
    <t>Present/Future</t>
  </si>
  <si>
    <t>2 Thessalonians 3:3</t>
  </si>
  <si>
    <t>The Lord is faithful and will establish and guard believers</t>
  </si>
  <si>
    <t>Romans 15:31; 1 Corinthians 16:9; 2 Timothy 4:17</t>
  </si>
  <si>
    <t>2 Thessalonians 3:2-3</t>
  </si>
  <si>
    <t>Prayer for deliverance from wicked and evil men</t>
  </si>
  <si>
    <t>Isaiah 55:11; Psalm 147:15; Acts 6:7</t>
  </si>
  <si>
    <t>2 Thessalonians 3:1</t>
  </si>
  <si>
    <t>Prayer for the Lord's word to run and be glorified</t>
  </si>
  <si>
    <t>2 Corinthians 1:3-4; 1 Thessalonians 3:13; Philippians 1:6</t>
  </si>
  <si>
    <t>2 Thessalonians 2:16-17</t>
  </si>
  <si>
    <t>Prayer for God to comfort hearts and establish in good works</t>
  </si>
  <si>
    <t>Romans 8:30; 1 Thessalonians 2:12; 1 Peter 5:10</t>
  </si>
  <si>
    <t>2 Thessalonians 2:14</t>
  </si>
  <si>
    <t>God calls believers through the gospel to obtain glory</t>
  </si>
  <si>
    <t>Ephesians 1:4; 1 Thessalonians 1:4; 1 Peter 1:2</t>
  </si>
  <si>
    <t>Eternal/Present</t>
  </si>
  <si>
    <t>2 Thessalonians 2:13-14</t>
  </si>
  <si>
    <t>God chose believers for salvation through sanctification</t>
  </si>
  <si>
    <t>Romans 1:24-28; 1 Kings 22:22-23; Isaiah 6:9-10</t>
  </si>
  <si>
    <t>2 Thessalonians 2:11-12</t>
  </si>
  <si>
    <t>God sends strong delusion to those who reject truth</t>
  </si>
  <si>
    <t>Matthew 24:24; Revelation 13:13-14; 16:14</t>
  </si>
  <si>
    <t>Satan/Lawless One</t>
  </si>
  <si>
    <t>2 Thessalonians 2:9</t>
  </si>
  <si>
    <t>Satan works through the lawless one with false signs and wonders</t>
  </si>
  <si>
    <t>Isaiah 11:4; Revelation 19:15, 20</t>
  </si>
  <si>
    <t>2 Thessalonians 2:8</t>
  </si>
  <si>
    <t>The lawless one will be revealed and destroyed by Jesus' coming</t>
  </si>
  <si>
    <t>Daniel 7:25; Revelation 13:7</t>
  </si>
  <si>
    <t>2 Thessalonians 2:6-7</t>
  </si>
  <si>
    <t>The restrainer holds back the man of lawlessness until removed</t>
  </si>
  <si>
    <t>Daniel 11:36; 1 Timothy 4:1; Revelation 13:5-6</t>
  </si>
  <si>
    <t>Paul (by revelation)</t>
  </si>
  <si>
    <t>2 Thessalonians 2:1-4</t>
  </si>
  <si>
    <t>The Day of the Lord will not come until the rebellion and man of lawlessness</t>
  </si>
  <si>
    <t>Romans 8:28; Ephesians 1:11; Philippians 2:13</t>
  </si>
  <si>
    <t>2 Thessalonians 1:11-12</t>
  </si>
  <si>
    <t>God's calling and fulfillment of His good purpose by power</t>
  </si>
  <si>
    <t>1 Thessalonians 4:16-17; 1 John 3:2; Colossians 3:4</t>
  </si>
  <si>
    <t>Future Second Coming</t>
  </si>
  <si>
    <t>2 Thessalonians 1:10</t>
  </si>
  <si>
    <t>Jesus will be glorified in His saints and marveled at by believers</t>
  </si>
  <si>
    <t>Matthew 25:31; Mark 8:38; Luke 9:26; Jude 14-15</t>
  </si>
  <si>
    <t>From Heaven</t>
  </si>
  <si>
    <t>2 Thessalonians 1:7-8</t>
  </si>
  <si>
    <t>Jesus revealed from heaven with mighty angels in flaming fire</t>
  </si>
  <si>
    <t>Romans 2:5; 2 Timothy 4:8; 1 Peter 4:17</t>
  </si>
  <si>
    <t>Future/Present</t>
  </si>
  <si>
    <t>2 Thessalonians 1:5-10</t>
  </si>
  <si>
    <t>God's righteous judgment revealed through persecution and relief</t>
  </si>
  <si>
    <t>1 Thessalonians 1:1; Romans 1:7; 1 Corinthians 1:3</t>
  </si>
  <si>
    <t>2 Thessalonians 1:1-2</t>
  </si>
  <si>
    <t>Paul gives apostolic greeting with grace and peace from God</t>
  </si>
  <si>
    <t>1 Timothy:</t>
  </si>
  <si>
    <t>a comprehensive table for 1 Timothy, ordered by scripture reference. As you can see, 1 Timothy differs significantly from books like Matthew or the historical narratives in that it contains fewer dramatic supernatural events and focuses more on:</t>
  </si>
  <si>
    <t>Key Observations about 1 Timothy:</t>
  </si>
  <si>
    <r>
      <t>Limited Miraculous Events:</t>
    </r>
    <r>
      <rPr>
        <sz val="11"/>
        <color theme="1"/>
        <rFont val="Calibri"/>
        <family val="2"/>
        <scheme val="minor"/>
      </rPr>
      <t xml:space="preserve"> Unlike the Gospels, 1 Timothy is a pastoral epistle focused on church administration and doctrine rather than recording miracles. The supernatural elements are primarily:</t>
    </r>
  </si>
  <si>
    <t>Divine callings and appointments</t>
  </si>
  <si>
    <t>Spiritual gifts and ordination</t>
  </si>
  <si>
    <t>Prophetic revelations about the future</t>
  </si>
  <si>
    <t>References to Christ's incarnation and sacrifice</t>
  </si>
  <si>
    <t>God's eternal attributes and saving work</t>
  </si>
  <si>
    <r>
      <t>Focus on Divine Principles:</t>
    </r>
    <r>
      <rPr>
        <sz val="11"/>
        <color theme="1"/>
        <rFont val="Calibri"/>
        <family val="2"/>
        <scheme val="minor"/>
      </rPr>
      <t xml:space="preserve"> The letter emphasizes God's ongoing work through:</t>
    </r>
  </si>
  <si>
    <t>The calling of apostles and ministers</t>
  </si>
  <si>
    <t>The granting of spiritual gifts</t>
  </si>
  <si>
    <t>The revelation of divine truth</t>
  </si>
  <si>
    <t>The promise of future resurrection and Christ's return</t>
  </si>
  <si>
    <r>
      <t>Theological Rather Than Historical:</t>
    </r>
    <r>
      <rPr>
        <sz val="11"/>
        <color theme="1"/>
        <rFont val="Calibri"/>
        <family val="2"/>
        <scheme val="minor"/>
      </rPr>
      <t xml:space="preserve"> Most entries deal with theological truths and divine principles rather than specific miraculous events that occurred at particular times and places.</t>
    </r>
  </si>
  <si>
    <t>This demonstrates how different biblical books serve different purposes - while the Gospels record Jesus' miraculous ministry, the pastoral epistles focus on how God continues to work through His church and appointed leaders in more subtle but equally supernatural ways.</t>
  </si>
  <si>
    <r>
      <t>Note:</t>
    </r>
    <r>
      <rPr>
        <sz val="11"/>
        <color theme="1"/>
        <rFont val="Calibri"/>
        <family val="2"/>
        <scheme val="minor"/>
      </rPr>
      <t xml:space="preserve"> Unlike the Gospels or Acts, 1 Timothy contains fewer dramatic miraculous events and focuses more on divine principles, callings, and spiritual truths. The "supernatural" elements are primarily related to God's eternal nature, His work of salvation, spiritual gifts, and prophetic revelations about the future. The letter emphasizes God's ongoing work through His church and leaders rather than spectacular miracles.</t>
    </r>
  </si>
  <si>
    <r>
      <t>Religious Context</t>
    </r>
    <r>
      <rPr>
        <sz val="11"/>
        <color theme="1"/>
        <rFont val="Calibri"/>
        <family val="2"/>
        <scheme val="minor"/>
      </rPr>
      <t>: Combating Gnostic and other false teachings in the early church</t>
    </r>
  </si>
  <si>
    <r>
      <t>Political Situation</t>
    </r>
    <r>
      <rPr>
        <sz val="11"/>
        <color theme="1"/>
        <rFont val="Calibri"/>
        <family val="2"/>
        <scheme val="minor"/>
      </rPr>
      <t>: Growing persecution of Christians under Roman rule</t>
    </r>
  </si>
  <si>
    <r>
      <t>Recipients</t>
    </r>
    <r>
      <rPr>
        <sz val="11"/>
        <color theme="1"/>
        <rFont val="Calibri"/>
        <family val="2"/>
        <scheme val="minor"/>
      </rPr>
      <t>: Timothy in Ephesus, broader church leadership</t>
    </r>
  </si>
  <si>
    <r>
      <t>Time Period</t>
    </r>
    <r>
      <rPr>
        <sz val="11"/>
        <color theme="1"/>
        <rFont val="Calibri"/>
        <family val="2"/>
        <scheme val="minor"/>
      </rPr>
      <t>: c. 62-64 AD (Paul's later ministry)</t>
    </r>
  </si>
  <si>
    <r>
      <t>Miraculous Conversion</t>
    </r>
    <r>
      <rPr>
        <sz val="11"/>
        <color theme="1"/>
        <rFont val="Calibri"/>
        <family val="2"/>
        <scheme val="minor"/>
      </rPr>
      <t>: Paul's transformation from persecutor to apostle</t>
    </r>
  </si>
  <si>
    <r>
      <t>Divine Incarnation</t>
    </r>
    <r>
      <rPr>
        <sz val="11"/>
        <color theme="1"/>
        <rFont val="Calibri"/>
        <family val="2"/>
        <scheme val="minor"/>
      </rPr>
      <t>: References to Christ's coming in flesh</t>
    </r>
  </si>
  <si>
    <r>
      <t>Prophetic Revelation</t>
    </r>
    <r>
      <rPr>
        <sz val="11"/>
        <color theme="1"/>
        <rFont val="Calibri"/>
        <family val="2"/>
        <scheme val="minor"/>
      </rPr>
      <t>: Predictions about future apostasy and Christ's return</t>
    </r>
  </si>
  <si>
    <r>
      <t>Spiritual Gifts</t>
    </r>
    <r>
      <rPr>
        <sz val="11"/>
        <color theme="1"/>
        <rFont val="Calibri"/>
        <family val="2"/>
        <scheme val="minor"/>
      </rPr>
      <t>: Supernatural abilities given through laying on of hands</t>
    </r>
  </si>
  <si>
    <r>
      <t>Divine Calling</t>
    </r>
    <r>
      <rPr>
        <sz val="11"/>
        <color theme="1"/>
        <rFont val="Calibri"/>
        <family val="2"/>
        <scheme val="minor"/>
      </rPr>
      <t>: Paul's apostolic commission and Timothy's ministry calling</t>
    </r>
  </si>
  <si>
    <r>
      <t>Personal Tone</t>
    </r>
    <r>
      <rPr>
        <sz val="11"/>
        <color theme="1"/>
        <rFont val="Calibri"/>
        <family val="2"/>
        <scheme val="minor"/>
      </rPr>
      <t>: Intimate relationship between Paul and Timothy evident</t>
    </r>
  </si>
  <si>
    <r>
      <t>Doctrinal Statements</t>
    </r>
    <r>
      <rPr>
        <sz val="11"/>
        <color theme="1"/>
        <rFont val="Calibri"/>
        <family val="2"/>
        <scheme val="minor"/>
      </rPr>
      <t>: Key theological truths woven throughout</t>
    </r>
  </si>
  <si>
    <r>
      <t>Practical Instructions</t>
    </r>
    <r>
      <rPr>
        <sz val="11"/>
        <color theme="1"/>
        <rFont val="Calibri"/>
        <family val="2"/>
        <scheme val="minor"/>
      </rPr>
      <t>: Concrete guidance for church administration</t>
    </r>
  </si>
  <si>
    <r>
      <t>Pastoral Epistle</t>
    </r>
    <r>
      <rPr>
        <sz val="11"/>
        <color theme="1"/>
        <rFont val="Calibri"/>
        <family val="2"/>
        <scheme val="minor"/>
      </rPr>
      <t>: Personal letter from mentor to protégé</t>
    </r>
  </si>
  <si>
    <r>
      <t>Pastoral Care</t>
    </r>
    <r>
      <rPr>
        <sz val="11"/>
        <color theme="1"/>
        <rFont val="Calibri"/>
        <family val="2"/>
        <scheme val="minor"/>
      </rPr>
      <t>: Guidelines for shepherding God's people</t>
    </r>
  </si>
  <si>
    <r>
      <t>Christian Living</t>
    </r>
    <r>
      <rPr>
        <sz val="11"/>
        <color theme="1"/>
        <rFont val="Calibri"/>
        <family val="2"/>
        <scheme val="minor"/>
      </rPr>
      <t>: Practical guidance for believers in various life situations</t>
    </r>
  </si>
  <si>
    <r>
      <t>Sound Doctrine</t>
    </r>
    <r>
      <rPr>
        <sz val="11"/>
        <color theme="1"/>
        <rFont val="Calibri"/>
        <family val="2"/>
        <scheme val="minor"/>
      </rPr>
      <t>: Combating false teaching and maintaining biblical truth</t>
    </r>
  </si>
  <si>
    <r>
      <t>Church Leadership and Order</t>
    </r>
    <r>
      <rPr>
        <sz val="11"/>
        <color theme="1"/>
        <rFont val="Calibri"/>
        <family val="2"/>
        <scheme val="minor"/>
      </rPr>
      <t>: Instructions for appointing and managing church leaders</t>
    </r>
  </si>
  <si>
    <t>Key Characteristics of 1 Timothy</t>
  </si>
  <si>
    <t>Exodus 33:20; John 1:18; 1 John 4:12; Revelation 4:8</t>
  </si>
  <si>
    <t>Eternal realm</t>
  </si>
  <si>
    <t>1 Timothy 6:15-16</t>
  </si>
  <si>
    <t>God's eternal, invisible, immortal nature</t>
  </si>
  <si>
    <t>Acts 17:25; Psalm 36:9; John 5:26; Colossians 1:17</t>
  </si>
  <si>
    <t>1 Timothy 6:13</t>
  </si>
  <si>
    <t>God who gives life to all things</t>
  </si>
  <si>
    <t>1 Thessalonians 4:16-17; 1 Corinthians 15:51-52; Revelation 1:7</t>
  </si>
  <si>
    <t>Second Coming</t>
  </si>
  <si>
    <t>1 Timothy 6:14</t>
  </si>
  <si>
    <t>Resurrection hope for the future</t>
  </si>
  <si>
    <t>Titus 2:11; 2 Peter 3:9; John 3:16-17</t>
  </si>
  <si>
    <t>1 Timothy 4:10</t>
  </si>
  <si>
    <t>God as Savior of all people, especially believers</t>
  </si>
  <si>
    <t>Acts 16:1-3; 2 Timothy 1:6; Acts 13:3; Acts 14:23</t>
  </si>
  <si>
    <t>Holy Spirit/Elders</t>
  </si>
  <si>
    <t>Lystra/Derbe</t>
  </si>
  <si>
    <t>1 Timothy 4:14</t>
  </si>
  <si>
    <t>Spiritual gift given to Timothy through prophecy and laying on of hands</t>
  </si>
  <si>
    <t>2 Timothy 3:1-5; 2 Peter 3:3; 1 John 2:18; Jude 1:18</t>
  </si>
  <si>
    <t>Future times</t>
  </si>
  <si>
    <t>1 Timothy 4:1</t>
  </si>
  <si>
    <t>Prophecy about latter times and departure from faith</t>
  </si>
  <si>
    <t>John 1:14; Romans 1:3-4; Acts 1:9-11; Ephesians 3:4-6</t>
  </si>
  <si>
    <t>5 BC - 33 AD</t>
  </si>
  <si>
    <t>1 Timothy 3:16</t>
  </si>
  <si>
    <t>Mystery of godliness - Christ's manifestation and vindication</t>
  </si>
  <si>
    <t>Acts 9:15; Acts 22:21; Romans 11:13; Galatians 2:7-8</t>
  </si>
  <si>
    <t>c. 33-35 AD</t>
  </si>
  <si>
    <t>1 Timothy 2:7</t>
  </si>
  <si>
    <t>Paul appointed as herald, apostle, and teacher</t>
  </si>
  <si>
    <t>Matthew 20:28; Mark 10:45; Galatians 1:4; Titus 2:14</t>
  </si>
  <si>
    <t>Jerusalem/Calvary</t>
  </si>
  <si>
    <t>1 Timothy 2:6</t>
  </si>
  <si>
    <t>Christ gave Himself as ransom for all</t>
  </si>
  <si>
    <t>Hebrews 8:6; Hebrews 9:15; Hebrews 12:24; John 14:6</t>
  </si>
  <si>
    <t>Eternal/33 AD</t>
  </si>
  <si>
    <t>1 Timothy 2:5</t>
  </si>
  <si>
    <t>Christ Jesus as mediator between God and man</t>
  </si>
  <si>
    <t>2 Peter 3:9; John 3:16; Ezekiel 18:23</t>
  </si>
  <si>
    <t>Eternal decree</t>
  </si>
  <si>
    <t>1 Timothy 2:4</t>
  </si>
  <si>
    <t>God desires all people to be saved</t>
  </si>
  <si>
    <t>Acts 16:1-3; 1 Timothy 4:14; 2 Timothy 1:6</t>
  </si>
  <si>
    <t>Prophets</t>
  </si>
  <si>
    <t>1 Timothy 1:18</t>
  </si>
  <si>
    <t>Prophecies made about Timothy</t>
  </si>
  <si>
    <t>Acts 9:1-19; 1 Corinthians 15:9; Galatians 1:13-16</t>
  </si>
  <si>
    <t>Damascus/various</t>
  </si>
  <si>
    <t>1 Timothy 1:13-16</t>
  </si>
  <si>
    <t>God's mercy and grace toward Paul despite persecution</t>
  </si>
  <si>
    <t>Matthew 1:21; Luke 19:10; John 1:14; John 3:17</t>
  </si>
  <si>
    <t>Bethlehem/Earth</t>
  </si>
  <si>
    <t>1 Timothy 1:15</t>
  </si>
  <si>
    <t>Christ Jesus came to save sinners (divine incarnation)</t>
  </si>
  <si>
    <t>Acts 9:1-19; 1 Corinthians 1:1; Galatians 1:1</t>
  </si>
  <si>
    <t>1 Timothy 1:1</t>
  </si>
  <si>
    <t>Paul's calling as apostle by God's command</t>
  </si>
  <si>
    <t>2 Timothy:</t>
  </si>
  <si>
    <t>a comprehensive table for 2 Timothy, ordered by scripture reference and including cross-references.</t>
  </si>
  <si>
    <t>Key Observations about 2 Timothy:</t>
  </si>
  <si>
    <t>Unlike the Gospels or Acts, 2 Timothy contains fewer dramatic supernatural events, but it reveals important supernatural realities:</t>
  </si>
  <si>
    <r>
      <t>Divine Calling and Gifts</t>
    </r>
    <r>
      <rPr>
        <sz val="11"/>
        <color theme="1"/>
        <rFont val="Calibri"/>
        <family val="2"/>
        <scheme val="minor"/>
      </rPr>
      <t>: God's supernatural empowerment of ministers</t>
    </r>
  </si>
  <si>
    <r>
      <t>Scripture's Divine Inspiration</t>
    </r>
    <r>
      <rPr>
        <sz val="11"/>
        <color theme="1"/>
        <rFont val="Calibri"/>
        <family val="2"/>
        <scheme val="minor"/>
      </rPr>
      <t>: The supernatural authorship of God's Word</t>
    </r>
  </si>
  <si>
    <r>
      <t>Divine Protection and Deliverance</t>
    </r>
    <r>
      <rPr>
        <sz val="11"/>
        <color theme="1"/>
        <rFont val="Calibri"/>
        <family val="2"/>
        <scheme val="minor"/>
      </rPr>
      <t>: God's miraculous preservation of His servants</t>
    </r>
  </si>
  <si>
    <r>
      <t>Prophetic Elements</t>
    </r>
    <r>
      <rPr>
        <sz val="11"/>
        <color theme="1"/>
        <rFont val="Calibri"/>
        <family val="2"/>
        <scheme val="minor"/>
      </rPr>
      <t>: Supernatural knowledge of future events</t>
    </r>
  </si>
  <si>
    <r>
      <t>Spiritual Warfare</t>
    </r>
    <r>
      <rPr>
        <sz val="11"/>
        <color theme="1"/>
        <rFont val="Calibri"/>
        <family val="2"/>
        <scheme val="minor"/>
      </rPr>
      <t>: References to supernatural conflict</t>
    </r>
  </si>
  <si>
    <r>
      <t xml:space="preserve">More focused on God's </t>
    </r>
    <r>
      <rPr>
        <b/>
        <sz val="11"/>
        <color theme="1"/>
        <rFont val="Calibri"/>
        <family val="2"/>
        <scheme val="minor"/>
      </rPr>
      <t>ongoing supernatural work</t>
    </r>
    <r>
      <rPr>
        <sz val="11"/>
        <color theme="1"/>
        <rFont val="Calibri"/>
        <family val="2"/>
        <scheme val="minor"/>
      </rPr>
      <t xml:space="preserve"> rather than dramatic miracles</t>
    </r>
  </si>
  <si>
    <r>
      <t xml:space="preserve">Emphasizes the </t>
    </r>
    <r>
      <rPr>
        <b/>
        <sz val="11"/>
        <color theme="1"/>
        <rFont val="Calibri"/>
        <family val="2"/>
        <scheme val="minor"/>
      </rPr>
      <t>supernatural power of Scripture</t>
    </r>
    <r>
      <rPr>
        <sz val="11"/>
        <color theme="1"/>
        <rFont val="Calibri"/>
        <family val="2"/>
        <scheme val="minor"/>
      </rPr>
      <t xml:space="preserve"> (2 Timothy 3:16)</t>
    </r>
  </si>
  <si>
    <r>
      <t xml:space="preserve">Highlights </t>
    </r>
    <r>
      <rPr>
        <b/>
        <sz val="11"/>
        <color theme="1"/>
        <rFont val="Calibri"/>
        <family val="2"/>
        <scheme val="minor"/>
      </rPr>
      <t>divine preservation</t>
    </r>
    <r>
      <rPr>
        <sz val="11"/>
        <color theme="1"/>
        <rFont val="Calibri"/>
        <family val="2"/>
        <scheme val="minor"/>
      </rPr>
      <t xml:space="preserve"> and protection of believers</t>
    </r>
  </si>
  <si>
    <r>
      <t xml:space="preserve">Contains </t>
    </r>
    <r>
      <rPr>
        <b/>
        <sz val="11"/>
        <color theme="1"/>
        <rFont val="Calibri"/>
        <family val="2"/>
        <scheme val="minor"/>
      </rPr>
      <t>prophetic warnings</t>
    </r>
    <r>
      <rPr>
        <sz val="11"/>
        <color theme="1"/>
        <rFont val="Calibri"/>
        <family val="2"/>
        <scheme val="minor"/>
      </rPr>
      <t xml:space="preserve"> about end times</t>
    </r>
  </si>
  <si>
    <r>
      <t xml:space="preserve">Shows God's </t>
    </r>
    <r>
      <rPr>
        <b/>
        <sz val="11"/>
        <color theme="1"/>
        <rFont val="Calibri"/>
        <family val="2"/>
        <scheme val="minor"/>
      </rPr>
      <t>supernatural faithfulness</t>
    </r>
    <r>
      <rPr>
        <sz val="11"/>
        <color theme="1"/>
        <rFont val="Calibri"/>
        <family val="2"/>
        <scheme val="minor"/>
      </rPr>
      <t xml:space="preserve"> in sustaining His people</t>
    </r>
  </si>
  <si>
    <t>The book demonstrates that God's supernatural work isn't limited to dramatic miracles but includes His calling, empowerment, protection, and the divine inspiration of His Word. Paul's testimony shows how God works supernaturally through ordinary circumstances to accomplish His eternal purposes.</t>
  </si>
  <si>
    <r>
      <t>Note:</t>
    </r>
    <r>
      <rPr>
        <sz val="11"/>
        <color theme="1"/>
        <rFont val="Calibri"/>
        <family val="2"/>
        <scheme val="minor"/>
      </rPr>
      <t xml:space="preserve"> 2 Timothy emphasizes the quieter but equally supernatural aspects of God's work - His calling, empowerment, protection, and the divine inspiration of Scripture. While it lacks dramatic miracles, it demonstrates God's supernatural faithfulness in sustaining His people through trials and His sovereign control over eternal destiny. The letter shows how God works supernaturally through ordinary means like friendship, Scripture, and faithful ministry.</t>
    </r>
  </si>
  <si>
    <r>
      <t>Eternal Perspective</t>
    </r>
    <r>
      <rPr>
        <sz val="11"/>
        <color theme="1"/>
        <rFont val="Calibri"/>
        <family val="2"/>
        <scheme val="minor"/>
      </rPr>
      <t>: God's supernatural plan for salvation and judgment</t>
    </r>
  </si>
  <si>
    <r>
      <t>Spiritual Warfare</t>
    </r>
    <r>
      <rPr>
        <sz val="11"/>
        <color theme="1"/>
        <rFont val="Calibri"/>
        <family val="2"/>
        <scheme val="minor"/>
      </rPr>
      <t>: Supernatural conflict between good and evil</t>
    </r>
  </si>
  <si>
    <r>
      <t>Divine Protection</t>
    </r>
    <r>
      <rPr>
        <sz val="11"/>
        <color theme="1"/>
        <rFont val="Calibri"/>
        <family val="2"/>
        <scheme val="minor"/>
      </rPr>
      <t>: God's miraculous preservation of His servants</t>
    </r>
  </si>
  <si>
    <r>
      <t>Scripture's Power</t>
    </r>
    <r>
      <rPr>
        <sz val="11"/>
        <color theme="1"/>
        <rFont val="Calibri"/>
        <family val="2"/>
        <scheme val="minor"/>
      </rPr>
      <t>: The supernatural inspiration and effectiveness of God's Word</t>
    </r>
  </si>
  <si>
    <r>
      <t>Divine Calling and Gifts</t>
    </r>
    <r>
      <rPr>
        <sz val="11"/>
        <color theme="1"/>
        <rFont val="Calibri"/>
        <family val="2"/>
        <scheme val="minor"/>
      </rPr>
      <t>: God's supernatural empowerment for ministry</t>
    </r>
  </si>
  <si>
    <t>While 2 Timothy doesn't record dramatic miracles like the Gospels or Acts, it reveals God's supernatural work through:</t>
  </si>
  <si>
    <t>Supernatural Aspects:</t>
  </si>
  <si>
    <r>
      <t>Purpose</t>
    </r>
    <r>
      <rPr>
        <sz val="11"/>
        <color theme="1"/>
        <rFont val="Calibri"/>
        <family val="2"/>
        <scheme val="minor"/>
      </rPr>
      <t>: Final instructions and encouragement from spiritual father to son</t>
    </r>
  </si>
  <si>
    <r>
      <t>Personal Situation</t>
    </r>
    <r>
      <rPr>
        <sz val="11"/>
        <color theme="1"/>
        <rFont val="Calibri"/>
        <family val="2"/>
        <scheme val="minor"/>
      </rPr>
      <t>: Paul facing execution, Timothy leading church in Ephesus</t>
    </r>
  </si>
  <si>
    <r>
      <t>Political Situation</t>
    </r>
    <r>
      <rPr>
        <sz val="11"/>
        <color theme="1"/>
        <rFont val="Calibri"/>
        <family val="2"/>
        <scheme val="minor"/>
      </rPr>
      <t>: Nero's persecution of Christians in Rome</t>
    </r>
  </si>
  <si>
    <r>
      <t>Time Period</t>
    </r>
    <r>
      <rPr>
        <sz val="11"/>
        <color theme="1"/>
        <rFont val="Calibri"/>
        <family val="2"/>
        <scheme val="minor"/>
      </rPr>
      <t>: c. 67 AD during Paul's final imprisonment</t>
    </r>
  </si>
  <si>
    <r>
      <t>Prophetic Revelation</t>
    </r>
    <r>
      <rPr>
        <sz val="11"/>
        <color theme="1"/>
        <rFont val="Calibri"/>
        <family val="2"/>
        <scheme val="minor"/>
      </rPr>
      <t>: Knowledge of future events and God's plans</t>
    </r>
  </si>
  <si>
    <r>
      <t>Divine Protection</t>
    </r>
    <r>
      <rPr>
        <sz val="11"/>
        <color theme="1"/>
        <rFont val="Calibri"/>
        <family val="2"/>
        <scheme val="minor"/>
      </rPr>
      <t>: God's miraculous preservation and deliverance</t>
    </r>
  </si>
  <si>
    <r>
      <t>Divine Inspiration</t>
    </r>
    <r>
      <rPr>
        <sz val="11"/>
        <color theme="1"/>
        <rFont val="Calibri"/>
        <family val="2"/>
        <scheme val="minor"/>
      </rPr>
      <t>: God's supernatural authorship of Scripture</t>
    </r>
  </si>
  <si>
    <r>
      <t>Spiritual Gifts</t>
    </r>
    <r>
      <rPr>
        <sz val="11"/>
        <color theme="1"/>
        <rFont val="Calibri"/>
        <family val="2"/>
        <scheme val="minor"/>
      </rPr>
      <t>: Supernatural empowerment through the Holy Spirit</t>
    </r>
  </si>
  <si>
    <r>
      <t>Divine Calling</t>
    </r>
    <r>
      <rPr>
        <sz val="11"/>
        <color theme="1"/>
        <rFont val="Calibri"/>
        <family val="2"/>
        <scheme val="minor"/>
      </rPr>
      <t>: God's supernatural calling of apostles and ministers</t>
    </r>
  </si>
  <si>
    <r>
      <t>Testimony Format</t>
    </r>
    <r>
      <rPr>
        <sz val="11"/>
        <color theme="1"/>
        <rFont val="Calibri"/>
        <family val="2"/>
        <scheme val="minor"/>
      </rPr>
      <t>: Paul's personal witness of God's faithfulness</t>
    </r>
  </si>
  <si>
    <r>
      <t>Prophetic Elements</t>
    </r>
    <r>
      <rPr>
        <sz val="11"/>
        <color theme="1"/>
        <rFont val="Calibri"/>
        <family val="2"/>
        <scheme val="minor"/>
      </rPr>
      <t>: Predictions about last days and future judgment</t>
    </r>
  </si>
  <si>
    <r>
      <t>Pastoral Concern</t>
    </r>
    <r>
      <rPr>
        <sz val="11"/>
        <color theme="1"/>
        <rFont val="Calibri"/>
        <family val="2"/>
        <scheme val="minor"/>
      </rPr>
      <t>: Fatherly advice and encouragement</t>
    </r>
  </si>
  <si>
    <r>
      <t>Personal Letter</t>
    </r>
    <r>
      <rPr>
        <sz val="11"/>
        <color theme="1"/>
        <rFont val="Calibri"/>
        <family val="2"/>
        <scheme val="minor"/>
      </rPr>
      <t>: Intimate correspondence between Paul and Timothy</t>
    </r>
  </si>
  <si>
    <r>
      <t>End Times Faithfulness</t>
    </r>
    <r>
      <rPr>
        <sz val="11"/>
        <color theme="1"/>
        <rFont val="Calibri"/>
        <family val="2"/>
        <scheme val="minor"/>
      </rPr>
      <t>: Remaining true to the gospel in difficult times</t>
    </r>
  </si>
  <si>
    <r>
      <t>Scripture's Authority</t>
    </r>
    <r>
      <rPr>
        <sz val="11"/>
        <color theme="1"/>
        <rFont val="Calibri"/>
        <family val="2"/>
        <scheme val="minor"/>
      </rPr>
      <t>: The divine inspiration and power of God's Word</t>
    </r>
  </si>
  <si>
    <r>
      <t>Divine Empowerment</t>
    </r>
    <r>
      <rPr>
        <sz val="11"/>
        <color theme="1"/>
        <rFont val="Calibri"/>
        <family val="2"/>
        <scheme val="minor"/>
      </rPr>
      <t>: God's provision of strength and gifts for ministry</t>
    </r>
  </si>
  <si>
    <r>
      <t>Perseverance in Ministry</t>
    </r>
    <r>
      <rPr>
        <sz val="11"/>
        <color theme="1"/>
        <rFont val="Calibri"/>
        <family val="2"/>
        <scheme val="minor"/>
      </rPr>
      <t>: Encouragement to remain faithful despite hardship</t>
    </r>
  </si>
  <si>
    <t>Key Characteristics of 2 Timothy</t>
  </si>
  <si>
    <t>John 10:28-29; 1 Peter 1:5</t>
  </si>
  <si>
    <t>The Lord</t>
  </si>
  <si>
    <t>Future/Eternal</t>
  </si>
  <si>
    <t>2 Timothy 4:18</t>
  </si>
  <si>
    <t>The Lord will preserve Paul for His heavenly kingdom</t>
  </si>
  <si>
    <t>Romans 8:28; 1 Corinthians 10:13</t>
  </si>
  <si>
    <t>c. 67 AD/Future</t>
  </si>
  <si>
    <t>Various/Future</t>
  </si>
  <si>
    <t>The Lord will rescue from every evil work</t>
  </si>
  <si>
    <t>Philippians 4:13; Ephesians 6:10</t>
  </si>
  <si>
    <t>c. 67 AD</t>
  </si>
  <si>
    <t>2 Timothy 4:17</t>
  </si>
  <si>
    <t>The Lord strengthens Paul for gospel proclamation</t>
  </si>
  <si>
    <t>Daniel 6:22; Psalm 22:21; 1 Peter 5:8</t>
  </si>
  <si>
    <t>Paul's divine rescue from the lion's mouth</t>
  </si>
  <si>
    <t>Psalm 119:130; Romans 10:17</t>
  </si>
  <si>
    <t>Historical/Ongoing</t>
  </si>
  <si>
    <t>2 Timothy 3:15</t>
  </si>
  <si>
    <t>Scripture makes one wise for salvation through faith</t>
  </si>
  <si>
    <t>2 Peter 1:20-21; 1 Thessalonians 2:13</t>
  </si>
  <si>
    <t>2 Timothy 3:16</t>
  </si>
  <si>
    <t>Scripture is God-breathed (inspired)</t>
  </si>
  <si>
    <t>John 10:14; 1 Corinthians 8:3; Numbers 16:5</t>
  </si>
  <si>
    <t>2 Timothy 2:19</t>
  </si>
  <si>
    <t>The Lord knows those who are His</t>
  </si>
  <si>
    <t>2 Corinthians 5:10; Revelation 20:11-15; Acts 10:42</t>
  </si>
  <si>
    <t>2 Timothy 2:12</t>
  </si>
  <si>
    <t>Christ will judge the living and the dead</t>
  </si>
  <si>
    <t>Hebrews 4:12; Isaiah 55:11; 1 Peter 1:23</t>
  </si>
  <si>
    <t>2 Timothy 2:9</t>
  </si>
  <si>
    <t>God's Word is living and powerful</t>
  </si>
  <si>
    <t>Hebrews 6:10; Matthew 10:42</t>
  </si>
  <si>
    <t>Onesiphorus/God</t>
  </si>
  <si>
    <t>Rome/Ephesus</t>
  </si>
  <si>
    <t>2 Timothy 1:16-18</t>
  </si>
  <si>
    <t>Onesiphorus shows God-given refreshment to Paul</t>
  </si>
  <si>
    <t>Philippians 4:13; 2 Corinthians 12:9-10</t>
  </si>
  <si>
    <t>Christ Jesus</t>
  </si>
  <si>
    <t>Prison/Various</t>
  </si>
  <si>
    <t>2 Timothy 1:12</t>
  </si>
  <si>
    <t>Paul receives divine strengthening and deliverance</t>
  </si>
  <si>
    <t>1 Corinthians 15:54-57; Hebrews 2:14-15; Revelation 1:18</t>
  </si>
  <si>
    <t>Through Christ's work</t>
  </si>
  <si>
    <t>2 Timothy 1:10</t>
  </si>
  <si>
    <t>Christ abolishes death and brings life through the gospel</t>
  </si>
  <si>
    <t>Romans 8:15; 1 John 4:18</t>
  </si>
  <si>
    <t>2 Timothy 1:7</t>
  </si>
  <si>
    <t>God gives spirit of power, love, and sound mind</t>
  </si>
  <si>
    <t>1 Timothy 4:14; Acts 8:17; 19:6</t>
  </si>
  <si>
    <t>c. 49-67 AD</t>
  </si>
  <si>
    <t>Lystra/Ephesus</t>
  </si>
  <si>
    <t>2 Timothy 1:6</t>
  </si>
  <si>
    <t>Timothy receives spiritual gift through laying on of hands</t>
  </si>
  <si>
    <t>Acts 9:1-19; 1 Corinthians 15:8-10; Galatians 1:15-16</t>
  </si>
  <si>
    <t>c. 33-67 AD</t>
  </si>
  <si>
    <t>Damascus/Various</t>
  </si>
  <si>
    <t>2 Timothy 1:1</t>
  </si>
  <si>
    <t>Paul receives divine calling and apostleship</t>
  </si>
  <si>
    <t>Titus:</t>
  </si>
  <si>
    <t>a table for the Book of Titus, ordered by scripture reference. Unlike narrative books like Matthew, Titus is a pastoral epistle that focuses on theological and doctrinal content rather than dramatic supernatural events.</t>
  </si>
  <si>
    <t>Key Observations about Titus:</t>
  </si>
  <si>
    <t>Types of "Miracles" in Titus:</t>
  </si>
  <si>
    <r>
      <t>Soteriological Miracles</t>
    </r>
    <r>
      <rPr>
        <sz val="11"/>
        <color theme="1"/>
        <rFont val="Calibri"/>
        <family val="2"/>
        <scheme val="minor"/>
      </rPr>
      <t>: The supernatural work of salvation, regeneration, and justification</t>
    </r>
  </si>
  <si>
    <r>
      <t>Divine Grace</t>
    </r>
    <r>
      <rPr>
        <sz val="11"/>
        <color theme="1"/>
        <rFont val="Calibri"/>
        <family val="2"/>
        <scheme val="minor"/>
      </rPr>
      <t>: God's supernatural favor and transforming power</t>
    </r>
  </si>
  <si>
    <r>
      <t>Spiritual Transformation</t>
    </r>
    <r>
      <rPr>
        <sz val="11"/>
        <color theme="1"/>
        <rFont val="Calibri"/>
        <family val="2"/>
        <scheme val="minor"/>
      </rPr>
      <t>: The Holy Spirit's regenerating and sanctifying work</t>
    </r>
  </si>
  <si>
    <r>
      <t>Prophetic Promises</t>
    </r>
    <r>
      <rPr>
        <sz val="11"/>
        <color theme="1"/>
        <rFont val="Calibri"/>
        <family val="2"/>
        <scheme val="minor"/>
      </rPr>
      <t>: Future supernatural events like Christ's second coming</t>
    </r>
  </si>
  <si>
    <t>This is a doctrinal/instructional book rather than a narrative</t>
  </si>
  <si>
    <t>The "supernatural events" are primarily theological concepts about God's saving work</t>
  </si>
  <si>
    <t>Emphasizes the ongoing miraculous nature of Christian conversion and growth</t>
  </si>
  <si>
    <t>Focuses on the practical outworking of supernatural salvation in daily life</t>
  </si>
  <si>
    <r>
      <t>Theological Miracles:</t>
    </r>
    <r>
      <rPr>
        <sz val="11"/>
        <color theme="1"/>
        <rFont val="Calibri"/>
        <family val="2"/>
        <scheme val="minor"/>
      </rPr>
      <t xml:space="preserve"> While Titus doesn't contain dramatic physical miracles like those in the Gospels, it describes profound spiritual miracles that are equally supernatural:</t>
    </r>
  </si>
  <si>
    <t>The miracle of regeneration (being born again)</t>
  </si>
  <si>
    <t>The supernatural transformation of human hearts</t>
  </si>
  <si>
    <t>Divine justification (God declaring sinners righteous)</t>
  </si>
  <si>
    <t>The ongoing work of sanctification</t>
  </si>
  <si>
    <t>The book demonstrates that God's supernatural power works not only in dramatic signs and wonders but also in the quiet, transformative work of salvation and Christian living.</t>
  </si>
  <si>
    <r>
      <t>Note:</t>
    </r>
    <r>
      <rPr>
        <sz val="11"/>
        <color theme="1"/>
        <rFont val="Calibri"/>
        <family val="2"/>
        <scheme val="minor"/>
      </rPr>
      <t xml:space="preserve"> Unlike narrative books, Titus contains theological and doctrinal miracles rather than dramatic supernatural events. The "miracles" in Titus are primarily God's supernatural work in salvation, regeneration, and sanctification - the ongoing miraculous transformation of believers' lives. The book emphasizes the supernatural nature of God's grace, the Spirit's regenerating work, and the divine promise of eternal life, which are profound spiritual miracles even though they may not be as visually dramatic as physical healings or nature miracles.</t>
    </r>
  </si>
  <si>
    <r>
      <t>Pneumatology</t>
    </r>
    <r>
      <rPr>
        <sz val="11"/>
        <color theme="1"/>
        <rFont val="Calibri"/>
        <family val="2"/>
        <scheme val="minor"/>
      </rPr>
      <t>: Role of the Holy Spirit in salvation and sanctification</t>
    </r>
  </si>
  <si>
    <r>
      <t>Eschatology</t>
    </r>
    <r>
      <rPr>
        <sz val="11"/>
        <color theme="1"/>
        <rFont val="Calibri"/>
        <family val="2"/>
        <scheme val="minor"/>
      </rPr>
      <t>: Reference to the blessed hope of Christ's return</t>
    </r>
  </si>
  <si>
    <r>
      <t>Ecclesiology</t>
    </r>
    <r>
      <rPr>
        <sz val="11"/>
        <color theme="1"/>
        <rFont val="Calibri"/>
        <family val="2"/>
        <scheme val="minor"/>
      </rPr>
      <t>: Principles for church leadership and organization</t>
    </r>
  </si>
  <si>
    <r>
      <t>Soteriology</t>
    </r>
    <r>
      <rPr>
        <sz val="11"/>
        <color theme="1"/>
        <rFont val="Calibri"/>
        <family val="2"/>
        <scheme val="minor"/>
      </rPr>
      <t>: Clear presentation of salvation by grace through faith</t>
    </r>
  </si>
  <si>
    <r>
      <t>Audience</t>
    </r>
    <r>
      <rPr>
        <sz val="11"/>
        <color theme="1"/>
        <rFont val="Calibri"/>
        <family val="2"/>
        <scheme val="minor"/>
      </rPr>
      <t>: Titus and the Cretan churches</t>
    </r>
  </si>
  <si>
    <r>
      <t>Purpose</t>
    </r>
    <r>
      <rPr>
        <sz val="11"/>
        <color theme="1"/>
        <rFont val="Calibri"/>
        <family val="2"/>
        <scheme val="minor"/>
      </rPr>
      <t>: Instruction for establishing proper church order and doctrine</t>
    </r>
  </si>
  <si>
    <r>
      <t>Location</t>
    </r>
    <r>
      <rPr>
        <sz val="11"/>
        <color theme="1"/>
        <rFont val="Calibri"/>
        <family val="2"/>
        <scheme val="minor"/>
      </rPr>
      <t>: Written to Titus ministering in Crete</t>
    </r>
  </si>
  <si>
    <r>
      <t>Time Period</t>
    </r>
    <r>
      <rPr>
        <sz val="11"/>
        <color theme="1"/>
        <rFont val="Calibri"/>
        <family val="2"/>
        <scheme val="minor"/>
      </rPr>
      <t>: c. 63-65 AD during Paul's ministry</t>
    </r>
  </si>
  <si>
    <r>
      <t>Prophetic Promise</t>
    </r>
    <r>
      <rPr>
        <sz val="11"/>
        <color theme="1"/>
        <rFont val="Calibri"/>
        <family val="2"/>
        <scheme val="minor"/>
      </rPr>
      <t>: Future appearing of Christ</t>
    </r>
  </si>
  <si>
    <r>
      <t>Sanctification</t>
    </r>
    <r>
      <rPr>
        <sz val="11"/>
        <color theme="1"/>
        <rFont val="Calibri"/>
        <family val="2"/>
        <scheme val="minor"/>
      </rPr>
      <t>: Ongoing supernatural transformation</t>
    </r>
  </si>
  <si>
    <r>
      <t>Justification</t>
    </r>
    <r>
      <rPr>
        <sz val="11"/>
        <color theme="1"/>
        <rFont val="Calibri"/>
        <family val="2"/>
        <scheme val="minor"/>
      </rPr>
      <t>: God's supernatural declaration of righteousness</t>
    </r>
  </si>
  <si>
    <r>
      <t>Regeneration</t>
    </r>
    <r>
      <rPr>
        <sz val="11"/>
        <color theme="1"/>
        <rFont val="Calibri"/>
        <family val="2"/>
        <scheme val="minor"/>
      </rPr>
      <t>: Spiritual rebirth through the Holy Spirit's work</t>
    </r>
  </si>
  <si>
    <r>
      <t>Divine Grace</t>
    </r>
    <r>
      <rPr>
        <sz val="11"/>
        <color theme="1"/>
        <rFont val="Calibri"/>
        <family val="2"/>
        <scheme val="minor"/>
      </rPr>
      <t>: God's supernatural favor and enabling power</t>
    </r>
  </si>
  <si>
    <r>
      <t>Concise Format</t>
    </r>
    <r>
      <rPr>
        <sz val="11"/>
        <color theme="1"/>
        <rFont val="Calibri"/>
        <family val="2"/>
        <scheme val="minor"/>
      </rPr>
      <t>: Brief but comprehensive coverage of essential topics</t>
    </r>
  </si>
  <si>
    <r>
      <t>Structured Organization</t>
    </r>
    <r>
      <rPr>
        <sz val="11"/>
        <color theme="1"/>
        <rFont val="Calibri"/>
        <family val="2"/>
        <scheme val="minor"/>
      </rPr>
      <t>: Clear divisions between doctrine and practice</t>
    </r>
  </si>
  <si>
    <r>
      <t>Practical Focus</t>
    </r>
    <r>
      <rPr>
        <sz val="11"/>
        <color theme="1"/>
        <rFont val="Calibri"/>
        <family val="2"/>
        <scheme val="minor"/>
      </rPr>
      <t>: Emphasis on applying doctrine to daily life</t>
    </r>
  </si>
  <si>
    <r>
      <t>Pastoral Letter</t>
    </r>
    <r>
      <rPr>
        <sz val="11"/>
        <color theme="1"/>
        <rFont val="Calibri"/>
        <family val="2"/>
        <scheme val="minor"/>
      </rPr>
      <t>: Personal instruction from Paul to his ministry partner Titus</t>
    </r>
  </si>
  <si>
    <r>
      <t>God's Grace and Salvation</t>
    </r>
    <r>
      <rPr>
        <sz val="11"/>
        <color theme="1"/>
        <rFont val="Calibri"/>
        <family val="2"/>
        <scheme val="minor"/>
      </rPr>
      <t>: The theological foundation for Christian conduct</t>
    </r>
  </si>
  <si>
    <r>
      <t>Christian Living</t>
    </r>
    <r>
      <rPr>
        <sz val="11"/>
        <color theme="1"/>
        <rFont val="Calibri"/>
        <family val="2"/>
        <scheme val="minor"/>
      </rPr>
      <t>: Practical guidance for godly behavior in various relationships</t>
    </r>
  </si>
  <si>
    <r>
      <t>Sound Doctrine</t>
    </r>
    <r>
      <rPr>
        <sz val="11"/>
        <color theme="1"/>
        <rFont val="Calibri"/>
        <family val="2"/>
        <scheme val="minor"/>
      </rPr>
      <t>: Emphasis on teaching and maintaining biblical truth</t>
    </r>
  </si>
  <si>
    <r>
      <t>Church Leadership and Order</t>
    </r>
    <r>
      <rPr>
        <sz val="11"/>
        <color theme="1"/>
        <rFont val="Calibri"/>
        <family val="2"/>
        <scheme val="minor"/>
      </rPr>
      <t>: Qualifications for elders and proper church organization</t>
    </r>
  </si>
  <si>
    <t>Key Characteristics of the Book of Titus</t>
  </si>
  <si>
    <t>Romans 3:24; Romans 5:1; Galatians 3:29</t>
  </si>
  <si>
    <t>c. 63-65 AD</t>
  </si>
  <si>
    <t>Crete</t>
  </si>
  <si>
    <t>Titus 3:7</t>
  </si>
  <si>
    <t>Being justified by God's grace to become heirs of eternal life</t>
  </si>
  <si>
    <t>Ephesians 2:8-9; Romans 11:6; 2 Timothy 1:9</t>
  </si>
  <si>
    <t>Titus 3:5</t>
  </si>
  <si>
    <t>God saved us according to His mercy, not our works</t>
  </si>
  <si>
    <t>Galatians 1:4; Ephesians 1:7; 1 Peter 1:18-19</t>
  </si>
  <si>
    <t>Titus 2:14</t>
  </si>
  <si>
    <t>Jesus gave Himself to redeem us from lawlessness</t>
  </si>
  <si>
    <t>1 Thessalonians 4:16-17; 2 Timothy 4:8; Revelation 22:20</t>
  </si>
  <si>
    <t>Titus 2:13</t>
  </si>
  <si>
    <t>The blessed hope and appearing of Jesus Christ</t>
  </si>
  <si>
    <t>1 Corinthians 1:21; Romans 16:25-26; Galatians 4:4</t>
  </si>
  <si>
    <t>Titus 1:3</t>
  </si>
  <si>
    <t>God revealed His word through preaching at the proper time</t>
  </si>
  <si>
    <t>2 Timothy 1:9; Ephesians 1:4; 1 John 2:25</t>
  </si>
  <si>
    <t>Titus 1:2</t>
  </si>
  <si>
    <t>God's promise of eternal life given before time began</t>
  </si>
  <si>
    <t>Acts 2:33; Joel 2:28-29; Acts 10:45</t>
  </si>
  <si>
    <t>Titus 3:6</t>
  </si>
  <si>
    <t>God poured out the Holy Spirit richly through Jesus Christ</t>
  </si>
  <si>
    <t>John 3:3-5; 2 Corinthians 5:17; Ephesians 2:4-5</t>
  </si>
  <si>
    <t>The washing of regeneration and renewal by the Holy Spirit</t>
  </si>
  <si>
    <t>Ephesians 2:8-9; Romans 3:24; 1 Timothy 2:4</t>
  </si>
  <si>
    <t>Titus 2:11</t>
  </si>
  <si>
    <t>God's grace appeared, bringing salvation to all people</t>
  </si>
  <si>
    <t>Philemon:</t>
  </si>
  <si>
    <t>Paul's calling as an apostle of Jesus Christ</t>
  </si>
  <si>
    <t>Philemon 1:1</t>
  </si>
  <si>
    <t>Rome (prison)</t>
  </si>
  <si>
    <t>Acts 9:1-19; Galatians 1:1, 15-16; 1 Timothy 1:12</t>
  </si>
  <si>
    <t>Grace and peace from God the Father and Lord Jesus Christ</t>
  </si>
  <si>
    <t>Philemon 1:3</t>
  </si>
  <si>
    <t>Romans 1:7; 1 Corinthians 1:3; 2 Corinthians 1:2</t>
  </si>
  <si>
    <t>Onesimus' conversion to Christianity</t>
  </si>
  <si>
    <t>Philemon 1:10</t>
  </si>
  <si>
    <t>Paul/Jesus</t>
  </si>
  <si>
    <t>Acts 16:31; Romans 10:9-10; 2 Corinthians 5:17</t>
  </si>
  <si>
    <t>Paul's spiritual parenthood of Onesimus</t>
  </si>
  <si>
    <t>Spiritual Birth</t>
  </si>
  <si>
    <t>1 Corinthians 4:15; Galatians 4:19; 1 Timothy 1:2</t>
  </si>
  <si>
    <t>Divine providence in Onesimus' circumstances</t>
  </si>
  <si>
    <t>Philemon 1:15</t>
  </si>
  <si>
    <t>Genesis 50:20; Romans 8:28; Acts 8:26-40</t>
  </si>
  <si>
    <t>Paul's confidence in Philemon's obedience through Christ</t>
  </si>
  <si>
    <t>Philemon 1:21</t>
  </si>
  <si>
    <t>Philippians 1:6; 2:13; 1 Thessalonians 5:24</t>
  </si>
  <si>
    <t>Grace of Lord Jesus Christ with Philemon's spirit</t>
  </si>
  <si>
    <t>Philemon 1:25</t>
  </si>
  <si>
    <t>2 Corinthians 13:14; Philippians 4:23; 2 Timothy 4:22</t>
  </si>
  <si>
    <t>Key Characteristics of the Book of Philemon</t>
  </si>
  <si>
    <r>
      <t>Christian Forgiveness</t>
    </r>
    <r>
      <rPr>
        <sz val="11"/>
        <color theme="1"/>
        <rFont val="Calibri"/>
        <family val="2"/>
        <scheme val="minor"/>
      </rPr>
      <t>: Central theme of reconciliation between master and slave</t>
    </r>
  </si>
  <si>
    <r>
      <t>Social Transformation</t>
    </r>
    <r>
      <rPr>
        <sz val="11"/>
        <color theme="1"/>
        <rFont val="Calibri"/>
        <family val="2"/>
        <scheme val="minor"/>
      </rPr>
      <t>: Christianity's impact on social relationships</t>
    </r>
  </si>
  <si>
    <r>
      <t>Divine Providence</t>
    </r>
    <r>
      <rPr>
        <sz val="11"/>
        <color theme="1"/>
        <rFont val="Calibri"/>
        <family val="2"/>
        <scheme val="minor"/>
      </rPr>
      <t>: God's sovereignty in seemingly adverse circumstances</t>
    </r>
  </si>
  <si>
    <r>
      <t>Christian Brotherhood</t>
    </r>
    <r>
      <rPr>
        <sz val="11"/>
        <color theme="1"/>
        <rFont val="Calibri"/>
        <family val="2"/>
        <scheme val="minor"/>
      </rPr>
      <t>: Equality in Christ transcending social status</t>
    </r>
  </si>
  <si>
    <r>
      <t>Personal Letter</t>
    </r>
    <r>
      <rPr>
        <sz val="11"/>
        <color theme="1"/>
        <rFont val="Calibri"/>
        <family val="2"/>
        <scheme val="minor"/>
      </rPr>
      <t>: Most intimate and personal of Paul's letters</t>
    </r>
  </si>
  <si>
    <r>
      <t>Diplomatic Appeal</t>
    </r>
    <r>
      <rPr>
        <sz val="11"/>
        <color theme="1"/>
        <rFont val="Calibri"/>
        <family val="2"/>
        <scheme val="minor"/>
      </rPr>
      <t>: Masterful use of persuasion rather than apostolic authority</t>
    </r>
  </si>
  <si>
    <r>
      <t>Chiastic Structure</t>
    </r>
    <r>
      <rPr>
        <sz val="11"/>
        <color theme="1"/>
        <rFont val="Calibri"/>
        <family val="2"/>
        <scheme val="minor"/>
      </rPr>
      <t>: Carefully crafted literary arrangement</t>
    </r>
  </si>
  <si>
    <r>
      <t>Brief but Profound</t>
    </r>
    <r>
      <rPr>
        <sz val="11"/>
        <color theme="1"/>
        <rFont val="Calibri"/>
        <family val="2"/>
        <scheme val="minor"/>
      </rPr>
      <t>: Only 25 verses but rich in theological significance</t>
    </r>
  </si>
  <si>
    <r>
      <t>Apostolic Authority</t>
    </r>
    <r>
      <rPr>
        <sz val="11"/>
        <color theme="1"/>
        <rFont val="Calibri"/>
        <family val="2"/>
        <scheme val="minor"/>
      </rPr>
      <t>: Paul's divine commission as apostle</t>
    </r>
  </si>
  <si>
    <r>
      <t>Spiritual Conversion</t>
    </r>
    <r>
      <rPr>
        <sz val="11"/>
        <color theme="1"/>
        <rFont val="Calibri"/>
        <family val="2"/>
        <scheme val="minor"/>
      </rPr>
      <t>: Onesimus' transformation from slave to brother in Christ</t>
    </r>
  </si>
  <si>
    <r>
      <t>Divine Providence</t>
    </r>
    <r>
      <rPr>
        <sz val="11"/>
        <color theme="1"/>
        <rFont val="Calibri"/>
        <family val="2"/>
        <scheme val="minor"/>
      </rPr>
      <t>: God's orchestration of circumstances for good</t>
    </r>
  </si>
  <si>
    <r>
      <t>Christian Grace</t>
    </r>
    <r>
      <rPr>
        <sz val="11"/>
        <color theme="1"/>
        <rFont val="Calibri"/>
        <family val="2"/>
        <scheme val="minor"/>
      </rPr>
      <t>: Supernatural enabling for forgiveness and reconciliation</t>
    </r>
  </si>
  <si>
    <r>
      <t>Spiritual Transformation</t>
    </r>
    <r>
      <rPr>
        <sz val="11"/>
        <color theme="1"/>
        <rFont val="Calibri"/>
        <family val="2"/>
        <scheme val="minor"/>
      </rPr>
      <t>: Change in relationships through Christ</t>
    </r>
  </si>
  <si>
    <r>
      <t>Social Situation</t>
    </r>
    <r>
      <rPr>
        <sz val="11"/>
        <color theme="1"/>
        <rFont val="Calibri"/>
        <family val="2"/>
        <scheme val="minor"/>
      </rPr>
      <t>: Roman slavery system and early Christian community</t>
    </r>
  </si>
  <si>
    <r>
      <t>Recipients</t>
    </r>
    <r>
      <rPr>
        <sz val="11"/>
        <color theme="1"/>
        <rFont val="Calibri"/>
        <family val="2"/>
        <scheme val="minor"/>
      </rPr>
      <t>: Philemon (Christian slave owner), Onesimus (runaway slave)</t>
    </r>
  </si>
  <si>
    <r>
      <t>Location</t>
    </r>
    <r>
      <rPr>
        <sz val="11"/>
        <color theme="1"/>
        <rFont val="Calibri"/>
        <family val="2"/>
        <scheme val="minor"/>
      </rPr>
      <t>: Letter written from Rome to Colossae</t>
    </r>
  </si>
  <si>
    <r>
      <t>Practical Christianity</t>
    </r>
    <r>
      <rPr>
        <sz val="11"/>
        <color theme="1"/>
        <rFont val="Calibri"/>
        <family val="2"/>
        <scheme val="minor"/>
      </rPr>
      <t>: Shows how the Gospel transforms daily relationships</t>
    </r>
  </si>
  <si>
    <r>
      <t>Social Revolution</t>
    </r>
    <r>
      <rPr>
        <sz val="11"/>
        <color theme="1"/>
        <rFont val="Calibri"/>
        <family val="2"/>
        <scheme val="minor"/>
      </rPr>
      <t>: Demonstrates Christianity's radical impact on social structures</t>
    </r>
  </si>
  <si>
    <r>
      <t>Model of Mediation</t>
    </r>
    <r>
      <rPr>
        <sz val="11"/>
        <color theme="1"/>
        <rFont val="Calibri"/>
        <family val="2"/>
        <scheme val="minor"/>
      </rPr>
      <t>: Paul serves as mediator, prefiguring Christ's mediation</t>
    </r>
  </si>
  <si>
    <r>
      <t>Divine Sovereignty</t>
    </r>
    <r>
      <rPr>
        <sz val="11"/>
        <color theme="1"/>
        <rFont val="Calibri"/>
        <family val="2"/>
        <scheme val="minor"/>
      </rPr>
      <t>: God uses even negative circumstances for His purposes</t>
    </r>
  </si>
  <si>
    <r>
      <t>Note:</t>
    </r>
    <r>
      <rPr>
        <sz val="11"/>
        <color theme="1"/>
        <rFont val="Calibri"/>
        <family val="2"/>
        <scheme val="minor"/>
      </rPr>
      <t xml:space="preserve"> While Philemon contains fewer overt supernatural miracles compared to other New Testament books, it demonstrates profound spiritual miracles: the transformation of hearts, the power of Christian love to overcome social barriers, and God's providential orchestration of circumstances. The book showcases the supernatural work of grace in converting enemies into family members and transforming social relationships through the power of the Gospel. The greatest "miracle" in Philemon is the spiritual transformation that turns a runaway slave into a beloved brother in Christ.</t>
    </r>
  </si>
  <si>
    <t>a table for the Book of Philemon, ordered by scripture reference with cross-references included.</t>
  </si>
  <si>
    <t>Key Observations about Philemon:</t>
  </si>
  <si>
    <t>Unlike Matthew with its dramatic miracles, Philemon demonstrates more subtle but equally profound supernatural works:</t>
  </si>
  <si>
    <r>
      <t>Spiritual Conversion</t>
    </r>
    <r>
      <rPr>
        <sz val="11"/>
        <color theme="1"/>
        <rFont val="Calibri"/>
        <family val="2"/>
        <scheme val="minor"/>
      </rPr>
      <t>: Onesimus' transformation from runaway slave to beloved brother</t>
    </r>
  </si>
  <si>
    <r>
      <t>Divine Providence</t>
    </r>
    <r>
      <rPr>
        <sz val="11"/>
        <color theme="1"/>
        <rFont val="Calibri"/>
        <family val="2"/>
        <scheme val="minor"/>
      </rPr>
      <t>: God's orchestration of circumstances for redemptive purposes</t>
    </r>
  </si>
  <si>
    <r>
      <t>Apostolic Authority</t>
    </r>
    <r>
      <rPr>
        <sz val="11"/>
        <color theme="1"/>
        <rFont val="Calibri"/>
        <family val="2"/>
        <scheme val="minor"/>
      </rPr>
      <t>: Paul's divine calling and commission</t>
    </r>
  </si>
  <si>
    <r>
      <t>Shortest Pauline Letter</t>
    </r>
    <r>
      <rPr>
        <sz val="11"/>
        <color theme="1"/>
        <rFont val="Calibri"/>
        <family val="2"/>
        <scheme val="minor"/>
      </rPr>
      <t>: Only 25 verses but theologically rich</t>
    </r>
  </si>
  <si>
    <r>
      <t>Personal Nature</t>
    </r>
    <r>
      <rPr>
        <sz val="11"/>
        <color theme="1"/>
        <rFont val="Calibri"/>
        <family val="2"/>
        <scheme val="minor"/>
      </rPr>
      <t>: Most intimate of Paul's surviving letters</t>
    </r>
  </si>
  <si>
    <r>
      <t>Social Revolution</t>
    </r>
    <r>
      <rPr>
        <sz val="11"/>
        <color theme="1"/>
        <rFont val="Calibri"/>
        <family val="2"/>
        <scheme val="minor"/>
      </rPr>
      <t>: Shows Christianity's power to transform relationships</t>
    </r>
  </si>
  <si>
    <r>
      <t>Practical Gospel</t>
    </r>
    <r>
      <rPr>
        <sz val="11"/>
        <color theme="1"/>
        <rFont val="Calibri"/>
        <family val="2"/>
        <scheme val="minor"/>
      </rPr>
      <t>: Demonstrates faith working through love in real situations</t>
    </r>
  </si>
  <si>
    <t>The "miracles" in Philemon are primarily spiritual and relational - the transformation of hearts, the power of Christian love to overcome social barriers, and God's ability to work through difficult circumstances for good. While there are no dramatic healings or nature miracles, the book showcases the profound supernatural work of grace in converting a runaway slave into a beloved brother in Christ, which Paul considers equally miraculous.</t>
  </si>
  <si>
    <t>Hebrews:</t>
  </si>
  <si>
    <t>a comprehensive table for the Book of Hebrews, ordered by scripture reference and including cross-references.</t>
  </si>
  <si>
    <t>Key Distinctions of Hebrews:</t>
  </si>
  <si>
    <t>Unlike the Gospels or historical books, Hebrews contains fewer narrative miracles and focuses more on:</t>
  </si>
  <si>
    <t>Theological Miracles:</t>
  </si>
  <si>
    <r>
      <t>Christological Acts</t>
    </r>
    <r>
      <rPr>
        <sz val="11"/>
        <color theme="1"/>
        <rFont val="Calibri"/>
        <family val="2"/>
        <scheme val="minor"/>
      </rPr>
      <t>: Incarnation, atonement, resurrection, ascension, and ongoing intercession</t>
    </r>
  </si>
  <si>
    <r>
      <t>Covenant Establishment</t>
    </r>
    <r>
      <rPr>
        <sz val="11"/>
        <color theme="1"/>
        <rFont val="Calibri"/>
        <family val="2"/>
        <scheme val="minor"/>
      </rPr>
      <t>: The supernatural establishment of the New Covenant</t>
    </r>
  </si>
  <si>
    <r>
      <t>Sanctification Process</t>
    </r>
    <r>
      <rPr>
        <sz val="11"/>
        <color theme="1"/>
        <rFont val="Calibri"/>
        <family val="2"/>
        <scheme val="minor"/>
      </rPr>
      <t>: The ongoing supernatural work of making believers holy</t>
    </r>
  </si>
  <si>
    <t>Historical References:</t>
  </si>
  <si>
    <r>
      <t>Old Testament Miracles</t>
    </r>
    <r>
      <rPr>
        <sz val="11"/>
        <color theme="1"/>
        <rFont val="Calibri"/>
        <family val="2"/>
        <scheme val="minor"/>
      </rPr>
      <t>: References to creation, Red Sea crossing, Jericho's walls, miraculous births</t>
    </r>
  </si>
  <si>
    <r>
      <t>Faith Heroes</t>
    </r>
    <r>
      <rPr>
        <sz val="11"/>
        <color theme="1"/>
        <rFont val="Calibri"/>
        <family val="2"/>
        <scheme val="minor"/>
      </rPr>
      <t>: The supernatural works accomplished through faith by Old Testament saints</t>
    </r>
  </si>
  <si>
    <t>Ongoing Supernatural Realities:</t>
  </si>
  <si>
    <r>
      <t>Jesus' Current Ministry</t>
    </r>
    <r>
      <rPr>
        <sz val="11"/>
        <color theme="1"/>
        <rFont val="Calibri"/>
        <family val="2"/>
        <scheme val="minor"/>
      </rPr>
      <t>: His heavenly intercession and sustaining of creation</t>
    </r>
  </si>
  <si>
    <r>
      <t>Divine Discipline</t>
    </r>
    <r>
      <rPr>
        <sz val="11"/>
        <color theme="1"/>
        <rFont val="Calibri"/>
        <family val="2"/>
        <scheme val="minor"/>
      </rPr>
      <t>: God's ongoing work in believers' lives</t>
    </r>
  </si>
  <si>
    <r>
      <t>Spiritual Cleansing</t>
    </r>
    <r>
      <rPr>
        <sz val="11"/>
        <color theme="1"/>
        <rFont val="Calibri"/>
        <family val="2"/>
        <scheme val="minor"/>
      </rPr>
      <t>: The supernatural cleansing of conscience through Christ's blood</t>
    </r>
  </si>
  <si>
    <t>The book emphasizes that the greatest miracle is Christ Himself - His incarnation, His perfect sacrifice, His resurrection, and His ongoing work as our High Priest. Rather than focusing on individual miraculous events, Hebrews presents the entire Christian faith as built upon supernatural foundations, with Christ as the ultimate revelation of God's power and grace.</t>
  </si>
  <si>
    <t>The extensive cross-references show how Hebrews weaves together the entire biblical narrative, demonstrating that all of Scripture points to Christ and His supernatural work of salvation.</t>
  </si>
  <si>
    <r>
      <t>Note:</t>
    </r>
    <r>
      <rPr>
        <sz val="11"/>
        <color theme="1"/>
        <rFont val="Calibri"/>
        <family val="2"/>
        <scheme val="minor"/>
      </rPr>
      <t xml:space="preserve"> Hebrews is unique in that it contains fewer narrative miracles and more theological exposition of supernatural realities. The book emphasizes the ongoing supernatural work of Christ in heaven and the historical supernatural acts that validate the Christian faith. Much of the "miraculous" content involves Christ's divine nature, His heavenly ministry, and the supernatural transformation He works in believers' lives.</t>
    </r>
  </si>
  <si>
    <r>
      <t>Setting</t>
    </r>
    <r>
      <rPr>
        <sz val="11"/>
        <color theme="1"/>
        <rFont val="Calibri"/>
        <family val="2"/>
        <scheme val="minor"/>
      </rPr>
      <t>: Likely written to a specific community facing doctrinal and practical challenges</t>
    </r>
  </si>
  <si>
    <r>
      <t>Purpose</t>
    </r>
    <r>
      <rPr>
        <sz val="11"/>
        <color theme="1"/>
        <rFont val="Calibri"/>
        <family val="2"/>
        <scheme val="minor"/>
      </rPr>
      <t>: To demonstrate Christ's superiority and encourage perseverance in faith</t>
    </r>
  </si>
  <si>
    <r>
      <t>Audience</t>
    </r>
    <r>
      <rPr>
        <sz val="11"/>
        <color theme="1"/>
        <rFont val="Calibri"/>
        <family val="2"/>
        <scheme val="minor"/>
      </rPr>
      <t>: Hebrew/Jewish Christians facing persecution and temptation to return to Judaism</t>
    </r>
  </si>
  <si>
    <r>
      <t>Date</t>
    </r>
    <r>
      <rPr>
        <sz val="11"/>
        <color theme="1"/>
        <rFont val="Calibri"/>
        <family val="2"/>
        <scheme val="minor"/>
      </rPr>
      <t>: c. 60-70 AD (before destruction of Jerusalem Temple)</t>
    </r>
  </si>
  <si>
    <r>
      <t>Faith-Based Miracles</t>
    </r>
    <r>
      <rPr>
        <sz val="11"/>
        <color theme="1"/>
        <rFont val="Calibri"/>
        <family val="2"/>
        <scheme val="minor"/>
      </rPr>
      <t>: Supernatural works accomplished through faith</t>
    </r>
  </si>
  <si>
    <r>
      <t>Eschatological Promises</t>
    </r>
    <r>
      <rPr>
        <sz val="11"/>
        <color theme="1"/>
        <rFont val="Calibri"/>
        <family val="2"/>
        <scheme val="minor"/>
      </rPr>
      <t>: Future return of Christ and final judgment</t>
    </r>
  </si>
  <si>
    <r>
      <t>Ongoing Supernatural Work</t>
    </r>
    <r>
      <rPr>
        <sz val="11"/>
        <color theme="1"/>
        <rFont val="Calibri"/>
        <family val="2"/>
        <scheme val="minor"/>
      </rPr>
      <t>: Jesus' current intercession and sanctification</t>
    </r>
  </si>
  <si>
    <r>
      <t>Historical Miracles</t>
    </r>
    <r>
      <rPr>
        <sz val="11"/>
        <color theme="1"/>
        <rFont val="Calibri"/>
        <family val="2"/>
        <scheme val="minor"/>
      </rPr>
      <t>: References to Old Testament supernatural acts</t>
    </r>
  </si>
  <si>
    <r>
      <t>Christological Miracles</t>
    </r>
    <r>
      <rPr>
        <sz val="11"/>
        <color theme="1"/>
        <rFont val="Calibri"/>
        <family val="2"/>
        <scheme val="minor"/>
      </rPr>
      <t>: Incarnation, atonement, resurrection, ascension</t>
    </r>
  </si>
  <si>
    <r>
      <t>Comparison and Contrast</t>
    </r>
    <r>
      <rPr>
        <sz val="11"/>
        <color theme="1"/>
        <rFont val="Calibri"/>
        <family val="2"/>
        <scheme val="minor"/>
      </rPr>
      <t>: Systematic comparison between old and new covenants</t>
    </r>
  </si>
  <si>
    <r>
      <t>Warning Passages</t>
    </r>
    <r>
      <rPr>
        <sz val="11"/>
        <color theme="1"/>
        <rFont val="Calibri"/>
        <family val="2"/>
        <scheme val="minor"/>
      </rPr>
      <t>: Five major warning sections throughout the book</t>
    </r>
  </si>
  <si>
    <r>
      <t>Extensive Old Testament Citations</t>
    </r>
    <r>
      <rPr>
        <sz val="11"/>
        <color theme="1"/>
        <rFont val="Calibri"/>
        <family val="2"/>
        <scheme val="minor"/>
      </rPr>
      <t>: Heavy use of Hebrew Scriptures</t>
    </r>
  </si>
  <si>
    <r>
      <t>Sophisticated Greek</t>
    </r>
    <r>
      <rPr>
        <sz val="11"/>
        <color theme="1"/>
        <rFont val="Calibri"/>
        <family val="2"/>
        <scheme val="minor"/>
      </rPr>
      <t>: Highest literary quality in the New Testament</t>
    </r>
  </si>
  <si>
    <r>
      <t>Fulfillment of Old Testament</t>
    </r>
    <r>
      <rPr>
        <sz val="11"/>
        <color theme="1"/>
        <rFont val="Calibri"/>
        <family val="2"/>
        <scheme val="minor"/>
      </rPr>
      <t>: The Old Covenant finds completion in Christ</t>
    </r>
  </si>
  <si>
    <r>
      <t>Faith and Perseverance</t>
    </r>
    <r>
      <rPr>
        <sz val="11"/>
        <color theme="1"/>
        <rFont val="Calibri"/>
        <family val="2"/>
        <scheme val="minor"/>
      </rPr>
      <t>: Encouragement to remain faithful despite persecution</t>
    </r>
  </si>
  <si>
    <r>
      <t>High Priesthood of Christ</t>
    </r>
    <r>
      <rPr>
        <sz val="11"/>
        <color theme="1"/>
        <rFont val="Calibri"/>
        <family val="2"/>
        <scheme val="minor"/>
      </rPr>
      <t>: Jesus as the ultimate High Priest after the order of Melchizedek</t>
    </r>
  </si>
  <si>
    <r>
      <t>Superiority of Christ</t>
    </r>
    <r>
      <rPr>
        <sz val="11"/>
        <color theme="1"/>
        <rFont val="Calibri"/>
        <family val="2"/>
        <scheme val="minor"/>
      </rPr>
      <t>: Jesus is superior to angels, Moses, Aaron, and the Old Covenant</t>
    </r>
  </si>
  <si>
    <t>Key Characteristics of the Book of Hebrews</t>
  </si>
  <si>
    <t>Philippians 2:13; 2 Timothy 3:17; Ephesians 2:10</t>
  </si>
  <si>
    <t>Individual lives</t>
  </si>
  <si>
    <t>Hebrews 13:21</t>
  </si>
  <si>
    <t>God equips believers for good works</t>
  </si>
  <si>
    <t>Acts 2:24; Romans 6:4; 1 Corinthians 15:4</t>
  </si>
  <si>
    <t>Hebrews 13:20</t>
  </si>
  <si>
    <t>God raises Jesus from the dead</t>
  </si>
  <si>
    <t>Malachi 3:6; James 1:17; Psalm 102:27</t>
  </si>
  <si>
    <t>Hebrews 13:8</t>
  </si>
  <si>
    <t>Jesus remains the same yesterday, today, and forever</t>
  </si>
  <si>
    <t>Genesis 4:10; 1 John 1:7; Revelation 12:11</t>
  </si>
  <si>
    <t>Spiritual Communication</t>
  </si>
  <si>
    <t>c. 33 AD / ongoing</t>
  </si>
  <si>
    <t>Hebrews 12:24</t>
  </si>
  <si>
    <t>Jesus' blood speaks better than Abel's blood</t>
  </si>
  <si>
    <t>Exodus 19:18-20; Haggai 2:6; 2 Peter 3:10-12</t>
  </si>
  <si>
    <t>c. 1446 BC/Future</t>
  </si>
  <si>
    <t>Mount Sinai/Future</t>
  </si>
  <si>
    <t>Hebrews 12:25-29</t>
  </si>
  <si>
    <t>Warning of God's voice that shakes earth and heaven</t>
  </si>
  <si>
    <t>Proverbs 3:11-12; Revelation 3:19; 1 Corinthians 11:32</t>
  </si>
  <si>
    <t>Hebrews 12:5-11</t>
  </si>
  <si>
    <t>God disciplines His children as a loving Father</t>
  </si>
  <si>
    <t>2 Maccabees 6-7; Daniel 3:16-28; 6:10-23</t>
  </si>
  <si>
    <t>Faithful Endurance</t>
  </si>
  <si>
    <t>Various saints</t>
  </si>
  <si>
    <t>Various periods</t>
  </si>
  <si>
    <t>Hebrews 11:35b-38</t>
  </si>
  <si>
    <t>Saints endure persecution and martyrdom</t>
  </si>
  <si>
    <t>Judges 6-8; 1 Samuel 17; 1 Kings 17:17-24; 2 Kings 4:18-37</t>
  </si>
  <si>
    <t>Hebrews 11:32-35a</t>
  </si>
  <si>
    <t>Various saints perform mighty works through faith</t>
  </si>
  <si>
    <t>Joshua 2:1-21; 6:22-25; James 2:25</t>
  </si>
  <si>
    <t>God/Rahab</t>
  </si>
  <si>
    <t>Hebrews 11:31</t>
  </si>
  <si>
    <t>Rahab is saved despite being a prostitute</t>
  </si>
  <si>
    <t>Joshua 6:12-21; 1 Corinthians 1:27</t>
  </si>
  <si>
    <t>God/Joshua</t>
  </si>
  <si>
    <t>Hebrews 11:30</t>
  </si>
  <si>
    <t>Walls of Jericho fall by faith</t>
  </si>
  <si>
    <t>Exodus 14:21-31; 1 Corinthians 10:1-2</t>
  </si>
  <si>
    <t>God/Moses</t>
  </si>
  <si>
    <t>Hebrews 11:29</t>
  </si>
  <si>
    <t>Israelites cross the Red Sea on dry ground</t>
  </si>
  <si>
    <t>Exodus 12:21-30; 1 Corinthians 5:7</t>
  </si>
  <si>
    <t>Moses</t>
  </si>
  <si>
    <t>Hebrews 11:28</t>
  </si>
  <si>
    <t>Moses keeps the Passover and sprinkling of blood</t>
  </si>
  <si>
    <t>Exodus 2:11-15; Acts 7:23-29</t>
  </si>
  <si>
    <t>c. 1486 BC</t>
  </si>
  <si>
    <t>Hebrews 11:24-26</t>
  </si>
  <si>
    <t>Moses chooses suffering over treasures of Egypt</t>
  </si>
  <si>
    <t>Exodus 2:2-3; Acts 7:20</t>
  </si>
  <si>
    <t>Moses' parents</t>
  </si>
  <si>
    <t>Hebrews 11:23</t>
  </si>
  <si>
    <t>Moses' parents hide him by faith</t>
  </si>
  <si>
    <t>Genesis 22:1-19; Romans 4:17</t>
  </si>
  <si>
    <t>Resurrection Type</t>
  </si>
  <si>
    <t>God/Abraham</t>
  </si>
  <si>
    <t>Hebrews 11:17-19</t>
  </si>
  <si>
    <t>Isaac is offered and received back as from the dead</t>
  </si>
  <si>
    <t>Genesis 15:5; 22:17; Exodus 1:7</t>
  </si>
  <si>
    <t>c. 2100-1440 BC</t>
  </si>
  <si>
    <t>Canaan/Egypt</t>
  </si>
  <si>
    <t>Hebrews 11:12</t>
  </si>
  <si>
    <t>God multiplies Abraham's descendants like stars</t>
  </si>
  <si>
    <t>Genesis 17:19; 18:10-14; 21:1-2; Romans 4:19-21</t>
  </si>
  <si>
    <t>Miraculous Conception</t>
  </si>
  <si>
    <t>God/Sarah</t>
  </si>
  <si>
    <t>c. 2100 BC</t>
  </si>
  <si>
    <t>Hebrews 11:11</t>
  </si>
  <si>
    <t>Sarah receives power to conceive beyond natural age</t>
  </si>
  <si>
    <t>Psalm 110:1; Mark 16:19; 1 Corinthians 15:25</t>
  </si>
  <si>
    <t>Hebrews 10:12-13</t>
  </si>
  <si>
    <t>Jesus sits at God's right hand until enemies made footstool</t>
  </si>
  <si>
    <t>1 Corinthians 1:30; Ephesians 5:26; 1 Peter 1:2</t>
  </si>
  <si>
    <t>Calvary/Ongoing</t>
  </si>
  <si>
    <t>Hebrews 10:10, 14</t>
  </si>
  <si>
    <t>Jesus sanctifies believers through His blood</t>
  </si>
  <si>
    <t>Psalm 40:6-8; Philippians 2:7; Luke 1:35</t>
  </si>
  <si>
    <t>Hebrews 10:5</t>
  </si>
  <si>
    <t>Jesus' body is prepared by God for sacrifice</t>
  </si>
  <si>
    <t>1 Thessalonians 4:16-17; Revelation 19:11-16; Titus 2:13</t>
  </si>
  <si>
    <t>Second Coming Promise</t>
  </si>
  <si>
    <t>Hebrews 9:28</t>
  </si>
  <si>
    <t>Jesus will appear a second time for salvation</t>
  </si>
  <si>
    <t>John 1:29; 1 Peter 2:24; 2 Corinthians 5:21</t>
  </si>
  <si>
    <t>Atoning Sacrifice</t>
  </si>
  <si>
    <t>Calvary</t>
  </si>
  <si>
    <t>Hebrews 9:26</t>
  </si>
  <si>
    <t>Jesus takes away sin by the sacrifice of Himself</t>
  </si>
  <si>
    <t>1 John 2:1; Romans 8:34; 1 Timothy 2:5</t>
  </si>
  <si>
    <t>Heavenly Representation</t>
  </si>
  <si>
    <t>Hebrews 9:24</t>
  </si>
  <si>
    <t>Jesus appears in God's presence for us</t>
  </si>
  <si>
    <t>1 John 1:7; Titus 2:14; 2 Corinthians 5:17</t>
  </si>
  <si>
    <t>Spiritual Cleansing</t>
  </si>
  <si>
    <t>Individual hearts</t>
  </si>
  <si>
    <t>Hebrews 9:14</t>
  </si>
  <si>
    <t>Jesus cleanses our conscience from dead works</t>
  </si>
  <si>
    <t>Leviticus 16:11-19; Romans 3:25; 1 John 2:2</t>
  </si>
  <si>
    <t>Heavenly Sacrifice</t>
  </si>
  <si>
    <t>Hebrews 9:12</t>
  </si>
  <si>
    <t>Jesus enters the Most Holy Place with His own blood</t>
  </si>
  <si>
    <t>Jeremiah 31:31-34; Luke 22:20; 1 Corinthians 11:25</t>
  </si>
  <si>
    <t>Covenant Establishment</t>
  </si>
  <si>
    <t>Calvary/Heaven</t>
  </si>
  <si>
    <t>Hebrews 8:6-13</t>
  </si>
  <si>
    <t>New covenant established through Jesus' blood</t>
  </si>
  <si>
    <t>Romans 8:34; 1 Timothy 2:5; 1 John 2:1</t>
  </si>
  <si>
    <t>Jesus lives forever to make intercession</t>
  </si>
  <si>
    <t>Romans 8:34; 1 John 2:1; Isaiah 63:1</t>
  </si>
  <si>
    <t>Jesus saves completely those who draw near to God</t>
  </si>
  <si>
    <t>Psalm 110:4; Hebrews 5:6</t>
  </si>
  <si>
    <t>Eternal/Prophetic</t>
  </si>
  <si>
    <t>Eternity/Time</t>
  </si>
  <si>
    <t>Hebrews 7:21</t>
  </si>
  <si>
    <t>God swears an oath concerning Melchizedek priesthood</t>
  </si>
  <si>
    <t>Mark 16:19; Acts 1:9-11; Romans 8:34</t>
  </si>
  <si>
    <t>Heavenly Ministry</t>
  </si>
  <si>
    <t>Hebrews 4:14</t>
  </si>
  <si>
    <t>Jesus passes through the heavens as High Priest</t>
  </si>
  <si>
    <t>Numbers 14:20-23; Psalm 95:7-11</t>
  </si>
  <si>
    <t>Hebrews 4:3</t>
  </si>
  <si>
    <t>God's oath concerning those who would not enter His rest</t>
  </si>
  <si>
    <t>Genesis 2:2-3; Exodus 20:11</t>
  </si>
  <si>
    <t>Hebrews 4:4</t>
  </si>
  <si>
    <t>God's rest on the seventh day of creation</t>
  </si>
  <si>
    <t>Hebrews 4:15-16; 1 John 2:1</t>
  </si>
  <si>
    <t>Hebrews 2:18</t>
  </si>
  <si>
    <t>Jesus is able to help those who are tempted</t>
  </si>
  <si>
    <t>Philippians 2:7-8; Romans 8:3; Galatians 4:4</t>
  </si>
  <si>
    <t>c. 5-33 AD</t>
  </si>
  <si>
    <t>Hebrews 2:17</t>
  </si>
  <si>
    <t>Jesus is made like His brothers in every way</t>
  </si>
  <si>
    <t>1 Corinthians 15:55-57; 1 John 3:8; Colossians 2:15</t>
  </si>
  <si>
    <t>Incarnation/Victory</t>
  </si>
  <si>
    <t>c. 5-4 BC / 33 AD</t>
  </si>
  <si>
    <t>Earth/Cross</t>
  </si>
  <si>
    <t>Hebrews 2:14-15</t>
  </si>
  <si>
    <t>Jesus becomes incarnate to destroy death and devil</t>
  </si>
  <si>
    <t>1 Corinthians 12:4-11; Acts 2:1-4</t>
  </si>
  <si>
    <t>c. 30-70 AD</t>
  </si>
  <si>
    <t>Hebrews 2:4</t>
  </si>
  <si>
    <t>God distributes gifts of the Holy Spirit</t>
  </si>
  <si>
    <t>Mark 16:20; Acts 14:3; 2 Corinthians 12:12</t>
  </si>
  <si>
    <t>God/Apostles</t>
  </si>
  <si>
    <t>God bears witness with signs, wonders, and miracles</t>
  </si>
  <si>
    <t>Luke 2:13-14; Philippians 2:10-11; Revelation 5:11-14</t>
  </si>
  <si>
    <t>Bethlehem/Heaven</t>
  </si>
  <si>
    <t>Hebrews 1:6</t>
  </si>
  <si>
    <t>Angels worship the Son at His incarnation</t>
  </si>
  <si>
    <t>1 John 1:7; Romans 3:25; Ephesians 1:7</t>
  </si>
  <si>
    <t>Hebrews 1:3</t>
  </si>
  <si>
    <t>Jesus provides purification for sins</t>
  </si>
  <si>
    <t>Colossians 1:17; Nehemiah 9:6</t>
  </si>
  <si>
    <t>Jesus sustains all things by His powerful word</t>
  </si>
  <si>
    <t>Genesis 1:1; John 1:3; Colossians 1:16</t>
  </si>
  <si>
    <t>Hebrews 1:2-3</t>
  </si>
  <si>
    <t>God's creation of the universe through His Son</t>
  </si>
  <si>
    <t>John 1:1-14; Colossians 1:15-20</t>
  </si>
  <si>
    <t>c. 30-33 AD / ongoing</t>
  </si>
  <si>
    <t>Hebrews 1:1-2</t>
  </si>
  <si>
    <t>God speaks through His Son in these last days</t>
  </si>
  <si>
    <t>James:</t>
  </si>
  <si>
    <t>a comprehensive table for the Book of James, ordered by scripture reference and including cross-references.</t>
  </si>
  <si>
    <t>Key Observations about James:</t>
  </si>
  <si>
    <r>
      <t>Divine Wisdom</t>
    </r>
    <r>
      <rPr>
        <sz val="11"/>
        <color theme="1"/>
        <rFont val="Calibri"/>
        <family val="2"/>
        <scheme val="minor"/>
      </rPr>
      <t>: God's supernatural provision of wisdom to those who ask</t>
    </r>
  </si>
  <si>
    <r>
      <t>Prayer Power</t>
    </r>
    <r>
      <rPr>
        <sz val="11"/>
        <color theme="1"/>
        <rFont val="Calibri"/>
        <family val="2"/>
        <scheme val="minor"/>
      </rPr>
      <t>: Emphasis on the supernatural effectiveness of faithful prayer</t>
    </r>
  </si>
  <si>
    <r>
      <t>Divine Healing</t>
    </r>
    <r>
      <rPr>
        <sz val="11"/>
        <color theme="1"/>
        <rFont val="Calibri"/>
        <family val="2"/>
        <scheme val="minor"/>
      </rPr>
      <t>: God's miraculous healing through prayer and anointing</t>
    </r>
  </si>
  <si>
    <r>
      <t>Historical Miracle References</t>
    </r>
    <r>
      <rPr>
        <sz val="11"/>
        <color theme="1"/>
        <rFont val="Calibri"/>
        <family val="2"/>
        <scheme val="minor"/>
      </rPr>
      <t>: Uses Elijah's rain miracles as examples of prayer power</t>
    </r>
  </si>
  <si>
    <r>
      <t xml:space="preserve">James is more focused on </t>
    </r>
    <r>
      <rPr>
        <b/>
        <sz val="11"/>
        <color theme="1"/>
        <rFont val="Calibri"/>
        <family val="2"/>
        <scheme val="minor"/>
      </rPr>
      <t>practical Christian living</t>
    </r>
    <r>
      <rPr>
        <sz val="11"/>
        <color theme="1"/>
        <rFont val="Calibri"/>
        <family val="2"/>
        <scheme val="minor"/>
      </rPr>
      <t xml:space="preserve"> than dramatic miracles</t>
    </r>
  </si>
  <si>
    <r>
      <t xml:space="preserve">The supernatural elements emphasize </t>
    </r>
    <r>
      <rPr>
        <b/>
        <sz val="11"/>
        <color theme="1"/>
        <rFont val="Calibri"/>
        <family val="2"/>
        <scheme val="minor"/>
      </rPr>
      <t>ongoing divine interaction</t>
    </r>
    <r>
      <rPr>
        <sz val="11"/>
        <color theme="1"/>
        <rFont val="Calibri"/>
        <family val="2"/>
        <scheme val="minor"/>
      </rPr>
      <t xml:space="preserve"> through prayer and faith</t>
    </r>
  </si>
  <si>
    <r>
      <t>Historical examples</t>
    </r>
    <r>
      <rPr>
        <sz val="11"/>
        <color theme="1"/>
        <rFont val="Calibri"/>
        <family val="2"/>
        <scheme val="minor"/>
      </rPr>
      <t xml:space="preserve"> (Abraham, Rahab, Elijah) demonstrate God's supernatural work</t>
    </r>
  </si>
  <si>
    <r>
      <t xml:space="preserve">Emphasis on </t>
    </r>
    <r>
      <rPr>
        <b/>
        <sz val="11"/>
        <color theme="1"/>
        <rFont val="Calibri"/>
        <family val="2"/>
        <scheme val="minor"/>
      </rPr>
      <t>divine principles</t>
    </r>
    <r>
      <rPr>
        <sz val="11"/>
        <color theme="1"/>
        <rFont val="Calibri"/>
        <family val="2"/>
        <scheme val="minor"/>
      </rPr>
      <t xml:space="preserve"> rather than specific miraculous events</t>
    </r>
  </si>
  <si>
    <t>Cross-Reference Patterns:</t>
  </si>
  <si>
    <r>
      <t xml:space="preserve">Strong connections to </t>
    </r>
    <r>
      <rPr>
        <b/>
        <sz val="11"/>
        <color theme="1"/>
        <rFont val="Calibri"/>
        <family val="2"/>
        <scheme val="minor"/>
      </rPr>
      <t>Old Testament wisdom literature</t>
    </r>
    <r>
      <rPr>
        <sz val="11"/>
        <color theme="1"/>
        <rFont val="Calibri"/>
        <family val="2"/>
        <scheme val="minor"/>
      </rPr>
      <t xml:space="preserve"> (Proverbs)</t>
    </r>
  </si>
  <si>
    <r>
      <t xml:space="preserve">References to </t>
    </r>
    <r>
      <rPr>
        <b/>
        <sz val="11"/>
        <color theme="1"/>
        <rFont val="Calibri"/>
        <family val="2"/>
        <scheme val="minor"/>
      </rPr>
      <t>historical biblical figures</t>
    </r>
    <r>
      <rPr>
        <sz val="11"/>
        <color theme="1"/>
        <rFont val="Calibri"/>
        <family val="2"/>
        <scheme val="minor"/>
      </rPr>
      <t xml:space="preserve"> and their miraculous experiences</t>
    </r>
  </si>
  <si>
    <r>
      <t xml:space="preserve">Parallels with </t>
    </r>
    <r>
      <rPr>
        <b/>
        <sz val="11"/>
        <color theme="1"/>
        <rFont val="Calibri"/>
        <family val="2"/>
        <scheme val="minor"/>
      </rPr>
      <t>Jesus' teachings</t>
    </r>
    <r>
      <rPr>
        <sz val="11"/>
        <color theme="1"/>
        <rFont val="Calibri"/>
        <family val="2"/>
        <scheme val="minor"/>
      </rPr>
      <t xml:space="preserve"> on prayer, humility, and social justice</t>
    </r>
  </si>
  <si>
    <r>
      <t xml:space="preserve">Connections to </t>
    </r>
    <r>
      <rPr>
        <b/>
        <sz val="11"/>
        <color theme="1"/>
        <rFont val="Calibri"/>
        <family val="2"/>
        <scheme val="minor"/>
      </rPr>
      <t>other New Testament teachings</t>
    </r>
    <r>
      <rPr>
        <sz val="11"/>
        <color theme="1"/>
        <rFont val="Calibri"/>
        <family val="2"/>
        <scheme val="minor"/>
      </rPr>
      <t xml:space="preserve"> on faith and works</t>
    </r>
  </si>
  <si>
    <r>
      <t xml:space="preserve">The Book of James shows that while it may not contain many direct miraculous narratives, it demonstrates God's supernatural work through the </t>
    </r>
    <r>
      <rPr>
        <b/>
        <sz val="11"/>
        <color theme="1"/>
        <rFont val="Calibri"/>
        <family val="2"/>
        <scheme val="minor"/>
      </rPr>
      <t>power of prayer</t>
    </r>
    <r>
      <rPr>
        <sz val="11"/>
        <color theme="1"/>
        <rFont val="Calibri"/>
        <family val="2"/>
        <scheme val="minor"/>
      </rPr>
      <t xml:space="preserve">, </t>
    </r>
    <r>
      <rPr>
        <b/>
        <sz val="11"/>
        <color theme="1"/>
        <rFont val="Calibri"/>
        <family val="2"/>
        <scheme val="minor"/>
      </rPr>
      <t>divine wisdom</t>
    </r>
    <r>
      <rPr>
        <sz val="11"/>
        <color theme="1"/>
        <rFont val="Calibri"/>
        <family val="2"/>
        <scheme val="minor"/>
      </rPr>
      <t xml:space="preserve">, </t>
    </r>
    <r>
      <rPr>
        <b/>
        <sz val="11"/>
        <color theme="1"/>
        <rFont val="Calibri"/>
        <family val="2"/>
        <scheme val="minor"/>
      </rPr>
      <t>healing</t>
    </r>
    <r>
      <rPr>
        <sz val="11"/>
        <color theme="1"/>
        <rFont val="Calibri"/>
        <family val="2"/>
        <scheme val="minor"/>
      </rPr>
      <t xml:space="preserve">, and </t>
    </r>
    <r>
      <rPr>
        <b/>
        <sz val="11"/>
        <color theme="1"/>
        <rFont val="Calibri"/>
        <family val="2"/>
        <scheme val="minor"/>
      </rPr>
      <t>ongoing divine intervention</t>
    </r>
    <r>
      <rPr>
        <sz val="11"/>
        <color theme="1"/>
        <rFont val="Calibri"/>
        <family val="2"/>
        <scheme val="minor"/>
      </rPr>
      <t xml:space="preserve"> in believers' lives. It serves as a practical guide for experiencing God's supernatural power through faithful living and persistent prayer.</t>
    </r>
  </si>
  <si>
    <r>
      <t>Note:</t>
    </r>
    <r>
      <rPr>
        <sz val="11"/>
        <color theme="1"/>
        <rFont val="Calibri"/>
        <family val="2"/>
        <scheme val="minor"/>
      </rPr>
      <t xml:space="preserve"> While James contains fewer dramatic supernatural events compared to the Gospels or Acts, it emphasizes God's ongoing supernatural work through prayer, wisdom, healing, and divine intervention in believers' lives. The book demonstrates that God's miraculous power continues to operate through faithful prayer and righteous living, referencing historical miracles (like Elijah's) to encourage contemporary faith in God's supernatural responsiveness.</t>
    </r>
  </si>
  <si>
    <r>
      <t>Prayer Focus</t>
    </r>
    <r>
      <rPr>
        <sz val="11"/>
        <color theme="1"/>
        <rFont val="Calibri"/>
        <family val="2"/>
        <scheme val="minor"/>
      </rPr>
      <t>: Significant attention to prayer as means of divine intervention</t>
    </r>
  </si>
  <si>
    <r>
      <t>Social Concerns</t>
    </r>
    <r>
      <rPr>
        <sz val="11"/>
        <color theme="1"/>
        <rFont val="Calibri"/>
        <family val="2"/>
        <scheme val="minor"/>
      </rPr>
      <t>: Strong emphasis on care for poor and social justice</t>
    </r>
  </si>
  <si>
    <r>
      <t>Practical Christianity</t>
    </r>
    <r>
      <rPr>
        <sz val="11"/>
        <color theme="1"/>
        <rFont val="Calibri"/>
        <family val="2"/>
        <scheme val="minor"/>
      </rPr>
      <t>: Most practical book in the New Testament</t>
    </r>
  </si>
  <si>
    <r>
      <t>Emphasis on Works</t>
    </r>
    <r>
      <rPr>
        <sz val="11"/>
        <color theme="1"/>
        <rFont val="Calibri"/>
        <family val="2"/>
        <scheme val="minor"/>
      </rPr>
      <t>: Balances Paul's teaching on faith with necessity of good works</t>
    </r>
  </si>
  <si>
    <t>Unique Aspects:</t>
  </si>
  <si>
    <r>
      <t>Purpose</t>
    </r>
    <r>
      <rPr>
        <sz val="11"/>
        <color theme="1"/>
        <rFont val="Calibri"/>
        <family val="2"/>
        <scheme val="minor"/>
      </rPr>
      <t>: Practical instruction for Christian living and faith in action</t>
    </r>
  </si>
  <si>
    <r>
      <t>Author</t>
    </r>
    <r>
      <rPr>
        <sz val="11"/>
        <color theme="1"/>
        <rFont val="Calibri"/>
        <family val="2"/>
        <scheme val="minor"/>
      </rPr>
      <t>: James, likely the half-brother of Jesus and leader of Jerusalem church</t>
    </r>
  </si>
  <si>
    <r>
      <t>Audience</t>
    </r>
    <r>
      <rPr>
        <sz val="11"/>
        <color theme="1"/>
        <rFont val="Calibri"/>
        <family val="2"/>
        <scheme val="minor"/>
      </rPr>
      <t>: Jewish Christians scattered throughout the Roman Empire</t>
    </r>
  </si>
  <si>
    <r>
      <t>Time Period</t>
    </r>
    <r>
      <rPr>
        <sz val="11"/>
        <color theme="1"/>
        <rFont val="Calibri"/>
        <family val="2"/>
        <scheme val="minor"/>
      </rPr>
      <t>: c. 45-62 AD (early church period)</t>
    </r>
  </si>
  <si>
    <r>
      <t>Divine Promises</t>
    </r>
    <r>
      <rPr>
        <sz val="11"/>
        <color theme="1"/>
        <rFont val="Calibri"/>
        <family val="2"/>
        <scheme val="minor"/>
      </rPr>
      <t>: God's supernatural responses to faith and humility</t>
    </r>
  </si>
  <si>
    <r>
      <t>Historical Miracle References</t>
    </r>
    <r>
      <rPr>
        <sz val="11"/>
        <color theme="1"/>
        <rFont val="Calibri"/>
        <family val="2"/>
        <scheme val="minor"/>
      </rPr>
      <t>: Elijah's control over weather through prayer</t>
    </r>
  </si>
  <si>
    <r>
      <t>Divine Healing</t>
    </r>
    <r>
      <rPr>
        <sz val="11"/>
        <color theme="1"/>
        <rFont val="Calibri"/>
        <family val="2"/>
        <scheme val="minor"/>
      </rPr>
      <t>: God's miraculous healing through prayer and faith</t>
    </r>
  </si>
  <si>
    <r>
      <t>Prayer Power</t>
    </r>
    <r>
      <rPr>
        <sz val="11"/>
        <color theme="1"/>
        <rFont val="Calibri"/>
        <family val="2"/>
        <scheme val="minor"/>
      </rPr>
      <t>: Supernatural effectiveness of righteous prayer</t>
    </r>
  </si>
  <si>
    <r>
      <t>Divine Wisdom</t>
    </r>
    <r>
      <rPr>
        <sz val="11"/>
        <color theme="1"/>
        <rFont val="Calibri"/>
        <family val="2"/>
        <scheme val="minor"/>
      </rPr>
      <t>: God's supernatural provision of wisdom to believers</t>
    </r>
  </si>
  <si>
    <r>
      <t>Prophetic Tone</t>
    </r>
    <r>
      <rPr>
        <sz val="11"/>
        <color theme="1"/>
        <rFont val="Calibri"/>
        <family val="2"/>
        <scheme val="minor"/>
      </rPr>
      <t>: Strong warnings against sin and hypocrisy</t>
    </r>
  </si>
  <si>
    <r>
      <t>Concrete Examples</t>
    </r>
    <r>
      <rPr>
        <sz val="11"/>
        <color theme="1"/>
        <rFont val="Calibri"/>
        <family val="2"/>
        <scheme val="minor"/>
      </rPr>
      <t>: Uses specific illustrations (Abraham, Rahab, Elijah)</t>
    </r>
  </si>
  <si>
    <r>
      <t>Wisdom Literature Style</t>
    </r>
    <r>
      <rPr>
        <sz val="11"/>
        <color theme="1"/>
        <rFont val="Calibri"/>
        <family val="2"/>
        <scheme val="minor"/>
      </rPr>
      <t>: Similar to Old Testament wisdom books</t>
    </r>
  </si>
  <si>
    <r>
      <t>Practical Exhortations</t>
    </r>
    <r>
      <rPr>
        <sz val="11"/>
        <color theme="1"/>
        <rFont val="Calibri"/>
        <family val="2"/>
        <scheme val="minor"/>
      </rPr>
      <t>: Direct, imperative commands for Christian living</t>
    </r>
  </si>
  <si>
    <r>
      <t>Prayer and Healing</t>
    </r>
    <r>
      <rPr>
        <sz val="11"/>
        <color theme="1"/>
        <rFont val="Calibri"/>
        <family val="2"/>
        <scheme val="minor"/>
      </rPr>
      <t>: The effectiveness of faithful prayer</t>
    </r>
  </si>
  <si>
    <r>
      <t>Taming the Tongue</t>
    </r>
    <r>
      <rPr>
        <sz val="11"/>
        <color theme="1"/>
        <rFont val="Calibri"/>
        <family val="2"/>
        <scheme val="minor"/>
      </rPr>
      <t>: The power and danger of speech</t>
    </r>
  </si>
  <si>
    <r>
      <t>Social Justice</t>
    </r>
    <r>
      <rPr>
        <sz val="11"/>
        <color theme="1"/>
        <rFont val="Calibri"/>
        <family val="2"/>
        <scheme val="minor"/>
      </rPr>
      <t>: Care for the poor and warnings against favoritism</t>
    </r>
  </si>
  <si>
    <r>
      <t>Wisdom from Above</t>
    </r>
    <r>
      <rPr>
        <sz val="11"/>
        <color theme="1"/>
        <rFont val="Calibri"/>
        <family val="2"/>
        <scheme val="minor"/>
      </rPr>
      <t>: Divine wisdom versus worldly wisdom</t>
    </r>
  </si>
  <si>
    <r>
      <t>Practical Faith</t>
    </r>
    <r>
      <rPr>
        <sz val="11"/>
        <color theme="1"/>
        <rFont val="Calibri"/>
        <family val="2"/>
        <scheme val="minor"/>
      </rPr>
      <t>: Faith demonstrated through works and righteous living</t>
    </r>
  </si>
  <si>
    <t>Key Characteristics of the Book of James</t>
  </si>
  <si>
    <t>Proverbs 15:29; John 9:31; 1 John 3:22</t>
  </si>
  <si>
    <t>James</t>
  </si>
  <si>
    <t>c. 45-62 AD</t>
  </si>
  <si>
    <t>Churches in Diaspora</t>
  </si>
  <si>
    <t>James 5:16</t>
  </si>
  <si>
    <t>Prayer of a righteous person has great power and effectiveness</t>
  </si>
  <si>
    <t>1 John 1:9; Matthew 6:14-15; Mark 11:25</t>
  </si>
  <si>
    <t>James 5:15</t>
  </si>
  <si>
    <t>God forgives sins when confessed in prayer</t>
  </si>
  <si>
    <t>Acts 3:6-8; 9:34; 14:8-10</t>
  </si>
  <si>
    <t>God will raise up the one who is sick through prayer</t>
  </si>
  <si>
    <t>Mark 6:13; Acts 28:8; 1 Corinthians 12:9</t>
  </si>
  <si>
    <t>James 5:14-15</t>
  </si>
  <si>
    <t>Prayer of faith will heal the sick person</t>
  </si>
  <si>
    <t>1 Kings 18:41-45</t>
  </si>
  <si>
    <t>James 5:18</t>
  </si>
  <si>
    <t>Elijah's prayer brought rain back to the earth</t>
  </si>
  <si>
    <t>1 Kings 17:1; 18:1; Luke 4:25; Revelation 11:6</t>
  </si>
  <si>
    <t>James 5:17</t>
  </si>
  <si>
    <t>Elijah's prayer stopped rain for three and a half years</t>
  </si>
  <si>
    <t>1 Peter 5:6; Matthew 23:12; Luke 14:11</t>
  </si>
  <si>
    <t>James 4:10</t>
  </si>
  <si>
    <t>God will lift up those who humble themselves</t>
  </si>
  <si>
    <t>Zechariah 1:3; Malachi 3:7; Psalm 145:18</t>
  </si>
  <si>
    <t>James 4:8</t>
  </si>
  <si>
    <t>God draws near to those who draw near to Him</t>
  </si>
  <si>
    <t>Proverbs 3:34; 1 Peter 5:5; Luke 14:11</t>
  </si>
  <si>
    <t>James 4:6</t>
  </si>
  <si>
    <t>God resists the proud but gives grace to the humble</t>
  </si>
  <si>
    <t>Joshua 2:1-21; 6:17, 23; Hebrews 11:31</t>
  </si>
  <si>
    <t>James 2:25</t>
  </si>
  <si>
    <t>Rahab was justified by works through divine judgment</t>
  </si>
  <si>
    <t>Genesis 15:6; Romans 4:3; Galatians 3:6</t>
  </si>
  <si>
    <t>James 2:23</t>
  </si>
  <si>
    <t>Abraham's faith was credited as righteousness through divine reckoning</t>
  </si>
  <si>
    <t>1 Corinthians 1:26-29; Luke 6:20; Matthew 5:3</t>
  </si>
  <si>
    <t>James 2:5</t>
  </si>
  <si>
    <t>God chose the poor to be rich in faith and inherit the kingdom</t>
  </si>
  <si>
    <t>1 Corinthians 4:7; Numbers 23:19</t>
  </si>
  <si>
    <t>James 1:17</t>
  </si>
  <si>
    <t>Every good and perfect gift comes from God</t>
  </si>
  <si>
    <t>1 Corinthians 10:13; Habakkuk 1:13</t>
  </si>
  <si>
    <t>James 1:13</t>
  </si>
  <si>
    <t>God cannot be tempted by evil and tempts no one</t>
  </si>
  <si>
    <t>Proverbs 2:3-6; 1 Kings 3:9-12; Matthew 7:7-8</t>
  </si>
  <si>
    <t>James 1:5-6</t>
  </si>
  <si>
    <t>God gives wisdom to those who ask in faith</t>
  </si>
  <si>
    <t>1 Peter</t>
  </si>
  <si>
    <t>a comprehensive table for the First Epistle of Peter, ordered by scripture reference and including cross-references.</t>
  </si>
  <si>
    <t>Key Observations about 1 Peter:</t>
  </si>
  <si>
    <r>
      <t>Nature of Supernatural Events:</t>
    </r>
    <r>
      <rPr>
        <sz val="11"/>
        <color theme="1"/>
        <rFont val="Calibri"/>
        <family val="2"/>
        <scheme val="minor"/>
      </rPr>
      <t xml:space="preserve"> Unlike the Gospels or Acts, 1 Peter contains fewer direct miraculous events and more references to:</t>
    </r>
  </si>
  <si>
    <r>
      <t>Ongoing spiritual miracles</t>
    </r>
    <r>
      <rPr>
        <sz val="11"/>
        <color theme="1"/>
        <rFont val="Calibri"/>
        <family val="2"/>
        <scheme val="minor"/>
      </rPr>
      <t xml:space="preserve"> (regeneration, divine protection, sanctification)</t>
    </r>
  </si>
  <si>
    <r>
      <t>Historical miraculous events</t>
    </r>
    <r>
      <rPr>
        <sz val="11"/>
        <color theme="1"/>
        <rFont val="Calibri"/>
        <family val="2"/>
        <scheme val="minor"/>
      </rPr>
      <t xml:space="preserve"> (Christ's death, resurrection, ascension)</t>
    </r>
  </si>
  <si>
    <r>
      <t>Future supernatural events</t>
    </r>
    <r>
      <rPr>
        <sz val="11"/>
        <color theme="1"/>
        <rFont val="Calibri"/>
        <family val="2"/>
        <scheme val="minor"/>
      </rPr>
      <t xml:space="preserve"> (divine judgment, glorification)</t>
    </r>
  </si>
  <si>
    <r>
      <t>Theological Emphasis:</t>
    </r>
    <r>
      <rPr>
        <sz val="11"/>
        <color theme="1"/>
        <rFont val="Calibri"/>
        <family val="2"/>
        <scheme val="minor"/>
      </rPr>
      <t xml:space="preserve"> The letter emphasizes the </t>
    </r>
    <r>
      <rPr>
        <b/>
        <sz val="11"/>
        <color theme="1"/>
        <rFont val="Calibri"/>
        <family val="2"/>
        <scheme val="minor"/>
      </rPr>
      <t>continuing supernatural work of God</t>
    </r>
    <r>
      <rPr>
        <sz val="11"/>
        <color theme="1"/>
        <rFont val="Calibri"/>
        <family val="2"/>
        <scheme val="minor"/>
      </rPr>
      <t xml:space="preserve"> in believers' lives rather than dramatic miraculous signs. Peter focuses on:</t>
    </r>
  </si>
  <si>
    <t>God's electing grace and calling</t>
  </si>
  <si>
    <t>The miracle of spiritual new birth</t>
  </si>
  <si>
    <t>Divine preservation through trials</t>
  </si>
  <si>
    <t>The supernatural nature of Christ's atoning work</t>
  </si>
  <si>
    <t>Unique Elements:</t>
  </si>
  <si>
    <t>References to Christ's ministry to "spirits in prison" (mysterious supernatural event)</t>
  </si>
  <si>
    <t>Emphasis on the Spirit's role in revealing Christ to Old Testament prophets</t>
  </si>
  <si>
    <t>Focus on God's supernatural care and restoration of suffering believers</t>
  </si>
  <si>
    <r>
      <t>Pastoral Purpose:</t>
    </r>
    <r>
      <rPr>
        <sz val="11"/>
        <color theme="1"/>
        <rFont val="Calibri"/>
        <family val="2"/>
        <scheme val="minor"/>
      </rPr>
      <t xml:space="preserve"> Rather than recording miracles to prove divine power, Peter uses references to God's supernatural work to </t>
    </r>
    <r>
      <rPr>
        <b/>
        <sz val="11"/>
        <color theme="1"/>
        <rFont val="Calibri"/>
        <family val="2"/>
        <scheme val="minor"/>
      </rPr>
      <t>encourage persecuted believers</t>
    </r>
    <r>
      <rPr>
        <sz val="11"/>
        <color theme="1"/>
        <rFont val="Calibri"/>
        <family val="2"/>
        <scheme val="minor"/>
      </rPr>
      <t xml:space="preserve"> and remind them of their secure position in Christ's finished work.</t>
    </r>
  </si>
  <si>
    <t>The epistle demonstrates how apostolic letters often referenced miraculous events as theological foundations rather than recording new miraculous occurrences.</t>
  </si>
  <si>
    <r>
      <t>Note:</t>
    </r>
    <r>
      <rPr>
        <sz val="11"/>
        <color theme="1"/>
        <rFont val="Calibri"/>
        <family val="2"/>
        <scheme val="minor"/>
      </rPr>
      <t xml:space="preserve"> While 1 Peter contains fewer miraculous events compared to the Gospels or Acts, it emphasizes the ongoing supernatural work of God in the lives of believers. The letter focuses on the spiritual miracles of regeneration, divine protection, and the sustaining grace of God during trials. Peter references the foundational miracles of Christ's ministry (especially His death and resurrection) as the basis for believers' hope and endurance in suffering.</t>
    </r>
  </si>
  <si>
    <r>
      <t>Eschatology</t>
    </r>
    <r>
      <rPr>
        <sz val="11"/>
        <color theme="1"/>
        <rFont val="Calibri"/>
        <family val="2"/>
        <scheme val="minor"/>
      </rPr>
      <t>: Future hope and coming judgment</t>
    </r>
  </si>
  <si>
    <r>
      <t>Ecclesiology</t>
    </r>
    <r>
      <rPr>
        <sz val="11"/>
        <color theme="1"/>
        <rFont val="Calibri"/>
        <family val="2"/>
        <scheme val="minor"/>
      </rPr>
      <t>: Nature and calling of the church as God's people</t>
    </r>
  </si>
  <si>
    <r>
      <t>Soteriology</t>
    </r>
    <r>
      <rPr>
        <sz val="11"/>
        <color theme="1"/>
        <rFont val="Calibri"/>
        <family val="2"/>
        <scheme val="minor"/>
      </rPr>
      <t>: Salvation by grace through faith in Christ's work</t>
    </r>
  </si>
  <si>
    <r>
      <t>Christology</t>
    </r>
    <r>
      <rPr>
        <sz val="11"/>
        <color theme="1"/>
        <rFont val="Calibri"/>
        <family val="2"/>
        <scheme val="minor"/>
      </rPr>
      <t>: Christ's sufferings, death, resurrection, and exaltation</t>
    </r>
  </si>
  <si>
    <t>Theological Focus:</t>
  </si>
  <si>
    <r>
      <t>Purpose</t>
    </r>
    <r>
      <rPr>
        <sz val="11"/>
        <color theme="1"/>
        <rFont val="Calibri"/>
        <family val="2"/>
        <scheme val="minor"/>
      </rPr>
      <t>: Encouragement during persecution and instruction in Christian living</t>
    </r>
  </si>
  <si>
    <r>
      <t>Recipients</t>
    </r>
    <r>
      <rPr>
        <sz val="11"/>
        <color theme="1"/>
        <rFont val="Calibri"/>
        <family val="2"/>
        <scheme val="minor"/>
      </rPr>
      <t>: Scattered Jewish and Gentile Christians in Asia Minor</t>
    </r>
  </si>
  <si>
    <r>
      <t>Author</t>
    </r>
    <r>
      <rPr>
        <sz val="11"/>
        <color theme="1"/>
        <rFont val="Calibri"/>
        <family val="2"/>
        <scheme val="minor"/>
      </rPr>
      <t>: Apostle Peter writing from "Babylon" (likely Rome)</t>
    </r>
  </si>
  <si>
    <r>
      <t>Time Period</t>
    </r>
    <r>
      <rPr>
        <sz val="11"/>
        <color theme="1"/>
        <rFont val="Calibri"/>
        <family val="2"/>
        <scheme val="minor"/>
      </rPr>
      <t>: c. 62-64 AD during Nero's persecution</t>
    </r>
  </si>
  <si>
    <r>
      <t>Future Divine Judgment</t>
    </r>
    <r>
      <rPr>
        <sz val="11"/>
        <color theme="1"/>
        <rFont val="Calibri"/>
        <family val="2"/>
        <scheme val="minor"/>
      </rPr>
      <t>: Coming judgment of all humanity</t>
    </r>
  </si>
  <si>
    <r>
      <t>Divine Protection and Care</t>
    </r>
    <r>
      <rPr>
        <sz val="11"/>
        <color theme="1"/>
        <rFont val="Calibri"/>
        <family val="2"/>
        <scheme val="minor"/>
      </rPr>
      <t>: God's ongoing supernatural preservation of believers</t>
    </r>
  </si>
  <si>
    <r>
      <t>Christ's Supernatural Ministry</t>
    </r>
    <r>
      <rPr>
        <sz val="11"/>
        <color theme="1"/>
        <rFont val="Calibri"/>
        <family val="2"/>
        <scheme val="minor"/>
      </rPr>
      <t>: Descent to spirits, resurrection, ascension</t>
    </r>
  </si>
  <si>
    <r>
      <t>Prophetic Revelation</t>
    </r>
    <r>
      <rPr>
        <sz val="11"/>
        <color theme="1"/>
        <rFont val="Calibri"/>
        <family val="2"/>
        <scheme val="minor"/>
      </rPr>
      <t>: References to Old Testament prophecies about Christ</t>
    </r>
  </si>
  <si>
    <r>
      <t>Spiritual Regeneration</t>
    </r>
    <r>
      <rPr>
        <sz val="11"/>
        <color theme="1"/>
        <rFont val="Calibri"/>
        <family val="2"/>
        <scheme val="minor"/>
      </rPr>
      <t>: New birth through God's power</t>
    </r>
  </si>
  <si>
    <r>
      <t>Divine Election and Calling</t>
    </r>
    <r>
      <rPr>
        <sz val="11"/>
        <color theme="1"/>
        <rFont val="Calibri"/>
        <family val="2"/>
        <scheme val="minor"/>
      </rPr>
      <t>: God's sovereign choice and calling of believers</t>
    </r>
  </si>
  <si>
    <r>
      <t>Theological Depth</t>
    </r>
    <r>
      <rPr>
        <sz val="11"/>
        <color theme="1"/>
        <rFont val="Calibri"/>
        <family val="2"/>
        <scheme val="minor"/>
      </rPr>
      <t>: Rich doctrinal content woven into practical advice</t>
    </r>
  </si>
  <si>
    <r>
      <t>Practical Ethics</t>
    </r>
    <r>
      <rPr>
        <sz val="11"/>
        <color theme="1"/>
        <rFont val="Calibri"/>
        <family val="2"/>
        <scheme val="minor"/>
      </rPr>
      <t>: Instructions for Christian living in hostile environment</t>
    </r>
  </si>
  <si>
    <r>
      <t>Old Testament Integration</t>
    </r>
    <r>
      <rPr>
        <sz val="11"/>
        <color theme="1"/>
        <rFont val="Calibri"/>
        <family val="2"/>
        <scheme val="minor"/>
      </rPr>
      <t>: Frequent quotations and allusions to Hebrew Scriptures</t>
    </r>
  </si>
  <si>
    <r>
      <t>Pastoral Epistle</t>
    </r>
    <r>
      <rPr>
        <sz val="11"/>
        <color theme="1"/>
        <rFont val="Calibri"/>
        <family val="2"/>
        <scheme val="minor"/>
      </rPr>
      <t>: Written by an apostle to encourage scattered churches</t>
    </r>
  </si>
  <si>
    <r>
      <t>Hope</t>
    </r>
    <r>
      <rPr>
        <sz val="11"/>
        <color theme="1"/>
        <rFont val="Calibri"/>
        <family val="2"/>
        <scheme val="minor"/>
      </rPr>
      <t>: Focus on eternal inheritance and future glory</t>
    </r>
  </si>
  <si>
    <r>
      <t>Holiness</t>
    </r>
    <r>
      <rPr>
        <sz val="11"/>
        <color theme="1"/>
        <rFont val="Calibri"/>
        <family val="2"/>
        <scheme val="minor"/>
      </rPr>
      <t>: Call to live set apart lives reflecting God's character</t>
    </r>
  </si>
  <si>
    <r>
      <t>Christian Identity</t>
    </r>
    <r>
      <rPr>
        <sz val="11"/>
        <color theme="1"/>
        <rFont val="Calibri"/>
        <family val="2"/>
        <scheme val="minor"/>
      </rPr>
      <t>: Understanding believers' new status in Christ</t>
    </r>
  </si>
  <si>
    <r>
      <t>Suffering and Persecution</t>
    </r>
    <r>
      <rPr>
        <sz val="11"/>
        <color theme="1"/>
        <rFont val="Calibri"/>
        <family val="2"/>
        <scheme val="minor"/>
      </rPr>
      <t>: Encouragement for believers facing trials</t>
    </r>
  </si>
  <si>
    <t>Key Characteristics of the First Epistle of Peter</t>
  </si>
  <si>
    <t>Romans 8:28; 2 Corinthians 4:17; Hebrews 12:11</t>
  </si>
  <si>
    <t>c. 62-64 AD</t>
  </si>
  <si>
    <t>Various (scattered believers)</t>
  </si>
  <si>
    <t>1 Peter 5:10</t>
  </si>
  <si>
    <t>God will restore, confirm, strengthen and establish suffering believers</t>
  </si>
  <si>
    <t>Psalm 55:22; Matthew 6:26; Philippians 4:19</t>
  </si>
  <si>
    <t>1 Peter 5:7</t>
  </si>
  <si>
    <t>God cares for believers and bears their anxieties</t>
  </si>
  <si>
    <t>Matthew 23:12; Luke 14:11; James 4:10</t>
  </si>
  <si>
    <t>1 Peter 5:6</t>
  </si>
  <si>
    <t>God will exalt the humble in due time</t>
  </si>
  <si>
    <t>Proverbs 3:34; James 4:6; Luke 14:11</t>
  </si>
  <si>
    <t>1 Peter 5:5</t>
  </si>
  <si>
    <t>Isaiah 11:2; Matthew 5:11-12; Acts 7:55</t>
  </si>
  <si>
    <t>1 Peter 4:14</t>
  </si>
  <si>
    <t>Spirit of glory and of God rests on persecuted believers</t>
  </si>
  <si>
    <t>Romans 8:17; 2 Corinthians 1:5; Philippians 3:10</t>
  </si>
  <si>
    <t>1 Peter 4:13</t>
  </si>
  <si>
    <t>Believers participate in Christ's sufferings and future glory</t>
  </si>
  <si>
    <t>1 Peter 3:19; Ephesians 4:8-9</t>
  </si>
  <si>
    <t>Between crucifixion and resurrection</t>
  </si>
  <si>
    <t>Realm of the dead</t>
  </si>
  <si>
    <t>1 Peter 4:6</t>
  </si>
  <si>
    <t>Gospel preached to the dead</t>
  </si>
  <si>
    <t>Acts 10:42; 2 Timothy 4:1; Revelation 20:12</t>
  </si>
  <si>
    <t>Universal (future)</t>
  </si>
  <si>
    <t>1 Peter 4:5</t>
  </si>
  <si>
    <t>God will judge the living and the dead</t>
  </si>
  <si>
    <t>Ephesians 1:21; Philippians 2:10; Colossians 2:15</t>
  </si>
  <si>
    <t>Divine Authority</t>
  </si>
  <si>
    <t>33 AD onward</t>
  </si>
  <si>
    <t>1 Peter 3:22</t>
  </si>
  <si>
    <t>Christ subjected angels, authorities, and powers</t>
  </si>
  <si>
    <t>Romans 6:4; Ephesians 1:20-21; Philippians 2:9-11</t>
  </si>
  <si>
    <t>Heaven (current reality)</t>
  </si>
  <si>
    <t>1 Peter 3:21-22</t>
  </si>
  <si>
    <t>Christ's resurrection as triumph over death</t>
  </si>
  <si>
    <t>Ephesians 4:8-10; 1 Peter 4:6</t>
  </si>
  <si>
    <t>1 Peter 3:19</t>
  </si>
  <si>
    <t>Christ descended and preached to spirits in prison</t>
  </si>
  <si>
    <t>Isaiah 53:5; Matthew 8:17; 1 Corinthians 6:11</t>
  </si>
  <si>
    <t>Spiritual Healing</t>
  </si>
  <si>
    <t>1 Peter 2:24</t>
  </si>
  <si>
    <t>By Christ's wounds believers are healed</t>
  </si>
  <si>
    <t>Isaiah 53:4-6; 2 Corinthians 5:21; Galatians 3:13</t>
  </si>
  <si>
    <t>Substitutionary Atonement</t>
  </si>
  <si>
    <t>33 AD (historical)</t>
  </si>
  <si>
    <t>Calvary (historical reference)</t>
  </si>
  <si>
    <t>Christ bore our sins in His body on the tree</t>
  </si>
  <si>
    <t>Isaiah 9:2; 2 Corinthians 4:6; Ephesians 5:8</t>
  </si>
  <si>
    <t>1 Peter 2:9</t>
  </si>
  <si>
    <t>God's call from darkness to His marvelous light</t>
  </si>
  <si>
    <t>Ephesians 3:10; 1 Timothy 3:16; Hebrews 1:14</t>
  </si>
  <si>
    <t>Angels long to look into the salvation revealed through the gospel</t>
  </si>
  <si>
    <t>Luke 24:25-27; Acts 3:18; Revelation 19:10</t>
  </si>
  <si>
    <t>Spirit of Christ</t>
  </si>
  <si>
    <t>1 Peter 1:11</t>
  </si>
  <si>
    <t>Spirit of Christ revealed future sufferings and glories to prophets</t>
  </si>
  <si>
    <t>Daniel 9:2; Luke 10:24; Hebrews 11:13</t>
  </si>
  <si>
    <t>Old Testament Prophets</t>
  </si>
  <si>
    <t>1 Peter 1:10-12</t>
  </si>
  <si>
    <t>Prophets searched and inquired about the salvation revealed in Christ</t>
  </si>
  <si>
    <t>John 10:28-29; Romans 8:38-39; Jude 1:24</t>
  </si>
  <si>
    <t>1 Peter 1:5</t>
  </si>
  <si>
    <t>God's power protects believers through faith</t>
  </si>
  <si>
    <t>John 14:2-3; 2 Corinthians 5:1; Colossians 1:5</t>
  </si>
  <si>
    <t>1 Peter 1:4</t>
  </si>
  <si>
    <t>God preserves believers' inheritance in heaven</t>
  </si>
  <si>
    <t>Romans 6:4; 1 Corinthians 15:20; Colossians 3:1</t>
  </si>
  <si>
    <t>1 Peter 1:3</t>
  </si>
  <si>
    <t>God provides a living hope through Christ's resurrection</t>
  </si>
  <si>
    <t>John 3:3-7; 2 Corinthians 5:17; Titus 3:5</t>
  </si>
  <si>
    <t>Spiritual Regeneration</t>
  </si>
  <si>
    <t>God causes believers to be born again through Christ's resurrection</t>
  </si>
  <si>
    <t>Ephesians 1:4; Romans 8:29; 2 Timothy 1:9</t>
  </si>
  <si>
    <t>1 Peter 1:2</t>
  </si>
  <si>
    <t>God's election and foreknowledge of believers</t>
  </si>
  <si>
    <t>2 Peter:</t>
  </si>
  <si>
    <t>a comprehensive table for 2 Peter, ordered by scripture reference with cross-references included.</t>
  </si>
  <si>
    <t>Key Observations about 2 Peter:</t>
  </si>
  <si>
    <t>Supernatural Focus:</t>
  </si>
  <si>
    <r>
      <t xml:space="preserve">Unlike narrative books, 2 Peter focuses on </t>
    </r>
    <r>
      <rPr>
        <b/>
        <sz val="11"/>
        <color theme="1"/>
        <rFont val="Calibri"/>
        <family val="2"/>
        <scheme val="minor"/>
      </rPr>
      <t>divine principles and cosmic events</t>
    </r>
    <r>
      <rPr>
        <sz val="11"/>
        <color theme="1"/>
        <rFont val="Calibri"/>
        <family val="2"/>
        <scheme val="minor"/>
      </rPr>
      <t xml:space="preserve"> rather than individual miracles</t>
    </r>
  </si>
  <si>
    <r>
      <t xml:space="preserve">Emphasizes God's </t>
    </r>
    <r>
      <rPr>
        <b/>
        <sz val="11"/>
        <color theme="1"/>
        <rFont val="Calibri"/>
        <family val="2"/>
        <scheme val="minor"/>
      </rPr>
      <t>supernatural power in salvation</t>
    </r>
    <r>
      <rPr>
        <sz val="11"/>
        <color theme="1"/>
        <rFont val="Calibri"/>
        <family val="2"/>
        <scheme val="minor"/>
      </rPr>
      <t xml:space="preserve"> and spiritual transformation</t>
    </r>
  </si>
  <si>
    <r>
      <t xml:space="preserve">Heavy emphasis on </t>
    </r>
    <r>
      <rPr>
        <b/>
        <sz val="11"/>
        <color theme="1"/>
        <rFont val="Calibri"/>
        <family val="2"/>
        <scheme val="minor"/>
      </rPr>
      <t>eschatological (end-times) supernatural events</t>
    </r>
  </si>
  <si>
    <t>Historical Miracle References:</t>
  </si>
  <si>
    <r>
      <t>Noah's Flood</t>
    </r>
    <r>
      <rPr>
        <sz val="11"/>
        <color theme="1"/>
        <rFont val="Calibri"/>
        <family val="2"/>
        <scheme val="minor"/>
      </rPr>
      <t>: God's judgment and deliverance</t>
    </r>
  </si>
  <si>
    <r>
      <t>Sodom and Gomorrah</t>
    </r>
    <r>
      <rPr>
        <sz val="11"/>
        <color theme="1"/>
        <rFont val="Calibri"/>
        <family val="2"/>
        <scheme val="minor"/>
      </rPr>
      <t>: Divine destruction as warning</t>
    </r>
  </si>
  <si>
    <r>
      <t>Angels' Fall</t>
    </r>
    <r>
      <rPr>
        <sz val="11"/>
        <color theme="1"/>
        <rFont val="Calibri"/>
        <family val="2"/>
        <scheme val="minor"/>
      </rPr>
      <t>: Spiritual realm judgment</t>
    </r>
  </si>
  <si>
    <r>
      <t>Jesus' Transfiguration</t>
    </r>
    <r>
      <rPr>
        <sz val="11"/>
        <color theme="1"/>
        <rFont val="Calibri"/>
        <family val="2"/>
        <scheme val="minor"/>
      </rPr>
      <t>: Peter's eyewitness testimony</t>
    </r>
  </si>
  <si>
    <t>Future Supernatural Events:</t>
  </si>
  <si>
    <r>
      <t>Day of the Lord</t>
    </r>
    <r>
      <rPr>
        <sz val="11"/>
        <color theme="1"/>
        <rFont val="Calibri"/>
        <family val="2"/>
        <scheme val="minor"/>
      </rPr>
      <t>: Coming like a thief</t>
    </r>
  </si>
  <si>
    <r>
      <t>Cosmic Destruction</t>
    </r>
    <r>
      <rPr>
        <sz val="11"/>
        <color theme="1"/>
        <rFont val="Calibri"/>
        <family val="2"/>
        <scheme val="minor"/>
      </rPr>
      <t>: Elements destroyed by fire</t>
    </r>
  </si>
  <si>
    <r>
      <t>New Heaven and Earth</t>
    </r>
    <r>
      <rPr>
        <sz val="11"/>
        <color theme="1"/>
        <rFont val="Calibri"/>
        <family val="2"/>
        <scheme val="minor"/>
      </rPr>
      <t>: Complete divine recreation</t>
    </r>
  </si>
  <si>
    <r>
      <t>Prophetic Inspiration</t>
    </r>
    <r>
      <rPr>
        <sz val="11"/>
        <color theme="1"/>
        <rFont val="Calibri"/>
        <family val="2"/>
        <scheme val="minor"/>
      </rPr>
      <t>: Holy Spirit moving prophets to speak</t>
    </r>
  </si>
  <si>
    <r>
      <t>Voice from Heaven</t>
    </r>
    <r>
      <rPr>
        <sz val="11"/>
        <color theme="1"/>
        <rFont val="Calibri"/>
        <family val="2"/>
        <scheme val="minor"/>
      </rPr>
      <t>: God's declaration at the Transfiguration</t>
    </r>
  </si>
  <si>
    <r>
      <t>Divine Promises</t>
    </r>
    <r>
      <rPr>
        <sz val="11"/>
        <color theme="1"/>
        <rFont val="Calibri"/>
        <family val="2"/>
        <scheme val="minor"/>
      </rPr>
      <t>: God's supernatural provision for believers</t>
    </r>
  </si>
  <si>
    <t>The book serves as a powerful reminder that while we may not see daily dramatic miracles, God's supernatural power is constantly at work in salvation, spiritual growth, and His sovereign plan for cosmic renewal. Peter's final letter emphasizes the certainty of God's promises and the reality of His supernatural intervention in history.</t>
  </si>
  <si>
    <r>
      <t>Note:</t>
    </r>
    <r>
      <rPr>
        <sz val="11"/>
        <color theme="1"/>
        <rFont val="Calibri"/>
        <family val="2"/>
        <scheme val="minor"/>
      </rPr>
      <t xml:space="preserve"> While 2 Peter contains fewer narrative miracles than the Gospels, it emphasizes God's supernatural power in salvation, judgment, and cosmic renewal. The letter focuses on the divine nature of Scripture, the certainty of Christ's return, and God's sovereign control over history and the future. Peter draws on both his personal experience of Jesus' transfiguration and biblical history to demonstrate God's supernatural intervention in human affairs.</t>
    </r>
  </si>
  <si>
    <r>
      <t>Future Judgment</t>
    </r>
    <r>
      <rPr>
        <sz val="11"/>
        <color theme="1"/>
        <rFont val="Calibri"/>
        <family val="2"/>
        <scheme val="minor"/>
      </rPr>
      <t>: Ultimate judgment and cosmic renewal</t>
    </r>
  </si>
  <si>
    <r>
      <t>Sodom and Gomorrah</t>
    </r>
    <r>
      <rPr>
        <sz val="11"/>
        <color theme="1"/>
        <rFont val="Calibri"/>
        <family val="2"/>
        <scheme val="minor"/>
      </rPr>
      <t>: Local judgment as example for future</t>
    </r>
  </si>
  <si>
    <r>
      <t>Noah's Flood</t>
    </r>
    <r>
      <rPr>
        <sz val="11"/>
        <color theme="1"/>
        <rFont val="Calibri"/>
        <family val="2"/>
        <scheme val="minor"/>
      </rPr>
      <t>: Global judgment with deliverance of the righteous</t>
    </r>
  </si>
  <si>
    <r>
      <t>Fallen Angels</t>
    </r>
    <r>
      <rPr>
        <sz val="11"/>
        <color theme="1"/>
        <rFont val="Calibri"/>
        <family val="2"/>
        <scheme val="minor"/>
      </rPr>
      <t>: Judgment on rebellious spiritual beings</t>
    </r>
  </si>
  <si>
    <t>2 Peter emphasizes God's pattern of judgment throughout history:</t>
  </si>
  <si>
    <t>Divine Judgment Theme:</t>
  </si>
  <si>
    <r>
      <t>Setting</t>
    </r>
    <r>
      <rPr>
        <sz val="11"/>
        <color theme="1"/>
        <rFont val="Calibri"/>
        <family val="2"/>
        <scheme val="minor"/>
      </rPr>
      <t>: Likely written from Rome during Nero's persecution</t>
    </r>
  </si>
  <si>
    <r>
      <t>Purpose</t>
    </r>
    <r>
      <rPr>
        <sz val="11"/>
        <color theme="1"/>
        <rFont val="Calibri"/>
        <family val="2"/>
        <scheme val="minor"/>
      </rPr>
      <t>: Final warnings and encouragements before Peter's death</t>
    </r>
  </si>
  <si>
    <r>
      <t>Audience</t>
    </r>
    <r>
      <rPr>
        <sz val="11"/>
        <color theme="1"/>
        <rFont val="Calibri"/>
        <family val="2"/>
        <scheme val="minor"/>
      </rPr>
      <t>: Same churches as 1 Peter, facing false teachers</t>
    </r>
  </si>
  <si>
    <r>
      <t>Time Period</t>
    </r>
    <r>
      <rPr>
        <sz val="11"/>
        <color theme="1"/>
        <rFont val="Calibri"/>
        <family val="2"/>
        <scheme val="minor"/>
      </rPr>
      <t>: c. 64-68 AD, shortly before Peter's martyrdom</t>
    </r>
  </si>
  <si>
    <r>
      <t>Transfiguration Witness</t>
    </r>
    <r>
      <rPr>
        <sz val="11"/>
        <color theme="1"/>
        <rFont val="Calibri"/>
        <family val="2"/>
        <scheme val="minor"/>
      </rPr>
      <t>: Peter's firsthand experience of Jesus' divine glory</t>
    </r>
  </si>
  <si>
    <r>
      <t>Eschatological Events</t>
    </r>
    <r>
      <rPr>
        <sz val="11"/>
        <color theme="1"/>
        <rFont val="Calibri"/>
        <family val="2"/>
        <scheme val="minor"/>
      </rPr>
      <t>: Future supernatural interventions including cosmic destruction and new creation</t>
    </r>
  </si>
  <si>
    <r>
      <t>Angelic Realm</t>
    </r>
    <r>
      <rPr>
        <sz val="11"/>
        <color theme="1"/>
        <rFont val="Calibri"/>
        <family val="2"/>
        <scheme val="minor"/>
      </rPr>
      <t>: References to angelic beings and spiritual warfare</t>
    </r>
  </si>
  <si>
    <r>
      <t>Historical Miracles Referenced</t>
    </r>
    <r>
      <rPr>
        <sz val="11"/>
        <color theme="1"/>
        <rFont val="Calibri"/>
        <family val="2"/>
        <scheme val="minor"/>
      </rPr>
      <t>: Flood, destruction of Sodom and Gomorrah, deliverance of righteous</t>
    </r>
  </si>
  <si>
    <r>
      <t>Prophetic Inspiration</t>
    </r>
    <r>
      <rPr>
        <sz val="11"/>
        <color theme="1"/>
        <rFont val="Calibri"/>
        <family val="2"/>
        <scheme val="minor"/>
      </rPr>
      <t>: The supernatural origin of Scripture through the Holy Spirit</t>
    </r>
  </si>
  <si>
    <r>
      <t>Divine Calling and Provision</t>
    </r>
    <r>
      <rPr>
        <sz val="11"/>
        <color theme="1"/>
        <rFont val="Calibri"/>
        <family val="2"/>
        <scheme val="minor"/>
      </rPr>
      <t>: God's supernatural work in believers' lives</t>
    </r>
  </si>
  <si>
    <r>
      <t>Personal Testimony</t>
    </r>
    <r>
      <rPr>
        <sz val="11"/>
        <color theme="1"/>
        <rFont val="Calibri"/>
        <family val="2"/>
        <scheme val="minor"/>
      </rPr>
      <t>: Peter's eyewitness account of Jesus' transfiguration</t>
    </r>
  </si>
  <si>
    <r>
      <t>Apocalyptic Language</t>
    </r>
    <r>
      <rPr>
        <sz val="11"/>
        <color theme="1"/>
        <rFont val="Calibri"/>
        <family val="2"/>
        <scheme val="minor"/>
      </rPr>
      <t>: Vivid descriptions of cosmic destruction and renewal</t>
    </r>
  </si>
  <si>
    <r>
      <t>Historical Examples</t>
    </r>
    <r>
      <rPr>
        <sz val="11"/>
        <color theme="1"/>
        <rFont val="Calibri"/>
        <family val="2"/>
        <scheme val="minor"/>
      </rPr>
      <t>: Uses Old Testament events to illustrate divine judgment and deliverance</t>
    </r>
  </si>
  <si>
    <r>
      <t>Farewell Discourse</t>
    </r>
    <r>
      <rPr>
        <sz val="11"/>
        <color theme="1"/>
        <rFont val="Calibri"/>
        <family val="2"/>
        <scheme val="minor"/>
      </rPr>
      <t>: Peter's final letter before his anticipated death</t>
    </r>
  </si>
  <si>
    <r>
      <t>Spiritual Growth</t>
    </r>
    <r>
      <rPr>
        <sz val="11"/>
        <color theme="1"/>
        <rFont val="Calibri"/>
        <family val="2"/>
        <scheme val="minor"/>
      </rPr>
      <t>: Call to maturity and participation in divine nature</t>
    </r>
  </si>
  <si>
    <r>
      <t>The Second Coming</t>
    </r>
    <r>
      <rPr>
        <sz val="11"/>
        <color theme="1"/>
        <rFont val="Calibri"/>
        <family val="2"/>
        <scheme val="minor"/>
      </rPr>
      <t>: Focus on Christ's return and the day of the Lord</t>
    </r>
  </si>
  <si>
    <r>
      <t>False Teachers and Judgment</t>
    </r>
    <r>
      <rPr>
        <sz val="11"/>
        <color theme="1"/>
        <rFont val="Calibri"/>
        <family val="2"/>
        <scheme val="minor"/>
      </rPr>
      <t>: Warning against deceptive teachers and certain divine judgment</t>
    </r>
  </si>
  <si>
    <r>
      <t>Divine Power and Promises</t>
    </r>
    <r>
      <rPr>
        <sz val="11"/>
        <color theme="1"/>
        <rFont val="Calibri"/>
        <family val="2"/>
        <scheme val="minor"/>
      </rPr>
      <t>: Emphasis on God's supernatural provision for believers</t>
    </r>
  </si>
  <si>
    <t>Key Characteristics of 2 Peter</t>
  </si>
  <si>
    <t>1 Timothy 2:4; Ezekiel 18:23; Romans 2:4</t>
  </si>
  <si>
    <t>Throughout time</t>
  </si>
  <si>
    <t>2 Peter 3:9</t>
  </si>
  <si>
    <t>God is patient, not wanting any to perish but all to come to repentance</t>
  </si>
  <si>
    <t>Revelation 21:1; Isaiah 65:17; Isaiah 66:22</t>
  </si>
  <si>
    <t>2 Peter 3:13</t>
  </si>
  <si>
    <t>God will create new heavens and new earth</t>
  </si>
  <si>
    <t>Isaiah 34:4; Revelation 6:14; Matthew 24:29</t>
  </si>
  <si>
    <t>Cosmic Destruction</t>
  </si>
  <si>
    <t>2 Peter 3:10, 12</t>
  </si>
  <si>
    <t>Elements will be destroyed with intense heat on the day of the Lord</t>
  </si>
  <si>
    <t>1 Thessalonians 5:2; Matthew 24:43; Revelation 16:15</t>
  </si>
  <si>
    <t>2 Peter 3:10</t>
  </si>
  <si>
    <t>The day of the Lord will come like a thief</t>
  </si>
  <si>
    <t>Revelation 21:1; Isaiah 65:17; Matthew 24:35</t>
  </si>
  <si>
    <t>2 Peter 3:7</t>
  </si>
  <si>
    <t>God will destroy the present heavens and earth by fire</t>
  </si>
  <si>
    <t>Jude 9; Daniel 10:13, 20-21</t>
  </si>
  <si>
    <t>Angelic Restraint</t>
  </si>
  <si>
    <t>2 Peter 2:11</t>
  </si>
  <si>
    <t>Angels, though greater in might, do not bring slanderous judgment</t>
  </si>
  <si>
    <t>Matthew 25:46; Revelation 20:11-15; Romans 2:5</t>
  </si>
  <si>
    <t>Throughout history</t>
  </si>
  <si>
    <t>2 Peter 2:9</t>
  </si>
  <si>
    <t>God reserves the unjust for punishment on judgment day</t>
  </si>
  <si>
    <t>1 Corinthians 10:13; Psalm 34:19; 2 Timothy 3:11</t>
  </si>
  <si>
    <t>God knows how to rescue the godly from trials</t>
  </si>
  <si>
    <t>Genesis 19:15-22; Luke 17:28-29</t>
  </si>
  <si>
    <t>2 Peter 2:7-8</t>
  </si>
  <si>
    <t>God rescued righteous Lot from destruction</t>
  </si>
  <si>
    <t>Genesis 19:24-28; Luke 17:28-30; Jude 7</t>
  </si>
  <si>
    <t>Sodom and Gomorrah</t>
  </si>
  <si>
    <t>2 Peter 2:6</t>
  </si>
  <si>
    <t>God destroyed Sodom and Gomorrah as example of judgment</t>
  </si>
  <si>
    <t>Genesis 6:13-8:22; 1 Peter 3:20; Hebrews 11:7</t>
  </si>
  <si>
    <t>c. 2500-2000 BC</t>
  </si>
  <si>
    <t>2 Peter 2:5</t>
  </si>
  <si>
    <t>God saved Noah and seven others from the flood</t>
  </si>
  <si>
    <t>Jude 6; Genesis 6:1-4; 1 Enoch</t>
  </si>
  <si>
    <t>Before creation</t>
  </si>
  <si>
    <t>Heaven/Hell</t>
  </si>
  <si>
    <t>2 Peter 2:4</t>
  </si>
  <si>
    <t>God did not spare angels who sinned but cast them into hell</t>
  </si>
  <si>
    <t>2 Timothy 3:16; 1 Peter 1:10-12; Jeremiah 1:9</t>
  </si>
  <si>
    <t>Holy Spirit through prophets</t>
  </si>
  <si>
    <t>2 Peter 1:21</t>
  </si>
  <si>
    <t>Holy Spirit moves holy men to speak God's word (prophecy)</t>
  </si>
  <si>
    <t>Matthew 17:5; Mark 9:7; Luke 9:35; Psalm 2:7</t>
  </si>
  <si>
    <t>2 Peter 1:17</t>
  </si>
  <si>
    <t>Voice from the Majestic Glory declares Jesus as beloved Son</t>
  </si>
  <si>
    <t>Matthew 17:1-8; Mark 9:2-8; Luke 9:28-36</t>
  </si>
  <si>
    <t>Jesus/God the Father</t>
  </si>
  <si>
    <t>2 Peter 1:16-18</t>
  </si>
  <si>
    <t>Peter witnesses Jesus' transfiguration and divine majesty</t>
  </si>
  <si>
    <t>John 1:12; Romans 8:29; 1 John 3:2</t>
  </si>
  <si>
    <t>c. 64-68 AD</t>
  </si>
  <si>
    <t>2 Peter 1:4</t>
  </si>
  <si>
    <t>God gives precious and magnificent promises for divine nature participation</t>
  </si>
  <si>
    <t>2 Peter 1:3</t>
  </si>
  <si>
    <t>God calls believers by His own glory and goodness</t>
  </si>
  <si>
    <t>Ephesians 1:3; Philippians 4:19; 1 Peter 1:3</t>
  </si>
  <si>
    <t>God's divine power grants all things for life and godliness</t>
  </si>
  <si>
    <t>1 John:</t>
  </si>
  <si>
    <t>a comprehensive table for 1 John, though this epistle differs significantly from narrative books like Matthew or Hosea.</t>
  </si>
  <si>
    <t>Key Distinctions of 1 John:</t>
  </si>
  <si>
    <t>Nature of "Miracles" in 1 John:</t>
  </si>
  <si>
    <r>
      <t>Theological rather than narrative</t>
    </r>
    <r>
      <rPr>
        <sz val="11"/>
        <color theme="1"/>
        <rFont val="Calibri"/>
        <family val="2"/>
        <scheme val="minor"/>
      </rPr>
      <t>: 1 John is a theological epistle, not a historical narrative</t>
    </r>
  </si>
  <si>
    <r>
      <t>Ongoing supernatural works</t>
    </r>
    <r>
      <rPr>
        <sz val="11"/>
        <color theme="1"/>
        <rFont val="Calibri"/>
        <family val="2"/>
        <scheme val="minor"/>
      </rPr>
      <t>: Focuses on God's continuous miraculous work in believers' lives</t>
    </r>
  </si>
  <si>
    <r>
      <t>Spiritual transformations</t>
    </r>
    <r>
      <rPr>
        <sz val="11"/>
        <color theme="1"/>
        <rFont val="Calibri"/>
        <family val="2"/>
        <scheme val="minor"/>
      </rPr>
      <t>: The "miracles" are primarily internal and spiritual rather than external physical events</t>
    </r>
  </si>
  <si>
    <r>
      <t>Divine revelations</t>
    </r>
    <r>
      <rPr>
        <sz val="11"/>
        <color theme="1"/>
        <rFont val="Calibri"/>
        <family val="2"/>
        <scheme val="minor"/>
      </rPr>
      <t>: John's inspired understanding and communication of spiritual truths</t>
    </r>
  </si>
  <si>
    <r>
      <t>Divine anointing and teaching</t>
    </r>
    <r>
      <rPr>
        <sz val="11"/>
        <color theme="1"/>
        <rFont val="Calibri"/>
        <family val="2"/>
        <scheme val="minor"/>
      </rPr>
      <t xml:space="preserve"> by the Holy Spirit</t>
    </r>
  </si>
  <si>
    <r>
      <t>New birth</t>
    </r>
    <r>
      <rPr>
        <sz val="11"/>
        <color theme="1"/>
        <rFont val="Calibri"/>
        <family val="2"/>
        <scheme val="minor"/>
      </rPr>
      <t xml:space="preserve"> - supernatural transformation of believers</t>
    </r>
  </si>
  <si>
    <r>
      <t>Eternal life</t>
    </r>
    <r>
      <rPr>
        <sz val="11"/>
        <color theme="1"/>
        <rFont val="Calibri"/>
        <family val="2"/>
        <scheme val="minor"/>
      </rPr>
      <t xml:space="preserve"> - a present supernatural possession</t>
    </r>
  </si>
  <si>
    <r>
      <t>Divine indwelling</t>
    </r>
    <r>
      <rPr>
        <sz val="11"/>
        <color theme="1"/>
        <rFont val="Calibri"/>
        <family val="2"/>
        <scheme val="minor"/>
      </rPr>
      <t xml:space="preserve"> - God's Spirit living within believers</t>
    </r>
  </si>
  <si>
    <r>
      <t>Spiritual protection</t>
    </r>
    <r>
      <rPr>
        <sz val="11"/>
        <color theme="1"/>
        <rFont val="Calibri"/>
        <family val="2"/>
        <scheme val="minor"/>
      </rPr>
      <t xml:space="preserve"> - God's keeping power over His children</t>
    </r>
  </si>
  <si>
    <r>
      <t>Theological Focus:</t>
    </r>
    <r>
      <rPr>
        <sz val="11"/>
        <color theme="1"/>
        <rFont val="Calibri"/>
        <family val="2"/>
        <scheme val="minor"/>
      </rPr>
      <t xml:space="preserve"> The book emphasizes that the Christian life itself is fundamentally supernatural - from initial salvation through ongoing sanctification to final glorification. Rather than recording specific miraculous events, 1 John declares the miraculous nature of what God accomplishes in and through believers.</t>
    </r>
  </si>
  <si>
    <t>This demonstrates how different biblical books contain supernatural elements in various forms - some through dramatic historical events, others through theological revelation of God's ongoing miraculous work in the spiritual realm.</t>
  </si>
  <si>
    <r>
      <t>Note:</t>
    </r>
    <r>
      <rPr>
        <sz val="11"/>
        <color theme="1"/>
        <rFont val="Calibri"/>
        <family val="2"/>
        <scheme val="minor"/>
      </rPr>
      <t xml:space="preserve"> Unlike narrative books, 1 John contains primarily theological declarations about God's supernatural work rather than recorded miraculous events. The "miracles" in 1 John are primarily the ongoing supernatural works of God in salvation, sanctification, and spiritual transformation. The epistle emphasizes the supernatural nature of the Christian life itself - being born of God, having eternal life, being indwelt by the Spirit, and experiencing God's love and protection.</t>
    </r>
  </si>
  <si>
    <r>
      <t>Glorification</t>
    </r>
    <r>
      <rPr>
        <sz val="11"/>
        <color theme="1"/>
        <rFont val="Calibri"/>
        <family val="2"/>
        <scheme val="minor"/>
      </rPr>
      <t>: Future transformation when Christ appears</t>
    </r>
  </si>
  <si>
    <r>
      <t>Sanctification</t>
    </r>
    <r>
      <rPr>
        <sz val="11"/>
        <color theme="1"/>
        <rFont val="Calibri"/>
        <family val="2"/>
        <scheme val="minor"/>
      </rPr>
      <t>: Progressive transformation into Christ's likeness</t>
    </r>
  </si>
  <si>
    <r>
      <t>Regeneration</t>
    </r>
    <r>
      <rPr>
        <sz val="11"/>
        <color theme="1"/>
        <rFont val="Calibri"/>
        <family val="2"/>
        <scheme val="minor"/>
      </rPr>
      <t>: Supernatural new birth through God's Spirit</t>
    </r>
  </si>
  <si>
    <r>
      <t>Atonement</t>
    </r>
    <r>
      <rPr>
        <sz val="11"/>
        <color theme="1"/>
        <rFont val="Calibri"/>
        <family val="2"/>
        <scheme val="minor"/>
      </rPr>
      <t>: Christ's sacrificial death for sins</t>
    </r>
  </si>
  <si>
    <r>
      <t>Incarnation</t>
    </r>
    <r>
      <rPr>
        <sz val="11"/>
        <color theme="1"/>
        <rFont val="Calibri"/>
        <family val="2"/>
        <scheme val="minor"/>
      </rPr>
      <t>: Jesus as fully God and fully man</t>
    </r>
  </si>
  <si>
    <r>
      <t>Purpose</t>
    </r>
    <r>
      <rPr>
        <sz val="11"/>
        <color theme="1"/>
        <rFont val="Calibri"/>
        <family val="2"/>
        <scheme val="minor"/>
      </rPr>
      <t>: Combat false teaching (early Gnosticism) and provide assurance</t>
    </r>
  </si>
  <si>
    <r>
      <t>Audience</t>
    </r>
    <r>
      <rPr>
        <sz val="11"/>
        <color theme="1"/>
        <rFont val="Calibri"/>
        <family val="2"/>
        <scheme val="minor"/>
      </rPr>
      <t>: Christian communities in Asia Minor</t>
    </r>
  </si>
  <si>
    <r>
      <t>Location</t>
    </r>
    <r>
      <rPr>
        <sz val="11"/>
        <color theme="1"/>
        <rFont val="Calibri"/>
        <family val="2"/>
        <scheme val="minor"/>
      </rPr>
      <t>: Likely written from Ephesus</t>
    </r>
  </si>
  <si>
    <r>
      <t>Author</t>
    </r>
    <r>
      <rPr>
        <sz val="11"/>
        <color theme="1"/>
        <rFont val="Calibri"/>
        <family val="2"/>
        <scheme val="minor"/>
      </rPr>
      <t>: John the Apostle (traditional view)</t>
    </r>
  </si>
  <si>
    <r>
      <t>Time Period</t>
    </r>
    <r>
      <rPr>
        <sz val="11"/>
        <color theme="1"/>
        <rFont val="Calibri"/>
        <family val="2"/>
        <scheme val="minor"/>
      </rPr>
      <t>: c. 85-95 AD (late apostolic period)</t>
    </r>
  </si>
  <si>
    <r>
      <t>Spiritual Protection</t>
    </r>
    <r>
      <rPr>
        <sz val="11"/>
        <color theme="1"/>
        <rFont val="Calibri"/>
        <family val="2"/>
        <scheme val="minor"/>
      </rPr>
      <t>: Divine keeping power over believers</t>
    </r>
  </si>
  <si>
    <r>
      <t>Christological Miracles</t>
    </r>
    <r>
      <rPr>
        <sz val="11"/>
        <color theme="1"/>
        <rFont val="Calibri"/>
        <family val="2"/>
        <scheme val="minor"/>
      </rPr>
      <t>: References to Christ's incarnation and atonement</t>
    </r>
  </si>
  <si>
    <r>
      <t>Eternal Life</t>
    </r>
    <r>
      <rPr>
        <sz val="11"/>
        <color theme="1"/>
        <rFont val="Calibri"/>
        <family val="2"/>
        <scheme val="minor"/>
      </rPr>
      <t>: Supernatural gift beginning now and lasting forever</t>
    </r>
  </si>
  <si>
    <r>
      <t>Divine Indwelling</t>
    </r>
    <r>
      <rPr>
        <sz val="11"/>
        <color theme="1"/>
        <rFont val="Calibri"/>
        <family val="2"/>
        <scheme val="minor"/>
      </rPr>
      <t>: God's presence and Spirit within believers</t>
    </r>
  </si>
  <si>
    <r>
      <t>New Birth</t>
    </r>
    <r>
      <rPr>
        <sz val="11"/>
        <color theme="1"/>
        <rFont val="Calibri"/>
        <family val="2"/>
        <scheme val="minor"/>
      </rPr>
      <t>: Supernatural transformation through being born of God</t>
    </r>
  </si>
  <si>
    <r>
      <t>Divine Anointing</t>
    </r>
    <r>
      <rPr>
        <sz val="11"/>
        <color theme="1"/>
        <rFont val="Calibri"/>
        <family val="2"/>
        <scheme val="minor"/>
      </rPr>
      <t>: Holy Spirit's teaching and guidance</t>
    </r>
  </si>
  <si>
    <r>
      <t>Pastoral Tone</t>
    </r>
    <r>
      <rPr>
        <sz val="11"/>
        <color theme="1"/>
        <rFont val="Calibri"/>
        <family val="2"/>
        <scheme val="minor"/>
      </rPr>
      <t>: Written as a loving father to spiritual children</t>
    </r>
  </si>
  <si>
    <r>
      <t>Tests of Faith</t>
    </r>
    <r>
      <rPr>
        <sz val="11"/>
        <color theme="1"/>
        <rFont val="Calibri"/>
        <family val="2"/>
        <scheme val="minor"/>
      </rPr>
      <t>: Practical ways to examine genuine Christianity</t>
    </r>
  </si>
  <si>
    <r>
      <t>Contrasts</t>
    </r>
    <r>
      <rPr>
        <sz val="11"/>
        <color theme="1"/>
        <rFont val="Calibri"/>
        <family val="2"/>
        <scheme val="minor"/>
      </rPr>
      <t>: Light/darkness, love/hate, truth/lies, life/death</t>
    </r>
  </si>
  <si>
    <r>
      <t>Simple Language</t>
    </r>
    <r>
      <rPr>
        <sz val="11"/>
        <color theme="1"/>
        <rFont val="Calibri"/>
        <family val="2"/>
        <scheme val="minor"/>
      </rPr>
      <t>: Basic vocabulary with profound theological depth</t>
    </r>
  </si>
  <si>
    <r>
      <t>Repetitive Structure</t>
    </r>
    <r>
      <rPr>
        <sz val="11"/>
        <color theme="1"/>
        <rFont val="Calibri"/>
        <family val="2"/>
        <scheme val="minor"/>
      </rPr>
      <t>: Key themes repeated and developed cyclically</t>
    </r>
  </si>
  <si>
    <r>
      <t>Eternal Life</t>
    </r>
    <r>
      <rPr>
        <sz val="11"/>
        <color theme="1"/>
        <rFont val="Calibri"/>
        <family val="2"/>
        <scheme val="minor"/>
      </rPr>
      <t>: Present possession and future hope of believers</t>
    </r>
  </si>
  <si>
    <r>
      <t>Truth vs. Error</t>
    </r>
    <r>
      <rPr>
        <sz val="11"/>
        <color theme="1"/>
        <rFont val="Calibri"/>
        <family val="2"/>
        <scheme val="minor"/>
      </rPr>
      <t>: Distinguishing true doctrine from false teaching</t>
    </r>
  </si>
  <si>
    <r>
      <t>Light vs. Darkness</t>
    </r>
    <r>
      <rPr>
        <sz val="11"/>
        <color theme="1"/>
        <rFont val="Calibri"/>
        <family val="2"/>
        <scheme val="minor"/>
      </rPr>
      <t>: Spiritual and moral contrast between good and evil</t>
    </r>
  </si>
  <si>
    <r>
      <t>Divine Love</t>
    </r>
    <r>
      <rPr>
        <sz val="11"/>
        <color theme="1"/>
        <rFont val="Calibri"/>
        <family val="2"/>
        <scheme val="minor"/>
      </rPr>
      <t>: God's love for believers and believers' love for one another</t>
    </r>
  </si>
  <si>
    <r>
      <t>Assurance of Salvation</t>
    </r>
    <r>
      <rPr>
        <sz val="11"/>
        <color theme="1"/>
        <rFont val="Calibri"/>
        <family val="2"/>
        <scheme val="minor"/>
      </rPr>
      <t>: Tests and evidences of genuine faith</t>
    </r>
  </si>
  <si>
    <t>Key Characteristics of 1 John</t>
  </si>
  <si>
    <t>John 1:1; 20:28; Romans 9:5; Titus 2:13</t>
  </si>
  <si>
    <t>John the Apostle</t>
  </si>
  <si>
    <t>c. 85-95 AD</t>
  </si>
  <si>
    <t>Ephesus (written)</t>
  </si>
  <si>
    <t>1 John 5:20</t>
  </si>
  <si>
    <t>Jesus Christ is the true God and eternal life</t>
  </si>
  <si>
    <t>Luke 24:45; 1 Corinthians 2:12; Ephesians 1:17-18</t>
  </si>
  <si>
    <t>God gives understanding to know the true One</t>
  </si>
  <si>
    <t>John 17:15; 2 Thessalonians 3:3; 1 Peter 1:5</t>
  </si>
  <si>
    <t>1 John 5:18</t>
  </si>
  <si>
    <t>Those born of God do not sin and are protected</t>
  </si>
  <si>
    <t>John 3:16; 17:3; Romans 6:23</t>
  </si>
  <si>
    <t>1 John 5:11</t>
  </si>
  <si>
    <t>God gives eternal life through His Son</t>
  </si>
  <si>
    <t>2 Corinthians 13:11; Ephesians 4:13; Colossians 3:14</t>
  </si>
  <si>
    <t>1 John 4:17</t>
  </si>
  <si>
    <t>God's love is perfected in believers</t>
  </si>
  <si>
    <t>John 3:17; 4:42; Luke 2:11</t>
  </si>
  <si>
    <t>1 John 4:14</t>
  </si>
  <si>
    <t>The Father sent the Son as Savior of the world</t>
  </si>
  <si>
    <t>Romans 8:9; 1 Corinthians 3:16; Galatians 4:6</t>
  </si>
  <si>
    <t>1 John 4:13</t>
  </si>
  <si>
    <t>God gives His Spirit to those who abide in Him</t>
  </si>
  <si>
    <t>Romans 5:8; 2 Corinthians 5:21; 1 Peter 2:24</t>
  </si>
  <si>
    <t>1 John 4:10</t>
  </si>
  <si>
    <t>Jesus as atoning sacrifice demonstrates God's love</t>
  </si>
  <si>
    <t>John 3:16; Romans 5:8; Galatians 4:4</t>
  </si>
  <si>
    <t>1 John 4:9</t>
  </si>
  <si>
    <t>God's love manifested through sending His Son</t>
  </si>
  <si>
    <t>John 3:3-8; 1 Peter 1:23; 2 Peter 1:4</t>
  </si>
  <si>
    <t>1 John 3:9</t>
  </si>
  <si>
    <t>Being born of God prevents continual sinning</t>
  </si>
  <si>
    <t>Hebrews 2:14; Colossians 2:15; Genesis 3:15</t>
  </si>
  <si>
    <t>1 John 3:8</t>
  </si>
  <si>
    <t>Christ appeared to destroy the devil's work</t>
  </si>
  <si>
    <t>Isaiah 53:6; John 1:29; Hebrews 9:26</t>
  </si>
  <si>
    <t>1 John 3:5</t>
  </si>
  <si>
    <t>Christ appeared to take away sins</t>
  </si>
  <si>
    <t>1 Corinthians 15:42-44; 2 Corinthians 3:18; Philippians 3:21</t>
  </si>
  <si>
    <t>1 John 3:2</t>
  </si>
  <si>
    <t>Believers will be like Christ when He appears</t>
  </si>
  <si>
    <t>Jesus (through John)</t>
  </si>
  <si>
    <t>1 John 2:25</t>
  </si>
  <si>
    <t>Divine promise of eternal life</t>
  </si>
  <si>
    <t>John 14:26; 16:13; 1 Corinthians 2:10-13</t>
  </si>
  <si>
    <t>1 John 2:27</t>
  </si>
  <si>
    <t>The anointing teaches about all things</t>
  </si>
  <si>
    <t>2 Corinthians 1:21; 1 Corinthians 2:12-13; John 14:26</t>
  </si>
  <si>
    <t>1 John 2:20</t>
  </si>
  <si>
    <t>Anointing from the Holy One gives knowledge</t>
  </si>
  <si>
    <t>Romans 3:25; Hebrews 2:17; John 11:51-52</t>
  </si>
  <si>
    <t>1 John 2:2</t>
  </si>
  <si>
    <t>Jesus is the atoning sacrifice for sins</t>
  </si>
  <si>
    <t>Romans 8:34; Hebrews 7:25; 1 Timothy 2:5</t>
  </si>
  <si>
    <t>1 John 2:1</t>
  </si>
  <si>
    <t>Jesus is our advocate with the Father</t>
  </si>
  <si>
    <t>Hebrews 9:14; Revelation 1:5; Ephesians 1:7</t>
  </si>
  <si>
    <t>1 John 1:7</t>
  </si>
  <si>
    <t>Jesus' blood cleanses from all sin</t>
  </si>
  <si>
    <t>John 8:12; James 1:17; Psalm 27:1</t>
  </si>
  <si>
    <t>1 John 1:5</t>
  </si>
  <si>
    <t>God is light with no darkness</t>
  </si>
  <si>
    <t>John 1:1, 14; 20:27; Luke 24:39</t>
  </si>
  <si>
    <t>1 John 1:1-3</t>
  </si>
  <si>
    <t>John testifies to seeing, hearing, and touching the Word of Life</t>
  </si>
  <si>
    <t>2 John:</t>
  </si>
  <si>
    <t>it contains no recorded miracles, supernatural events, or direct divine communications.</t>
  </si>
  <si>
    <t>Key Observations about 2 John:</t>
  </si>
  <si>
    <t>Why No Miracles Are Recorded:</t>
  </si>
  <si>
    <r>
      <t>Genre</t>
    </r>
    <r>
      <rPr>
        <sz val="11"/>
        <color theme="1"/>
        <rFont val="Calibri"/>
        <family val="2"/>
        <scheme val="minor"/>
      </rPr>
      <t>: It's a brief pastoral letter, not a narrative or historical account</t>
    </r>
  </si>
  <si>
    <r>
      <t>Purpose</t>
    </r>
    <r>
      <rPr>
        <sz val="11"/>
        <color theme="1"/>
        <rFont val="Calibri"/>
        <family val="2"/>
        <scheme val="minor"/>
      </rPr>
      <t>: Focused on doctrinal warning and practical Christian living</t>
    </r>
  </si>
  <si>
    <r>
      <t>Length</t>
    </r>
    <r>
      <rPr>
        <sz val="11"/>
        <color theme="1"/>
        <rFont val="Calibri"/>
        <family val="2"/>
        <scheme val="minor"/>
      </rPr>
      <t>: Only 13 verses - the shortest book in the New Testament</t>
    </r>
  </si>
  <si>
    <r>
      <t>Scope</t>
    </r>
    <r>
      <rPr>
        <sz val="11"/>
        <color theme="1"/>
        <rFont val="Calibri"/>
        <family val="2"/>
        <scheme val="minor"/>
      </rPr>
      <t>: Addresses specific concerns about false teachers rather than recording events</t>
    </r>
  </si>
  <si>
    <r>
      <t>The Book's Supernatural Significance:</t>
    </r>
    <r>
      <rPr>
        <sz val="11"/>
        <color theme="1"/>
        <rFont val="Calibri"/>
        <family val="2"/>
        <scheme val="minor"/>
      </rPr>
      <t xml:space="preserve"> While 2 John doesn't record miraculous events, it addresses supernatural realities:</t>
    </r>
  </si>
  <si>
    <t>The divine truth that dwells in believers</t>
  </si>
  <si>
    <t>The spiritual warfare against deception</t>
  </si>
  <si>
    <t>The eternal life found in Christ</t>
  </si>
  <si>
    <t>The inspired nature of apostolic teaching</t>
  </si>
  <si>
    <r>
      <t>Contrast with Other Books:</t>
    </r>
    <r>
      <rPr>
        <sz val="11"/>
        <color theme="1"/>
        <rFont val="Calibri"/>
        <family val="2"/>
        <scheme val="minor"/>
      </rPr>
      <t xml:space="preserve"> This highlights how different biblical books serve different purposes. While Matthew records numerous miracles demonstrating Jesus' divine power, and Hosea contains prophetic revelations, 2 John serves as a concentrated dose of apostolic wisdom for maintaining doctrinal purity and Christian love.</t>
    </r>
  </si>
  <si>
    <t>The absence of recorded miracles doesn't diminish 2 John's importance - it demonstrates how God works through different literary forms and purposes to communicate His truth to His people.</t>
  </si>
  <si>
    <r>
      <t>Note:</t>
    </r>
    <r>
      <rPr>
        <sz val="11"/>
        <color theme="1"/>
        <rFont val="Calibri"/>
        <family val="2"/>
        <scheme val="minor"/>
      </rPr>
      <t xml:space="preserve"> Unlike the Gospels or Acts, 2 John is a brief pastoral letter focused on doctrinal and practical matters rather than recording miraculous events. The book's supernatural element lies in its divine inspiration and the spiritual truths it conveys about Christ, truth, and Christia</t>
    </r>
  </si>
  <si>
    <r>
      <t>Eschatological Awareness</t>
    </r>
    <r>
      <rPr>
        <sz val="11"/>
        <color theme="1"/>
        <rFont val="Calibri"/>
        <family val="2"/>
        <scheme val="minor"/>
      </rPr>
      <t>: Recognition of antichrist and end-times deception</t>
    </r>
  </si>
  <si>
    <r>
      <t>Christian Fellowship</t>
    </r>
    <r>
      <rPr>
        <sz val="11"/>
        <color theme="1"/>
        <rFont val="Calibri"/>
        <family val="2"/>
        <scheme val="minor"/>
      </rPr>
      <t>: Guidelines for authentic Christian relationships</t>
    </r>
  </si>
  <si>
    <r>
      <t>Doctrinal Purity</t>
    </r>
    <r>
      <rPr>
        <sz val="11"/>
        <color theme="1"/>
        <rFont val="Calibri"/>
        <family val="2"/>
        <scheme val="minor"/>
      </rPr>
      <t>: Importance of maintaining apostolic teaching</t>
    </r>
  </si>
  <si>
    <r>
      <t>Christological Concern</t>
    </r>
    <r>
      <rPr>
        <sz val="11"/>
        <color theme="1"/>
        <rFont val="Calibri"/>
        <family val="2"/>
        <scheme val="minor"/>
      </rPr>
      <t>: Emphasis on Christ coming "in the flesh"</t>
    </r>
  </si>
  <si>
    <r>
      <t>Purpose</t>
    </r>
    <r>
      <rPr>
        <sz val="11"/>
        <color theme="1"/>
        <rFont val="Calibri"/>
        <family val="2"/>
        <scheme val="minor"/>
      </rPr>
      <t>: Warning against Gnostic-type heresies denying Christ's true humanity</t>
    </r>
  </si>
  <si>
    <r>
      <t>Recipients</t>
    </r>
    <r>
      <rPr>
        <sz val="11"/>
        <color theme="1"/>
        <rFont val="Calibri"/>
        <family val="2"/>
        <scheme val="minor"/>
      </rPr>
      <t>: "The elect lady and her children" (possibly a church and its members)</t>
    </r>
  </si>
  <si>
    <r>
      <t>Author</t>
    </r>
    <r>
      <rPr>
        <sz val="11"/>
        <color theme="1"/>
        <rFont val="Calibri"/>
        <family val="2"/>
        <scheme val="minor"/>
      </rPr>
      <t>: The Apostle John (referred to as "the elder")</t>
    </r>
  </si>
  <si>
    <r>
      <t>Time Period</t>
    </r>
    <r>
      <rPr>
        <sz val="11"/>
        <color theme="1"/>
        <rFont val="Calibri"/>
        <family val="2"/>
        <scheme val="minor"/>
      </rPr>
      <t>: c. 85-95 AD (late first century)</t>
    </r>
  </si>
  <si>
    <r>
      <t>Divine Truth</t>
    </r>
    <r>
      <rPr>
        <sz val="11"/>
        <color theme="1"/>
        <rFont val="Calibri"/>
        <family val="2"/>
        <scheme val="minor"/>
      </rPr>
      <t>: References the indwelling truth and eternal life through Christ</t>
    </r>
  </si>
  <si>
    <r>
      <t>Spiritual Warfare Context</t>
    </r>
    <r>
      <rPr>
        <sz val="11"/>
        <color theme="1"/>
        <rFont val="Calibri"/>
        <family val="2"/>
        <scheme val="minor"/>
      </rPr>
      <t>: Addresses spiritual deception and false teaching</t>
    </r>
  </si>
  <si>
    <r>
      <t>Implied Divine Inspiration</t>
    </r>
    <r>
      <rPr>
        <sz val="11"/>
        <color theme="1"/>
        <rFont val="Calibri"/>
        <family val="2"/>
        <scheme val="minor"/>
      </rPr>
      <t>: The letter itself represents inspired Scripture</t>
    </r>
  </si>
  <si>
    <r>
      <t>None Explicitly Recorded</t>
    </r>
    <r>
      <rPr>
        <sz val="11"/>
        <color theme="1"/>
        <rFont val="Calibri"/>
        <family val="2"/>
        <scheme val="minor"/>
      </rPr>
      <t>: 2 John contains no accounts of miracles, visions, or direct supernatural interventions</t>
    </r>
  </si>
  <si>
    <r>
      <t>Practical Instructions</t>
    </r>
    <r>
      <rPr>
        <sz val="11"/>
        <color theme="1"/>
        <rFont val="Calibri"/>
        <family val="2"/>
        <scheme val="minor"/>
      </rPr>
      <t>: Focuses on Christian conduct and discernment</t>
    </r>
  </si>
  <si>
    <r>
      <t>Pastoral Tone</t>
    </r>
    <r>
      <rPr>
        <sz val="11"/>
        <color theme="1"/>
        <rFont val="Calibri"/>
        <family val="2"/>
        <scheme val="minor"/>
      </rPr>
      <t>: Combines affection with urgent warning</t>
    </r>
  </si>
  <si>
    <r>
      <t>Brevity</t>
    </r>
    <r>
      <rPr>
        <sz val="11"/>
        <color theme="1"/>
        <rFont val="Calibri"/>
        <family val="2"/>
        <scheme val="minor"/>
      </rPr>
      <t>: Shortest book in the New Testament (only 13 verses)</t>
    </r>
  </si>
  <si>
    <r>
      <t>Personal Letter Format</t>
    </r>
    <r>
      <rPr>
        <sz val="11"/>
        <color theme="1"/>
        <rFont val="Calibri"/>
        <family val="2"/>
        <scheme val="minor"/>
      </rPr>
      <t>: Written as a brief personal epistle</t>
    </r>
  </si>
  <si>
    <r>
      <t>Perseverance in Faith</t>
    </r>
    <r>
      <rPr>
        <sz val="11"/>
        <color theme="1"/>
        <rFont val="Calibri"/>
        <family val="2"/>
        <scheme val="minor"/>
      </rPr>
      <t>: Encouragement to continue in the teaching of Christ</t>
    </r>
  </si>
  <si>
    <r>
      <t>Hospitality Guidelines</t>
    </r>
    <r>
      <rPr>
        <sz val="11"/>
        <color theme="1"/>
        <rFont val="Calibri"/>
        <family val="2"/>
        <scheme val="minor"/>
      </rPr>
      <t>: Instructions about receiving traveling teachers</t>
    </r>
  </si>
  <si>
    <r>
      <t>Warning Against Deceivers</t>
    </r>
    <r>
      <rPr>
        <sz val="11"/>
        <color theme="1"/>
        <rFont val="Calibri"/>
        <family val="2"/>
        <scheme val="minor"/>
      </rPr>
      <t>: Cautions against false teachers who deny Christ's incarnation</t>
    </r>
  </si>
  <si>
    <r>
      <t>Truth and Love</t>
    </r>
    <r>
      <rPr>
        <sz val="11"/>
        <color theme="1"/>
        <rFont val="Calibri"/>
        <family val="2"/>
        <scheme val="minor"/>
      </rPr>
      <t>: Emphasizes walking in truth and loving one another</t>
    </r>
  </si>
  <si>
    <t>Key Characteristics of 2 John</t>
  </si>
  <si>
    <t>3 John:</t>
  </si>
  <si>
    <t>a table for 3 John, which presents unique challenges compared to Matthew since it's a brief personal letter rather than a narrative gospel.</t>
  </si>
  <si>
    <t>Key Observations about 3 John:</t>
  </si>
  <si>
    <t>Limited Supernatural Content:</t>
  </si>
  <si>
    <t>As the shortest book in the New Testament, 3 John focuses on practical Christian living rather than miraculous events</t>
  </si>
  <si>
    <t>The "acts of God" are primarily spiritual and relational rather than dramatic supernatural interventions</t>
  </si>
  <si>
    <t>The letter emphasizes God's ongoing work through faithful believers and church relationships</t>
  </si>
  <si>
    <t>Types of Divine Activity:</t>
  </si>
  <si>
    <r>
      <t>Apostolic Authority</t>
    </r>
    <r>
      <rPr>
        <sz val="11"/>
        <color theme="1"/>
        <rFont val="Calibri"/>
        <family val="2"/>
        <scheme val="minor"/>
      </rPr>
      <t>: John's divine commission to write with spiritual authority</t>
    </r>
  </si>
  <si>
    <r>
      <t>Spiritual Discernment</t>
    </r>
    <r>
      <rPr>
        <sz val="11"/>
        <color theme="1"/>
        <rFont val="Calibri"/>
        <family val="2"/>
        <scheme val="minor"/>
      </rPr>
      <t>: Recognition of truth and character through divine insight</t>
    </r>
  </si>
  <si>
    <r>
      <t>Intercessory Prayer</t>
    </r>
    <r>
      <rPr>
        <sz val="11"/>
        <color theme="1"/>
        <rFont val="Calibri"/>
        <family val="2"/>
        <scheme val="minor"/>
      </rPr>
      <t>: Apostolic prayers carrying divine blessing</t>
    </r>
  </si>
  <si>
    <r>
      <t>Divine Witness</t>
    </r>
    <r>
      <rPr>
        <sz val="11"/>
        <color theme="1"/>
        <rFont val="Calibri"/>
        <family val="2"/>
        <scheme val="minor"/>
      </rPr>
      <t>: God's testimony through faithful Christian conduct</t>
    </r>
  </si>
  <si>
    <r>
      <t>Contrast with Other Books:</t>
    </r>
    <r>
      <rPr>
        <sz val="11"/>
        <color theme="1"/>
        <rFont val="Calibri"/>
        <family val="2"/>
        <scheme val="minor"/>
      </rPr>
      <t xml:space="preserve"> Unlike Matthew (rich in miracles) or even Hosea (prophetic revelations), 3 John demonstrates how God works in the everyday life of the church through:</t>
    </r>
  </si>
  <si>
    <t>Personal relationships and hospitality</t>
  </si>
  <si>
    <t>Truth lived out in practical ways</t>
  </si>
  <si>
    <t>Leadership that reflects godly character</t>
  </si>
  <si>
    <t>Communities that support gospel ministry</t>
  </si>
  <si>
    <t>This shows that God's supernatural work isn't limited to dramatic miracles but includes His ongoing presence and activity in the normal Christian life and church fellowship.</t>
  </si>
  <si>
    <r>
      <t>Note:</t>
    </r>
    <r>
      <rPr>
        <sz val="11"/>
        <color theme="1"/>
        <rFont val="Calibri"/>
        <family val="2"/>
        <scheme val="minor"/>
      </rPr>
      <t xml:space="preserve"> While 3 John contains fewer dramatic supernatural events compared to narrative books, it demonstrates God's ongoing work through apostolic authority, spiritual discernment, divine blessing, and the recognition of truth vs. error. The letter shows how God continues to work through faithful believers and church leaders in the post-apostolic era. The "miracles" in 3 John are primarily relational and spiritual rather than physical manifestations.</t>
    </r>
  </si>
  <si>
    <r>
      <t>Apostolic Blessing</t>
    </r>
    <r>
      <rPr>
        <sz val="11"/>
        <color theme="1"/>
        <rFont val="Calibri"/>
        <family val="2"/>
        <scheme val="minor"/>
      </rPr>
      <t>: Prayers and benedictions carrying apostolic authority</t>
    </r>
  </si>
  <si>
    <r>
      <t>Divine Standards</t>
    </r>
    <r>
      <rPr>
        <sz val="11"/>
        <color theme="1"/>
        <rFont val="Calibri"/>
        <family val="2"/>
        <scheme val="minor"/>
      </rPr>
      <t>: God's approval based on character and conduct</t>
    </r>
  </si>
  <si>
    <r>
      <t>God's Witness</t>
    </r>
    <r>
      <rPr>
        <sz val="11"/>
        <color theme="1"/>
        <rFont val="Calibri"/>
        <family val="2"/>
        <scheme val="minor"/>
      </rPr>
      <t>: Recognition that God witnesses and validates faithful service</t>
    </r>
  </si>
  <si>
    <r>
      <t>Divine Truth</t>
    </r>
    <r>
      <rPr>
        <sz val="11"/>
        <color theme="1"/>
        <rFont val="Calibri"/>
        <family val="2"/>
        <scheme val="minor"/>
      </rPr>
      <t>: Emphasis on walking in truth as evidence of divine life</t>
    </r>
  </si>
  <si>
    <t>Spiritual Significance:</t>
  </si>
  <si>
    <r>
      <t>Purpose</t>
    </r>
    <r>
      <rPr>
        <sz val="11"/>
        <color theme="1"/>
        <rFont val="Calibri"/>
        <family val="2"/>
        <scheme val="minor"/>
      </rPr>
      <t>: Commend faithful hospitality and address church leadership issues</t>
    </r>
  </si>
  <si>
    <r>
      <t>Audience</t>
    </r>
    <r>
      <rPr>
        <sz val="11"/>
        <color theme="1"/>
        <rFont val="Calibri"/>
        <family val="2"/>
        <scheme val="minor"/>
      </rPr>
      <t>: Gaius, a beloved Christian leader and his church</t>
    </r>
  </si>
  <si>
    <r>
      <t>Author</t>
    </r>
    <r>
      <rPr>
        <sz val="11"/>
        <color theme="1"/>
        <rFont val="Calibri"/>
        <family val="2"/>
        <scheme val="minor"/>
      </rPr>
      <t>: Apostle John in his advanced age</t>
    </r>
  </si>
  <si>
    <r>
      <t>Prophetic Warning</t>
    </r>
    <r>
      <rPr>
        <sz val="11"/>
        <color theme="1"/>
        <rFont val="Calibri"/>
        <family val="2"/>
        <scheme val="minor"/>
      </rPr>
      <t>: Warning about consequences of evil behavior</t>
    </r>
  </si>
  <si>
    <r>
      <t>Divine Blessing</t>
    </r>
    <r>
      <rPr>
        <sz val="11"/>
        <color theme="1"/>
        <rFont val="Calibri"/>
        <family val="2"/>
        <scheme val="minor"/>
      </rPr>
      <t>: Prayers for prosperity and spiritual health</t>
    </r>
  </si>
  <si>
    <r>
      <t>Spiritual Discernment</t>
    </r>
    <r>
      <rPr>
        <sz val="11"/>
        <color theme="1"/>
        <rFont val="Calibri"/>
        <family val="2"/>
        <scheme val="minor"/>
      </rPr>
      <t>: Recognition of truth vs. error in character</t>
    </r>
  </si>
  <si>
    <r>
      <t>Apostolic Authority</t>
    </r>
    <r>
      <rPr>
        <sz val="11"/>
        <color theme="1"/>
        <rFont val="Calibri"/>
        <family val="2"/>
        <scheme val="minor"/>
      </rPr>
      <t>: John writes with divine authority as an apostle</t>
    </r>
  </si>
  <si>
    <r>
      <t>Pastoral Tone</t>
    </r>
    <r>
      <rPr>
        <sz val="11"/>
        <color theme="1"/>
        <rFont val="Calibri"/>
        <family val="2"/>
        <scheme val="minor"/>
      </rPr>
      <t>: Warm, encouraging, and corrective as needed</t>
    </r>
  </si>
  <si>
    <r>
      <t>Individual Focus</t>
    </r>
    <r>
      <rPr>
        <sz val="11"/>
        <color theme="1"/>
        <rFont val="Calibri"/>
        <family val="2"/>
        <scheme val="minor"/>
      </rPr>
      <t>: Addresses specific people (Gaius, Diotrephes, Demetrius)</t>
    </r>
  </si>
  <si>
    <r>
      <t>Brevity</t>
    </r>
    <r>
      <rPr>
        <sz val="11"/>
        <color theme="1"/>
        <rFont val="Calibri"/>
        <family val="2"/>
        <scheme val="minor"/>
      </rPr>
      <t>: Shortest book in the New Testament (219 words in Greek)</t>
    </r>
  </si>
  <si>
    <r>
      <t>Personal Letter Format</t>
    </r>
    <r>
      <rPr>
        <sz val="11"/>
        <color theme="1"/>
        <rFont val="Calibri"/>
        <family val="2"/>
        <scheme val="minor"/>
      </rPr>
      <t>: Most personal of John's three epistles</t>
    </r>
  </si>
  <si>
    <r>
      <t>Personal Relationships</t>
    </r>
    <r>
      <rPr>
        <sz val="11"/>
        <color theme="1"/>
        <rFont val="Calibri"/>
        <family val="2"/>
        <scheme val="minor"/>
      </rPr>
      <t>: Intimate pastoral letter to beloved friend</t>
    </r>
  </si>
  <si>
    <r>
      <t>Church Leadership</t>
    </r>
    <r>
      <rPr>
        <sz val="11"/>
        <color theme="1"/>
        <rFont val="Calibri"/>
        <family val="2"/>
        <scheme val="minor"/>
      </rPr>
      <t>: Contrasting good and bad leadership examples</t>
    </r>
  </si>
  <si>
    <r>
      <t>Truth and Love</t>
    </r>
    <r>
      <rPr>
        <sz val="11"/>
        <color theme="1"/>
        <rFont val="Calibri"/>
        <family val="2"/>
        <scheme val="minor"/>
      </rPr>
      <t>: Walking in truth while showing practical love</t>
    </r>
  </si>
  <si>
    <r>
      <t>Christian Hospitality</t>
    </r>
    <r>
      <rPr>
        <sz val="11"/>
        <color theme="1"/>
        <rFont val="Calibri"/>
        <family val="2"/>
        <scheme val="minor"/>
      </rPr>
      <t>: Commending support for traveling ministers</t>
    </r>
  </si>
  <si>
    <t>Key Characteristics of 3 John</t>
  </si>
  <si>
    <t>Acts 6:3; 1 Timothy 3:7</t>
  </si>
  <si>
    <t>Apostolic Witness</t>
  </si>
  <si>
    <t>Apostle John</t>
  </si>
  <si>
    <t>Unknown (letter destination)</t>
  </si>
  <si>
    <t>3 John 1:12</t>
  </si>
  <si>
    <t>John gives apostolic testimony about Demetrius' good reputation</t>
  </si>
  <si>
    <t>1 John 3:10; Matthew 7:16-20</t>
  </si>
  <si>
    <t>3 John 1:11</t>
  </si>
  <si>
    <t>John declares that good deeds are evidence of being "from God"</t>
  </si>
  <si>
    <t>1 John 3:6; Psalm 34:14</t>
  </si>
  <si>
    <t>John warns of God's judgment on evil behavior</t>
  </si>
  <si>
    <t>1 John 5:9-10; Acts 15:8</t>
  </si>
  <si>
    <t>3 John 1:6</t>
  </si>
  <si>
    <t>John acknowledges God's witness through faithful believers</t>
  </si>
  <si>
    <t>2 John 1:4; 1 John 1:6-7</t>
  </si>
  <si>
    <t>3 John 1:3-4</t>
  </si>
  <si>
    <t>John testifies to walking in truth as divine blessing</t>
  </si>
  <si>
    <t>1 Corinthians 16:23; 2 Corinthians 13:14</t>
  </si>
  <si>
    <t>Apostolic Prayer/Blessing</t>
  </si>
  <si>
    <t>3 John 1:2</t>
  </si>
  <si>
    <t>John expresses prayer for Gaius' prosperity and health</t>
  </si>
  <si>
    <t>Jude:</t>
  </si>
  <si>
    <t>I've created a comprehensive table for the Book of Jude, ordered by scripture reference. Despite being only 25 verses long, Jude contains numerous references to supernatural events and divine acts spanning biblical history.</t>
  </si>
  <si>
    <t>Key Features of Jude's Supernatural Content:</t>
  </si>
  <si>
    <t>Focuses primarily on God's past judgments as warnings</t>
  </si>
  <si>
    <t>References span from primordial times (Cain) to eschatological future</t>
  </si>
  <si>
    <t>Uses both canonical and extra-biblical sources</t>
  </si>
  <si>
    <t>Only biblical mention of Michael's dispute with Satan over Moses' body</t>
  </si>
  <si>
    <t>Direct quotation from the Book of Enoch (rare in canonical Scripture)</t>
  </si>
  <si>
    <t>References to the "Assumption of Moses" (apocryphal work)</t>
  </si>
  <si>
    <t>Spiritual Warfare Theme:</t>
  </si>
  <si>
    <t>Emphasizes conflicts in the spiritual realm</t>
  </si>
  <si>
    <t>Shows God's authority over rebellious angels</t>
  </si>
  <si>
    <t>Demonstrates ongoing battle between good and evil</t>
  </si>
  <si>
    <r>
      <t>Purpose:</t>
    </r>
    <r>
      <rPr>
        <sz val="11"/>
        <color theme="1"/>
        <rFont val="Calibri"/>
        <family val="2"/>
        <scheme val="minor"/>
      </rPr>
      <t xml:space="preserve"> Unlike other biblical books that primarily narrate new miraculous events, Jude uses historical supernatural events as cautionary examples to warn against apostasy and encourage believers to "contend earnestly for the faith." The book serves as a compact anthology of divine judgments throughout history, demonstrating God's consistent pattern of dealing with rebellion while preserving the faithful.</t>
    </r>
  </si>
  <si>
    <r>
      <t>Note:</t>
    </r>
    <r>
      <rPr>
        <sz val="11"/>
        <color theme="1"/>
        <rFont val="Calibri"/>
        <family val="2"/>
        <scheme val="minor"/>
      </rPr>
      <t xml:space="preserve"> Despite being the second shortest book in the New Testament (only 25 verses), Jude contains numerous references to supernatural events spanning from primordial times to the eschaton. The book primarily references historical miracles and divine judgments rather than describing new miraculous events, using these examples to warn against apostasy and encourage faithfulness. Jude's unique contribution includes the only biblical reference to Michael's dispute with Satan and the direct quotation from the Book of Enoch.</t>
    </r>
  </si>
  <si>
    <r>
      <t>Oral Tradition</t>
    </r>
    <r>
      <rPr>
        <sz val="11"/>
        <color theme="1"/>
        <rFont val="Calibri"/>
        <family val="2"/>
        <scheme val="minor"/>
      </rPr>
      <t>: References to events not fully detailed in canonical Scripture</t>
    </r>
  </si>
  <si>
    <r>
      <t>Assumption of Moses</t>
    </r>
    <r>
      <rPr>
        <sz val="11"/>
        <color theme="1"/>
        <rFont val="Calibri"/>
        <family val="2"/>
        <scheme val="minor"/>
      </rPr>
      <t>: Likely reference to this apocryphal work (v. 9)</t>
    </r>
  </si>
  <si>
    <r>
      <t>Book of Enoch</t>
    </r>
    <r>
      <rPr>
        <sz val="11"/>
        <color theme="1"/>
        <rFont val="Calibri"/>
        <family val="2"/>
        <scheme val="minor"/>
      </rPr>
      <t>: Direct quotation from this extra-biblical text (v. 14-15)</t>
    </r>
  </si>
  <si>
    <r>
      <t>Old Testament</t>
    </r>
    <r>
      <rPr>
        <sz val="11"/>
        <color theme="1"/>
        <rFont val="Calibri"/>
        <family val="2"/>
        <scheme val="minor"/>
      </rPr>
      <t>: Multiple references to historical events</t>
    </r>
  </si>
  <si>
    <t>Sources and References:</t>
  </si>
  <si>
    <r>
      <t>Purpose</t>
    </r>
    <r>
      <rPr>
        <sz val="11"/>
        <color theme="1"/>
        <rFont val="Calibri"/>
        <family val="2"/>
        <scheme val="minor"/>
      </rPr>
      <t>: Warning against apostasy and encouragement to remain faithful</t>
    </r>
  </si>
  <si>
    <r>
      <t>Audience</t>
    </r>
    <r>
      <rPr>
        <sz val="11"/>
        <color theme="1"/>
        <rFont val="Calibri"/>
        <family val="2"/>
        <scheme val="minor"/>
      </rPr>
      <t>: Jewish Christians facing infiltration by false teachers</t>
    </r>
  </si>
  <si>
    <r>
      <t>Author</t>
    </r>
    <r>
      <rPr>
        <sz val="11"/>
        <color theme="1"/>
        <rFont val="Calibri"/>
        <family val="2"/>
        <scheme val="minor"/>
      </rPr>
      <t>: Jude, brother of Jesus and James</t>
    </r>
  </si>
  <si>
    <r>
      <t>Time Period</t>
    </r>
    <r>
      <rPr>
        <sz val="11"/>
        <color theme="1"/>
        <rFont val="Calibri"/>
        <family val="2"/>
        <scheme val="minor"/>
      </rPr>
      <t>: c. 65-80 AD (letter written)</t>
    </r>
  </si>
  <si>
    <r>
      <t>Eschatological Promises</t>
    </r>
    <r>
      <rPr>
        <sz val="11"/>
        <color theme="1"/>
        <rFont val="Calibri"/>
        <family val="2"/>
        <scheme val="minor"/>
      </rPr>
      <t>: Future supernatural acts of God</t>
    </r>
  </si>
  <si>
    <r>
      <t>Divine Preservation</t>
    </r>
    <r>
      <rPr>
        <sz val="11"/>
        <color theme="1"/>
        <rFont val="Calibri"/>
        <family val="2"/>
        <scheme val="minor"/>
      </rPr>
      <t>: God's supernatural ability to keep believers secure</t>
    </r>
  </si>
  <si>
    <r>
      <t>Prophetic Revelation</t>
    </r>
    <r>
      <rPr>
        <sz val="11"/>
        <color theme="1"/>
        <rFont val="Calibri"/>
        <family val="2"/>
        <scheme val="minor"/>
      </rPr>
      <t>: Enoch's ancient prophecy of eschatological judgment</t>
    </r>
  </si>
  <si>
    <r>
      <t>Divine Judgment</t>
    </r>
    <r>
      <rPr>
        <sz val="11"/>
        <color theme="1"/>
        <rFont val="Calibri"/>
        <family val="2"/>
        <scheme val="minor"/>
      </rPr>
      <t>: God's supernatural intervention in history</t>
    </r>
  </si>
  <si>
    <r>
      <t>Angelic Warfare</t>
    </r>
    <r>
      <rPr>
        <sz val="11"/>
        <color theme="1"/>
        <rFont val="Calibri"/>
        <family val="2"/>
        <scheme val="minor"/>
      </rPr>
      <t>: References to conflicts in the spiritual realm</t>
    </r>
  </si>
  <si>
    <r>
      <t>Apocalyptic Language</t>
    </r>
    <r>
      <rPr>
        <sz val="11"/>
        <color theme="1"/>
        <rFont val="Calibri"/>
        <family val="2"/>
        <scheme val="minor"/>
      </rPr>
      <t>: Vivid imagery of judgment and divine intervention</t>
    </r>
  </si>
  <si>
    <r>
      <t>Doxology</t>
    </r>
    <r>
      <rPr>
        <sz val="11"/>
        <color theme="1"/>
        <rFont val="Calibri"/>
        <family val="2"/>
        <scheme val="minor"/>
      </rPr>
      <t>: Concludes with one of Scripture's most beautiful praise passages</t>
    </r>
  </si>
  <si>
    <r>
      <t>Historical Examples</t>
    </r>
    <r>
      <rPr>
        <sz val="11"/>
        <color theme="1"/>
        <rFont val="Calibri"/>
        <family val="2"/>
        <scheme val="minor"/>
      </rPr>
      <t>: Uses Old Testament and extra-biblical sources for illustration</t>
    </r>
  </si>
  <si>
    <r>
      <t>Triplets</t>
    </r>
    <r>
      <rPr>
        <sz val="11"/>
        <color theme="1"/>
        <rFont val="Calibri"/>
        <family val="2"/>
        <scheme val="minor"/>
      </rPr>
      <t>: Many concepts presented in groups of three (v. 11 - Cain, Balaam, Korah)</t>
    </r>
  </si>
  <si>
    <r>
      <t>Preservation of the Saints</t>
    </r>
    <r>
      <rPr>
        <sz val="11"/>
        <color theme="1"/>
        <rFont val="Calibri"/>
        <family val="2"/>
        <scheme val="minor"/>
      </rPr>
      <t>: God's faithfulness to keep believers secure</t>
    </r>
  </si>
  <si>
    <r>
      <t>Spiritual Warfare</t>
    </r>
    <r>
      <rPr>
        <sz val="11"/>
        <color theme="1"/>
        <rFont val="Calibri"/>
        <family val="2"/>
        <scheme val="minor"/>
      </rPr>
      <t>: Conflict between good and evil, angels and demons</t>
    </r>
  </si>
  <si>
    <r>
      <t>Divine Judgment</t>
    </r>
    <r>
      <rPr>
        <sz val="11"/>
        <color theme="1"/>
        <rFont val="Calibri"/>
        <family val="2"/>
        <scheme val="minor"/>
      </rPr>
      <t>: Historical examples of God's judgment on rebellion</t>
    </r>
  </si>
  <si>
    <r>
      <t>Contending for the Faith</t>
    </r>
    <r>
      <rPr>
        <sz val="11"/>
        <color theme="1"/>
        <rFont val="Calibri"/>
        <family val="2"/>
        <scheme val="minor"/>
      </rPr>
      <t>: Defense against false teachers and apostasy</t>
    </r>
  </si>
  <si>
    <t>Key Characteristics of the Book of Jude</t>
  </si>
  <si>
    <t>Ephesians 5:27; Colossians 1:22; 1 Thessalonians 5:23</t>
  </si>
  <si>
    <t>Eschatological</t>
  </si>
  <si>
    <t>Jude 1:24</t>
  </si>
  <si>
    <t>God's ability to present believers blameless</t>
  </si>
  <si>
    <t>John 10:28-29; 1 Peter 1:5; Romans 8:38-39</t>
  </si>
  <si>
    <t>God's preservation of believers</t>
  </si>
  <si>
    <t>Genesis 5:21-24; Hebrews 11:5; 1 Enoch 1:9</t>
  </si>
  <si>
    <t>Enoch</t>
  </si>
  <si>
    <t>Before flood</t>
  </si>
  <si>
    <t>Antediluvian period</t>
  </si>
  <si>
    <t>Jude 1:14-15</t>
  </si>
  <si>
    <t>Enoch's prophetic vision of God's coming judgment</t>
  </si>
  <si>
    <t>Numbers 16:1-35; Psalm 106:16-18</t>
  </si>
  <si>
    <t>Jude 1:11</t>
  </si>
  <si>
    <t>God's judgment on Korah's rebellion</t>
  </si>
  <si>
    <t>Numbers 22:1-24:25; 2 Peter 2:15; Revelation 2:14</t>
  </si>
  <si>
    <t>Moab/Midian</t>
  </si>
  <si>
    <t>God's judgment on Balaam's greed</t>
  </si>
  <si>
    <t>Genesis 4:3-16; 1 John 3:12</t>
  </si>
  <si>
    <t>Primordial time</t>
  </si>
  <si>
    <t>God's judgment on Cain's rebellion</t>
  </si>
  <si>
    <t>Deuteronomy 34:5-6; Daniel 10:13, 12:1; Revelation 12:7</t>
  </si>
  <si>
    <t>Michael/Satan</t>
  </si>
  <si>
    <t>Unknown location</t>
  </si>
  <si>
    <t>Jude 1:9</t>
  </si>
  <si>
    <t>Michael the Archangel disputes with Satan over Moses' body</t>
  </si>
  <si>
    <t>Genesis 19:24-28; 2 Peter 2:6; Luke 17:28-30</t>
  </si>
  <si>
    <t>Sodom/Gomorrah</t>
  </si>
  <si>
    <t>Jude 1:7</t>
  </si>
  <si>
    <t>God's destruction of Sodom and Gomorrah by fire</t>
  </si>
  <si>
    <t>2 Peter 2:4; Revelation 20:1-3</t>
  </si>
  <si>
    <t>Jude 1:6</t>
  </si>
  <si>
    <t>God's binding of fallen angels in darkness</t>
  </si>
  <si>
    <t>2 Peter 2:4; Genesis 6:1-4; 1 Enoch 6-16</t>
  </si>
  <si>
    <t>Angels/God</t>
  </si>
  <si>
    <t>Angels' fall from their original position</t>
  </si>
  <si>
    <t>Numbers 14:26-35; 1 Corinthians 10:5; Hebrews 3:17-19</t>
  </si>
  <si>
    <t>Jude 1:5</t>
  </si>
  <si>
    <t>God's destruction of unbelieving Israelites in wilderness</t>
  </si>
  <si>
    <t>Exodus 14:21-31; Numbers 14:11-35; 1 Corinthians 10:1-11; Hebrews 3:16-19</t>
  </si>
  <si>
    <t>Egypt/Wilderness</t>
  </si>
  <si>
    <t>God's salvation of His people from Egypt</t>
  </si>
  <si>
    <t>Revelation:</t>
  </si>
  <si>
    <t xml:space="preserve">In table format, give a comprehensive list of all miracles, acts of GOD, and occurrences of GOD speaking to man in the Holy Bible's book of Genesis saved as seven columns: "Description" (a short description of the event), "Reference" (all scripture references to the event), "Location" (the historical location where the event took place), "Date" (the known or approximate date), "Messenger" (who GOD used to perform the miracle, or GOD is no one is directly used), "Category" (the category or type of miracle or act of god) and "Cross References" (all other scriptural cross references to the event).  Order the table by scripture reference, ascending. Do not include events that are neither miracles, "acts of God" nor divine communications of God with man or spiritual beings. </t>
  </si>
  <si>
    <t>a comprehensive table of miracles, acts of God, and divine communications in the Book of Revelation, ordered by scripture reference and including cross-references to other biblical passages.</t>
  </si>
  <si>
    <t>The Book of Revelation is uniquely rich in supernatural content, containing:</t>
  </si>
  <si>
    <t>Key Categories of Supernatural Events:</t>
  </si>
  <si>
    <r>
      <t>Prophetic Visions</t>
    </r>
    <r>
      <rPr>
        <sz val="11"/>
        <color theme="1"/>
        <rFont val="Calibri"/>
        <family val="2"/>
        <scheme val="minor"/>
      </rPr>
      <t>: Extensive supernatural revelations of future events</t>
    </r>
  </si>
  <si>
    <r>
      <t>Divine Manifestations</t>
    </r>
    <r>
      <rPr>
        <sz val="11"/>
        <color theme="1"/>
        <rFont val="Calibri"/>
        <family val="2"/>
        <scheme val="minor"/>
      </rPr>
      <t>: Appearances of Christ, God's throne, heavenly beings</t>
    </r>
  </si>
  <si>
    <r>
      <t>Angelic Activity</t>
    </r>
    <r>
      <rPr>
        <sz val="11"/>
        <color theme="1"/>
        <rFont val="Calibri"/>
        <family val="2"/>
        <scheme val="minor"/>
      </rPr>
      <t>: Angels executing judgments, delivering messages, and serving God</t>
    </r>
  </si>
  <si>
    <r>
      <t>Cosmic Miracles</t>
    </r>
    <r>
      <rPr>
        <sz val="11"/>
        <color theme="1"/>
        <rFont val="Calibri"/>
        <family val="2"/>
        <scheme val="minor"/>
      </rPr>
      <t>: Stars falling, earthquakes, supernatural plagues</t>
    </r>
  </si>
  <si>
    <r>
      <t>Resurrections</t>
    </r>
    <r>
      <rPr>
        <sz val="11"/>
        <color theme="1"/>
        <rFont val="Calibri"/>
        <family val="2"/>
        <scheme val="minor"/>
      </rPr>
      <t>: Multiple resurrection events including the final judgment</t>
    </r>
  </si>
  <si>
    <r>
      <t>Nature Miracles</t>
    </r>
    <r>
      <rPr>
        <sz val="11"/>
        <color theme="1"/>
        <rFont val="Calibri"/>
        <family val="2"/>
        <scheme val="minor"/>
      </rPr>
      <t>: Divine control over elements, celestial bodies, and natural forces</t>
    </r>
  </si>
  <si>
    <r>
      <t>Supernatural Judgments</t>
    </r>
    <r>
      <rPr>
        <sz val="11"/>
        <color theme="1"/>
        <rFont val="Calibri"/>
        <family val="2"/>
        <scheme val="minor"/>
      </rPr>
      <t>: The seven seals, trumpets, and bowls of wrath</t>
    </r>
  </si>
  <si>
    <r>
      <t>Apocalyptic Genre</t>
    </r>
    <r>
      <rPr>
        <sz val="11"/>
        <color theme="1"/>
        <rFont val="Calibri"/>
        <family val="2"/>
        <scheme val="minor"/>
      </rPr>
      <t>: Uses symbolic language to reveal spiritual realities</t>
    </r>
  </si>
  <si>
    <r>
      <t>Extensive Old Testament Connections</t>
    </r>
    <r>
      <rPr>
        <sz val="11"/>
        <color theme="1"/>
        <rFont val="Calibri"/>
        <family val="2"/>
        <scheme val="minor"/>
      </rPr>
      <t>: More cross-references than any other New Testament book</t>
    </r>
  </si>
  <si>
    <r>
      <t>Future Focus</t>
    </r>
    <r>
      <rPr>
        <sz val="11"/>
        <color theme="1"/>
        <rFont val="Calibri"/>
        <family val="2"/>
        <scheme val="minor"/>
      </rPr>
      <t>: Most events are prophetic, describing end-times scenarios</t>
    </r>
  </si>
  <si>
    <r>
      <t>Cosmic Scope</t>
    </r>
    <r>
      <rPr>
        <sz val="11"/>
        <color theme="1"/>
        <rFont val="Calibri"/>
        <family val="2"/>
        <scheme val="minor"/>
      </rPr>
      <t>: Encompasses heaven, earth, and the entire created order</t>
    </r>
  </si>
  <si>
    <t>The cross-references demonstrate how Revelation draws heavily from Old Testament prophetic books, especially Daniel, Ezekiel, and Isaiah, showing the continuity of God's revelatory plan throughout Scripture. The book serves as the capstone of biblical revelation, bringing together themes from throughout the Bible and revealing their ultimate fulfillment in Christ's eternal kingdom.</t>
  </si>
  <si>
    <t>John receives revelation from Jesus Christ</t>
  </si>
  <si>
    <t>Revelation 1:1</t>
  </si>
  <si>
    <t>Island of Patmos</t>
  </si>
  <si>
    <t>c. 95 AD</t>
  </si>
  <si>
    <t>Jesus Christ/Angel</t>
  </si>
  <si>
    <t>Daniel 2:28-29</t>
  </si>
  <si>
    <t>John is "in the Spirit" on the Lord's Day</t>
  </si>
  <si>
    <t>Revelation 1:10</t>
  </si>
  <si>
    <t>Ezekiel 3:12; Acts 10:10</t>
  </si>
  <si>
    <t>John hears a loud voice like a trumpet</t>
  </si>
  <si>
    <t>Exodus 19:16; Matthew 24:31</t>
  </si>
  <si>
    <t>John sees the glorified Christ among lampstands</t>
  </si>
  <si>
    <t>Revelation 1:12-16</t>
  </si>
  <si>
    <t>Daniel 7:9; 10:5-6; Ezekiel 1:24</t>
  </si>
  <si>
    <t>Jesus appears with supernatural attributes</t>
  </si>
  <si>
    <t>Revelation 1:13-16</t>
  </si>
  <si>
    <t>Daniel 7:13; 10:6; Ezekiel 1:7</t>
  </si>
  <si>
    <t>John falls as though dead before Christ</t>
  </si>
  <si>
    <t>Revelation 1:17</t>
  </si>
  <si>
    <t>John</t>
  </si>
  <si>
    <t>Supernatural Response</t>
  </si>
  <si>
    <t>Daniel 8:17; 10:9; Ezekiel 1:28</t>
  </si>
  <si>
    <t>Jesus touches John and gives him strength</t>
  </si>
  <si>
    <t>Daniel 8:18; 10:10, 18</t>
  </si>
  <si>
    <t>Jesus dictates messages to seven churches</t>
  </si>
  <si>
    <t>Revelation 2:1-3:22</t>
  </si>
  <si>
    <t>John is caught up to heaven in the Spirit</t>
  </si>
  <si>
    <t>Revelation 4:1-2</t>
  </si>
  <si>
    <t>2 Corinthians 12:2-4; Ezekiel 8:3</t>
  </si>
  <si>
    <t>John sees God's throne with supernatural beings</t>
  </si>
  <si>
    <t>Revelation 4:2-11</t>
  </si>
  <si>
    <t>Isaiah 6:1-3; Ezekiel 1:4-28; 10:1-22</t>
  </si>
  <si>
    <t>Twenty-four elders worship before the throne</t>
  </si>
  <si>
    <t>Revelation 4:4, 10-11</t>
  </si>
  <si>
    <t>Twenty-four elders</t>
  </si>
  <si>
    <t>Four living creatures worship continuously</t>
  </si>
  <si>
    <t>Revelation 4:6-9</t>
  </si>
  <si>
    <t>Four living creatures</t>
  </si>
  <si>
    <t>Isaiah 6:2-3; Ezekiel 1:5-14</t>
  </si>
  <si>
    <t>John sees the sealed scroll and the Lamb</t>
  </si>
  <si>
    <t>Revelation 5:1-7</t>
  </si>
  <si>
    <t>God/Lamb</t>
  </si>
  <si>
    <t>Isaiah 29:11; Daniel 12:4; John 1:29</t>
  </si>
  <si>
    <t>The Lamb opens the seven seals</t>
  </si>
  <si>
    <t>Revelation 6:1-8:1</t>
  </si>
  <si>
    <t>The Lamb</t>
  </si>
  <si>
    <t>Matthew 24:6-8; Luke 21:9-11</t>
  </si>
  <si>
    <t>First seal: White horse and rider (conquest)</t>
  </si>
  <si>
    <t>Revelation 6:1-2</t>
  </si>
  <si>
    <t>Rider</t>
  </si>
  <si>
    <t>Zechariah 1:8; 6:1-8</t>
  </si>
  <si>
    <t>Second seal: Red horse and rider (war)</t>
  </si>
  <si>
    <t>Revelation 6:3-4</t>
  </si>
  <si>
    <t>Third seal: Black horse and rider (famine)</t>
  </si>
  <si>
    <t>Revelation 6:5-6</t>
  </si>
  <si>
    <t>Fourth seal: Pale horse and rider (death)</t>
  </si>
  <si>
    <t>Revelation 6:7-8</t>
  </si>
  <si>
    <t>Zechariah 1:8; 6:1-8; Ezekiel 14:21</t>
  </si>
  <si>
    <t>Fifth seal: Souls of martyrs cry out</t>
  </si>
  <si>
    <t>Revelation 6:9-11</t>
  </si>
  <si>
    <t>Martyred souls</t>
  </si>
  <si>
    <t>Genesis 4:10; Luke 18:7-8</t>
  </si>
  <si>
    <t>Sixth seal: Great earthquake and cosmic signs</t>
  </si>
  <si>
    <t>Revelation 6:12-17</t>
  </si>
  <si>
    <t>Isaiah 13:10; 34:4; Joel 2:31; Matthew 24:29</t>
  </si>
  <si>
    <t>144,000 sealed from twelve tribes</t>
  </si>
  <si>
    <t>Revelation 7:1-8</t>
  </si>
  <si>
    <t>Ezekiel 9:4-6</t>
  </si>
  <si>
    <t>Great multitude worships before the throne</t>
  </si>
  <si>
    <t>Revelation 7:9-17</t>
  </si>
  <si>
    <t>Redeemed multitude</t>
  </si>
  <si>
    <t>Daniel 7:14; Isaiah 25:8</t>
  </si>
  <si>
    <t>Seventh seal: Silence in heaven</t>
  </si>
  <si>
    <t>Revelation 8:1</t>
  </si>
  <si>
    <t>Habakkuk 2:20; Zephaniah 1:7</t>
  </si>
  <si>
    <t>Angel offers incense with prayers of saints</t>
  </si>
  <si>
    <t>Revelation 8:3-4</t>
  </si>
  <si>
    <t>Psalm 141:2; Luke 1:10</t>
  </si>
  <si>
    <t>Angel hurls fire to earth causing phenomena</t>
  </si>
  <si>
    <t>Revelation 8:5</t>
  </si>
  <si>
    <t>Ezekiel 10:2</t>
  </si>
  <si>
    <t>Seven angels prepare to sound trumpets</t>
  </si>
  <si>
    <t>Revelation 8:6</t>
  </si>
  <si>
    <t>Seven angels</t>
  </si>
  <si>
    <t>First trumpet: Hail, fire, and blood</t>
  </si>
  <si>
    <t>Revelation 8:7</t>
  </si>
  <si>
    <t>Exodus 9:23-25; Joel 2:30</t>
  </si>
  <si>
    <t>Second trumpet: Mountain cast into sea</t>
  </si>
  <si>
    <t>Revelation 8:8-9</t>
  </si>
  <si>
    <t>Jeremiah 51:25</t>
  </si>
  <si>
    <t>Third trumpet: Star Wormwood falls</t>
  </si>
  <si>
    <t>Revelation 8:10-11</t>
  </si>
  <si>
    <t>Isaiah 14:12; Jeremiah 9:15</t>
  </si>
  <si>
    <t>Fourth trumpet: Heavenly lights darkened</t>
  </si>
  <si>
    <t>Revelation 8:12</t>
  </si>
  <si>
    <t>Isaiah 13:10; Ezekiel 32:7-8; Matthew 24:29</t>
  </si>
  <si>
    <t>Eagle announces three woes</t>
  </si>
  <si>
    <t>Revelation 8:13</t>
  </si>
  <si>
    <t>Eagle</t>
  </si>
  <si>
    <t>Ezekiel 17:3, 7</t>
  </si>
  <si>
    <t>Fifth trumpet: Locusts from the abyss</t>
  </si>
  <si>
    <t>Revelation 9:1-12</t>
  </si>
  <si>
    <t>Angel/Locusts</t>
  </si>
  <si>
    <t>Exodus 10:12-15; Joel 1:4; 2:1-11</t>
  </si>
  <si>
    <t>Sixth trumpet: Four angels released</t>
  </si>
  <si>
    <t>Revelation 9:13-21</t>
  </si>
  <si>
    <t>Four angels</t>
  </si>
  <si>
    <t>Genesis 15:18; Daniel 7:2</t>
  </si>
  <si>
    <t>Mighty angel descends with little scroll</t>
  </si>
  <si>
    <t>Revelation 10:1-4</t>
  </si>
  <si>
    <t>Mighty angel</t>
  </si>
  <si>
    <t>Ezekiel 1:28; Daniel 12:7</t>
  </si>
  <si>
    <t>Seven thunders speak but are sealed</t>
  </si>
  <si>
    <t>Revelation 10:3-4</t>
  </si>
  <si>
    <t>Seven thunders</t>
  </si>
  <si>
    <t>Daniel 8:26; 12:4, 9</t>
  </si>
  <si>
    <t>Angel swears by God that time will be no more</t>
  </si>
  <si>
    <t>Revelation 10:5-6</t>
  </si>
  <si>
    <t>Daniel 12:7</t>
  </si>
  <si>
    <t>John eats the little scroll</t>
  </si>
  <si>
    <t>Revelation 10:8-11</t>
  </si>
  <si>
    <t>Ezekiel 2:8-3:3; Jeremiah 15:16</t>
  </si>
  <si>
    <t>Two witnesses prophesy with supernatural power</t>
  </si>
  <si>
    <t>Revelation 11:3-12</t>
  </si>
  <si>
    <t>Two witnesses</t>
  </si>
  <si>
    <t>1 Kings 17:1; 2 Kings 1:10-12; Zechariah 4:11-14</t>
  </si>
  <si>
    <t>Two witnesses killed and resurrected</t>
  </si>
  <si>
    <t>Revelation 11:7-12</t>
  </si>
  <si>
    <t>Ezekiel 37:5, 10</t>
  </si>
  <si>
    <t>Great earthquake kills 7,000 people</t>
  </si>
  <si>
    <t>Revelation 11:13</t>
  </si>
  <si>
    <t>1 Kings 19:11</t>
  </si>
  <si>
    <t>Seventh trumpet: Kingdoms become Christ's</t>
  </si>
  <si>
    <t>Revelation 11:15-19</t>
  </si>
  <si>
    <t>Psalm 2:2; Daniel 7:14, 27</t>
  </si>
  <si>
    <t>Temple in heaven opened showing ark</t>
  </si>
  <si>
    <t>Revelation 11:19</t>
  </si>
  <si>
    <t>Hebrews 9:4</t>
  </si>
  <si>
    <t>Woman clothed with the sun appears</t>
  </si>
  <si>
    <t>Revelation 12:1-2</t>
  </si>
  <si>
    <t>Woman</t>
  </si>
  <si>
    <t>Genesis 37:9; Isaiah 66:7</t>
  </si>
  <si>
    <t>Great red dragon appears in heaven</t>
  </si>
  <si>
    <t>Revelation 12:3-4</t>
  </si>
  <si>
    <t>Dragon/Satan</t>
  </si>
  <si>
    <t>Daniel 7:7; Isaiah 14:12</t>
  </si>
  <si>
    <t>War in heaven: Michael vs. Dragon</t>
  </si>
  <si>
    <t>Revelation 12:7-9</t>
  </si>
  <si>
    <t>Michael/Dragon</t>
  </si>
  <si>
    <t>Daniel 10:13, 21; 12:1; Jude 9</t>
  </si>
  <si>
    <t>Dragon cast down to earth</t>
  </si>
  <si>
    <t>Revelation 12:9-12</t>
  </si>
  <si>
    <t>Luke 10:18; John 12:31</t>
  </si>
  <si>
    <t>Beast rises from the sea</t>
  </si>
  <si>
    <t>Revelation 13:1-10</t>
  </si>
  <si>
    <t>Beast</t>
  </si>
  <si>
    <t>Daniel 7:3-8, 19-25</t>
  </si>
  <si>
    <t>Beast from earth gives breath to image</t>
  </si>
  <si>
    <t>Revelation 13:11-18</t>
  </si>
  <si>
    <t>Beast/False Prophet</t>
  </si>
  <si>
    <t>Daniel 3:1-7</t>
  </si>
  <si>
    <t>Lamb stands on Mount Zion with 144,000</t>
  </si>
  <si>
    <t>Revelation 14:1-5</t>
  </si>
  <si>
    <t>Lamb/144,000</t>
  </si>
  <si>
    <t>Psalm 2:6; Joel 2:32</t>
  </si>
  <si>
    <t>Angel flies with eternal gospel</t>
  </si>
  <si>
    <t>Revelation 14:6-7</t>
  </si>
  <si>
    <t>Isaiah 40:9; Matthew 24:14</t>
  </si>
  <si>
    <t>Angels announce judgment on Babylon</t>
  </si>
  <si>
    <t>Revelation 14:8-11</t>
  </si>
  <si>
    <t>Isaiah 21:9; Jeremiah 51:8</t>
  </si>
  <si>
    <t>Voice from heaven speaks about the dead</t>
  </si>
  <si>
    <t>Revelation 14:13</t>
  </si>
  <si>
    <t>Voice/Spirit</t>
  </si>
  <si>
    <t>Son of Man reaps the earth's harvest</t>
  </si>
  <si>
    <t>Revelation 14:14-16</t>
  </si>
  <si>
    <t>Daniel 7:13; Matthew 13:39</t>
  </si>
  <si>
    <t>Angel reaps grapes for God's wrath</t>
  </si>
  <si>
    <t>Revelation 14:17-20</t>
  </si>
  <si>
    <t>Isaiah 63:3; Joel 3:13</t>
  </si>
  <si>
    <t>Seven angels with seven last plagues</t>
  </si>
  <si>
    <t>Revelation 15:1-8</t>
  </si>
  <si>
    <t>Leviticus 26:21</t>
  </si>
  <si>
    <t>First bowl: Sores on beast worshipers</t>
  </si>
  <si>
    <t>Revelation 16:1-2</t>
  </si>
  <si>
    <t>Exodus 9:10-11; Deuteronomy 28:35</t>
  </si>
  <si>
    <t>Second bowl: Sea becomes blood</t>
  </si>
  <si>
    <t>Revelation 16:3</t>
  </si>
  <si>
    <t>Exodus 7:17-21</t>
  </si>
  <si>
    <t>Third bowl: Rivers become blood</t>
  </si>
  <si>
    <t>Revelation 16:4-7</t>
  </si>
  <si>
    <t>Fourth bowl: Sun scorches people</t>
  </si>
  <si>
    <t>Revelation 16:8-9</t>
  </si>
  <si>
    <t>Isaiah 24:6; Malachi 4:1</t>
  </si>
  <si>
    <t>Fifth bowl: Darkness on beast's kingdom</t>
  </si>
  <si>
    <t>Revelation 16:10-11</t>
  </si>
  <si>
    <t>Exodus 10:21-23; Isaiah 8:22</t>
  </si>
  <si>
    <t>Sixth bowl: Euphrates dried up</t>
  </si>
  <si>
    <t>Revelation 16:12</t>
  </si>
  <si>
    <t>Isaiah 11:15; Jeremiah 50:38</t>
  </si>
  <si>
    <t>Three unclean spirits like frogs</t>
  </si>
  <si>
    <t>Revelation 16:13-14</t>
  </si>
  <si>
    <t>Unclean spirits</t>
  </si>
  <si>
    <t>1 Kings 22:21-23</t>
  </si>
  <si>
    <t>Seventh bowl: Great earthquake and hail</t>
  </si>
  <si>
    <t>Revelation 16:17-21</t>
  </si>
  <si>
    <t>Ezekiel 38:19-22</t>
  </si>
  <si>
    <t>Angel shows John the judgment of Babylon</t>
  </si>
  <si>
    <t>Revelation 17:1-18</t>
  </si>
  <si>
    <t>Isaiah 21:1-10; Jeremiah 51:13</t>
  </si>
  <si>
    <t>Angel announces Babylon's fall</t>
  </si>
  <si>
    <t>Revelation 18:1-3</t>
  </si>
  <si>
    <t>Voice from heaven calls God's people out</t>
  </si>
  <si>
    <t>Revelation 18:4-5</t>
  </si>
  <si>
    <t>Voice</t>
  </si>
  <si>
    <t>Isaiah 48:20; Jeremiah 51:6, 45</t>
  </si>
  <si>
    <t>Babylon destroyed in one day</t>
  </si>
  <si>
    <t>Revelation 18:8-19</t>
  </si>
  <si>
    <t>Isaiah 47:9; Jeremiah 51:8</t>
  </si>
  <si>
    <t>Angel casts millstone into sea</t>
  </si>
  <si>
    <t>Revelation 18:21</t>
  </si>
  <si>
    <t>Jeremiah 51:63-64</t>
  </si>
  <si>
    <t>Great multitude worships in heaven</t>
  </si>
  <si>
    <t>Revelation 19:1-10</t>
  </si>
  <si>
    <t>Great multitude</t>
  </si>
  <si>
    <t>Psalm 104:35; 106:48; 111:1</t>
  </si>
  <si>
    <t>Heaven opens and Christ appears</t>
  </si>
  <si>
    <t>Revelation 19:11-16</t>
  </si>
  <si>
    <t>Ezekiel 1:1; Psalm 45:3-5; Isaiah 11:4</t>
  </si>
  <si>
    <t>Angel calls birds to feast on the slain</t>
  </si>
  <si>
    <t>Revelation 19:17-18</t>
  </si>
  <si>
    <t>Ezekiel 39:17-20</t>
  </si>
  <si>
    <t>Beast and false prophet cast into lake of fire</t>
  </si>
  <si>
    <t>Revelation 19:19-21</t>
  </si>
  <si>
    <t>Daniel 7:11; 2 Thessalonians 2:8</t>
  </si>
  <si>
    <t>Angel binds Satan for 1,000 years</t>
  </si>
  <si>
    <t>Revelation 20:1-3</t>
  </si>
  <si>
    <t>Isaiah 24:22</t>
  </si>
  <si>
    <t>First resurrection of the righteous</t>
  </si>
  <si>
    <t>Revelation 20:4-6</t>
  </si>
  <si>
    <t>Earth/Heaven</t>
  </si>
  <si>
    <t>Daniel 7:9, 22; 1 Corinthians 15:23</t>
  </si>
  <si>
    <t>Satan released and gathers armies</t>
  </si>
  <si>
    <t>Revelation 20:7-9</t>
  </si>
  <si>
    <t>Ezekiel 38:2, 9; 39:6</t>
  </si>
  <si>
    <t>Fire from heaven devours the armies</t>
  </si>
  <si>
    <t>Revelation 20:9</t>
  </si>
  <si>
    <t>2 Kings 1:10-12; Ezekiel 38:22; 39:6</t>
  </si>
  <si>
    <t>Satan cast into lake of fire</t>
  </si>
  <si>
    <t>Revelation 20:10</t>
  </si>
  <si>
    <t>Lake of fire</t>
  </si>
  <si>
    <t>Matthew 25:41</t>
  </si>
  <si>
    <t>Great White Throne judgment</t>
  </si>
  <si>
    <t>Revelation 20:11-15</t>
  </si>
  <si>
    <t>Before throne</t>
  </si>
  <si>
    <t>Daniel 7:9-10; Matthew 25:31-46</t>
  </si>
  <si>
    <t>Dead raised for final judgment</t>
  </si>
  <si>
    <t>Revelation 20:12-13</t>
  </si>
  <si>
    <t>Daniel 12:2; John 5:28-29</t>
  </si>
  <si>
    <t>New heaven and new earth created</t>
  </si>
  <si>
    <t>Revelation 21:1</t>
  </si>
  <si>
    <t>New creation</t>
  </si>
  <si>
    <t>Isaiah 65:17; 66:22; 2 Peter 3:13</t>
  </si>
  <si>
    <t>New Jerusalem descends from heaven</t>
  </si>
  <si>
    <t>Revelation 21:2-27</t>
  </si>
  <si>
    <t>New earth</t>
  </si>
  <si>
    <t>Isaiah 52:1; 54:11-12; Hebrews 12:22</t>
  </si>
  <si>
    <t>God's voice declares "Behold, I make all things new"</t>
  </si>
  <si>
    <t>Revelation 21:3-5</t>
  </si>
  <si>
    <t>Isaiah 25:8; 2 Corinthians 5:17</t>
  </si>
  <si>
    <t>River of life flows from God's throne</t>
  </si>
  <si>
    <t>Revelation 22:1</t>
  </si>
  <si>
    <t>Ezekiel 47:1-12; Zechariah 14:8</t>
  </si>
  <si>
    <t>Tree of life bears twelve kinds of fruit</t>
  </si>
  <si>
    <t>Revelation 22:2</t>
  </si>
  <si>
    <t>Genesis 2:9; 3:22; Ezekiel 47:12</t>
  </si>
  <si>
    <t>No more curse, night, or need for light</t>
  </si>
  <si>
    <t>Revelation 22:3-5</t>
  </si>
  <si>
    <t>Genesis 3:17; Zechariah 14:7</t>
  </si>
  <si>
    <t>Angel shows John these things</t>
  </si>
  <si>
    <t>Revelation 22:6-9</t>
  </si>
  <si>
    <t>Daniel 8:26; 12:4</t>
  </si>
  <si>
    <t>Jesus declares His coming quickly</t>
  </si>
  <si>
    <t>Revelation 22:7, 12, 20</t>
  </si>
  <si>
    <t>Malachi 3:1; Matthew 16:27</t>
  </si>
  <si>
    <t>Spirit and Bride say "Come"</t>
  </si>
  <si>
    <t>Revelation 22:17</t>
  </si>
  <si>
    <t>Holy Spirit/Church</t>
  </si>
  <si>
    <t>Isaiah 55:1</t>
  </si>
  <si>
    <t>Key Characteristics of the Book of Revelation</t>
  </si>
  <si>
    <r>
      <t>Christ's Ultimate Victory</t>
    </r>
    <r>
      <rPr>
        <sz val="11"/>
        <color theme="1"/>
        <rFont val="Calibri"/>
        <family val="2"/>
        <scheme val="minor"/>
      </rPr>
      <t>: Jesus' triumph over evil, death, and Satan</t>
    </r>
  </si>
  <si>
    <r>
      <t>Divine Judgment</t>
    </r>
    <r>
      <rPr>
        <sz val="11"/>
        <color theme="1"/>
        <rFont val="Calibri"/>
        <family val="2"/>
        <scheme val="minor"/>
      </rPr>
      <t>: God's wrath against sin and unrighteousness</t>
    </r>
  </si>
  <si>
    <r>
      <t>Hope for Believers</t>
    </r>
    <r>
      <rPr>
        <sz val="11"/>
        <color theme="1"/>
        <rFont val="Calibri"/>
        <family val="2"/>
        <scheme val="minor"/>
      </rPr>
      <t>: Comfort for persecuted Christians and promise of eternal life</t>
    </r>
  </si>
  <si>
    <r>
      <t>Cosmic Conflict</t>
    </r>
    <r>
      <rPr>
        <sz val="11"/>
        <color theme="1"/>
        <rFont val="Calibri"/>
        <family val="2"/>
        <scheme val="minor"/>
      </rPr>
      <t>: Spiritual warfare between good and evil on universal scale</t>
    </r>
  </si>
  <si>
    <r>
      <t>Apocalyptic Literature</t>
    </r>
    <r>
      <rPr>
        <sz val="11"/>
        <color theme="1"/>
        <rFont val="Calibri"/>
        <family val="2"/>
        <scheme val="minor"/>
      </rPr>
      <t>: Symbolic visions revealing hidden spiritual realities</t>
    </r>
  </si>
  <si>
    <r>
      <t>Numerical Symbolism</t>
    </r>
    <r>
      <rPr>
        <sz val="11"/>
        <color theme="1"/>
        <rFont val="Calibri"/>
        <family val="2"/>
        <scheme val="minor"/>
      </rPr>
      <t>: Extensive use of symbolic numbers (7, 12, 144,000, etc.)</t>
    </r>
  </si>
  <si>
    <r>
      <t>Old Testament Imagery</t>
    </r>
    <r>
      <rPr>
        <sz val="11"/>
        <color theme="1"/>
        <rFont val="Calibri"/>
        <family val="2"/>
        <scheme val="minor"/>
      </rPr>
      <t>: Heavy reliance on prophetic books (Daniel, Ezekiel, Isaiah)</t>
    </r>
  </si>
  <si>
    <r>
      <t>Liturgical Elements</t>
    </r>
    <r>
      <rPr>
        <sz val="11"/>
        <color theme="1"/>
        <rFont val="Calibri"/>
        <family val="2"/>
        <scheme val="minor"/>
      </rPr>
      <t>: Heavenly worship scenes and hymnic passages</t>
    </r>
  </si>
  <si>
    <r>
      <t>Angelic Activity</t>
    </r>
    <r>
      <rPr>
        <sz val="11"/>
        <color theme="1"/>
        <rFont val="Calibri"/>
        <family val="2"/>
        <scheme val="minor"/>
      </rPr>
      <t>: Numerous angels executing God's judgments and commands</t>
    </r>
  </si>
  <si>
    <r>
      <t>Cosmic Miracles</t>
    </r>
    <r>
      <rPr>
        <sz val="11"/>
        <color theme="1"/>
        <rFont val="Calibri"/>
        <family val="2"/>
        <scheme val="minor"/>
      </rPr>
      <t>: Stars falling, mountains moving, supernatural phenomena</t>
    </r>
  </si>
  <si>
    <r>
      <t>Resurrections</t>
    </r>
    <r>
      <rPr>
        <sz val="11"/>
        <color theme="1"/>
        <rFont val="Calibri"/>
        <family val="2"/>
        <scheme val="minor"/>
      </rPr>
      <t>: Multiple resurrection events including final judgment</t>
    </r>
  </si>
  <si>
    <r>
      <t>Divine Manifestations</t>
    </r>
    <r>
      <rPr>
        <sz val="11"/>
        <color theme="1"/>
        <rFont val="Calibri"/>
        <family val="2"/>
        <scheme val="minor"/>
      </rPr>
      <t>: Appearances of Christ, throne room scenes, heavenly worship</t>
    </r>
  </si>
  <si>
    <r>
      <t>Supernatural Judgments</t>
    </r>
    <r>
      <rPr>
        <sz val="11"/>
        <color theme="1"/>
        <rFont val="Calibri"/>
        <family val="2"/>
        <scheme val="minor"/>
      </rPr>
      <t>: Plagues, earthquakes, cosmic disasters as divine punishment</t>
    </r>
  </si>
  <si>
    <r>
      <t>Time Period</t>
    </r>
    <r>
      <rPr>
        <sz val="11"/>
        <color theme="1"/>
        <rFont val="Calibri"/>
        <family val="2"/>
        <scheme val="minor"/>
      </rPr>
      <t>: Written c. 95 AD during persecution under Emperor Domitian</t>
    </r>
  </si>
  <si>
    <r>
      <t>Audience</t>
    </r>
    <r>
      <rPr>
        <sz val="11"/>
        <color theme="1"/>
        <rFont val="Calibri"/>
        <family val="2"/>
        <scheme val="minor"/>
      </rPr>
      <t>: Seven churches in Asia Minor facing persecution</t>
    </r>
  </si>
  <si>
    <r>
      <t>Purpose</t>
    </r>
    <r>
      <rPr>
        <sz val="11"/>
        <color theme="1"/>
        <rFont val="Calibri"/>
        <family val="2"/>
        <scheme val="minor"/>
      </rPr>
      <t>: Encourage faithfulness and provide hope during trials</t>
    </r>
  </si>
  <si>
    <r>
      <t>Setting</t>
    </r>
    <r>
      <rPr>
        <sz val="11"/>
        <color theme="1"/>
        <rFont val="Calibri"/>
        <family val="2"/>
        <scheme val="minor"/>
      </rPr>
      <t>: John exiled on Patmos island receives visions</t>
    </r>
  </si>
  <si>
    <r>
      <t>Eschatology</t>
    </r>
    <r>
      <rPr>
        <sz val="11"/>
        <color theme="1"/>
        <rFont val="Calibri"/>
        <family val="2"/>
        <scheme val="minor"/>
      </rPr>
      <t>: Comprehensive view of end times and eternal state</t>
    </r>
  </si>
  <si>
    <r>
      <t>Christology</t>
    </r>
    <r>
      <rPr>
        <sz val="11"/>
        <color theme="1"/>
        <rFont val="Calibri"/>
        <family val="2"/>
        <scheme val="minor"/>
      </rPr>
      <t>: Jesus revealed as conquering King and eternal Judge</t>
    </r>
  </si>
  <si>
    <r>
      <t>Ecclesiology</t>
    </r>
    <r>
      <rPr>
        <sz val="11"/>
        <color theme="1"/>
        <rFont val="Calibri"/>
        <family val="2"/>
        <scheme val="minor"/>
      </rPr>
      <t>: Church's role in cosmic conflict and ultimate triumph</t>
    </r>
  </si>
  <si>
    <r>
      <t>Soteriology</t>
    </r>
    <r>
      <rPr>
        <sz val="11"/>
        <color theme="1"/>
        <rFont val="Calibri"/>
        <family val="2"/>
        <scheme val="minor"/>
      </rPr>
      <t>: Final vindication of the redeemed and judgment of the wicked</t>
    </r>
  </si>
  <si>
    <r>
      <t>Note:</t>
    </r>
    <r>
      <rPr>
        <sz val="11"/>
        <color theme="1"/>
        <rFont val="Calibri"/>
        <family val="2"/>
        <scheme val="minor"/>
      </rPr>
      <t xml:space="preserve"> Revelation contains the most extensive collection of supernatural events in Scripture, primarily focusing on future divine interventions in history. The book serves as the climactic conclusion to biblical revelation, showing God's ultimate plan for creation, judgment, and the establishment of His eternal kingdom.</t>
    </r>
  </si>
  <si>
    <t xml:space="preserve">In table format, give a comprehensive list of all miracles, acts of GOD, and occurrences of GOD speaking to man (provide only one record for each event) across the Holy Bible's books of Matthew, Mark, Luke and John, saved as seven columns: "Description" (a short description of the event), "Reference" (all scripture references to the event), "Location" (the historical location where the event took place), "Date" (the known or approximate date), "Messenger" (who GOD used to perform the miracle, or GOD is no one is directly used), "Category" (the category or type of miracle or act of god) and "Cross References" (all other scriptural cross references to the event).  Order the table by scripture reference, ascending. Do not include events that are neither miracles, "acts of God" nor divine communications of God with man or spiritual beings. </t>
  </si>
  <si>
    <t>Acts 1:9-11; Psalm 68:18</t>
  </si>
  <si>
    <t>Mark 16:19-20; Luke 24:50-53</t>
  </si>
  <si>
    <t>Final teaching</t>
  </si>
  <si>
    <t>Luke 24:44-49</t>
  </si>
  <si>
    <t>Jesus' final instructions</t>
  </si>
  <si>
    <t>Great Commission</t>
  </si>
  <si>
    <t>Galilee (mountain)</t>
  </si>
  <si>
    <t>Matthew 28:16-20; Mark 16:15-18</t>
  </si>
  <si>
    <t>Jesus appears to eleven in Galilee</t>
  </si>
  <si>
    <t>Restoration</t>
  </si>
  <si>
    <t>John 21:15-23</t>
  </si>
  <si>
    <t>Jesus restores Peter</t>
  </si>
  <si>
    <t>Jesus appears to seven at Sea of Galilee</t>
  </si>
  <si>
    <t>Jesus appears to disciples (Thomas present)</t>
  </si>
  <si>
    <t>Mark 16:14; Luke 24:36-43; John 20:19-23</t>
  </si>
  <si>
    <t>Jesus appears to disciples (Thomas absent)</t>
  </si>
  <si>
    <t>Mark 16:12-13; Luke 24:13-35</t>
  </si>
  <si>
    <t>Jesus appears to two on Emmaus road</t>
  </si>
  <si>
    <t>False report</t>
  </si>
  <si>
    <t>Guards/Chief priests</t>
  </si>
  <si>
    <t>Matthew 28:11-15</t>
  </si>
  <si>
    <t>Guards report to chief priests</t>
  </si>
  <si>
    <t>Matthew 28:9-10; Mark 16:9-11; John 20:11-18</t>
  </si>
  <si>
    <t>Investigation</t>
  </si>
  <si>
    <t>Peter/John</t>
  </si>
  <si>
    <t>Luke 24:12; John 20:3-10</t>
  </si>
  <si>
    <t>Peter and John run to tomb</t>
  </si>
  <si>
    <t>Matthew 28:5-7; Mark 16:5-7; Luke 24:4-7</t>
  </si>
  <si>
    <t>Angels announce resurrection</t>
  </si>
  <si>
    <t>Discovery</t>
  </si>
  <si>
    <t>Women disciples</t>
  </si>
  <si>
    <t>Matthew 28:1, 5-8; Mark 16:1-8; Luke 24:1-8; John 20:1-2</t>
  </si>
  <si>
    <t>Women discover empty tomb</t>
  </si>
  <si>
    <t>Supernatural response</t>
  </si>
  <si>
    <t>Guards</t>
  </si>
  <si>
    <t>Matthew 28:4</t>
  </si>
  <si>
    <t>Guards become like dead men</t>
  </si>
  <si>
    <t>Matthew 28:2-4; Mark 16:4; Luke 24:2; John 20:1</t>
  </si>
  <si>
    <t>Angel rolls away stone</t>
  </si>
  <si>
    <t>Earthquake at resurrection</t>
  </si>
  <si>
    <t>Exodus 20:10</t>
  </si>
  <si>
    <t>Sabbath observance</t>
  </si>
  <si>
    <t>Luke 23:56</t>
  </si>
  <si>
    <t>Women rest on Sabbath</t>
  </si>
  <si>
    <t>Preparation</t>
  </si>
  <si>
    <t>Mark 16:1; Luke 23:56</t>
  </si>
  <si>
    <t>Women prepare spices</t>
  </si>
  <si>
    <t>Security</t>
  </si>
  <si>
    <t>Chief priests/Pilate</t>
  </si>
  <si>
    <t>Matthew 27:62-66</t>
  </si>
  <si>
    <t>Tomb sealed and guarded</t>
  </si>
  <si>
    <t>Observation</t>
  </si>
  <si>
    <t>Matthew 27:61; Mark 15:47; Luke 23:55</t>
  </si>
  <si>
    <t>Women observe burial</t>
  </si>
  <si>
    <t>Isaiah 53:9</t>
  </si>
  <si>
    <t>Burial</t>
  </si>
  <si>
    <t>Joseph/Nicodemus</t>
  </si>
  <si>
    <t>Matthew 27:60; Mark 15:46; Luke 23:53; John 19:41-42</t>
  </si>
  <si>
    <t>Jesus buried in tomb</t>
  </si>
  <si>
    <t>Burial preparation</t>
  </si>
  <si>
    <t>Matthew 27:59-60; Mark 15:46; Luke 23:53; John 19:39-40</t>
  </si>
  <si>
    <t>Jesus' body prepared for burial</t>
  </si>
  <si>
    <t>Request</t>
  </si>
  <si>
    <t>Joseph of Arimathea</t>
  </si>
  <si>
    <t>Matthew 27:57-58; Mark 15:42-45; Luke 23:50-52; John 19:38</t>
  </si>
  <si>
    <t>Joseph requests Jesus' body</t>
  </si>
  <si>
    <t>Exodus 12:46; Numbers 9:12; Psalm 34:20; Zechariah 12:10</t>
  </si>
  <si>
    <t>Piercing</t>
  </si>
  <si>
    <t>Roman soldier</t>
  </si>
  <si>
    <t>Golgotha</t>
  </si>
  <si>
    <t>John 19:31-37</t>
  </si>
  <si>
    <t>Jesus' side pierced</t>
  </si>
  <si>
    <t>Matthew 27:54; Mark 15:39; Luke 23:47</t>
  </si>
  <si>
    <t>Centurion's confession</t>
  </si>
  <si>
    <t>Ezekiel 37:12-14</t>
  </si>
  <si>
    <t>Saints rise from dead</t>
  </si>
  <si>
    <t>Jerusalem/Region</t>
  </si>
  <si>
    <t>Hebrews 10:19-20</t>
  </si>
  <si>
    <t>Matthew 27:51; Mark 15:38; Luke 23:45</t>
  </si>
  <si>
    <t>Temple veil torn in two</t>
  </si>
  <si>
    <t>Matthew 27:50; Mark 15:37; Luke 23:46; John 19:30</t>
  </si>
  <si>
    <t>Jesus dies</t>
  </si>
  <si>
    <t>Psalm 31:5</t>
  </si>
  <si>
    <t>Commendation</t>
  </si>
  <si>
    <t>Luke 23:46</t>
  </si>
  <si>
    <t>Jesus' seventh word: "Into your hands..."</t>
  </si>
  <si>
    <t>Completion</t>
  </si>
  <si>
    <t>Jesus' sixth word: "It is finished"</t>
  </si>
  <si>
    <t>Psalm 69:21</t>
  </si>
  <si>
    <t>Response</t>
  </si>
  <si>
    <t>Soldier</t>
  </si>
  <si>
    <t>Matthew 27:48; Mark 15:36; John 19:29</t>
  </si>
  <si>
    <t>Jesus given sour wine</t>
  </si>
  <si>
    <t>Psalm 22:15; 69:21</t>
  </si>
  <si>
    <t>Physical need</t>
  </si>
  <si>
    <t>John 19:28</t>
  </si>
  <si>
    <t>Jesus' fifth word: "I thirst"</t>
  </si>
  <si>
    <t>Psalm 22:1</t>
  </si>
  <si>
    <t>Cry of dereliction</t>
  </si>
  <si>
    <t>Matthew 27:46; Mark 15:34</t>
  </si>
  <si>
    <t>Jesus' fourth word: "My God, why..."</t>
  </si>
  <si>
    <t>Amos 8:9</t>
  </si>
  <si>
    <t>Matthew 27:45; Mark 15:33; Luke 23:44-45</t>
  </si>
  <si>
    <t>Darkness covers the land</t>
  </si>
  <si>
    <t>Care</t>
  </si>
  <si>
    <t>John 19:25-27</t>
  </si>
  <si>
    <t>Jesus' third word to Mary and John</t>
  </si>
  <si>
    <t>Promise</t>
  </si>
  <si>
    <t>Luke 23:39-43</t>
  </si>
  <si>
    <t>Jesus' second word to penitent thief</t>
  </si>
  <si>
    <t>Psalm 22:7-8; 109:25</t>
  </si>
  <si>
    <t>Mockery</t>
  </si>
  <si>
    <t>Crowd/Religious leaders</t>
  </si>
  <si>
    <t>Matthew 27:39-44; Mark 15:29-32; Luke 23:35-37</t>
  </si>
  <si>
    <t>Jesus mocked on the cross</t>
  </si>
  <si>
    <t>Psalm 22:18</t>
  </si>
  <si>
    <t>Fulfillment</t>
  </si>
  <si>
    <t>Roman soldiers</t>
  </si>
  <si>
    <t>Matthew 27:35; Mark 15:24; Luke 23:34; John 19:23-24</t>
  </si>
  <si>
    <t>Soldiers divide Jesus' garments</t>
  </si>
  <si>
    <t>Forgiveness</t>
  </si>
  <si>
    <t>Luke 23:34</t>
  </si>
  <si>
    <t>Jesus' first word: "Father, forgive them"</t>
  </si>
  <si>
    <t>Psalm 22:16; Isaiah 53:12</t>
  </si>
  <si>
    <t>Crucifixion</t>
  </si>
  <si>
    <t>Matthew 27:35; Mark 15:24; Luke 23:33; John 19:18</t>
  </si>
  <si>
    <t>Jesus crucified</t>
  </si>
  <si>
    <t>Refusal</t>
  </si>
  <si>
    <t>Matthew 27:34; Mark 15:23</t>
  </si>
  <si>
    <t>Jesus refuses wine mixed with myrrh</t>
  </si>
  <si>
    <t>Arrival</t>
  </si>
  <si>
    <t>Jesus/Soldiers</t>
  </si>
  <si>
    <t>Matthew 27:33; Mark 15:22; Luke 23:33; John 19:17</t>
  </si>
  <si>
    <t>Jesus arrives at Golgotha</t>
  </si>
  <si>
    <t>Hosea 10:8</t>
  </si>
  <si>
    <t>Prophecy</t>
  </si>
  <si>
    <t>Luke 23:27-31</t>
  </si>
  <si>
    <t>Jesus speaks to women of Jerusalem</t>
  </si>
  <si>
    <t>Assistance</t>
  </si>
  <si>
    <t>Simon of Cyrene</t>
  </si>
  <si>
    <t>Matthew 27:32; Mark 15:21; Luke 23:26</t>
  </si>
  <si>
    <t>Simon carries Jesus' cross</t>
  </si>
  <si>
    <t>Sentencing</t>
  </si>
  <si>
    <t>Pilate</t>
  </si>
  <si>
    <t>Jerusalem (Praetorium)</t>
  </si>
  <si>
    <t>Matthew 27:26; Mark 15:15; Luke 23:24-25; John 19:16</t>
  </si>
  <si>
    <t>Pilate sentences Jesus to crucifixion</t>
  </si>
  <si>
    <t>Presentation</t>
  </si>
  <si>
    <t>John 19:4-16</t>
  </si>
  <si>
    <t>Pilate presents Jesus to crowd</t>
  </si>
  <si>
    <t>Isaiah 53:5</t>
  </si>
  <si>
    <t>Scourging/Mockery</t>
  </si>
  <si>
    <t>Matthew 27:26-31; Mark 15:15-20; John 19:1-3</t>
  </si>
  <si>
    <t>Jesus scourged and mocked</t>
  </si>
  <si>
    <t>Choice</t>
  </si>
  <si>
    <t>Crowd/Pilate</t>
  </si>
  <si>
    <t>Matthew 27:15-23; Mark 15:6-14; Luke 23:13-23; John 18:39-40</t>
  </si>
  <si>
    <t>Jesus or Barabbas choice</t>
  </si>
  <si>
    <t>Trial/Mockery</t>
  </si>
  <si>
    <t>Herod Antipas</t>
  </si>
  <si>
    <t>Luke 23:6-12</t>
  </si>
  <si>
    <t>Jesus before Herod Antipas</t>
  </si>
  <si>
    <t>Pilate's wife</t>
  </si>
  <si>
    <t>Matthew 27:19</t>
  </si>
  <si>
    <t>Pilate's wife's dream about Jesus</t>
  </si>
  <si>
    <t>Trial</t>
  </si>
  <si>
    <t>Matthew 27:1-2, 11-14; Mark 15:1-5; Luke 23:1-5; John 18:28-38</t>
  </si>
  <si>
    <t>Jesus before Pilate (first time)</t>
  </si>
  <si>
    <t>Jeremiah 32:6-9; Zechariah 11:12-13</t>
  </si>
  <si>
    <t>Purchase</t>
  </si>
  <si>
    <t>Chief priests</t>
  </si>
  <si>
    <t>Matthew 27:6-10</t>
  </si>
  <si>
    <t>Field of Blood purchased</t>
  </si>
  <si>
    <t>Acts 1:18-19; Psalm 69:25; 109:8</t>
  </si>
  <si>
    <t>Suicide</t>
  </si>
  <si>
    <t>Judas</t>
  </si>
  <si>
    <t>Matthew 27:3-5</t>
  </si>
  <si>
    <t>Judas hangs himself</t>
  </si>
  <si>
    <t>Isaiah 50:6</t>
  </si>
  <si>
    <t>Mockery/Abuse</t>
  </si>
  <si>
    <t>High priest's house</t>
  </si>
  <si>
    <t>Matthew 26:67-68; Mark 14:65; Luke 22:63-65</t>
  </si>
  <si>
    <t>Jesus mocked and beaten</t>
  </si>
  <si>
    <t>Fulfillment of prophecy</t>
  </si>
  <si>
    <t>Rooster</t>
  </si>
  <si>
    <t>High priest's courtyard</t>
  </si>
  <si>
    <t>Matthew 26:74-75; Mark 14:72; Luke 22:60-61; John 18:27</t>
  </si>
  <si>
    <t>Rooster crows</t>
  </si>
  <si>
    <t>Denial</t>
  </si>
  <si>
    <t>Matthew 26:71-75; Mark 14:69-72; Luke 22:58-62; John 18:25-27</t>
  </si>
  <si>
    <t>Peter's second and third denials</t>
  </si>
  <si>
    <t>Psalm 110:1; Daniel 7:13</t>
  </si>
  <si>
    <t>Caiaphas/Sanhedrin</t>
  </si>
  <si>
    <t>Matthew 26:57-68; Mark 14:53-65; Luke 22:54, 63-71</t>
  </si>
  <si>
    <t>Jesus before Caiaphas and Sanhedrin</t>
  </si>
  <si>
    <t>Matthew 26:69-70; Mark 14:66-68; Luke 22:54-57; John 18:15-18</t>
  </si>
  <si>
    <t>Peter's first denial</t>
  </si>
  <si>
    <t>Preliminary hearing</t>
  </si>
  <si>
    <t>Annas</t>
  </si>
  <si>
    <t>John 18:13-14, 19-23</t>
  </si>
  <si>
    <t>Jesus before Annas</t>
  </si>
  <si>
    <t>Flight</t>
  </si>
  <si>
    <t>Young man</t>
  </si>
  <si>
    <t>Mark 14:51-52</t>
  </si>
  <si>
    <t>Young man flees naked</t>
  </si>
  <si>
    <t>Abandonment</t>
  </si>
  <si>
    <t>Matthew 26:56; Mark 14:50</t>
  </si>
  <si>
    <t>All disciples flee</t>
  </si>
  <si>
    <t>John 18:6</t>
  </si>
  <si>
    <t>Jesus' supernatural response to arrest</t>
  </si>
  <si>
    <t>Luke 22:50-51; John 18:10</t>
  </si>
  <si>
    <t>Jesus heals soldier's ear</t>
  </si>
  <si>
    <t>Arrest</t>
  </si>
  <si>
    <t>Judas/Soldiers</t>
  </si>
  <si>
    <t>Matthew 26:47-56; Mark 14:43-52; Luke 22:47-53; John 18:2-12</t>
  </si>
  <si>
    <t>Jesus arrested</t>
  </si>
  <si>
    <t>Luke 22:43</t>
  </si>
  <si>
    <t>Angel strengthens Jesus</t>
  </si>
  <si>
    <t>Supernatural Physical Response</t>
  </si>
  <si>
    <t>Luke 22:44</t>
  </si>
  <si>
    <t>Jesus sweats blood</t>
  </si>
  <si>
    <t>Prayer/Agony</t>
  </si>
  <si>
    <t>Matthew 26:36-46; Mark 14:32-42; Luke 22:39-46</t>
  </si>
  <si>
    <t>Jesus prays in agony</t>
  </si>
  <si>
    <t>Journey</t>
  </si>
  <si>
    <t>Matthew 26:36; Mark 14:32; Luke 22:39; John 18:1</t>
  </si>
  <si>
    <t>Jesus goes to Gethsemane</t>
  </si>
  <si>
    <t>Prayer</t>
  </si>
  <si>
    <t>Jerusalem (Upper Room)</t>
  </si>
  <si>
    <t>Teaching</t>
  </si>
  <si>
    <t>John 14:1-16:33</t>
  </si>
  <si>
    <t>Jesus' farewell discourse</t>
  </si>
  <si>
    <t>Matthew 26:31-35; Mark 14:27-31; Luke 22:31-34; John 13:36-38</t>
  </si>
  <si>
    <t>Exodus 12:1-14; 1 Corinthians 11:23-26</t>
  </si>
  <si>
    <t>Psalm 41:9</t>
  </si>
  <si>
    <t>Matthew 26:20-25; Mark 14:17-21; Luke 22:21-23; John 13:21-30</t>
  </si>
  <si>
    <t>Jesus predicts His betrayal</t>
  </si>
  <si>
    <t>Service/Teaching</t>
  </si>
  <si>
    <t>John 13:1-20</t>
  </si>
  <si>
    <t>Jesus washes disciples' feet</t>
  </si>
  <si>
    <t>Two disciples</t>
  </si>
  <si>
    <t>Matthew 26:17-19; Mark 14:12-16; Luke 22:7-13</t>
  </si>
  <si>
    <t>Preparation for Passover</t>
  </si>
  <si>
    <t>Betrayal</t>
  </si>
  <si>
    <t>Matthew 26:14-16; Mark 14:10-11; Luke 22:3-6</t>
  </si>
  <si>
    <t>Judas agrees to betray Jesus</t>
  </si>
  <si>
    <t>Plot</t>
  </si>
  <si>
    <t>Religious leaders</t>
  </si>
  <si>
    <t>Matthew 26:1-5; Mark 14:1-2; Luke 22:1-2</t>
  </si>
  <si>
    <t>Religious leaders plot to arrest Jesus</t>
  </si>
  <si>
    <t>Matthew 25:31-46</t>
  </si>
  <si>
    <t>Judgment of nations</t>
  </si>
  <si>
    <t>Matthew 25:14-30</t>
  </si>
  <si>
    <t>Parable of talents</t>
  </si>
  <si>
    <t>Matthew 25:1-13</t>
  </si>
  <si>
    <t>Parable of ten virgins</t>
  </si>
  <si>
    <t>Daniel 9:27; 12:1; Joel 2:31</t>
  </si>
  <si>
    <t>Prophetic Teaching</t>
  </si>
  <si>
    <t>Matthew 24:3-25:46; Mark 13:3-37; Luke 21:7-36</t>
  </si>
  <si>
    <t>Olivet Discourse about end times</t>
  </si>
  <si>
    <t>Daniel 9:26</t>
  </si>
  <si>
    <t>Matthew 24:1-2; Mark 13:1-2; Luke 21:5-6</t>
  </si>
  <si>
    <t>Jesus predicts destruction of temple</t>
  </si>
  <si>
    <t>Sacrificial giving</t>
  </si>
  <si>
    <t>Poor widow</t>
  </si>
  <si>
    <t>Mark 12:41-44; Luke 21:1-4</t>
  </si>
  <si>
    <t>Widow's offering</t>
  </si>
  <si>
    <t>Condemnation</t>
  </si>
  <si>
    <t>Matthew 23:1-36; Mark 12:38-40; Luke 20:45-47</t>
  </si>
  <si>
    <t>Jesus denounces scribes and Pharisees</t>
  </si>
  <si>
    <t>Psalm 110:1</t>
  </si>
  <si>
    <t>Matthew 22:41-46; Mark 12:35-37; Luke 20:41-44</t>
  </si>
  <si>
    <t>Jesus questions about David's son</t>
  </si>
  <si>
    <t>Deuteronomy 6:5; Leviticus 19:18</t>
  </si>
  <si>
    <t>Pharisees/Jesus</t>
  </si>
  <si>
    <t>Matthew 22:34-40; Mark 12:28-34</t>
  </si>
  <si>
    <t>Greatest commandment question</t>
  </si>
  <si>
    <t>Exodus 3:6</t>
  </si>
  <si>
    <t>Controversy</t>
  </si>
  <si>
    <t>Sadducees/Jesus</t>
  </si>
  <si>
    <t>Matthew 22:23-33; Mark 12:18-27; Luke 20:27-40</t>
  </si>
  <si>
    <t>Sadducees question about resurrection</t>
  </si>
  <si>
    <t>Matthew 22:15-22; Mark 12:13-17; Luke 20:20-26</t>
  </si>
  <si>
    <t>Question about paying taxes to Caesar</t>
  </si>
  <si>
    <t>Matthew 22:1-14</t>
  </si>
  <si>
    <t>Parable of wedding banquet</t>
  </si>
  <si>
    <t>Psalm 118:22-23; Isaiah 5:1-7</t>
  </si>
  <si>
    <t>Matthew 21:33-46; Mark 12:1-12; Luke 20:9-19</t>
  </si>
  <si>
    <t>Parable of wicked tenants</t>
  </si>
  <si>
    <t>Matthew 21:28-32</t>
  </si>
  <si>
    <t>Parable of two sons</t>
  </si>
  <si>
    <t>Religious leaders/Jesus</t>
  </si>
  <si>
    <t>Matthew 21:23-27; Mark 11:27-33; Luke 20:1-8</t>
  </si>
  <si>
    <t>Religious leaders question Jesus' authority</t>
  </si>
  <si>
    <t>Matthew 21:18-22; Mark 11:12-14, 20-25</t>
  </si>
  <si>
    <t>Fig tree withers at Jesus' command</t>
  </si>
  <si>
    <t>Isaiah 56:7; Jeremiah 7:11</t>
  </si>
  <si>
    <t>Matthew 21:12-13; Mark 11:15-17; Luke 19:45-46</t>
  </si>
  <si>
    <t>Jesus cleanses temple (second time)</t>
  </si>
  <si>
    <t>Voice from heaven affirms Jesus</t>
  </si>
  <si>
    <t>Greeks</t>
  </si>
  <si>
    <t>John 12:20-36</t>
  </si>
  <si>
    <t>Greeks seek to see Jesus</t>
  </si>
  <si>
    <t>Daniel 9:26; Luke 21:20</t>
  </si>
  <si>
    <t>Lament</t>
  </si>
  <si>
    <t>Luke 19:41-44</t>
  </si>
  <si>
    <t>Jesus weeps over Jerusalem</t>
  </si>
  <si>
    <t>Zechariah 9:9; Psalm 118:25-26</t>
  </si>
  <si>
    <t>Messianic Entry</t>
  </si>
  <si>
    <t>Matthew 21:1-11; Mark 11:1-11; Luke 19:28-44; John 12:12-19</t>
  </si>
  <si>
    <t>Triumphal Entry into Jerusalem</t>
  </si>
  <si>
    <t>Anointing</t>
  </si>
  <si>
    <t>Mary of Bethany</t>
  </si>
  <si>
    <t>Matthew 26:6-13; Mark 14:3-9; John 12:1-8</t>
  </si>
  <si>
    <t>Jesus anointed at Bethany</t>
  </si>
  <si>
    <t>Luke 19:11-27</t>
  </si>
  <si>
    <t>Parable of the ten minas</t>
  </si>
  <si>
    <t>Salvation/Fellowship</t>
  </si>
  <si>
    <t>Jesus visits Zacchaeus</t>
  </si>
  <si>
    <t>Road to Jerusalem</t>
  </si>
  <si>
    <t>Matthew 20:20-28; Mark 10:35-45</t>
  </si>
  <si>
    <t>Request of James and John's mother</t>
  </si>
  <si>
    <t>Matthew 20:17-19; Mark 10:32-34; Luke 18:31-34</t>
  </si>
  <si>
    <t>Jesus again predicts His death</t>
  </si>
  <si>
    <t>Matthew 20:1-16</t>
  </si>
  <si>
    <t>Parable of workers in vineyard</t>
  </si>
  <si>
    <t>Exodus 20:12-16; Deuteronomy 5:16-20</t>
  </si>
  <si>
    <t>Matthew 19:16-30; Mark 10:17-31; Luke 18:18-30</t>
  </si>
  <si>
    <t>Rich young ruler approaches Jesus</t>
  </si>
  <si>
    <t>Blessing</t>
  </si>
  <si>
    <t>Matthew 19:13-15; Mark 10:13-16; Luke 18:15-17</t>
  </si>
  <si>
    <t>Jesus blesses little children</t>
  </si>
  <si>
    <t>Genesis 1:27; 2:24; Deuteronomy 24:1</t>
  </si>
  <si>
    <t>Matthew 19:1-12; Mark 10:1-12</t>
  </si>
  <si>
    <t>Jesus teaches about divorce</t>
  </si>
  <si>
    <t>Luke 18:1-14</t>
  </si>
  <si>
    <t>Jesus teaches about the kingdom and prayer</t>
  </si>
  <si>
    <t>Leviticus 14:1-32</t>
  </si>
  <si>
    <t>John 11:45-57</t>
  </si>
  <si>
    <t>Sanhedrin plots to kill Jesus</t>
  </si>
  <si>
    <t>John 11:1-44</t>
  </si>
  <si>
    <t>Jesus raises Lazarus from dead</t>
  </si>
  <si>
    <t>Psalm 118:26</t>
  </si>
  <si>
    <t>c. 32-33 AD</t>
  </si>
  <si>
    <t>Luke 13:10-35</t>
  </si>
  <si>
    <t>Jesus teaches about the kingdom</t>
  </si>
  <si>
    <t>Psalm 82:6</t>
  </si>
  <si>
    <t>c. 32 AD</t>
  </si>
  <si>
    <t>John 10:22-42</t>
  </si>
  <si>
    <t>Jesus at Festival of Dedication</t>
  </si>
  <si>
    <t>Luke 11:1-13</t>
  </si>
  <si>
    <t>Jesus teaches the Lord's Prayer</t>
  </si>
  <si>
    <t>Visit</t>
  </si>
  <si>
    <t>Luke 10:38-42</t>
  </si>
  <si>
    <t>Jesus visits Mary and Martha</t>
  </si>
  <si>
    <t>Leviticus 19:18; Deuteronomy 6:5</t>
  </si>
  <si>
    <t>Luke 10:25-37</t>
  </si>
  <si>
    <t>Parable of Good Samaritan</t>
  </si>
  <si>
    <t>Isaiah 14:12</t>
  </si>
  <si>
    <t>Commissioning</t>
  </si>
  <si>
    <t>Luke 10:1-24</t>
  </si>
  <si>
    <t>Jesus sends out the seventy-two</t>
  </si>
  <si>
    <t>Ezekiel 34:11-16; Psalm 23:1</t>
  </si>
  <si>
    <t>John 10:1-21</t>
  </si>
  <si>
    <t>Jesus teaches about the Good Shepherd</t>
  </si>
  <si>
    <t>Jesus heals man born blind</t>
  </si>
  <si>
    <t>Isaiah 9:2; Exodus 3:14</t>
  </si>
  <si>
    <t>John 8:12-59</t>
  </si>
  <si>
    <t>Jesus declares He is the light of the world</t>
  </si>
  <si>
    <t>Deuteronomy 17:7; Leviticus 20:10</t>
  </si>
  <si>
    <t>Mercy/Justice</t>
  </si>
  <si>
    <t>John 8:1-11</t>
  </si>
  <si>
    <t>Jesus and the woman caught in adultery</t>
  </si>
  <si>
    <t>Isaiah 55:1; Ezekiel 47:1</t>
  </si>
  <si>
    <t>John 7:14-52</t>
  </si>
  <si>
    <t>Jesus teaches at the festival</t>
  </si>
  <si>
    <t>Festival Attendance</t>
  </si>
  <si>
    <t>John 7:10-13</t>
  </si>
  <si>
    <t>Jesus goes to Festival of Tabernacles</t>
  </si>
  <si>
    <t>Suggestion</t>
  </si>
  <si>
    <t>Jesus' brothers</t>
  </si>
  <si>
    <t>John 7:1-9</t>
  </si>
  <si>
    <t>Jesus' brothers urge Him to go to Jerusalem</t>
  </si>
  <si>
    <t>Matthew 18:6-35; Mark 9:42-50</t>
  </si>
  <si>
    <t>Jesus teaches about offenses and forgiveness</t>
  </si>
  <si>
    <t>Mark 9:38-41; Luke 9:49-50</t>
  </si>
  <si>
    <t>John reports about unknown exorcist</t>
  </si>
  <si>
    <t>Matthew 18:1-5; Mark 9:33-37; Luke 9:46-48</t>
  </si>
  <si>
    <t>Disciples argue about greatness</t>
  </si>
  <si>
    <t>Matthew 17:22-23; Mark 9:30-32; Luke 9:44-45</t>
  </si>
  <si>
    <t>Matthew 17:14-21; Mark 9:14-29; Luke 9:37-43</t>
  </si>
  <si>
    <t>Jesus heals epileptic boy</t>
  </si>
  <si>
    <t>Psalm 2:7; Deuteronomy 18:15</t>
  </si>
  <si>
    <t>Matthew 17:5; Mark 9:7; Luke 9:35</t>
  </si>
  <si>
    <t>Voice from heaven at Transfiguration</t>
  </si>
  <si>
    <t>Matthew 17:3; Mark 9:4; Luke 9:30-31</t>
  </si>
  <si>
    <t>Exodus 34:29-35; 2 Peter 1:16-18</t>
  </si>
  <si>
    <t>Jesus' transfiguration</t>
  </si>
  <si>
    <t>Matthew 16:21-28; Mark 8:31-9:1; Luke 9:22-27</t>
  </si>
  <si>
    <t>Jesus foretells His death and resurrection</t>
  </si>
  <si>
    <t>Confession</t>
  </si>
  <si>
    <t>Matthew 16:13-20; Mark 8:27-30; Luke 9:18-21</t>
  </si>
  <si>
    <t>Peter's confession of Christ</t>
  </si>
  <si>
    <t>Jesus heals blind man at Bethsaida</t>
  </si>
  <si>
    <t>Matthew 16:5-12; Mark 8:14-21</t>
  </si>
  <si>
    <t>Jesus warns about leaven of Pharisees</t>
  </si>
  <si>
    <t>Request/Jesus' Response</t>
  </si>
  <si>
    <t>Pharisees</t>
  </si>
  <si>
    <t>Matthew 16:1-4; Mark 8:11-13</t>
  </si>
  <si>
    <t>Pharisees seek a sign</t>
  </si>
  <si>
    <t>2 Kings 4:42-44</t>
  </si>
  <si>
    <t>Matthew 15:32-39; Mark 8:1-10</t>
  </si>
  <si>
    <t>Jesus heals many in Decapolis</t>
  </si>
  <si>
    <t>Isaiah 35:5-6</t>
  </si>
  <si>
    <t>Jesus heals deaf and mute man</t>
  </si>
  <si>
    <t>Matthew 15:21-28; Mark 7:24-30</t>
  </si>
  <si>
    <t>Jesus heals Canaanite woman's daughter</t>
  </si>
  <si>
    <t>Isaiah 29:13</t>
  </si>
  <si>
    <t>Matthew 15:1-20; Mark 7:1-23</t>
  </si>
  <si>
    <t>Jesus teaches about clean and unclean</t>
  </si>
  <si>
    <t>Many disciples</t>
  </si>
  <si>
    <t>John 6:60-71</t>
  </si>
  <si>
    <t>Many disciples turn away</t>
  </si>
  <si>
    <t>Exodus 16:4; Psalm 78:24</t>
  </si>
  <si>
    <t>Capernaum (synagogue)</t>
  </si>
  <si>
    <t>John 6:22-71</t>
  </si>
  <si>
    <t>Jesus teaches about bread of life</t>
  </si>
  <si>
    <t>Jesus heals many at Gennesaret</t>
  </si>
  <si>
    <t>Job 9:8; Psalm 77:19</t>
  </si>
  <si>
    <t>Matthew 14:22-33; Mark 6:45-52; John 6:16-21</t>
  </si>
  <si>
    <t>Matthew 14:13-21; Mark 6:30-44; Luke 9:10-17; John 6:1-15</t>
  </si>
  <si>
    <t>Return</t>
  </si>
  <si>
    <t>The Twelve</t>
  </si>
  <si>
    <t>Mark 6:30; Luke 9:10</t>
  </si>
  <si>
    <t>Apostles return from mission</t>
  </si>
  <si>
    <t>Execution</t>
  </si>
  <si>
    <t>Machaerus</t>
  </si>
  <si>
    <t>Matthew 14:3-12; Mark 6:17-29; Luke 3:19-20</t>
  </si>
  <si>
    <t>Death of John the Baptist</t>
  </si>
  <si>
    <t>Curiosity/Fear</t>
  </si>
  <si>
    <t>Matthew 14:1-2; Mark 6:14-16; Luke 9:7-9</t>
  </si>
  <si>
    <t>Herod Antipas hears about Jesus</t>
  </si>
  <si>
    <t>Matthew 10:5-42; Mark 6:7-13; Luke 9:1-6</t>
  </si>
  <si>
    <t>Jesus sends out the Twelve</t>
  </si>
  <si>
    <t>Rejection</t>
  </si>
  <si>
    <t>Matthew 13:53-58; Mark 6:1-6</t>
  </si>
  <si>
    <t>Jesus rejected at Nazareth (second time)</t>
  </si>
  <si>
    <t>Jesus heals mute demon-possessed man</t>
  </si>
  <si>
    <t>Matthew 9:18-19, 23-26; Mark 5:21-24, 35-43; Luke 8:40-42, 49-56</t>
  </si>
  <si>
    <t>Jesus raises Jairus' daughter</t>
  </si>
  <si>
    <t>Capernaum area</t>
  </si>
  <si>
    <t>Matthew 9:20-22; Mark 5:25-34; Luke 8:43-48</t>
  </si>
  <si>
    <t>Matthew 8:28-34; Mark 5:1-20; Luke 8:26-39</t>
  </si>
  <si>
    <t>Jesus casts out Legion demons</t>
  </si>
  <si>
    <t>Psalm 107:29; 89:9</t>
  </si>
  <si>
    <t>Matthew 8:23-27; Mark 4:35-41; Luke 8:22-25</t>
  </si>
  <si>
    <t>Isaiah 6:9-10; Psalm 78:2</t>
  </si>
  <si>
    <t>Matthew 13:1-52; Mark 4:1-34; Luke 8:4-18</t>
  </si>
  <si>
    <t>Jesus teaches in parables by the sea</t>
  </si>
  <si>
    <t>Matthew 12:46-50; Mark 3:31-35; Luke 8:19-21</t>
  </si>
  <si>
    <t>Jesus' mother and brothers seek Him</t>
  </si>
  <si>
    <t>Defense/Teaching</t>
  </si>
  <si>
    <t>Matthew 12:22-37; Mark 3:20-30; Luke 11:14-26</t>
  </si>
  <si>
    <t>Jesus accused of using Beelzebub</t>
  </si>
  <si>
    <t>Ministry</t>
  </si>
  <si>
    <t>Luke 8:1-3</t>
  </si>
  <si>
    <t>Women minister to Jesus</t>
  </si>
  <si>
    <t>Unnamed woman</t>
  </si>
  <si>
    <t>Simon's house</t>
  </si>
  <si>
    <t>Luke 7:36-50</t>
  </si>
  <si>
    <t>Jesus anointed by sinful woman</t>
  </si>
  <si>
    <t>Malachi 3:1; 4:5</t>
  </si>
  <si>
    <t>Matthew 11:7-19; Luke 7:24-35</t>
  </si>
  <si>
    <t>Jesus speaks about John the Baptist</t>
  </si>
  <si>
    <t>Isaiah 35:5-6; 61:1</t>
  </si>
  <si>
    <t>Inquiry</t>
  </si>
  <si>
    <t>John's disciples</t>
  </si>
  <si>
    <t>Prison/Galilee</t>
  </si>
  <si>
    <t>Matthew 11:2-6; Luke 7:18-23</t>
  </si>
  <si>
    <t>John the Baptist sends disciples to Jesus</t>
  </si>
  <si>
    <t>1 Kings 17:17-24; 2 Kings 4:18-37</t>
  </si>
  <si>
    <t>Jesus raises widow's son</t>
  </si>
  <si>
    <t>Jesus heals centurion's servant</t>
  </si>
  <si>
    <t>Mountain/Plain</t>
  </si>
  <si>
    <t>Matthew 5:1-7:29; Luke 6:17-49</t>
  </si>
  <si>
    <t>Sermon on the Mount/Plain</t>
  </si>
  <si>
    <t>Apostolic Calling</t>
  </si>
  <si>
    <t>Mountain</t>
  </si>
  <si>
    <t>Matthew 10:1-4; Mark 3:13-19; Luke 6:12-16</t>
  </si>
  <si>
    <t>Jesus chooses the Twelve apostles</t>
  </si>
  <si>
    <t>Isaiah 42:1-4</t>
  </si>
  <si>
    <t>Healing Ministry</t>
  </si>
  <si>
    <t>Matthew 12:15-21; Mark 3:7-12</t>
  </si>
  <si>
    <t>Jesus withdraws and heals many</t>
  </si>
  <si>
    <t>Matthew 12:9-14; Mark 3:1-6; Luke 6:6-11</t>
  </si>
  <si>
    <t>Jesus heals man with withered hand</t>
  </si>
  <si>
    <t>1 Samuel 21:6; Hosea 6:6</t>
  </si>
  <si>
    <t>Sabbath Controversy</t>
  </si>
  <si>
    <t>Jesus/Disciples</t>
  </si>
  <si>
    <t>Grain fields</t>
  </si>
  <si>
    <t>Matthew 12:1-8; Mark 2:23-28; Luke 6:1-5</t>
  </si>
  <si>
    <t>Disciples pick grain on Sabbath</t>
  </si>
  <si>
    <t>Deuteronomy 18:15; Psalm 2:7</t>
  </si>
  <si>
    <t>Teaching/Defense</t>
  </si>
  <si>
    <t>c. 31 AD</t>
  </si>
  <si>
    <t>John 5:16-47</t>
  </si>
  <si>
    <t>Jesus defends healing on Sabbath</t>
  </si>
  <si>
    <t>Jesus heals man at Pool of Bethesda</t>
  </si>
  <si>
    <t>Matthew 9:14-17; Mark 2:18-22; Luke 5:33-39</t>
  </si>
  <si>
    <t>Discussion about fasting</t>
  </si>
  <si>
    <t>Fellowship</t>
  </si>
  <si>
    <t>Matthew 9:10-13; Mark 2:15-17; Luke 5:29-32</t>
  </si>
  <si>
    <t>Jesus eats with tax collectors and sinners</t>
  </si>
  <si>
    <t>Calling</t>
  </si>
  <si>
    <t>Matthew 9:9; Mark 2:13-14; Luke 5:27-28</t>
  </si>
  <si>
    <t>Jesus calls Matthew/Levi</t>
  </si>
  <si>
    <t>Psalm 103:3</t>
  </si>
  <si>
    <t>Matthew 9:1-8; Mark 2:1-12; Luke 5:17-26</t>
  </si>
  <si>
    <t>Jesus heals paralytic lowered through roof</t>
  </si>
  <si>
    <t>Matthew 8:1-4; Mark 1:40-45; Luke 5:12-16</t>
  </si>
  <si>
    <t>Prayer/Preaching</t>
  </si>
  <si>
    <t>Mark 1:35-39; Luke 4:42-44</t>
  </si>
  <si>
    <t>Jesus prays alone and preaches in Galilee</t>
  </si>
  <si>
    <t>Isaiah 53:4</t>
  </si>
  <si>
    <t>Matthew 8:16; Mark 1:32-34; Luke 4:40-41</t>
  </si>
  <si>
    <t>Jesus heals many at evening</t>
  </si>
  <si>
    <t>Mark 1:21-28; Luke 4:31-37</t>
  </si>
  <si>
    <t>Jesus heals man with unclean spirit</t>
  </si>
  <si>
    <t>Matthew 4:21-22; Mark 1:19-20; Luke 5:10-11</t>
  </si>
  <si>
    <t>Jesus calls James and John</t>
  </si>
  <si>
    <t>Luke 5:4-11</t>
  </si>
  <si>
    <t>Great catch of fish</t>
  </si>
  <si>
    <t>Matthew 4:18-20; Mark 1:16-18; Luke 5:1-11</t>
  </si>
  <si>
    <t>Jesus calls Simon and Andrew</t>
  </si>
  <si>
    <t>Isaiah 9:1-2</t>
  </si>
  <si>
    <t>Relocation</t>
  </si>
  <si>
    <t>Matthew 4:13-16</t>
  </si>
  <si>
    <t>Jesus moves to Capernaum</t>
  </si>
  <si>
    <t>Isaiah 61:1-2; 1 Kings 17:9; 2 Kings 5:14</t>
  </si>
  <si>
    <t>Luke 4:16-30</t>
  </si>
  <si>
    <t>Jesus rejected at Nazareth</t>
  </si>
  <si>
    <t>Ministry Beginning</t>
  </si>
  <si>
    <t>Matthew 4:12-17; Mark 1:14-15; Luke 4:14-15</t>
  </si>
  <si>
    <t>Jesus begins Galilean ministry</t>
  </si>
  <si>
    <t>Jesus heals nobleman's son</t>
  </si>
  <si>
    <t>Faith</t>
  </si>
  <si>
    <t>Samaritans</t>
  </si>
  <si>
    <t>Sychar (Samaria)</t>
  </si>
  <si>
    <t>John 4:39-42</t>
  </si>
  <si>
    <t>Many Samaritans believe</t>
  </si>
  <si>
    <t>Teaching/Evangelism</t>
  </si>
  <si>
    <t>John 4:4-42</t>
  </si>
  <si>
    <t>Jesus speaks with Samaritan woman</t>
  </si>
  <si>
    <t>Testimony</t>
  </si>
  <si>
    <t>Aenon near Salim</t>
  </si>
  <si>
    <t>John 3:23-36</t>
  </si>
  <si>
    <t>John the Baptist's final testimony</t>
  </si>
  <si>
    <t>Baptism</t>
  </si>
  <si>
    <t>Jesus' disciples</t>
  </si>
  <si>
    <t>Judean countryside</t>
  </si>
  <si>
    <t>John 3:22; 4:1-2</t>
  </si>
  <si>
    <t>Jesus baptizes in Judea</t>
  </si>
  <si>
    <t>Numbers 21:9; Ezekiel 36:26-27</t>
  </si>
  <si>
    <t>Jesus speaks with Nicodemus</t>
  </si>
  <si>
    <t>Psalm 69:9; Isaiah 56:7; Jeremiah 7:11</t>
  </si>
  <si>
    <t>John 2:13-17</t>
  </si>
  <si>
    <t>Jesus cleanses temple (first time)</t>
  </si>
  <si>
    <t>John 2:12</t>
  </si>
  <si>
    <t>Jesus goes to Capernaum briefly</t>
  </si>
  <si>
    <t>Cana</t>
  </si>
  <si>
    <t>Jesus turns water into wine</t>
  </si>
  <si>
    <t>Social Event</t>
  </si>
  <si>
    <t>John 2:1-2</t>
  </si>
  <si>
    <t>Jesus attends wedding at Cana</t>
  </si>
  <si>
    <t>Bethany beyond Jordan/Galilee</t>
  </si>
  <si>
    <t>John 1:35-51</t>
  </si>
  <si>
    <t>Jesus calls first disciples</t>
  </si>
  <si>
    <t>Isaiah 53:7</t>
  </si>
  <si>
    <t>Bethany beyond Jordan</t>
  </si>
  <si>
    <t>John 1:19-34</t>
  </si>
  <si>
    <t>John testifies about Jesus</t>
  </si>
  <si>
    <t>Psalm 91:11; Hebrews 1:14</t>
  </si>
  <si>
    <t>Divine Ministry</t>
  </si>
  <si>
    <t>Matthew 4:11; Mark 1:13</t>
  </si>
  <si>
    <t>Angels minister to Jesus after temptation</t>
  </si>
  <si>
    <t>Deuteronomy 8:3; 6:16; 6:13</t>
  </si>
  <si>
    <t>Matthew 4:1-11; Mark 1:13; Luke 4:1-13</t>
  </si>
  <si>
    <t>Satan tempts Jesus in wilderness</t>
  </si>
  <si>
    <t>Matthew 4:1; Mark 1:12; Luke 4:1</t>
  </si>
  <si>
    <t>Isaiah 61:1</t>
  </si>
  <si>
    <t>Matthew 3:16; Mark 1:10; Luke 3:22; John 1:32</t>
  </si>
  <si>
    <t>Holy Spirit descends like dove</t>
  </si>
  <si>
    <t>Psalm 2:7; Isaiah 42:1</t>
  </si>
  <si>
    <t>Matthew 3:17; Mark 1:11; Luke 3:22</t>
  </si>
  <si>
    <t>Matthew 3:13-17; Mark 1:9-11; Luke 3:21-22</t>
  </si>
  <si>
    <t>Jesus' baptism by John</t>
  </si>
  <si>
    <t>c. 29 AD</t>
  </si>
  <si>
    <t>Matthew 3:5-6; Mark 1:4-5; Luke 3:7-18</t>
  </si>
  <si>
    <t>John baptizes many people</t>
  </si>
  <si>
    <t>Isaiah 40:3; Malachi 3:1</t>
  </si>
  <si>
    <t>Preaching</t>
  </si>
  <si>
    <t>c. 28-29 AD</t>
  </si>
  <si>
    <t>Matthew 3:1-6; Mark 1:1-6; Luke 3:1-6</t>
  </si>
  <si>
    <t>John the Baptist begins ministry</t>
  </si>
  <si>
    <t>1 Samuel 2:26</t>
  </si>
  <si>
    <t>Obedience/Growth</t>
  </si>
  <si>
    <t>c. 8 AD</t>
  </si>
  <si>
    <t>Luke 2:51-52</t>
  </si>
  <si>
    <t>Jesus returns to Nazareth with parents</t>
  </si>
  <si>
    <t>Luke 2:41-50</t>
  </si>
  <si>
    <t>Boy Jesus at temple during Passover</t>
  </si>
  <si>
    <t>Growth</t>
  </si>
  <si>
    <t>c. 4 BC - 8 AD</t>
  </si>
  <si>
    <t>Luke 2:40</t>
  </si>
  <si>
    <t>Jesus grows in wisdom and stature</t>
  </si>
  <si>
    <t>Isaiah 11:1; Judges 13:5</t>
  </si>
  <si>
    <t>Joseph/Mary/Jesus</t>
  </si>
  <si>
    <t>Matthew 2:21-23; Luke 2:39</t>
  </si>
  <si>
    <t>Return from Egypt to Nazareth</t>
  </si>
  <si>
    <t>Herod</t>
  </si>
  <si>
    <t>4 BC</t>
  </si>
  <si>
    <t>Matthew 2:19</t>
  </si>
  <si>
    <t>Death of Herod the Great</t>
  </si>
  <si>
    <t>Jeremiah 31:15</t>
  </si>
  <si>
    <t>Massacre</t>
  </si>
  <si>
    <t>Matthew 2:16-18</t>
  </si>
  <si>
    <t>Herod kills infants in Bethlehem</t>
  </si>
  <si>
    <t>Matthew 2:14-15</t>
  </si>
  <si>
    <t>Flight to Egypt</t>
  </si>
  <si>
    <t>Psalm 72:10-11; Isaiah 60:3, 6</t>
  </si>
  <si>
    <t>Wise men</t>
  </si>
  <si>
    <t>Matthew 2:9-12</t>
  </si>
  <si>
    <t>Wise men visit Jesus</t>
  </si>
  <si>
    <t>Isaiah 52:9; Luke 24:21</t>
  </si>
  <si>
    <t>Anna</t>
  </si>
  <si>
    <t>Anna speaks prophetically about Jesus</t>
  </si>
  <si>
    <t>Isaiah 49:6; 52:10</t>
  </si>
  <si>
    <t>Simeon</t>
  </si>
  <si>
    <t>Simeon's prophetic words about Jesus</t>
  </si>
  <si>
    <t>Leviticus 12:2-8; Exodus 13:2</t>
  </si>
  <si>
    <t>Religious Observance</t>
  </si>
  <si>
    <t>Joseph/Mary</t>
  </si>
  <si>
    <t>Luke 2:22-24</t>
  </si>
  <si>
    <t>Jesus presented at temple</t>
  </si>
  <si>
    <t>Numbers 24:17; Psalm 72:10-11</t>
  </si>
  <si>
    <t>East (Babylon/Persia)</t>
  </si>
  <si>
    <t>Matthew 2:1-2</t>
  </si>
  <si>
    <t>Star appears to wise men</t>
  </si>
  <si>
    <t>Leviticus 12:3; Genesis 17:12</t>
  </si>
  <si>
    <t>Luke 2:21</t>
  </si>
  <si>
    <t>Jesus' circumcision and naming</t>
  </si>
  <si>
    <t>Shepherds</t>
  </si>
  <si>
    <t>Luke 2:15-20</t>
  </si>
  <si>
    <t>Shepherds visit baby Jesus</t>
  </si>
  <si>
    <t>Psalm 103:20-21; 148:2</t>
  </si>
  <si>
    <t>Heavenly host</t>
  </si>
  <si>
    <t>Multitude of heavenly host appears</t>
  </si>
  <si>
    <t>Isaiah 9:6; Micah 5:2</t>
  </si>
  <si>
    <t>Micah 5:2; Isaiah 9:6</t>
  </si>
  <si>
    <t>Birth</t>
  </si>
  <si>
    <t>Mary</t>
  </si>
  <si>
    <t>Matthew 1:25; Luke 2:1-7</t>
  </si>
  <si>
    <t>Birth of Jesus</t>
  </si>
  <si>
    <t>Malachi 3:1; 4:5-6</t>
  </si>
  <si>
    <t>Divine Inspiration/Healing</t>
  </si>
  <si>
    <t>Judean hills</t>
  </si>
  <si>
    <t>Luke 1:59-79</t>
  </si>
  <si>
    <t>Zechariah regains speech and prophesies</t>
  </si>
  <si>
    <t>Elizabeth</t>
  </si>
  <si>
    <t>Luke 1:57-58</t>
  </si>
  <si>
    <t>Birth of John the Baptist</t>
  </si>
  <si>
    <t>Obedience</t>
  </si>
  <si>
    <t>Joseph</t>
  </si>
  <si>
    <t>Matthew 1:24-25</t>
  </si>
  <si>
    <t>Joseph takes Mary as wife</t>
  </si>
  <si>
    <t>Angel appears to Joseph in dream</t>
  </si>
  <si>
    <t>1 Samuel 2:1-10; Psalm 103:17</t>
  </si>
  <si>
    <t>John the Baptist (unborn)</t>
  </si>
  <si>
    <t>Luke 1:44</t>
  </si>
  <si>
    <t>Elizabeth's baby leaps in womb</t>
  </si>
  <si>
    <t>Visit/Blessing</t>
  </si>
  <si>
    <t>Mary/Elizabeth</t>
  </si>
  <si>
    <t>Luke 1:39-45</t>
  </si>
  <si>
    <t>Mary visits Elizabeth</t>
  </si>
  <si>
    <t>Isaiah 7:14; Daniel 9:24-27</t>
  </si>
  <si>
    <t>Angel announces birth of Jesus to Mary</t>
  </si>
  <si>
    <t>Luke 1:5-25</t>
  </si>
  <si>
    <t>Angel announces birth of John the Baptist</t>
  </si>
  <si>
    <t>Judgment/Prophecy</t>
  </si>
  <si>
    <t>Provision</t>
  </si>
  <si>
    <t>Translation</t>
  </si>
  <si>
    <t>Protection</t>
  </si>
  <si>
    <t>Human Intercession/Prayer</t>
  </si>
  <si>
    <t>Deliverance</t>
  </si>
  <si>
    <t>Judgment/Transformation</t>
  </si>
  <si>
    <t>Human Prayer/Request</t>
  </si>
  <si>
    <t>Blessing/Provision</t>
  </si>
  <si>
    <t>Interpretation</t>
  </si>
  <si>
    <t>Hardening/Judgment</t>
  </si>
  <si>
    <t>Revelation</t>
  </si>
  <si>
    <t>Judgment/Plague</t>
  </si>
  <si>
    <t>Favor/Fulfillment</t>
  </si>
  <si>
    <t>Guidance/Presence</t>
  </si>
  <si>
    <t>Theophany/Vision</t>
  </si>
  <si>
    <t>Mercy/Relenting</t>
  </si>
  <si>
    <t>Human Request/Prayer</t>
  </si>
  <si>
    <t>Empowerment/Skill</t>
  </si>
  <si>
    <t>Human Worship/Response</t>
  </si>
  <si>
    <t>Attestation</t>
  </si>
  <si>
    <t>Guidance/Movement</t>
  </si>
  <si>
    <t>Empowerment/Prophecy</t>
  </si>
  <si>
    <t>Judgment/Leprosy</t>
  </si>
  <si>
    <t>Healing/Restoration</t>
  </si>
  <si>
    <t>Judgment/Prohibition</t>
  </si>
  <si>
    <t>Healing/Salvation</t>
  </si>
  <si>
    <t>Victory/Warfare</t>
  </si>
  <si>
    <t>Intervention/Opposition</t>
  </si>
  <si>
    <t>Blessing/Prophecy</t>
  </si>
  <si>
    <t>Anger/Judgment</t>
  </si>
  <si>
    <t>Promise/Prophecy</t>
  </si>
  <si>
    <t>Promise/Warfare</t>
  </si>
  <si>
    <t>Choice/Covenant</t>
  </si>
  <si>
    <t>Institution/Worship</t>
  </si>
  <si>
    <t>Appointment/Priesthood</t>
  </si>
  <si>
    <t>Promise/Restoration</t>
  </si>
  <si>
    <t>Prophecy/Song</t>
  </si>
  <si>
    <t>Protection/Providence</t>
  </si>
  <si>
    <t>Deliverance/Providence</t>
  </si>
  <si>
    <t>Exaltation/Recognition</t>
  </si>
  <si>
    <t>Cessation/Provision</t>
  </si>
  <si>
    <t>Mercy/Protection</t>
  </si>
  <si>
    <t>Human Obedience/Worship</t>
  </si>
  <si>
    <t>Peace/Rest</t>
  </si>
  <si>
    <t>Institution/Mercy</t>
  </si>
  <si>
    <t>Fulfillment/Promise</t>
  </si>
  <si>
    <t>Faithfulness/Fulfillment</t>
  </si>
  <si>
    <t>Peace/Providence</t>
  </si>
  <si>
    <t>Faithfulness/Testimony</t>
  </si>
  <si>
    <t>Covenant/Renewal</t>
  </si>
  <si>
    <t>Judgment/Oppression</t>
  </si>
  <si>
    <t>Empowerment/Spirit</t>
  </si>
  <si>
    <t>Judgment/Strengthening Enemies</t>
  </si>
  <si>
    <t>Deliverance/Victory</t>
  </si>
  <si>
    <t>Strength/Victory</t>
  </si>
  <si>
    <t>Prophecy/Revelation</t>
  </si>
  <si>
    <t>Promise/Victory</t>
  </si>
  <si>
    <t>Confusion/Warfare</t>
  </si>
  <si>
    <t>Fulfillment/Victory</t>
  </si>
  <si>
    <t>Praise/Thanksgiving</t>
  </si>
  <si>
    <t>Departure/Theophany</t>
  </si>
  <si>
    <t>Instruction/Strategy</t>
  </si>
  <si>
    <t>Judgment/Opposition</t>
  </si>
  <si>
    <t>Justice/Retribution</t>
  </si>
  <si>
    <t>Compassion/Relenting</t>
  </si>
  <si>
    <t>Blessing/Growth</t>
  </si>
  <si>
    <t>Empowerment/Strength</t>
  </si>
  <si>
    <t>Human Inquiry/Seeking</t>
  </si>
  <si>
    <t>Judgment/Testing</t>
  </si>
  <si>
    <t>Provision/Restoration</t>
  </si>
  <si>
    <t>Mercy/Provision</t>
  </si>
  <si>
    <t>Protection/Safety</t>
  </si>
  <si>
    <t>Provision/Sustenance</t>
  </si>
  <si>
    <t>Favor/Kindness</t>
  </si>
  <si>
    <t>Providence/Redemption</t>
  </si>
  <si>
    <t>Recognition/Restoration</t>
  </si>
  <si>
    <t>Lineage/Messianic Preparation</t>
  </si>
  <si>
    <t>Appointment/Recognition</t>
  </si>
  <si>
    <t>Departure/Judgment</t>
  </si>
  <si>
    <t>Blessing/Presence</t>
  </si>
  <si>
    <t>Anointing/Appointment</t>
  </si>
  <si>
    <t>Empowerment/Transformation</t>
  </si>
  <si>
    <t>Judgment/Spiritual Affliction</t>
  </si>
  <si>
    <t>Anointing/Empowerment</t>
  </si>
  <si>
    <t>Guidance/Oracle</t>
  </si>
  <si>
    <t>Conviction/Recognition</t>
  </si>
  <si>
    <t>Providence/Provision</t>
  </si>
  <si>
    <t>Mercy/Restraint</t>
  </si>
  <si>
    <t>Intervention/Sleep</t>
  </si>
  <si>
    <t>Fulfilled Prophecy/Judgment</t>
  </si>
  <si>
    <t>Blessing/Establishment</t>
  </si>
  <si>
    <t>Favor/Opposition</t>
  </si>
  <si>
    <t>Human Vengeance/Providence</t>
  </si>
  <si>
    <t>Human Curse/Justice</t>
  </si>
  <si>
    <t>Human Treachery/Providence</t>
  </si>
  <si>
    <t>Appointment/Fulfillment</t>
  </si>
  <si>
    <t>Blessing/Fertility</t>
  </si>
  <si>
    <t>Sign/Warfare</t>
  </si>
  <si>
    <t>Human Fear/Response</t>
  </si>
  <si>
    <t>Human Desire/Worship</t>
  </si>
  <si>
    <t>Human Approval</t>
  </si>
  <si>
    <t>Covenant/Promise</t>
  </si>
  <si>
    <t>Communication/Prophecy</t>
  </si>
  <si>
    <t>Human Prayer/Thanksgiving</t>
  </si>
  <si>
    <t>Consequence/Life</t>
  </si>
  <si>
    <t>Human Murder/Sin</t>
  </si>
  <si>
    <t>Displeasure/Judgment</t>
  </si>
  <si>
    <t>Confrontation/Prophecy</t>
  </si>
  <si>
    <t>Human Confession/Repentance</t>
  </si>
  <si>
    <t>Blessing/Grace</t>
  </si>
  <si>
    <t>Love/Naming</t>
  </si>
  <si>
    <t>Human Sin/Wickedness</t>
  </si>
  <si>
    <t>Human Vengeance/Justice</t>
  </si>
  <si>
    <t>Human Wisdom/Strategy</t>
  </si>
  <si>
    <t>Human Mercy/Reconciliation</t>
  </si>
  <si>
    <t>Human Flight/Preservation</t>
  </si>
  <si>
    <t>Human Sorrow/Humiliation</t>
  </si>
  <si>
    <t>Human Cursing/Persecution</t>
  </si>
  <si>
    <t>Strategic Intervention</t>
  </si>
  <si>
    <t>Human Despair/Suicide</t>
  </si>
  <si>
    <t>Intervention/Nature</t>
  </si>
  <si>
    <t>Judgment/Providence</t>
  </si>
  <si>
    <t>Human Disobedience/Judgment</t>
  </si>
  <si>
    <t>Human Grief/Love</t>
  </si>
  <si>
    <t>Victory/Wisdom</t>
  </si>
  <si>
    <t>Judgment/Satisfaction</t>
  </si>
  <si>
    <t>Mercy/Restoration</t>
  </si>
  <si>
    <t>Protection/Victory</t>
  </si>
  <si>
    <t>Deliverance/Protection</t>
  </si>
  <si>
    <t>Inspiration/Thanksgiving</t>
  </si>
  <si>
    <t>Inspiration/Prophecy</t>
  </si>
  <si>
    <t>Conviction/Guilt</t>
  </si>
  <si>
    <t>Human Choice/Mercy</t>
  </si>
  <si>
    <t>Human Worship/Obedience</t>
  </si>
  <si>
    <t>Inspiration/Wisdom</t>
  </si>
  <si>
    <t>Attraction/Wisdom</t>
  </si>
  <si>
    <t>Completion/Timing</t>
  </si>
  <si>
    <t>Glory/Presence</t>
  </si>
  <si>
    <t>Overwhelming Presence</t>
  </si>
  <si>
    <t>Hearing/Response</t>
  </si>
  <si>
    <t>Acceptance/Fire</t>
  </si>
  <si>
    <t>Consecration/Holiness</t>
  </si>
  <si>
    <t>Human Testing/Recognition</t>
  </si>
  <si>
    <t>Blessing/Prosperity</t>
  </si>
  <si>
    <t>Explanation/Judgment</t>
  </si>
  <si>
    <t>Human Foolishness/Pride</t>
  </si>
  <si>
    <t>Causation/Judgment</t>
  </si>
  <si>
    <t>Human Obedience/Submission</t>
  </si>
  <si>
    <t>Human Idolatry/Sin</t>
  </si>
  <si>
    <t>Human Religious Corruption</t>
  </si>
  <si>
    <t>Judgment/Withering</t>
  </si>
  <si>
    <t>Human Deception/Lies</t>
  </si>
  <si>
    <t>Human Repentance/Respect</t>
  </si>
  <si>
    <t>Confirmation/Prophecy</t>
  </si>
  <si>
    <t>Human Hardness/Sin</t>
  </si>
  <si>
    <t>Fulfilled Prophecy/Mourning</t>
  </si>
  <si>
    <t>Judgment/Loss</t>
  </si>
  <si>
    <t>Human Wickedness/Sin</t>
  </si>
  <si>
    <t>Human Righteousness/Obedience</t>
  </si>
  <si>
    <t>Fulfilled Curse/Judgment</t>
  </si>
  <si>
    <t>Instruction/Protection</t>
  </si>
  <si>
    <t>Instruction/Provision</t>
  </si>
  <si>
    <t>Human Mortality/Trial</t>
  </si>
  <si>
    <t>Instruction/Timing</t>
  </si>
  <si>
    <t>Arrangement/Providence</t>
  </si>
  <si>
    <t>Challenge/Confrontation</t>
  </si>
  <si>
    <t>Human Worship/Recognition</t>
  </si>
  <si>
    <t>Human Threat/Persecution</t>
  </si>
  <si>
    <t>Commission/Instruction</t>
  </si>
  <si>
    <t>Preservation/Remnant</t>
  </si>
  <si>
    <t>Calling/Succession</t>
  </si>
  <si>
    <t>Human Miscalculation/Ignorance</t>
  </si>
  <si>
    <t>Judgment/Obedience Test</t>
  </si>
  <si>
    <t>Human Covetousness/Sin</t>
  </si>
  <si>
    <t>Human Murder/Wickedness</t>
  </si>
  <si>
    <t>Confrontation/Judgment</t>
  </si>
  <si>
    <t>Human Repentance/Humility</t>
  </si>
  <si>
    <t>Mercy/Postponement</t>
  </si>
  <si>
    <t>Human Wisdom/Seeking God</t>
  </si>
  <si>
    <t>Prophecy/Truth</t>
  </si>
  <si>
    <t>Fulfilled Prophecy/Justice</t>
  </si>
  <si>
    <t>Instruction/Intervention</t>
  </si>
  <si>
    <t>Fire/Judgment</t>
  </si>
  <si>
    <t>Healing/Purification</t>
  </si>
  <si>
    <t>Permanent Healing</t>
  </si>
  <si>
    <t>Judgment/Respect For Prophet</t>
  </si>
  <si>
    <t>Empowerment/Inspiration</t>
  </si>
  <si>
    <t>Deception/Optical Illusion</t>
  </si>
  <si>
    <t>Multiplication/Provision</t>
  </si>
  <si>
    <t>Fertility/Fulfilled Promise</t>
  </si>
  <si>
    <t>Insight/Spiritual Perception</t>
  </si>
  <si>
    <t>Life/Restoration</t>
  </si>
  <si>
    <t>Healing/Neutralization</t>
  </si>
  <si>
    <t>Abundance/Fulfillment</t>
  </si>
  <si>
    <t>Judgment/Justice</t>
  </si>
  <si>
    <t>Intelligence/Protection</t>
  </si>
  <si>
    <t>Human Prayer/Intercession</t>
  </si>
  <si>
    <t>Sight Restoration/Surprise</t>
  </si>
  <si>
    <t>Audio Illusion/Fear</t>
  </si>
  <si>
    <t>Fulfilled Prophecy/Irony</t>
  </si>
  <si>
    <t>Providence/Timing</t>
  </si>
  <si>
    <t>Commission/Judgment</t>
  </si>
  <si>
    <t>Approval/Reward</t>
  </si>
  <si>
    <t>Judgment/Territorial Loss</t>
  </si>
  <si>
    <t>Preservation/Protection</t>
  </si>
  <si>
    <t>Deliverance/Salvation</t>
  </si>
  <si>
    <t>Life/Power</t>
  </si>
  <si>
    <t>Fulfilled Prophecy/Victory</t>
  </si>
  <si>
    <t>Fulfilled Prophecy/Restoration</t>
  </si>
  <si>
    <t>Compassion/Observation</t>
  </si>
  <si>
    <t>Judgment/Pressure</t>
  </si>
  <si>
    <t>Judgment/Siege</t>
  </si>
  <si>
    <t>Judgment/Sign</t>
  </si>
  <si>
    <t>Answer/Prophecy</t>
  </si>
  <si>
    <t>Promise/Protection</t>
  </si>
  <si>
    <t>Prophecy/Warning</t>
  </si>
  <si>
    <t>Healing/Medicine</t>
  </si>
  <si>
    <t>Judgment/Metaphor</t>
  </si>
  <si>
    <t>Mercy/Promise</t>
  </si>
  <si>
    <t>Preservation/Respect</t>
  </si>
  <si>
    <t>Human Worship/Unprecedented Celebration</t>
  </si>
  <si>
    <t>Judgment/Plunder</t>
  </si>
  <si>
    <t>Judgment/Remnant</t>
  </si>
  <si>
    <t>Anger/Causation</t>
  </si>
  <si>
    <t>Sovereignty/Transfer</t>
  </si>
  <si>
    <t>Provision/Strength</t>
  </si>
  <si>
    <t>Military Assistance</t>
  </si>
  <si>
    <t>Human Fear/Reverence</t>
  </si>
  <si>
    <t>Exaltation/Fame</t>
  </si>
  <si>
    <t>Fear/Intimidation</t>
  </si>
  <si>
    <t>Empowerment/Preparation</t>
  </si>
  <si>
    <t>Assistance/Blessing</t>
  </si>
  <si>
    <t>Blessing/Success</t>
  </si>
  <si>
    <t>Covenant/Eternal Promise</t>
  </si>
  <si>
    <t>Satanic Influence/Temptation</t>
  </si>
  <si>
    <t>Human Choice/Trust</t>
  </si>
  <si>
    <t>Appearance/Restraint</t>
  </si>
  <si>
    <t>Obedience/Peace</t>
  </si>
  <si>
    <t>Human Recognition/Leading</t>
  </si>
  <si>
    <t>Gift/Wisdom</t>
  </si>
  <si>
    <t>Organization/Worship</t>
  </si>
  <si>
    <t>Guidance/Selection</t>
  </si>
  <si>
    <t>Appointment/Order</t>
  </si>
  <si>
    <t>Appointment/Music</t>
  </si>
  <si>
    <t>Organization/Temple</t>
  </si>
  <si>
    <t>Inspiration/Plans</t>
  </si>
  <si>
    <t>Human Praise/Prayer</t>
  </si>
  <si>
    <t>Appointment/Throne</t>
  </si>
  <si>
    <t>Exaltation/Majesty</t>
  </si>
  <si>
    <t>Gift/Kingship</t>
  </si>
  <si>
    <t>Completion/Fulfillment</t>
  </si>
  <si>
    <t>Glory/Manifestation</t>
  </si>
  <si>
    <t>Manifestation/Witness</t>
  </si>
  <si>
    <t>Human Praise/Recognition</t>
  </si>
  <si>
    <t>Discipline/Opposition</t>
  </si>
  <si>
    <t>Human Humility/Repentance</t>
  </si>
  <si>
    <t>Mercy/Partial Deliverance</t>
  </si>
  <si>
    <t>Human Obedience/Reformation</t>
  </si>
  <si>
    <t>Human Covenant/Seeking</t>
  </si>
  <si>
    <t>Omniscience/Seeking</t>
  </si>
  <si>
    <t>Prophecy/Warfare</t>
  </si>
  <si>
    <t>Abundance/Victory</t>
  </si>
  <si>
    <t>Rebuke/Warning</t>
  </si>
  <si>
    <t>Abandonment/Consequence</t>
  </si>
  <si>
    <t>Human Persecution/Murder</t>
  </si>
  <si>
    <t>Human Appeal/Prayer</t>
  </si>
  <si>
    <t>Human Threat/Rejection</t>
  </si>
  <si>
    <t>Human Enforcement/Judgment</t>
  </si>
  <si>
    <t>Judgment/Permanent Affliction</t>
  </si>
  <si>
    <t>Fame/Reputation</t>
  </si>
  <si>
    <t>Anger/Warning</t>
  </si>
  <si>
    <t>Human Obedience/Mercy</t>
  </si>
  <si>
    <t>Humbling/Judgment</t>
  </si>
  <si>
    <t>Testing/Trial</t>
  </si>
  <si>
    <t>Testing/Withdrawal</t>
  </si>
  <si>
    <t>Provision/Wealth</t>
  </si>
  <si>
    <t>Human Disobedience/Rejection</t>
  </si>
  <si>
    <t>Motivation/Restoration</t>
  </si>
  <si>
    <t>Enablement/Restoration</t>
  </si>
  <si>
    <t>Motivation/Protection</t>
  </si>
  <si>
    <t>Discernment/Protection</t>
  </si>
  <si>
    <t>Motivation/Renewal</t>
  </si>
  <si>
    <t>Favor/Support</t>
  </si>
  <si>
    <t>Provision/Support</t>
  </si>
  <si>
    <t>Compliance/Cooperation</t>
  </si>
  <si>
    <t>Favor/Provision</t>
  </si>
  <si>
    <t>Favor/Protection</t>
  </si>
  <si>
    <t>Authorization/Mission</t>
  </si>
  <si>
    <t>Gathering/Organization</t>
  </si>
  <si>
    <t>Protection/Provision</t>
  </si>
  <si>
    <t>Conviction/Gathering</t>
  </si>
  <si>
    <t>Hope/Mercy</t>
  </si>
  <si>
    <t>Gathering/Obedience</t>
  </si>
  <si>
    <t>Burden/Calling</t>
  </si>
  <si>
    <t>Favor/Providence</t>
  </si>
  <si>
    <t>Provision/Resources</t>
  </si>
  <si>
    <t>Acknowledgment/Blessing</t>
  </si>
  <si>
    <t>Inspiration/Unity</t>
  </si>
  <si>
    <t>Frustration/Protection</t>
  </si>
  <si>
    <t>Enablement/Timing</t>
  </si>
  <si>
    <t>Recognition/Testimony</t>
  </si>
  <si>
    <t>Intimidation/Victory</t>
  </si>
  <si>
    <t>Inspiration/Organization</t>
  </si>
  <si>
    <t>Instruction/Revelation</t>
  </si>
  <si>
    <t>Encouragement/Strength</t>
  </si>
  <si>
    <t>Celebration/Historical Significance</t>
  </si>
  <si>
    <t>Confession/Historical Recounting</t>
  </si>
  <si>
    <t>Deliverance/Hearing</t>
  </si>
  <si>
    <t>Instruction/Spirit</t>
  </si>
  <si>
    <t>Joy/Testimony</t>
  </si>
  <si>
    <t>Purity/Separation</t>
  </si>
  <si>
    <t>Favor/Selection</t>
  </si>
  <si>
    <t>Concealment/Protection</t>
  </si>
  <si>
    <t>Preservation/Timing</t>
  </si>
  <si>
    <t>Delay/Protection</t>
  </si>
  <si>
    <t>Calling/Purpose</t>
  </si>
  <si>
    <t>Assurance/Providence</t>
  </si>
  <si>
    <t>Human Appeal To Mercy</t>
  </si>
  <si>
    <t>Insomnia/Timing</t>
  </si>
  <si>
    <t>Favor/Opportunity</t>
  </si>
  <si>
    <t>Poetic Justice/Reversal</t>
  </si>
  <si>
    <t>Elevation/Reversal</t>
  </si>
  <si>
    <t>Legal Solution/Reversal</t>
  </si>
  <si>
    <t>Conversion/Fear</t>
  </si>
  <si>
    <t>Celebration/Thanksgiving</t>
  </si>
  <si>
    <t>Memorial/Remembrance</t>
  </si>
  <si>
    <t>Blessing/Leadership</t>
  </si>
  <si>
    <t>Permission/Testing</t>
  </si>
  <si>
    <t>Testing/Tragedy</t>
  </si>
  <si>
    <t>Compulsion/Inspiration</t>
  </si>
  <si>
    <t>Communication/Revelation</t>
  </si>
  <si>
    <t>Communication/Dreams</t>
  </si>
  <si>
    <t>Intercession/Mediation</t>
  </si>
  <si>
    <t>Renewal/Restoration</t>
  </si>
  <si>
    <t>Redemption/Salvation</t>
  </si>
  <si>
    <t>Deliverance/Discipline</t>
  </si>
  <si>
    <t>Mystery/Power</t>
  </si>
  <si>
    <t>Control/Weather</t>
  </si>
  <si>
    <t>Creation/Weather</t>
  </si>
  <si>
    <t>Purpose/Weather</t>
  </si>
  <si>
    <t>Creation/Heavenly Celebration</t>
  </si>
  <si>
    <t>Boundaries/Creation</t>
  </si>
  <si>
    <t>Communication/Nature</t>
  </si>
  <si>
    <t>Knowledge/Omniscience</t>
  </si>
  <si>
    <t>Design/Freedom</t>
  </si>
  <si>
    <t>Design/Unique Traits</t>
  </si>
  <si>
    <t>Creation/Strength</t>
  </si>
  <si>
    <t>Creation/Design</t>
  </si>
  <si>
    <t>Rhetorical Question/Supremacy</t>
  </si>
  <si>
    <t>Ownership/Sovereignty</t>
  </si>
  <si>
    <t>Acceptance/Intercession</t>
  </si>
  <si>
    <t>Blessing/Multiplication</t>
  </si>
  <si>
    <t>Blessing/Family</t>
  </si>
  <si>
    <t>Beauty/Blessing</t>
  </si>
  <si>
    <t>Declaration/Sonship</t>
  </si>
  <si>
    <t>Deliverance/Resurrection</t>
  </si>
  <si>
    <t>Power/Voice</t>
  </si>
  <si>
    <t>Faithfulness/Truth</t>
  </si>
  <si>
    <t>Covenant/Permanence</t>
  </si>
  <si>
    <t>Covenant/Eternal Witness</t>
  </si>
  <si>
    <t>Guidance/Shepherd Care</t>
  </si>
  <si>
    <t>Deliverance/Drowning</t>
  </si>
  <si>
    <t>Construction/Temple</t>
  </si>
  <si>
    <t>Creation/Establishment</t>
  </si>
  <si>
    <t>Appointment/Leadership</t>
  </si>
  <si>
    <t>Blessing/Transformation</t>
  </si>
  <si>
    <t>Satisfaction/Spiritual Filling</t>
  </si>
  <si>
    <t>Provision/Satisfaction</t>
  </si>
  <si>
    <t>Deliverance/Liberation</t>
  </si>
  <si>
    <t>Deliverance/Freedom</t>
  </si>
  <si>
    <t>Healing/Word Power</t>
  </si>
  <si>
    <t>Guidance/Safe Arrival</t>
  </si>
  <si>
    <t>Creation/Stability</t>
  </si>
  <si>
    <t>Creation/Flood Covering</t>
  </si>
  <si>
    <t>Geographical Formation</t>
  </si>
  <si>
    <t>Boundaries/Natural Law</t>
  </si>
  <si>
    <t>Promise/Stability</t>
  </si>
  <si>
    <t>Provision/Water Cycle</t>
  </si>
  <si>
    <t>Design/Natural Provision</t>
  </si>
  <si>
    <t>Provision/Rain</t>
  </si>
  <si>
    <t>Appointment/Time</t>
  </si>
  <si>
    <t>Design/Natural Order</t>
  </si>
  <si>
    <t>Control/Day-Night Cycle</t>
  </si>
  <si>
    <t>Provision/Timing</t>
  </si>
  <si>
    <t>Presence/Withdrawal</t>
  </si>
  <si>
    <t>Control/Mortality</t>
  </si>
  <si>
    <t>Creation/Renewal</t>
  </si>
  <si>
    <t>Power/Volcanic Activity</t>
  </si>
  <si>
    <t>Deliverance/Safe Passage</t>
  </si>
  <si>
    <t>Guidance/Provision</t>
  </si>
  <si>
    <t>Judgment/Warfare</t>
  </si>
  <si>
    <t>Provision/Universal Care</t>
  </si>
  <si>
    <t>Construction/Restoration</t>
  </si>
  <si>
    <t>Gathering/Restoration</t>
  </si>
  <si>
    <t>Healing/Medical Care</t>
  </si>
  <si>
    <t>Naming/Personal Knowledge</t>
  </si>
  <si>
    <t>Election/Special Relationship</t>
  </si>
  <si>
    <t>Attribute/Eternal Existence</t>
  </si>
  <si>
    <t>Attribute/Eternal Appointment</t>
  </si>
  <si>
    <t>Attribute/Pre-Existence</t>
  </si>
  <si>
    <t>Creation/Presence</t>
  </si>
  <si>
    <t>Creation/Water Sources</t>
  </si>
  <si>
    <t>Creation/Natural Boundaries</t>
  </si>
  <si>
    <t>Creation/Earth'S Structure</t>
  </si>
  <si>
    <t>Creation/Wisdom</t>
  </si>
  <si>
    <t>Creation/Understanding</t>
  </si>
  <si>
    <t>Creation/Geological</t>
  </si>
  <si>
    <t>Provision/Weather Control</t>
  </si>
  <si>
    <t>Communication/Wisdom</t>
  </si>
  <si>
    <t>Provision/Wisdom Storage</t>
  </si>
  <si>
    <t>Protection/Righteousness</t>
  </si>
  <si>
    <t>Justice/Protection</t>
  </si>
  <si>
    <t>Control/Royal Decisions</t>
  </si>
  <si>
    <t>Supremacy/Wisdom</t>
  </si>
  <si>
    <t>Supremacy/Understanding</t>
  </si>
  <si>
    <t>Guidance/Sovereignty</t>
  </si>
  <si>
    <t>Direction/Providence</t>
  </si>
  <si>
    <t>Human Limitation/Judgment</t>
  </si>
  <si>
    <t>Purpose/Sovereignty</t>
  </si>
  <si>
    <t>Justice/Sovereignty</t>
  </si>
  <si>
    <t>Peace/Reconciliation</t>
  </si>
  <si>
    <t>Evaluation/Justice</t>
  </si>
  <si>
    <t>Human Activity</t>
  </si>
  <si>
    <t>Standard/Truth</t>
  </si>
  <si>
    <t>Justice/Royal Authority</t>
  </si>
  <si>
    <t>Human Wisdom/Peace</t>
  </si>
  <si>
    <t>Blessing/Favor</t>
  </si>
  <si>
    <t>Value/Wisdom</t>
  </si>
  <si>
    <t>Evaluation/Pride</t>
  </si>
  <si>
    <t>Blessing/Wisdom</t>
  </si>
  <si>
    <t>Blessing/Trust</t>
  </si>
  <si>
    <t>Recognition/Wisdom</t>
  </si>
  <si>
    <t>Gift/Life</t>
  </si>
  <si>
    <t>Human Limitation</t>
  </si>
  <si>
    <t>Blessing/Health</t>
  </si>
  <si>
    <t>Principle/Work</t>
  </si>
  <si>
    <t>Human Motivation</t>
  </si>
  <si>
    <t>Human Wickedness</t>
  </si>
  <si>
    <t>Evaluation/Evil</t>
  </si>
  <si>
    <t>Condition/Righteousness</t>
  </si>
  <si>
    <t>Evaluation/Temperance</t>
  </si>
  <si>
    <t>Evaluation/Self-Control</t>
  </si>
  <si>
    <t>Purpose/Reverence</t>
  </si>
  <si>
    <t>Accountability/Judgment</t>
  </si>
  <si>
    <t>Blessing/Gifts</t>
  </si>
  <si>
    <t>Irony/Redistribution</t>
  </si>
  <si>
    <t>Predestination/Sovereignty</t>
  </si>
  <si>
    <t>Foreknowledge/Human Limitation</t>
  </si>
  <si>
    <t>Creation/Original Righteousness</t>
  </si>
  <si>
    <t>Hiddenness/Mystery</t>
  </si>
  <si>
    <t>Apportionment/Blessing</t>
  </si>
  <si>
    <t>Natural Law/Weather</t>
  </si>
  <si>
    <t>Natural Law/Permanence</t>
  </si>
  <si>
    <t>Mystery/Natural Forces</t>
  </si>
  <si>
    <t>Judgment/Omniscience</t>
  </si>
  <si>
    <t>Angelic Worship/Proclamation</t>
  </si>
  <si>
    <t>Presence/Theophany</t>
  </si>
  <si>
    <t>Commission/Prophecy</t>
  </si>
  <si>
    <t>Judgment/Wrath</t>
  </si>
  <si>
    <t>Anointing/Prophecy</t>
  </si>
  <si>
    <t>Judgment/Revelation</t>
  </si>
  <si>
    <t>Deliverance/Prophecy</t>
  </si>
  <si>
    <t>Judgment/Slaughter</t>
  </si>
  <si>
    <t>Prophecy/Sacrifice</t>
  </si>
  <si>
    <t>Judgment/Punishment</t>
  </si>
  <si>
    <t>Prohibition/Symbolic Life</t>
  </si>
  <si>
    <t>Revelation/Warning</t>
  </si>
  <si>
    <t>Deliverance/Judgment</t>
  </si>
  <si>
    <t>Judgment/Promise</t>
  </si>
  <si>
    <t>Blessing/Contrast</t>
  </si>
  <si>
    <t>Prophecy/Protection</t>
  </si>
  <si>
    <t>Prohibition/Warning</t>
  </si>
  <si>
    <t>Fulfillment/Judgment</t>
  </si>
  <si>
    <t>Speech/Theophany</t>
  </si>
  <si>
    <t>Empowerment</t>
  </si>
  <si>
    <t>Transformation</t>
  </si>
  <si>
    <t>Transportation</t>
  </si>
  <si>
    <t>Announcement/Timing</t>
  </si>
  <si>
    <t>Announcement/Sign</t>
  </si>
  <si>
    <t>Human Report</t>
  </si>
  <si>
    <t>Guide/Measurement</t>
  </si>
  <si>
    <t>Architecture/Vision</t>
  </si>
  <si>
    <t>Return/Theophany</t>
  </si>
  <si>
    <t>Allocation/Instruction</t>
  </si>
  <si>
    <t>Naming/Presence</t>
  </si>
  <si>
    <t>Empowerment/Wisdom</t>
  </si>
  <si>
    <t>Revelation/Vision</t>
  </si>
  <si>
    <t>Interpretation/Prophecy</t>
  </si>
  <si>
    <t>Interpretation/Judgment</t>
  </si>
  <si>
    <t>Overwhelming/Physical Effect</t>
  </si>
  <si>
    <t>Strengthening/Touch</t>
  </si>
  <si>
    <t>Explanation/Revelation</t>
  </si>
  <si>
    <t>Revelation/Spiritual Warfare</t>
  </si>
  <si>
    <t>Assistance/Warfare</t>
  </si>
  <si>
    <t>Appearance/Witness</t>
  </si>
  <si>
    <t>Oath/Prophecy</t>
  </si>
  <si>
    <t>Human Inquiry</t>
  </si>
  <si>
    <t>Promise/Transformation</t>
  </si>
  <si>
    <t>Judgment/Natural Disaster</t>
  </si>
  <si>
    <t>Promise/Provision</t>
  </si>
  <si>
    <t>Communication/Judgment</t>
  </si>
  <si>
    <t>Communication/Lament</t>
  </si>
  <si>
    <t>Communication</t>
  </si>
  <si>
    <t>Call/Promise</t>
  </si>
  <si>
    <t>Communication/Prophetic Vision</t>
  </si>
  <si>
    <t>Promise/Weather Control</t>
  </si>
  <si>
    <t>Judgment</t>
  </si>
  <si>
    <t>Communication/Historical Acts</t>
  </si>
  <si>
    <t>Warning</t>
  </si>
  <si>
    <t>Call</t>
  </si>
  <si>
    <t>Communication/Prophetic Vindication</t>
  </si>
  <si>
    <t>Judgment/Sovereign Control</t>
  </si>
  <si>
    <t>Promise/Territorial Restoration</t>
  </si>
  <si>
    <t>Revelation/Sign</t>
  </si>
  <si>
    <t>Communication/Teaching</t>
  </si>
  <si>
    <t>Communication/Covenant Lawsuit</t>
  </si>
  <si>
    <t>Judgment/Prophetic Fulfillment</t>
  </si>
  <si>
    <t>Communication/Moral Judgment</t>
  </si>
  <si>
    <t>Judgment/Withdrawal Of Presence</t>
  </si>
  <si>
    <t>Empowerment/Prophetic Anointing</t>
  </si>
  <si>
    <t>Promise/Universal Dominion</t>
  </si>
  <si>
    <t>Promise/Subjugation</t>
  </si>
  <si>
    <t>Attribute/Mercy</t>
  </si>
  <si>
    <t>Communication/Promise</t>
  </si>
  <si>
    <t>Judgment/Military Defeat</t>
  </si>
  <si>
    <t>Judgment/Woe Declaration</t>
  </si>
  <si>
    <t>Comparison/Historical Judgment</t>
  </si>
  <si>
    <t>Communication/Prophetic Dialogue</t>
  </si>
  <si>
    <t>Revelation/Spiritual Truth</t>
  </si>
  <si>
    <t>Judgment/Prophetic Oracle</t>
  </si>
  <si>
    <t>Promise/Prophetic Declaration</t>
  </si>
  <si>
    <t>Manifestation</t>
  </si>
  <si>
    <t>Power Over Nature</t>
  </si>
  <si>
    <t>Control Over Nature</t>
  </si>
  <si>
    <t>Warfare/Weapons</t>
  </si>
  <si>
    <t>Power Over Creation</t>
  </si>
  <si>
    <t>Response Of Creation</t>
  </si>
  <si>
    <t>Judgment/Power</t>
  </si>
  <si>
    <t>Power Over Waters</t>
  </si>
  <si>
    <t>Human Response To Vision</t>
  </si>
  <si>
    <t>Strengthening</t>
  </si>
  <si>
    <t>Omniscience/Search</t>
  </si>
  <si>
    <t>Call/Warning</t>
  </si>
  <si>
    <t>Judgment/National Destruction</t>
  </si>
  <si>
    <t>Judgment/National Annihilation</t>
  </si>
  <si>
    <t>Assembly/Global Judgment</t>
  </si>
  <si>
    <t>Gathering/Return</t>
  </si>
  <si>
    <t>Purification/Selection</t>
  </si>
  <si>
    <t>Gathering/Transformation</t>
  </si>
  <si>
    <t>Restoration/Vindication</t>
  </si>
  <si>
    <t>Communication/Prophetic Call</t>
  </si>
  <si>
    <t>Command</t>
  </si>
  <si>
    <t>Judgment/Natural Control</t>
  </si>
  <si>
    <t>Intervention/Spiritual Stirring</t>
  </si>
  <si>
    <t>Communication/Encouragement</t>
  </si>
  <si>
    <t>Declaration/Sovereignty</t>
  </si>
  <si>
    <t>Declaration/Power</t>
  </si>
  <si>
    <t>Messianic Prophecy/Revelation</t>
  </si>
  <si>
    <t>Prophecy/Symbolic Act</t>
  </si>
  <si>
    <t>Promise/Purification</t>
  </si>
  <si>
    <t>Eschatological Prophecy/Intervention</t>
  </si>
  <si>
    <t>Communication/Historical Judgment</t>
  </si>
  <si>
    <t>Communication/Covenant</t>
  </si>
  <si>
    <t>Challenge/Promise Of Provision</t>
  </si>
  <si>
    <t>Promise/Prophetic Return</t>
  </si>
  <si>
    <t>Communication/Dream</t>
  </si>
  <si>
    <t>Sign</t>
  </si>
  <si>
    <t>Authorization</t>
  </si>
  <si>
    <t>Appearance</t>
  </si>
  <si>
    <t>Knowledge</t>
  </si>
  <si>
    <t>Institution</t>
  </si>
  <si>
    <t>Comfort</t>
  </si>
  <si>
    <t>Act</t>
  </si>
  <si>
    <t>Conception</t>
  </si>
  <si>
    <t>Recognition</t>
  </si>
  <si>
    <t>Inspiration</t>
  </si>
  <si>
    <t>Leading</t>
  </si>
  <si>
    <t>Escape</t>
  </si>
  <si>
    <t>Knowledge/Revelation</t>
  </si>
  <si>
    <t>Self-Revelation</t>
  </si>
  <si>
    <t>Power</t>
  </si>
  <si>
    <t>Declaration</t>
  </si>
  <si>
    <t>Outpouring</t>
  </si>
  <si>
    <t>Gift</t>
  </si>
  <si>
    <t>Vision</t>
  </si>
  <si>
    <t>Transport</t>
  </si>
  <si>
    <t>Intercession</t>
  </si>
  <si>
    <t>Sovereignty</t>
  </si>
  <si>
    <t>Providence</t>
  </si>
  <si>
    <t>Mercy</t>
  </si>
  <si>
    <t>Faithfulness</t>
  </si>
  <si>
    <t>Sovereign Choice</t>
  </si>
  <si>
    <t>Growth/Provision</t>
  </si>
  <si>
    <t>Indwelling</t>
  </si>
  <si>
    <t>Discipline</t>
  </si>
  <si>
    <t>Commission</t>
  </si>
  <si>
    <t>Appointment</t>
  </si>
  <si>
    <t>Victory</t>
  </si>
  <si>
    <t>Illumination</t>
  </si>
  <si>
    <t>Reconciliation</t>
  </si>
  <si>
    <t>Exchange</t>
  </si>
  <si>
    <t>Opportunity</t>
  </si>
  <si>
    <t>Experience</t>
  </si>
  <si>
    <t>Grace</t>
  </si>
  <si>
    <t>Deception</t>
  </si>
  <si>
    <t>Opposition</t>
  </si>
  <si>
    <t>Calling/Conversion</t>
  </si>
  <si>
    <t>Guidance</t>
  </si>
  <si>
    <t>Justification</t>
  </si>
  <si>
    <t>Law-Giving</t>
  </si>
  <si>
    <t>Reception/Revelation</t>
  </si>
  <si>
    <t>Typology</t>
  </si>
  <si>
    <t>Predestination</t>
  </si>
  <si>
    <t>Sealing</t>
  </si>
  <si>
    <t>Omnipotence</t>
  </si>
  <si>
    <t>Emotion</t>
  </si>
  <si>
    <t>Love</t>
  </si>
  <si>
    <t>Redemption</t>
  </si>
  <si>
    <t>Sanctification</t>
  </si>
  <si>
    <t>Union</t>
  </si>
  <si>
    <t>Cancellation</t>
  </si>
  <si>
    <t>Triumph</t>
  </si>
  <si>
    <t>Glorification</t>
  </si>
  <si>
    <t>Enablement</t>
  </si>
  <si>
    <t>Election</t>
  </si>
  <si>
    <t>Conversion</t>
  </si>
  <si>
    <t>Instruction</t>
  </si>
  <si>
    <t>Descent/Event</t>
  </si>
  <si>
    <t>Sound</t>
  </si>
  <si>
    <t>Preservation</t>
  </si>
  <si>
    <t>Revelation/Second Coming</t>
  </si>
  <si>
    <t>Calling/Empowerment</t>
  </si>
  <si>
    <t>Restraint</t>
  </si>
  <si>
    <t>Election/Salvation</t>
  </si>
  <si>
    <t>Comfort/Establishment</t>
  </si>
  <si>
    <t>Blessing On Gospel</t>
  </si>
  <si>
    <t>Faithfulness/Protection</t>
  </si>
  <si>
    <t>Direction/Guidance</t>
  </si>
  <si>
    <t>Mediation</t>
  </si>
  <si>
    <t>Sacrifice</t>
  </si>
  <si>
    <t>Mystery/Revelation</t>
  </si>
  <si>
    <t>Salvation</t>
  </si>
  <si>
    <t>Life-Giving Power</t>
  </si>
  <si>
    <t>Attributes</t>
  </si>
  <si>
    <t>Gift/Spiritual Empowerment</t>
  </si>
  <si>
    <t>Protection/Strengthening</t>
  </si>
  <si>
    <t>Power Of Scripture</t>
  </si>
  <si>
    <t>Wisdom</t>
  </si>
  <si>
    <t>Calling/Commission</t>
  </si>
  <si>
    <t>Assurance</t>
  </si>
  <si>
    <t>Worship</t>
  </si>
  <si>
    <t>Rest</t>
  </si>
  <si>
    <t>Oath</t>
  </si>
  <si>
    <t>Exaltation</t>
  </si>
  <si>
    <t>Immutability</t>
  </si>
  <si>
    <t>Election/Revelation</t>
  </si>
  <si>
    <t>Principle</t>
  </si>
  <si>
    <t>Interest</t>
  </si>
  <si>
    <t>Authority</t>
  </si>
  <si>
    <t>Presence</t>
  </si>
  <si>
    <t>Intervention</t>
  </si>
  <si>
    <t>Revelation/Testimony</t>
  </si>
  <si>
    <t>Atonement</t>
  </si>
  <si>
    <t>Anointing/Knowledge</t>
  </si>
  <si>
    <t>Birth/Transformation</t>
  </si>
  <si>
    <t>Love/Manifestation</t>
  </si>
  <si>
    <t>Gift/Indwelling</t>
  </si>
  <si>
    <t>Mission</t>
  </si>
  <si>
    <t>Perfection</t>
  </si>
  <si>
    <t>Understanding</t>
  </si>
  <si>
    <t>Rebellion</t>
  </si>
  <si>
    <t>Touch</t>
  </si>
  <si>
    <t>Silence</t>
  </si>
  <si>
    <t>Proclamation</t>
  </si>
  <si>
    <t>Warfare</t>
  </si>
  <si>
    <t>Expulsion</t>
  </si>
  <si>
    <t>Harvest</t>
  </si>
  <si>
    <t>Binding</t>
  </si>
  <si>
    <t>City</t>
  </si>
  <si>
    <t>Invitation</t>
  </si>
  <si>
    <t>Speech/Vision</t>
  </si>
  <si>
    <t>Speech/Warning</t>
  </si>
  <si>
    <t>Speech/Testimony</t>
  </si>
  <si>
    <t>Speech/Wisdom</t>
  </si>
  <si>
    <t xml:space="preserve">Fertility </t>
  </si>
  <si>
    <t xml:space="preserve">Gift/Intellectual </t>
  </si>
  <si>
    <t xml:space="preserve">Provision/Water </t>
  </si>
  <si>
    <t>Provision/s</t>
  </si>
  <si>
    <t xml:space="preserve">Provision/Quail </t>
  </si>
  <si>
    <t>Communication/Historical  Reference</t>
  </si>
  <si>
    <t xml:space="preserve">Act/Cosmic </t>
  </si>
  <si>
    <t xml:space="preserve">Judgment/Natural </t>
  </si>
  <si>
    <t xml:space="preserve">Discipline/Natural </t>
  </si>
  <si>
    <t xml:space="preserve">Healing </t>
  </si>
  <si>
    <t xml:space="preserve">Nature </t>
  </si>
  <si>
    <t xml:space="preserve">Resurrection </t>
  </si>
  <si>
    <t xml:space="preserve">Provision </t>
  </si>
  <si>
    <t>Apostolic s</t>
  </si>
  <si>
    <t xml:space="preserve">Judgment </t>
  </si>
  <si>
    <t>Spiritual Gift/s</t>
  </si>
  <si>
    <t xml:space="preserve">Spiritual </t>
  </si>
  <si>
    <t xml:space="preserve">Creation </t>
  </si>
  <si>
    <t xml:space="preserve">Sustaining </t>
  </si>
  <si>
    <t xml:space="preserve">Atonement </t>
  </si>
  <si>
    <t xml:space="preserve">Incarnation </t>
  </si>
  <si>
    <t xml:space="preserve">Salvation </t>
  </si>
  <si>
    <t xml:space="preserve">Sanctification </t>
  </si>
  <si>
    <t xml:space="preserve">Multiplication </t>
  </si>
  <si>
    <t xml:space="preserve">Passover </t>
  </si>
  <si>
    <t xml:space="preserve">Military </t>
  </si>
  <si>
    <t>Various s</t>
  </si>
  <si>
    <t>Historical  Reference</t>
  </si>
  <si>
    <t xml:space="preserve">Judgment/Nature </t>
  </si>
  <si>
    <t>Theophany</t>
  </si>
  <si>
    <t>Inscription</t>
  </si>
  <si>
    <t>Speech</t>
  </si>
  <si>
    <t>Parting Waters</t>
  </si>
  <si>
    <t>Destruction</t>
  </si>
  <si>
    <t>Strength</t>
  </si>
  <si>
    <t>Fertility</t>
  </si>
  <si>
    <t>Supremacy</t>
  </si>
  <si>
    <t>Resurrection</t>
  </si>
  <si>
    <t>Fire</t>
  </si>
  <si>
    <t>Weather</t>
  </si>
  <si>
    <t>Passage</t>
  </si>
  <si>
    <t>Confirmation</t>
  </si>
  <si>
    <t>Precision</t>
  </si>
  <si>
    <t>Blinding</t>
  </si>
  <si>
    <t>Cosmic Sign</t>
  </si>
  <si>
    <t>Acceptance</t>
  </si>
  <si>
    <t>Water Parting</t>
  </si>
  <si>
    <t>Cleansing</t>
  </si>
  <si>
    <t>Gathering</t>
  </si>
  <si>
    <t>Healing</t>
  </si>
  <si>
    <t>Ingestion</t>
  </si>
  <si>
    <t>Silencing</t>
  </si>
  <si>
    <t>Genesis 1:1-2:3</t>
  </si>
  <si>
    <t>Genesis 1:20-23, 2:19</t>
  </si>
  <si>
    <t>Genesis 1:24-25, 2:19</t>
  </si>
  <si>
    <t>God drives Adam out of Eden</t>
  </si>
  <si>
    <t>Genesis 3:23</t>
  </si>
  <si>
    <t>Cherubims and flaming sword guard Eden</t>
  </si>
  <si>
    <t>Genesis 4:9-10</t>
  </si>
  <si>
    <t>God curses Cain</t>
  </si>
  <si>
    <t>c. 4004 BC</t>
  </si>
  <si>
    <t>c. 2468 BC</t>
  </si>
  <si>
    <t>Mountains of Ararat</t>
  </si>
  <si>
    <t>God establishes a covenant with Noah and gives him the rainbow as a sign</t>
  </si>
  <si>
    <t>God warns Noah of the flood</t>
  </si>
  <si>
    <t>c. 2280-1817 BC</t>
  </si>
  <si>
    <t>Babel (Babylon), land of Shinar</t>
  </si>
  <si>
    <t>Haran (Southeast Turkey)</t>
  </si>
  <si>
    <t>c. 1921 BC</t>
  </si>
  <si>
    <t>Shechem, Plain of Moreh, in Canaan</t>
  </si>
  <si>
    <t>c. 1897 BC</t>
  </si>
  <si>
    <t>God shows Abram the land He will receive</t>
  </si>
  <si>
    <t>Genesis 13:14</t>
  </si>
  <si>
    <t>Plain of Mamre (in Hebron in Canaan)</t>
  </si>
  <si>
    <t>Genesis 15:1-5</t>
  </si>
  <si>
    <t>Between Kadesh and Bered</t>
  </si>
  <si>
    <t>c. 1921-1911 BC</t>
  </si>
  <si>
    <t>Clean/Consolidate event categories</t>
  </si>
  <si>
    <t>Step</t>
  </si>
  <si>
    <t>Status</t>
  </si>
  <si>
    <t>Complete</t>
  </si>
  <si>
    <t>God establishes covenant with Abraham</t>
  </si>
  <si>
    <t>Genesis 17:2-16</t>
  </si>
  <si>
    <t>God changes Sarai's name to Sarah</t>
  </si>
  <si>
    <t>Genesis 17:15</t>
  </si>
  <si>
    <t>God speaks about Isaac's future</t>
  </si>
  <si>
    <t>Genesis 17:19</t>
  </si>
  <si>
    <t>God foretells time of Isaac's birth</t>
  </si>
  <si>
    <t>Genesis 17:21</t>
  </si>
  <si>
    <t>c. 1896 BC</t>
  </si>
  <si>
    <t>Genesis 19:10</t>
  </si>
  <si>
    <t>Angels rescue Lot from men of Sodom</t>
  </si>
  <si>
    <t>Angels rescue Lot's family from Sodom's destruction</t>
  </si>
  <si>
    <t>Genesis 19:12-16</t>
  </si>
  <si>
    <t>Zoar</t>
  </si>
  <si>
    <t>God speaks to Abimelech in a dream</t>
  </si>
  <si>
    <t>Abimelech</t>
  </si>
  <si>
    <t>Genesis 21:12-13</t>
  </si>
  <si>
    <t>God instructs Abraham to listen to Sarah</t>
  </si>
  <si>
    <t>c. 1894-1892 BC</t>
  </si>
  <si>
    <t>Genesis 21:17-18</t>
  </si>
  <si>
    <t>God reveals a well of water to Hagar</t>
  </si>
  <si>
    <t>God instructs Abraham to sacrifice Isaac</t>
  </si>
  <si>
    <t>God promises Sarah will conceive a son at age 90</t>
  </si>
  <si>
    <t>c. 1882-1859 BC</t>
  </si>
  <si>
    <t>c. 1856 BC</t>
  </si>
  <si>
    <t>c. 1836 BC</t>
  </si>
  <si>
    <t>Beer Lahai Roi</t>
  </si>
  <si>
    <t>Genesis 25:23-24</t>
  </si>
  <si>
    <t>Prophecy about Jacob and Esau before birth</t>
  </si>
  <si>
    <t>Genesis 26:1-6</t>
  </si>
  <si>
    <t>God appears to Isaac at Gerar</t>
  </si>
  <si>
    <t>God blesses Isaac at Beersheba</t>
  </si>
  <si>
    <t>Bethel (previously Luz)</t>
  </si>
  <si>
    <t>God closes Leah's womb</t>
  </si>
  <si>
    <t>Paddan-aram (Haran / Aram Naharaim / ancient Mesopotamia)</t>
  </si>
  <si>
    <t>God opens Leah's womb; she conceives Issachar</t>
  </si>
  <si>
    <t>God remembers Rachel and opens her womb; she conceives Joseph</t>
  </si>
  <si>
    <t>Genesis 30:22-24</t>
  </si>
  <si>
    <t>Genesis 31:10-12</t>
  </si>
  <si>
    <t>Genesis 31:13</t>
  </si>
  <si>
    <t>God warns Laban in a dream to not try to change Jacob's course.</t>
  </si>
  <si>
    <t>Angel wrestles with Jacob; dislocates Jacob's hip</t>
  </si>
  <si>
    <t>Genesis 35:1</t>
  </si>
  <si>
    <t>God instructs Jacob to go to Bethel</t>
  </si>
  <si>
    <t>Genesis 32:28, 35:10</t>
  </si>
  <si>
    <t>God blesses Jacob at Bethel</t>
  </si>
  <si>
    <t>Genesis 35:9-13</t>
  </si>
  <si>
    <t>God establishes His covenant with Jacob; gives Jacob the name Israel</t>
  </si>
  <si>
    <t>Genesis 35:10-13</t>
  </si>
  <si>
    <t>Genesis 37:5-11</t>
  </si>
  <si>
    <t>Genesis 40:5-11, 40:16-17</t>
  </si>
  <si>
    <t>Genesis 40:8, 40:12-13, 40:18-19</t>
  </si>
  <si>
    <t>Joseph interprets butler and baker's dreams</t>
  </si>
  <si>
    <t>Joseph interprets Pharaoh's dreams</t>
  </si>
  <si>
    <t>Genesis 41:14-32</t>
  </si>
  <si>
    <t>God answers Isaac's prayer; Rebekah conceives Jacob and Esau</t>
  </si>
  <si>
    <t>Jacob's prophetic blessings over his descendants</t>
  </si>
  <si>
    <t>c. 1689 BC</t>
  </si>
  <si>
    <t>The date 2348 BC is a calculated inference, not a biblical statement. The Bible provides the chronological data, but the specific date comes from human mathematical interpretation of that data.</t>
  </si>
  <si>
    <t>Genesis 49:1-27</t>
  </si>
  <si>
    <t>God deals well with the midwives</t>
  </si>
  <si>
    <t>Exodus 1:20-21</t>
  </si>
  <si>
    <t>(722 BCE)</t>
  </si>
  <si>
    <t>(701 BCE)</t>
  </si>
  <si>
    <t>605 BCE</t>
  </si>
  <si>
    <t>609 BCE</t>
  </si>
  <si>
    <t>538 BCE</t>
  </si>
  <si>
    <t>516/515 BCE</t>
  </si>
  <si>
    <t>c. 1706 BC</t>
  </si>
  <si>
    <t>c. 1713 BC</t>
  </si>
  <si>
    <t>Seven years famine</t>
  </si>
  <si>
    <t>Seven years abundance</t>
  </si>
  <si>
    <t>Genesis 41:53-57</t>
  </si>
  <si>
    <t>Genesis 41:47-49</t>
  </si>
  <si>
    <t>c. 1720 BC</t>
  </si>
  <si>
    <t>c. 1722 BC</t>
  </si>
  <si>
    <t>c. 1733 BC</t>
  </si>
  <si>
    <t>Chezib (Canaan)</t>
  </si>
  <si>
    <t>Approximately when Judah's sons were 20.</t>
  </si>
  <si>
    <t>c. 1796-1733 BC</t>
  </si>
  <si>
    <t>c. 1816-1796 BC</t>
  </si>
  <si>
    <t>c. 1276 BC</t>
  </si>
  <si>
    <t>c. 1276-1236 BC</t>
  </si>
  <si>
    <t>c. 1236 BC</t>
  </si>
  <si>
    <t>Entering of the Promised Land</t>
  </si>
  <si>
    <t>c. 1356 BC</t>
  </si>
  <si>
    <t>c. 1316-1276 BC</t>
  </si>
  <si>
    <t>Goshen (Egypt)</t>
  </si>
  <si>
    <t>Exodus 3:2-3</t>
  </si>
  <si>
    <t>God speaks to Moses from the burning bush</t>
  </si>
  <si>
    <t>Burning bush is not consumed</t>
  </si>
  <si>
    <t>Exodus 3:4-4:17</t>
  </si>
  <si>
    <t>Aaron's staff becomes a serpent and swallows magicians' staffs</t>
  </si>
  <si>
    <t>Sign/Transmutation</t>
  </si>
  <si>
    <t>Serpent becomes Moses' staff</t>
  </si>
  <si>
    <t>Exodus 4:2-3</t>
  </si>
  <si>
    <t>Exodus 4:4</t>
  </si>
  <si>
    <t>Moses' hand becomes leprous</t>
  </si>
  <si>
    <t>Exodus 4:6</t>
  </si>
  <si>
    <t>Exodus 4:7</t>
  </si>
  <si>
    <t>Moses' hand healed</t>
  </si>
  <si>
    <t>Water-to-blood sign</t>
  </si>
  <si>
    <t>God promises to guide and be with Moses' and Aaron's mouth</t>
  </si>
  <si>
    <t>Exodus 4:12-15</t>
  </si>
  <si>
    <t>Moses performs signs before Aaron</t>
  </si>
  <si>
    <t>Aaron performs signs before elders of Israel</t>
  </si>
  <si>
    <t>Exodus 4:28</t>
  </si>
  <si>
    <t>Exodus 4:29-30</t>
  </si>
  <si>
    <t>God promises deliverance</t>
  </si>
  <si>
    <t>God instructs Moses to bring the Israelites out of Egypt</t>
  </si>
  <si>
    <t>Exodus 6:10-13</t>
  </si>
  <si>
    <t>Moses is made like God before Pharaoh</t>
  </si>
  <si>
    <t>Exodus 7:1-5</t>
  </si>
  <si>
    <t>Exodus 7:8-9</t>
  </si>
  <si>
    <t>Exodus 7:10-12</t>
  </si>
  <si>
    <t xml:space="preserve">God instructs to strike the Nile's waters with Aaron's staff </t>
  </si>
  <si>
    <t>Exodus 7:20-25</t>
  </si>
  <si>
    <t>God instructs that Aaron's staff be stretched over the waters of Egypt</t>
  </si>
  <si>
    <t>God instructs for Aaron's staff to be cast before Pharaoh as proof</t>
  </si>
  <si>
    <t>God warns Pharaoh through Moses</t>
  </si>
  <si>
    <t>Exodus 7:14-18</t>
  </si>
  <si>
    <t>Judgment/Plague/Transmutation</t>
  </si>
  <si>
    <t>Exodus 7:19</t>
  </si>
  <si>
    <t>Exodus 8:1-4</t>
  </si>
  <si>
    <t>Exodus 8:5</t>
  </si>
  <si>
    <t>Exodus 8:6-7</t>
  </si>
  <si>
    <t>Exodus 8:8-13</t>
  </si>
  <si>
    <t>God answers Moses' prayer and ends the plague of frogs</t>
  </si>
  <si>
    <t>God instructs to strike the dust of the earth with Aaron's staff</t>
  </si>
  <si>
    <t>Exodus 8:16</t>
  </si>
  <si>
    <t>Exodus 8:17-18</t>
  </si>
  <si>
    <t>Exodus 8:20-23</t>
  </si>
  <si>
    <t>Exodus 8:24</t>
  </si>
  <si>
    <t>God answers Moses' prayer and ends the plague of flies</t>
  </si>
  <si>
    <t>Exodus 8:29-31</t>
  </si>
  <si>
    <t>Exodus 9:1-5</t>
  </si>
  <si>
    <t>Exodus 9:6</t>
  </si>
  <si>
    <t>God instructs to throw handfuls of kiln soot into the air before Pharaoh</t>
  </si>
  <si>
    <t>Exodus 9:8-9</t>
  </si>
  <si>
    <t>Exodus 9:10-11</t>
  </si>
  <si>
    <t>Exodus 9:13-19</t>
  </si>
  <si>
    <t>Exodus 9:22</t>
  </si>
  <si>
    <t>Exodus 9:23-26</t>
  </si>
  <si>
    <t>Exodus 9:29-33</t>
  </si>
  <si>
    <t>Exodus 10:1-11</t>
  </si>
  <si>
    <t>God instructs Moses to stretch hand over the land of Egypt</t>
  </si>
  <si>
    <t>God instructs Moses to stretch hand towards heaven</t>
  </si>
  <si>
    <t>Exodus 10:12</t>
  </si>
  <si>
    <t>Exodus 10:13-15</t>
  </si>
  <si>
    <t>Exodus 10:18-19</t>
  </si>
  <si>
    <t>God answers Moses' prayer and ends the plague of locusts</t>
  </si>
  <si>
    <t>God answers Moses' prayer and ends the plague of hail, fire and thunder</t>
  </si>
  <si>
    <t>Exodus 4:21, 7:3, 7:13, 8:15, 8:19, 8:32, 9:7, 9:12, 9:34-35, 10:1, 10:20, 10:27, 11:10, 14:4, 14:8</t>
  </si>
  <si>
    <t>Exodus 10:21</t>
  </si>
  <si>
    <t>Exodus 10:22-23</t>
  </si>
  <si>
    <t>God warns His people through Moses</t>
  </si>
  <si>
    <t>Exodus 11:1-7</t>
  </si>
  <si>
    <t>Exodus 12:1-27, 12:43-49</t>
  </si>
  <si>
    <t>God brings the Israelites out of Egypt</t>
  </si>
  <si>
    <t>Exodus 12:51</t>
  </si>
  <si>
    <t>God demands the consecration of all firstborn</t>
  </si>
  <si>
    <t>Exodus 13:1-2</t>
  </si>
  <si>
    <t>God leads the Israelites towards the Red Sea</t>
  </si>
  <si>
    <t>Guidance/Strategy</t>
  </si>
  <si>
    <t>Exodus 13:17-18</t>
  </si>
  <si>
    <t>Wilderness near Etham</t>
  </si>
  <si>
    <t xml:space="preserve">God thwarts the Egyptians' pursuit </t>
  </si>
  <si>
    <t>Exodus 14:24-25</t>
  </si>
  <si>
    <t>God instructs Moses to stretch his hand over the sea</t>
  </si>
  <si>
    <t>Exodus 14:15-18</t>
  </si>
  <si>
    <t>God instructs Moses to lift his staff and stretch his hand over the sea</t>
  </si>
  <si>
    <t>Egyptian army destroyed in the Red Sea</t>
  </si>
  <si>
    <t>Exodus 14:26</t>
  </si>
  <si>
    <t>Exodus 14:28</t>
  </si>
  <si>
    <t>Exodus 15:25-26</t>
  </si>
  <si>
    <t>God promises manna from heaven</t>
  </si>
  <si>
    <t>Exodus 16:4-5</t>
  </si>
  <si>
    <t>God promises meat</t>
  </si>
  <si>
    <t>Exodus 16:11-12</t>
  </si>
  <si>
    <t>God provides quail in the evening, and dew and bread in the morning</t>
  </si>
  <si>
    <t>Exodus 16:13-14</t>
  </si>
  <si>
    <t>God commands an omer of manna kept for future generations to see</t>
  </si>
  <si>
    <t>Exodus 16:32-34</t>
  </si>
  <si>
    <t>Provision/Water</t>
  </si>
  <si>
    <t>God instructs Moses to strike a rock with his staff</t>
  </si>
  <si>
    <t>Exodus 17:6</t>
  </si>
  <si>
    <t>God instructs Moses to record Amalek's destruction</t>
  </si>
  <si>
    <t>Exodus 17:14</t>
  </si>
  <si>
    <t>Exodus 19:3-6</t>
  </si>
  <si>
    <t>God speaks to Moses from Mount Sinai; promises to make Israel a kingdom of priests and a holy nation</t>
  </si>
  <si>
    <t>Exodus 19:9-13</t>
  </si>
  <si>
    <t>Exodus 19:16-25</t>
  </si>
  <si>
    <t>God descends on Mount Sinai; answers Moses in thunder in hearing of the people</t>
  </si>
  <si>
    <t>God gives the Ten Commandments</t>
  </si>
  <si>
    <t>God promises an angel to lead Israel and to drive out nations</t>
  </si>
  <si>
    <t>God's glory dwells on Mount Sinai like fire and covering cloud; Moses remains on mountain for 40 days</t>
  </si>
  <si>
    <t>God answers Moses' plea and relents from destroying Israel</t>
  </si>
  <si>
    <t>God promises judgment for sin</t>
  </si>
  <si>
    <t>Exodus 32:33-34</t>
  </si>
  <si>
    <t>Judgment/Separation</t>
  </si>
  <si>
    <t>God tells Moses to leave Sinai and that his people remove all ornaments</t>
  </si>
  <si>
    <t>Exodus 33:1-6</t>
  </si>
  <si>
    <t>Cloud descends at tent's entrance when Moses enters to speak face to face with God</t>
  </si>
  <si>
    <t>Exodus 33:9-11</t>
  </si>
  <si>
    <t>God promises His presence and declares His favor to Moses</t>
  </si>
  <si>
    <t>Exodus 33:12-23</t>
  </si>
  <si>
    <t>God descends in cloud to show His glory</t>
  </si>
  <si>
    <t>Exodus 33:21-34:5</t>
  </si>
  <si>
    <t>Moses' face shines from being in God's presence</t>
  </si>
  <si>
    <t>God instructs Moses on the tabernacle</t>
  </si>
  <si>
    <t>Exodus 40:1-15</t>
  </si>
  <si>
    <t>God's glory fills the tabernacle; cloud covers the tabernacle</t>
  </si>
  <si>
    <t>Pillar of cloud and fire guides Israel's journey</t>
  </si>
  <si>
    <t>Leviticus 1:1-17</t>
  </si>
  <si>
    <t>Create table with a record for all books -&gt; chapters -&gt; verse numbers</t>
  </si>
  <si>
    <t>Create table with each book and book's category</t>
  </si>
  <si>
    <t>Fire comes from the LORD to consume offering</t>
  </si>
  <si>
    <t>Fire from the LORD kills Nadab and Abihu</t>
  </si>
  <si>
    <t>Leviticus 10:1-2</t>
  </si>
  <si>
    <t>God speaks about sanctification and glory</t>
  </si>
  <si>
    <t>Leviticus 26:1-10</t>
  </si>
  <si>
    <t>Leviticus 26:40-46</t>
  </si>
  <si>
    <t>Numbers 1:1-54</t>
  </si>
  <si>
    <t>God accepts the tribes' offerings; assigns them to the Levitical priests</t>
  </si>
  <si>
    <t>God speaks to Moses from the mercy seat</t>
  </si>
  <si>
    <t>God gives priestly blessing instructions</t>
  </si>
  <si>
    <t>Cloud covers and guides tabernacle by day, appearance of fire by night</t>
  </si>
  <si>
    <t>God listens to Moses and intercedes; fire is quenched</t>
  </si>
  <si>
    <t>Numbers 11:1-3, 11:10</t>
  </si>
  <si>
    <t>God descends in a cloud, places some of His Spirit on the 70 elders; they immediately prophesy</t>
  </si>
  <si>
    <t>Cloud leaves tabernacle; Miriam becomes leprous</t>
  </si>
  <si>
    <t>God pardons at Moses' intercession, but pronounces judgment</t>
  </si>
  <si>
    <t>God promises healing at Moses' intercession, but pronounces a time of purification</t>
  </si>
  <si>
    <t>God tells Moses and Aaron to separate from Korah's congregation</t>
  </si>
  <si>
    <t>Earth opens and swallows dwellings of Korah, Dathan and Abiram</t>
  </si>
  <si>
    <t>God spares many in the congregation</t>
  </si>
  <si>
    <t>God threatens again to consume congregation</t>
  </si>
  <si>
    <t>God commands Aaron's rod be kept before testimony as sign</t>
  </si>
  <si>
    <t>God judges Moses and Aaron for unbelief; prevented from entering promised land</t>
  </si>
  <si>
    <t>God tells of Aaron's death; transfers garments to Eleazar</t>
  </si>
  <si>
    <t>Numbers 20:22-26</t>
  </si>
  <si>
    <t>God sends fiery serpents among the opposers</t>
  </si>
  <si>
    <t>Numbers 22:22</t>
  </si>
  <si>
    <t>Numbers 22:21-30</t>
  </si>
  <si>
    <t>God meets Balaam</t>
  </si>
  <si>
    <t>Numbers 23:5, 23:16</t>
  </si>
  <si>
    <t>Numbers 23:4, 23:16</t>
  </si>
  <si>
    <t>Numbers 23:7-10, 18-24; 24:3-9, 24:15-24</t>
  </si>
  <si>
    <t>God's anger burns against Israel for idolatry</t>
  </si>
  <si>
    <t>Numbers 25:17-18</t>
  </si>
  <si>
    <t>God commands harassment of Midianites</t>
  </si>
  <si>
    <t>God commands avenging of Israel against Midianites</t>
  </si>
  <si>
    <t>God commands recording of wilderness journey</t>
  </si>
  <si>
    <t>God establishes slaughter laws</t>
  </si>
  <si>
    <t>Deuteronomy 12:15-28</t>
  </si>
  <si>
    <t>Genesis</t>
  </si>
  <si>
    <t>Matthew</t>
  </si>
  <si>
    <t>Exodus</t>
  </si>
  <si>
    <t>Mark</t>
  </si>
  <si>
    <t>Leviticus</t>
  </si>
  <si>
    <t>Luke</t>
  </si>
  <si>
    <t>Numbers</t>
  </si>
  <si>
    <t>Deuteronomy</t>
  </si>
  <si>
    <t>Acts</t>
  </si>
  <si>
    <t>Romans</t>
  </si>
  <si>
    <t>Judges</t>
  </si>
  <si>
    <t>1 Corinthians</t>
  </si>
  <si>
    <t>2 Corinthians</t>
  </si>
  <si>
    <t>1 Samuel</t>
  </si>
  <si>
    <t>Galatians</t>
  </si>
  <si>
    <t>2 Samuel</t>
  </si>
  <si>
    <t>Ephesians</t>
  </si>
  <si>
    <t>1 Kings</t>
  </si>
  <si>
    <t>2 Kings</t>
  </si>
  <si>
    <t>1 Chronicles</t>
  </si>
  <si>
    <t>2 Chronicles</t>
  </si>
  <si>
    <t>Ezra</t>
  </si>
  <si>
    <t>Nehemiah</t>
  </si>
  <si>
    <t>Esther</t>
  </si>
  <si>
    <t>Titus</t>
  </si>
  <si>
    <t>Job</t>
  </si>
  <si>
    <t>Philemon</t>
  </si>
  <si>
    <t>Psalms</t>
  </si>
  <si>
    <t>Hebrews</t>
  </si>
  <si>
    <t>Proverbs</t>
  </si>
  <si>
    <t>Ecclesiastes</t>
  </si>
  <si>
    <t>Song of Solomon</t>
  </si>
  <si>
    <t>2 Peter</t>
  </si>
  <si>
    <t>Isaiah</t>
  </si>
  <si>
    <t>1 John</t>
  </si>
  <si>
    <t>Jeremiah</t>
  </si>
  <si>
    <t>2 John</t>
  </si>
  <si>
    <t>Lamentations</t>
  </si>
  <si>
    <t>3 John</t>
  </si>
  <si>
    <t>Ezekiel</t>
  </si>
  <si>
    <t>Jude</t>
  </si>
  <si>
    <t>Daniel</t>
  </si>
  <si>
    <t>Category</t>
  </si>
  <si>
    <t>To consolidate categories:</t>
  </si>
  <si>
    <t xml:space="preserve">Given a list of categories broken out by </t>
  </si>
  <si>
    <t>Theophany/Wrestling</t>
  </si>
  <si>
    <t>Intercession/Prayer</t>
  </si>
  <si>
    <t>Creation/Speech</t>
  </si>
  <si>
    <t>Blessing/Speech</t>
  </si>
  <si>
    <t>Command/Speech</t>
  </si>
  <si>
    <t>Interrogation/Speech</t>
  </si>
  <si>
    <t>Judgment/Prophecy/Speech</t>
  </si>
  <si>
    <t>Judgment/Speech</t>
  </si>
  <si>
    <t>Judgment/Protection</t>
  </si>
  <si>
    <t>Instruction/Speech</t>
  </si>
  <si>
    <t>Curse/Judgment/Speech</t>
  </si>
  <si>
    <t>Protection/Sign/Speech</t>
  </si>
  <si>
    <t>Intervention/Mercy</t>
  </si>
  <si>
    <t>Covenant/Sign/Speech</t>
  </si>
  <si>
    <t>Intervention/Judgment</t>
  </si>
  <si>
    <t>Calling/Speech</t>
  </si>
  <si>
    <t>Promise/Theophany</t>
  </si>
  <si>
    <t>Promise/Speech</t>
  </si>
  <si>
    <t>Covenant/Theophany</t>
  </si>
  <si>
    <t>Covenant/Speech</t>
  </si>
  <si>
    <t>Naming/Speech</t>
  </si>
  <si>
    <t>Prophecy/Speech</t>
  </si>
  <si>
    <t>Revelation/Speech</t>
  </si>
  <si>
    <t>Destruction/Judgment</t>
  </si>
  <si>
    <t>Dream/Speech/Warning</t>
  </si>
  <si>
    <t>Fertility/Judgment</t>
  </si>
  <si>
    <t>Fertility/Healing</t>
  </si>
  <si>
    <t>Provision/Speech</t>
  </si>
  <si>
    <t>Instruction/Speech/Test</t>
  </si>
  <si>
    <t>Intervention/Speech</t>
  </si>
  <si>
    <t>Marriage/Prayer</t>
  </si>
  <si>
    <t>Fertility /Prayer</t>
  </si>
  <si>
    <t>Blessing/Speech/Theophany</t>
  </si>
  <si>
    <t>Dream/Revelation/Speech</t>
  </si>
  <si>
    <t>Dream/Instruction/Speech</t>
  </si>
  <si>
    <t>Appearance/Blessing/Speech</t>
  </si>
  <si>
    <t>Death/Judgment</t>
  </si>
  <si>
    <t>Interpretation/Revelation</t>
  </si>
  <si>
    <t>Compassion/Remembrance</t>
  </si>
  <si>
    <t>Disease/Sign</t>
  </si>
  <si>
    <t>Healing/Sign</t>
  </si>
  <si>
    <t>Empowerment/Speech</t>
  </si>
  <si>
    <t>Appointment/Speech</t>
  </si>
  <si>
    <t>Frogs/Judgment/Plague</t>
  </si>
  <si>
    <t>Gnats/Judgment/Plague</t>
  </si>
  <si>
    <t>Flies/Judgment/Plague</t>
  </si>
  <si>
    <t>Death/Judgment/Plague</t>
  </si>
  <si>
    <t>Boils/Judgment/Plague</t>
  </si>
  <si>
    <t>Hail/Judgment/Plague</t>
  </si>
  <si>
    <t>Judgment/Locusts/Plague</t>
  </si>
  <si>
    <t>Darkness/Judgment/Plague</t>
  </si>
  <si>
    <t>Appearance/Cloud/Fire/Guidance</t>
  </si>
  <si>
    <t>Appearance/Cloud/Protection</t>
  </si>
  <si>
    <t>Creation/Deliverance/Water/Wind</t>
  </si>
  <si>
    <t>Cleansing/Provision</t>
  </si>
  <si>
    <t>Health/Promise/Speech</t>
  </si>
  <si>
    <t>Food/Promise/Provision/Speech</t>
  </si>
  <si>
    <t>Glory/Theophany</t>
  </si>
  <si>
    <t>Intervention/Victory</t>
  </si>
  <si>
    <t>Consecration/Instruction/Speech</t>
  </si>
  <si>
    <t>Cloud/Fire/Lightning/Presence/Smoke/Speech/Theophany/Thunder/Trumpet/Warning</t>
  </si>
  <si>
    <t>Instruction/Law/Speech</t>
  </si>
  <si>
    <t>Cloud/Presence/Theophany</t>
  </si>
  <si>
    <t>Comfort/Instruction/Speech/Theophany</t>
  </si>
  <si>
    <t>Inscription/Speech</t>
  </si>
  <si>
    <t>Cloud/Theophany</t>
  </si>
  <si>
    <t>Glory/Transformation</t>
  </si>
  <si>
    <t>Manifestation/Presence</t>
  </si>
  <si>
    <t>Cloud/Fire/Guidance/Presence</t>
  </si>
  <si>
    <t>Fire/Theophany</t>
  </si>
  <si>
    <t>Presence/Promise</t>
  </si>
  <si>
    <t>Judgment/Warning</t>
  </si>
  <si>
    <t>Instruction/Law</t>
  </si>
  <si>
    <t>Command/Instruction/Speech</t>
  </si>
  <si>
    <t>Instruction/Organization/Speech</t>
  </si>
  <si>
    <t>Judgment/Law/Speech</t>
  </si>
  <si>
    <t>Blessing/Instruction/Speech</t>
  </si>
  <si>
    <t>Assignment/Provision/Speech</t>
  </si>
  <si>
    <t>Communication/Speech</t>
  </si>
  <si>
    <t>Command/Consecration/Speech</t>
  </si>
  <si>
    <t>Institution/Speech</t>
  </si>
  <si>
    <t>Appointment/Promise/Speech</t>
  </si>
  <si>
    <t>Cloud/Empowerment/Presence/Prophecy</t>
  </si>
  <si>
    <t>Provision/Wind</t>
  </si>
  <si>
    <t>Appearance/Theophany</t>
  </si>
  <si>
    <t>Defense/Speech</t>
  </si>
  <si>
    <t>Judgment/Mercy/Speech</t>
  </si>
  <si>
    <t>Defeat/Judgment</t>
  </si>
  <si>
    <t>Execution/Judgment/Speech</t>
  </si>
  <si>
    <t>Mercy/Speech/Warning</t>
  </si>
  <si>
    <t>Earthquake/Judgment</t>
  </si>
  <si>
    <t>Command/Memorial/Speech</t>
  </si>
  <si>
    <t>Atonement/Mercy</t>
  </si>
  <si>
    <t>Command/Speech/Test</t>
  </si>
  <si>
    <t>Command/Instruction</t>
  </si>
  <si>
    <t>Death/Timing</t>
  </si>
  <si>
    <t>Deliverance/Prayer/Victory</t>
  </si>
  <si>
    <t>Command/Remedy/Speech</t>
  </si>
  <si>
    <t>Prohibition/Speech</t>
  </si>
  <si>
    <t>Permission/Speech</t>
  </si>
  <si>
    <t>Rebuke/Speech</t>
  </si>
  <si>
    <t>Control/Speech</t>
  </si>
  <si>
    <t>Cessation/Mercy</t>
  </si>
  <si>
    <t>Blessing/Covenant/Speech</t>
  </si>
  <si>
    <t>Harassment/Judgment/Speech</t>
  </si>
  <si>
    <t>Instruction/Recording/Speech</t>
  </si>
  <si>
    <t>Geography/Instruction/Speech</t>
  </si>
  <si>
    <t>Justice/Law/Speech</t>
  </si>
  <si>
    <t>Expansion/Promise</t>
  </si>
  <si>
    <t>Command/Speech/Worship</t>
  </si>
  <si>
    <t>Justice/Law</t>
  </si>
  <si>
    <t>Government/Law</t>
  </si>
  <si>
    <t>Commissioning/Speech</t>
  </si>
  <si>
    <t>Fulfillment/Vision</t>
  </si>
  <si>
    <t>Encouragement/Promise</t>
  </si>
  <si>
    <t>Command/Encouragement/Speech</t>
  </si>
  <si>
    <t>Instruction/Promise</t>
  </si>
  <si>
    <t>Exaltation/Promise</t>
  </si>
  <si>
    <t>Command/Covenant/Speech</t>
  </si>
  <si>
    <t>Declaration/Speech</t>
  </si>
  <si>
    <t>Identification/Revelation</t>
  </si>
  <si>
    <t>Execution/Judgment</t>
  </si>
  <si>
    <t>Encouragement/Speech</t>
  </si>
  <si>
    <t>Conquest/Victory</t>
  </si>
  <si>
    <t>Command/Destruction/Speech</t>
  </si>
  <si>
    <t>Fulfillment/Peace</t>
  </si>
  <si>
    <t>Promise/Reward</t>
  </si>
  <si>
    <t>Fulfillment/Provision</t>
  </si>
  <si>
    <t>Consequence/Judgment</t>
  </si>
  <si>
    <t>Appointment/Deliverance</t>
  </si>
  <si>
    <t>Deliverance/Presence</t>
  </si>
  <si>
    <t>Blessing/Peace</t>
  </si>
  <si>
    <t>Assassination/Deliverance</t>
  </si>
  <si>
    <t>Impoverishment/Judgment</t>
  </si>
  <si>
    <t>History/Reminder</t>
  </si>
  <si>
    <t>Assurance/Promise</t>
  </si>
  <si>
    <t>Humility/Strategy</t>
  </si>
  <si>
    <t>Encouragement/Prophecy</t>
  </si>
  <si>
    <t>Discord/Judgment</t>
  </si>
  <si>
    <t>Deliverance/Promise</t>
  </si>
  <si>
    <t>Birth/Fulfillment</t>
  </si>
  <si>
    <t>Consequence/Withdrawal</t>
  </si>
  <si>
    <t>Preparation/Restoration</t>
  </si>
  <si>
    <t>Judgment/Victory</t>
  </si>
  <si>
    <t>Judgment/Theophany</t>
  </si>
  <si>
    <t>Famine/Judgment</t>
  </si>
  <si>
    <t>Death/Providence</t>
  </si>
  <si>
    <t>Guidance/Providence</t>
  </si>
  <si>
    <t>Blessing/Human Recognition</t>
  </si>
  <si>
    <t>Abundance/Provision</t>
  </si>
  <si>
    <t>Providence/Revelation</t>
  </si>
  <si>
    <t>Opportunity/Timing</t>
  </si>
  <si>
    <t>Marriage/Providence</t>
  </si>
  <si>
    <t>Fame/Prophecy</t>
  </si>
  <si>
    <t>Judgment/Timing</t>
  </si>
  <si>
    <t>Affliction/Judgment</t>
  </si>
  <si>
    <t>Holiness/Judgment</t>
  </si>
  <si>
    <t>Confusion/Victory</t>
  </si>
  <si>
    <t>Restoration/Victory</t>
  </si>
  <si>
    <t>Heart Change/Transformation</t>
  </si>
  <si>
    <t>Guidance/Instruction</t>
  </si>
  <si>
    <t>Discernment/Rejection</t>
  </si>
  <si>
    <t>Hiding/Protection</t>
  </si>
  <si>
    <t>Execution/Justice</t>
  </si>
  <si>
    <t>Confirmation/Recognition</t>
  </si>
  <si>
    <t>Breakthrough/Victory</t>
  </si>
  <si>
    <t>Celebration/Worship</t>
  </si>
  <si>
    <t>Barrenness/Judgment</t>
  </si>
  <si>
    <t>Covenant Faithfulness/Human Kindness</t>
  </si>
  <si>
    <t>Failure/Human Sin</t>
  </si>
  <si>
    <t>Conviction/Parable</t>
  </si>
  <si>
    <t>Judgment/Mercy</t>
  </si>
  <si>
    <t>Illness/Judgment</t>
  </si>
  <si>
    <t>Acceptance/Human Worship</t>
  </si>
  <si>
    <t>Conspiracy/Human Rebellion</t>
  </si>
  <si>
    <t>Loyalty/Protection</t>
  </si>
  <si>
    <t>Answered Prayer/Intervention</t>
  </si>
  <si>
    <t>Counter-Intelligence/Strategy</t>
  </si>
  <si>
    <t>Hope/Human Submission</t>
  </si>
  <si>
    <t>Defeat Of Counsel/Intervention</t>
  </si>
  <si>
    <t>Kingship/Restoration</t>
  </si>
  <si>
    <t>Division/Human Rebellion</t>
  </si>
  <si>
    <t>Inquiry/Revelation</t>
  </si>
  <si>
    <t>Justice/Revelation</t>
  </si>
  <si>
    <t>Metaphor/Protection</t>
  </si>
  <si>
    <t>Inspiration/Speech</t>
  </si>
  <si>
    <t>Disobedience/Human Pride</t>
  </si>
  <si>
    <t>Choice/Judgment</t>
  </si>
  <si>
    <t>Covenant/Instruction</t>
  </si>
  <si>
    <t>Dream/Theophany</t>
  </si>
  <si>
    <t>Blessing/Gift</t>
  </si>
  <si>
    <t>Condition/Promise</t>
  </si>
  <si>
    <t>Judgment/Wisdom</t>
  </si>
  <si>
    <t>Superiority/Wisdom</t>
  </si>
  <si>
    <t>Creativity/Inspiration</t>
  </si>
  <si>
    <t>Completion/Enablement</t>
  </si>
  <si>
    <t>Dedication/Human Prayer</t>
  </si>
  <si>
    <t>Confirmation/Speech</t>
  </si>
  <si>
    <t>International Recognition/Wisdom</t>
  </si>
  <si>
    <t>Failure/Human Apostasy</t>
  </si>
  <si>
    <t>Encounter/Prophecy</t>
  </si>
  <si>
    <t>Action/Prophetic Sign</t>
  </si>
  <si>
    <t>Fear/Human Persecution</t>
  </si>
  <si>
    <t>Division/Fulfilled Prophecy</t>
  </si>
  <si>
    <t>Explanation/Prophecy</t>
  </si>
  <si>
    <t>Long-Term Prediction/Prophecy</t>
  </si>
  <si>
    <t>Desperation/Human Deception</t>
  </si>
  <si>
    <t>Omniscience/Revelation</t>
  </si>
  <si>
    <t>Exile Prophecy/Judgment</t>
  </si>
  <si>
    <t>Death/Fulfilled Prophecy</t>
  </si>
  <si>
    <t>Invasion/Judgment</t>
  </si>
  <si>
    <t>Covenant/Faithfulness</t>
  </si>
  <si>
    <t>Appointment/Providence</t>
  </si>
  <si>
    <t>Apostasy/Human Idolatry</t>
  </si>
  <si>
    <t>Drought/Judgment</t>
  </si>
  <si>
    <t>Faith/Human Recognition</t>
  </si>
  <si>
    <t>Blindness/Human Accusation</t>
  </si>
  <si>
    <t>False Religion/Human Futility</t>
  </si>
  <si>
    <t>Faith/Human Preparation</t>
  </si>
  <si>
    <t>Flight/Human Fear</t>
  </si>
  <si>
    <t>Care/Provision</t>
  </si>
  <si>
    <t>Journey/Sustenance</t>
  </si>
  <si>
    <t>Inquiry/Speech</t>
  </si>
  <si>
    <t>Manifestation/Theophany</t>
  </si>
  <si>
    <t>Gentle Voice/Speech</t>
  </si>
  <si>
    <t>Aggression/Human Warfare</t>
  </si>
  <si>
    <t>Slaughter/Victory</t>
  </si>
  <si>
    <t>Disobedience/Human Mercy</t>
  </si>
  <si>
    <t>Confrontation/Strategy</t>
  </si>
  <si>
    <t>Decision/Human Alliance</t>
  </si>
  <si>
    <t>Deception/False Prophecy</t>
  </si>
  <si>
    <t>Judgment/Permission</t>
  </si>
  <si>
    <t>False Zeal/Human Persecution</t>
  </si>
  <si>
    <t>Fear/Human Deception</t>
  </si>
  <si>
    <t>Blessing/Human Righteousness</t>
  </si>
  <si>
    <t>Foreknowledge/Revelation</t>
  </si>
  <si>
    <t>Supernatural/Theophany</t>
  </si>
  <si>
    <t>Ascension/Translation</t>
  </si>
  <si>
    <t>Inheritance/Succession</t>
  </si>
  <si>
    <t>Fertility/Promise</t>
  </si>
  <si>
    <t>Cleansing/Healing</t>
  </si>
  <si>
    <t>Guidance/Protection</t>
  </si>
  <si>
    <t>Consequence/Peace</t>
  </si>
  <si>
    <t>Abundance/Fulfilled Prophecy</t>
  </si>
  <si>
    <t>Death/Prophecy</t>
  </si>
  <si>
    <t>Appointment/Prophecy</t>
  </si>
  <si>
    <t>Complete Judgment/Fulfilled Prophecy</t>
  </si>
  <si>
    <t>Dynasty/Promise</t>
  </si>
  <si>
    <t>Prophecy/Test</t>
  </si>
  <si>
    <t>Limitation/Prophecy</t>
  </si>
  <si>
    <t>Covenant Faithfulness/Mercy</t>
  </si>
  <si>
    <t>Recovery/Restoration</t>
  </si>
  <si>
    <t>Expansion/Restoration</t>
  </si>
  <si>
    <t>Dynasty End/Fulfilled Prophecy</t>
  </si>
  <si>
    <t>Exile/Judgment</t>
  </si>
  <si>
    <t>Deportation/Judgment</t>
  </si>
  <si>
    <t>Pleading/Warning</t>
  </si>
  <si>
    <t>Expansion/Victory</t>
  </si>
  <si>
    <t>Intervention/Promise</t>
  </si>
  <si>
    <t>Judgment/Mockery</t>
  </si>
  <si>
    <t>Promise/Sign</t>
  </si>
  <si>
    <t>Deliverance/Slaughter</t>
  </si>
  <si>
    <t>Assassination/Fulfilled Prophecy</t>
  </si>
  <si>
    <t>Life Extension/Mercy</t>
  </si>
  <si>
    <t>Choice/Sign</t>
  </si>
  <si>
    <t>Discovery/Revelation</t>
  </si>
  <si>
    <t>Defilement/Fulfilled Prophecy</t>
  </si>
  <si>
    <t>Continuation/Judgment</t>
  </si>
  <si>
    <t>Decision/Judgment</t>
  </si>
  <si>
    <t>Harassment/Judgment</t>
  </si>
  <si>
    <t>Delayed Consequence/Judgment</t>
  </si>
  <si>
    <t>Final Siege/Judgment</t>
  </si>
  <si>
    <t>586 BCE (July/August</t>
  </si>
  <si>
    <t>Final Exile/Judgment</t>
  </si>
  <si>
    <t>Exile Completion/Judgment</t>
  </si>
  <si>
    <t>Confirmation/Establishment</t>
  </si>
  <si>
    <t>Presence/Warfare</t>
  </si>
  <si>
    <t>Defeat/Victory</t>
  </si>
  <si>
    <t>Counsel/Human Approval</t>
  </si>
  <si>
    <t>Temptation/Testing</t>
  </si>
  <si>
    <t>Judgment/Threat</t>
  </si>
  <si>
    <t>Command/Mercy/Speech</t>
  </si>
  <si>
    <t>Leadership/Motivation</t>
  </si>
  <si>
    <t>Music/Worship</t>
  </si>
  <si>
    <t>Architecture/Revelation</t>
  </si>
  <si>
    <t>Generosity/Motivation</t>
  </si>
  <si>
    <t>Blessing/Source</t>
  </si>
  <si>
    <t>Character/Testing</t>
  </si>
  <si>
    <t>Consecration/Selection</t>
  </si>
  <si>
    <t>Kingdom Division/Prophecy</t>
  </si>
  <si>
    <t>Blessing/Strengthening</t>
  </si>
  <si>
    <t>Discipline/Judgment</t>
  </si>
  <si>
    <t>Conditional/Promise</t>
  </si>
  <si>
    <t>Presence/Response</t>
  </si>
  <si>
    <t>Prophecy/Rebuke</t>
  </si>
  <si>
    <t>Faith/Human Worship</t>
  </si>
  <si>
    <t>Self-Destruction/Victory</t>
  </si>
  <si>
    <t>Blessing/Human Thanksgiving</t>
  </si>
  <si>
    <t>Approval/Recognition</t>
  </si>
  <si>
    <t>Deliverance To Enemies/Judgment</t>
  </si>
  <si>
    <t>Confrontation/Warning</t>
  </si>
  <si>
    <t>Disease/Judgment</t>
  </si>
  <si>
    <t>Engineering/Guidance</t>
  </si>
  <si>
    <t>Decree/Restoration</t>
  </si>
  <si>
    <t>Command/Restoration/Speech</t>
  </si>
  <si>
    <t>Calling/Motivation</t>
  </si>
  <si>
    <t>Journey/Provision</t>
  </si>
  <si>
    <t>Restoration/Settlement</t>
  </si>
  <si>
    <t>Gathering/Unity</t>
  </si>
  <si>
    <t>Reconstruction/Timing</t>
  </si>
  <si>
    <t>Delay/Testing</t>
  </si>
  <si>
    <t>Testing/Timing</t>
  </si>
  <si>
    <t>Construction/Renewal</t>
  </si>
  <si>
    <t>Oversight/Protection</t>
  </si>
  <si>
    <t>Legal Provision/Protection</t>
  </si>
  <si>
    <t>Documentation/Preservation</t>
  </si>
  <si>
    <t>Enforcement/Protection</t>
  </si>
  <si>
    <t>Command/Sovereignty/Speech</t>
  </si>
  <si>
    <t>Blessing/Joy</t>
  </si>
  <si>
    <t>Favor/Influence</t>
  </si>
  <si>
    <t>Strength/Support</t>
  </si>
  <si>
    <t>Calling/Preparation</t>
  </si>
  <si>
    <t>Generosity/Provision</t>
  </si>
  <si>
    <t>Authority/Provision</t>
  </si>
  <si>
    <t>Exemption/Provision</t>
  </si>
  <si>
    <t>Favor/Mercy</t>
  </si>
  <si>
    <t>Ministry/Provision</t>
  </si>
  <si>
    <t>Acceptance/Response</t>
  </si>
  <si>
    <t>Journey/Protection</t>
  </si>
  <si>
    <t>Completion/Protection</t>
  </si>
  <si>
    <t>Restoration/Revival</t>
  </si>
  <si>
    <t>Command/Gathering/Speech</t>
  </si>
  <si>
    <t>Recognition/Wrath</t>
  </si>
  <si>
    <t>Completion/Justice</t>
  </si>
  <si>
    <t>Holiness/Separation</t>
  </si>
  <si>
    <t>Escort/Protection</t>
  </si>
  <si>
    <t>Protection/Warfare</t>
  </si>
  <si>
    <t>Illumination/Understanding</t>
  </si>
  <si>
    <t>Holiness/Instruction</t>
  </si>
  <si>
    <t>Faithfulness/Mercy</t>
  </si>
  <si>
    <t>Commitment/Covenant</t>
  </si>
  <si>
    <t>Celebration/Joy</t>
  </si>
  <si>
    <t>Family Blessing/Joy</t>
  </si>
  <si>
    <t>Motivation/Remembrance</t>
  </si>
  <si>
    <t>Appeal/Human Prayer</t>
  </si>
  <si>
    <t>Holiness/Reform</t>
  </si>
  <si>
    <t>Positioning/Providence</t>
  </si>
  <si>
    <t>Protection/Revelation</t>
  </si>
  <si>
    <t>Lots/Timing</t>
  </si>
  <si>
    <t>Purpose/Timing</t>
  </si>
  <si>
    <t>Memory/Timing</t>
  </si>
  <si>
    <t>Justice/Timing</t>
  </si>
  <si>
    <t>Irony/Timing</t>
  </si>
  <si>
    <t>Justice/Reversal</t>
  </si>
  <si>
    <t>Orchestration/Timing</t>
  </si>
  <si>
    <t>Misunderstanding/Timing</t>
  </si>
  <si>
    <t>Defense/Protection</t>
  </si>
  <si>
    <t>Reversal/Victory</t>
  </si>
  <si>
    <t>Assistance/Favor</t>
  </si>
  <si>
    <t>Justice/Righteousness</t>
  </si>
  <si>
    <t>Elimination/Justice</t>
  </si>
  <si>
    <t>Limitation/Protection</t>
  </si>
  <si>
    <t>Observation/Speech</t>
  </si>
  <si>
    <t>Command/Protection</t>
  </si>
  <si>
    <t>Affliction/Testing</t>
  </si>
  <si>
    <t>Justification/Restoration</t>
  </si>
  <si>
    <t>Care/Preservation</t>
  </si>
  <si>
    <t>Discipline/Instruction</t>
  </si>
  <si>
    <t>Theophany/Voice</t>
  </si>
  <si>
    <t>Control/Sovereignty</t>
  </si>
  <si>
    <t>Control/Direction</t>
  </si>
  <si>
    <t>Challenge/Speech</t>
  </si>
  <si>
    <t>Celestial Praise/Creation</t>
  </si>
  <si>
    <t>Command/Control</t>
  </si>
  <si>
    <t>Judgment/Weapons</t>
  </si>
  <si>
    <t>Predators/Provision</t>
  </si>
  <si>
    <t>Command/Control/Speech</t>
  </si>
  <si>
    <t>Atonement/Command/Speech</t>
  </si>
  <si>
    <t>Multiplication/Restoration</t>
  </si>
  <si>
    <t>Livestock/Provision</t>
  </si>
  <si>
    <t>Blessing/Longevity</t>
  </si>
  <si>
    <t>Dominion/Promise</t>
  </si>
  <si>
    <t>Afterlife/Preservation</t>
  </si>
  <si>
    <t>Guidance/Revelation</t>
  </si>
  <si>
    <t>Natural Forces/Power</t>
  </si>
  <si>
    <t>Fire Control/Power</t>
  </si>
  <si>
    <t>Geological/Power</t>
  </si>
  <si>
    <t>Natural Control/Power</t>
  </si>
  <si>
    <t>Joy/Transformation</t>
  </si>
  <si>
    <t>Communication/Vision</t>
  </si>
  <si>
    <t>Covenant/Oath</t>
  </si>
  <si>
    <t>Bread /Provision</t>
  </si>
  <si>
    <t>Food/Provision</t>
  </si>
  <si>
    <t>Heavenly Bread/Provision</t>
  </si>
  <si>
    <t>Dwelling Place/Selection</t>
  </si>
  <si>
    <t>Calling/Selection</t>
  </si>
  <si>
    <t>Ecological/Judgment</t>
  </si>
  <si>
    <t>Destruction/Power</t>
  </si>
  <si>
    <t>Liberation/Power</t>
  </si>
  <si>
    <t>Peace/Weather Control</t>
  </si>
  <si>
    <t>Permanence/Stability</t>
  </si>
  <si>
    <t>Covering/Creation</t>
  </si>
  <si>
    <t>Command/Speech/Water Separation</t>
  </si>
  <si>
    <t>Natural Response/Voice</t>
  </si>
  <si>
    <t>Agriculture/Provision</t>
  </si>
  <si>
    <t>Geological Response/Power</t>
  </si>
  <si>
    <t>Drowning/Judgment</t>
  </si>
  <si>
    <t>Fulfillment/Inheritance</t>
  </si>
  <si>
    <t>Deliverance/Redemption</t>
  </si>
  <si>
    <t>Emotional Restoration/Healing</t>
  </si>
  <si>
    <t>Astronomy/Knowledge</t>
  </si>
  <si>
    <t>Animal Care/Provision</t>
  </si>
  <si>
    <t>Bird Care/Provision</t>
  </si>
  <si>
    <t>Weather Control/Word Power</t>
  </si>
  <si>
    <t>Natural Forces/Weather Control</t>
  </si>
  <si>
    <t>Law Giving/Revelation</t>
  </si>
  <si>
    <t>Exclusive Knowledge/Revelation</t>
  </si>
  <si>
    <t>Cosmic Order/Creation</t>
  </si>
  <si>
    <t>Atmospheric Formation/Creation</t>
  </si>
  <si>
    <t>Command/Natural Law/Speech</t>
  </si>
  <si>
    <t>Craftsmanship/Creation</t>
  </si>
  <si>
    <t>Fellowship/Relationship</t>
  </si>
  <si>
    <t>Eternal Fellowship/Joy</t>
  </si>
  <si>
    <t>Creation/Delight</t>
  </si>
  <si>
    <t>Humanity/Love</t>
  </si>
  <si>
    <t>Decision Making/Sovereignty</t>
  </si>
  <si>
    <t>Counsel/Supremacy</t>
  </si>
  <si>
    <t>Deliverance/Sovereignty</t>
  </si>
  <si>
    <t>Counsel/Sovereignty</t>
  </si>
  <si>
    <t>Human Limitation/Mystery</t>
  </si>
  <si>
    <t>Evaluation/Judgment</t>
  </si>
  <si>
    <t>Hatred Of Pride/Judgment</t>
  </si>
  <si>
    <t>Certain Punishment/Justice</t>
  </si>
  <si>
    <t>Honesty/Justice</t>
  </si>
  <si>
    <t>Justice/Standards</t>
  </si>
  <si>
    <t>Royal Righteousness/Standard</t>
  </si>
  <si>
    <t>Government/Principle</t>
  </si>
  <si>
    <t>Honesty/Principle</t>
  </si>
  <si>
    <t>Understanding/Value</t>
  </si>
  <si>
    <t>Righteousness/Way</t>
  </si>
  <si>
    <t>Judgment/Principle</t>
  </si>
  <si>
    <t>Humility/Preference</t>
  </si>
  <si>
    <t>Communication/Principle</t>
  </si>
  <si>
    <t>Kind Speech/Principle</t>
  </si>
  <si>
    <t>Consequences/Truth</t>
  </si>
  <si>
    <t>Consequences/Judgment</t>
  </si>
  <si>
    <t>Consequence/Speech</t>
  </si>
  <si>
    <t>Age/Blessing</t>
  </si>
  <si>
    <t>Eternal Consciousness/Implantation</t>
  </si>
  <si>
    <t>Beauty/Timing</t>
  </si>
  <si>
    <t>Incomprehensibility/Mystery</t>
  </si>
  <si>
    <t>Immutability/Permanence</t>
  </si>
  <si>
    <t>Completeness/Perfection</t>
  </si>
  <si>
    <t>Revelation/Testing</t>
  </si>
  <si>
    <t>Futility/Judgment</t>
  </si>
  <si>
    <t>Justice/Redistribution</t>
  </si>
  <si>
    <t>Enjoyment/Gift</t>
  </si>
  <si>
    <t>Irony/Withholding</t>
  </si>
  <si>
    <t>Sovereignty/Supremacy</t>
  </si>
  <si>
    <t>Human Ignorance/Knowledge</t>
  </si>
  <si>
    <t>Design Contrast/Human Corruption</t>
  </si>
  <si>
    <t>Mortality/Sovereignty</t>
  </si>
  <si>
    <t>Mystery/Sovereignty</t>
  </si>
  <si>
    <t>Protection/Sovereignty</t>
  </si>
  <si>
    <t>Common Fate/Sovereignty</t>
  </si>
  <si>
    <t>Providence/Sovereignty</t>
  </si>
  <si>
    <t>Hidden Timing/Sovereignty</t>
  </si>
  <si>
    <t>Judgment Timing/Sovereignty</t>
  </si>
  <si>
    <t>Creation/Mystery</t>
  </si>
  <si>
    <t>Command/Remembrance/Speech</t>
  </si>
  <si>
    <t>Timing/Warning</t>
  </si>
  <si>
    <t>Aging/Warning</t>
  </si>
  <si>
    <t>Afterlife/Reclamation</t>
  </si>
  <si>
    <t>Mortality/Natural Law</t>
  </si>
  <si>
    <t>Cleansing/Forgiveness</t>
  </si>
  <si>
    <t>Prophecy/Sign</t>
  </si>
  <si>
    <t>Calling/Prophecy</t>
  </si>
  <si>
    <t>Omniscience/Speech</t>
  </si>
  <si>
    <t>Atonement/Prophecy</t>
  </si>
  <si>
    <t>Omnipotence/Promise</t>
  </si>
  <si>
    <t>Inclusion/Promise</t>
  </si>
  <si>
    <t>Omnipresence/Speech</t>
  </si>
  <si>
    <t>Peace/Promise</t>
  </si>
  <si>
    <t>Eternity/Promise</t>
  </si>
  <si>
    <t>Calling/Predestination</t>
  </si>
  <si>
    <t>Confirmation/Vision</t>
  </si>
  <si>
    <t>Prophecy/Vision</t>
  </si>
  <si>
    <t>Call/Speech</t>
  </si>
  <si>
    <t>Judgment/Vision</t>
  </si>
  <si>
    <t>Command/Speech/Symbolic Act</t>
  </si>
  <si>
    <t>Communication/Instruction</t>
  </si>
  <si>
    <t>Response/Speech</t>
  </si>
  <si>
    <t>Object Lesson/Speech</t>
  </si>
  <si>
    <t>Judgment/Symbolic Act</t>
  </si>
  <si>
    <t>Command/Object Lesson</t>
  </si>
  <si>
    <t>Command/Judgment/Speech</t>
  </si>
  <si>
    <t>Fulfillment/Prophecy</t>
  </si>
  <si>
    <t>Condemnation/Judgment</t>
  </si>
  <si>
    <t>Abandonment/Rejection</t>
  </si>
  <si>
    <t>Opening/Vision</t>
  </si>
  <si>
    <t>Command/Vision</t>
  </si>
  <si>
    <t>Marking/Protection</t>
  </si>
  <si>
    <t>Command/Sign/Speech</t>
  </si>
  <si>
    <t>Interpretation/Speech</t>
  </si>
  <si>
    <t>Correction/Speech</t>
  </si>
  <si>
    <t>Parable/Speech</t>
  </si>
  <si>
    <t>Allegory/Speech</t>
  </si>
  <si>
    <t>Principle/Speech</t>
  </si>
  <si>
    <t>Lamentation/Speech</t>
  </si>
  <si>
    <t>History/Speech</t>
  </si>
  <si>
    <t>Presence/Speech</t>
  </si>
  <si>
    <t>Dream/Warning</t>
  </si>
  <si>
    <t>Judgment/Writing</t>
  </si>
  <si>
    <t>Explanation/Interpretation</t>
  </si>
  <si>
    <t>Confession/Human Prayer</t>
  </si>
  <si>
    <t>Instruction/Messenger</t>
  </si>
  <si>
    <t>Eschatology/Prophecy</t>
  </si>
  <si>
    <t>Intervention/Protection</t>
  </si>
  <si>
    <t>Command/Prophetic Sign/Speech</t>
  </si>
  <si>
    <t>Prophetic Sign/Revelation</t>
  </si>
  <si>
    <t>Blessing/Promise</t>
  </si>
  <si>
    <t>Outpouring/Promise</t>
  </si>
  <si>
    <t>Cosmic s/Promise</t>
  </si>
  <si>
    <t>Cosmic /Manifestation</t>
  </si>
  <si>
    <t>Power/Revelation</t>
  </si>
  <si>
    <t>Preservation/Promise</t>
  </si>
  <si>
    <t>Messianic Prophecy/Promise</t>
  </si>
  <si>
    <t>Prophetic Vision/Revelation</t>
  </si>
  <si>
    <t>Eschatological Judgment/Prophecy</t>
  </si>
  <si>
    <t>Eschatological Kingdom/Sovereignty</t>
  </si>
  <si>
    <t>Command/Prophetic Call/Speech</t>
  </si>
  <si>
    <t>Command/Second Calling/Speech</t>
  </si>
  <si>
    <t>Mass Conversion/Work</t>
  </si>
  <si>
    <t>Natural /Provision</t>
  </si>
  <si>
    <t>Gathering/Promise</t>
  </si>
  <si>
    <t>Attraction/Promise</t>
  </si>
  <si>
    <t>Healing/Promise</t>
  </si>
  <si>
    <t>Messianic Prediction/Prophecy</t>
  </si>
  <si>
    <t>Eternal Nature/Revelation</t>
  </si>
  <si>
    <t>Messianic Reign/Promise</t>
  </si>
  <si>
    <t>Cleansing/Promise</t>
  </si>
  <si>
    <t>Moral Requirement/Revelation</t>
  </si>
  <si>
    <t>Future s/Promise</t>
  </si>
  <si>
    <t>Humiliation/Promise</t>
  </si>
  <si>
    <t>Forgiveness/Promise</t>
  </si>
  <si>
    <t>Covenant Faithfulness/Promise</t>
  </si>
  <si>
    <t>Character Declaration/Revelation</t>
  </si>
  <si>
    <t>Idolatry Destruction/Judgment</t>
  </si>
  <si>
    <t>Metaphorical Judgment/Prophecy</t>
  </si>
  <si>
    <t>Final Decree/Judgment</t>
  </si>
  <si>
    <t>Command/Prophetic Vision/Speech</t>
  </si>
  <si>
    <t>Prophetic Prayer/Vision</t>
  </si>
  <si>
    <t>Cosmic Manifestation/Power</t>
  </si>
  <si>
    <t>Fear/Judgment</t>
  </si>
  <si>
    <t xml:space="preserve">Control/Cosmic </t>
  </si>
  <si>
    <t>Messianic Promise/Salvation</t>
  </si>
  <si>
    <t>Justice/Warfare</t>
  </si>
  <si>
    <t>Prophetic Call/Revelation</t>
  </si>
  <si>
    <t>Global Catastrophe/Judgment</t>
  </si>
  <si>
    <t>Command/Prophetic Warning/Speech</t>
  </si>
  <si>
    <t>Judgment/Preparation</t>
  </si>
  <si>
    <t>Cosmic Events/Judgment</t>
  </si>
  <si>
    <t>Change/Transformation</t>
  </si>
  <si>
    <t>Global Transformation/Promise</t>
  </si>
  <si>
    <t>Desolation/Judgment</t>
  </si>
  <si>
    <t>Holy Anger/Judgment</t>
  </si>
  <si>
    <t>Language Change/Promise</t>
  </si>
  <si>
    <t>Restoration/Salvation</t>
  </si>
  <si>
    <t>Deliverance/Warrior</t>
  </si>
  <si>
    <t>Cosmic Intervention/Promise</t>
  </si>
  <si>
    <t>Glory/Promise</t>
  </si>
  <si>
    <t>Revelation/Teaching</t>
  </si>
  <si>
    <t>Agricultural Blessing/Promise</t>
  </si>
  <si>
    <t>Cosmic Judgment/Promise</t>
  </si>
  <si>
    <t>Messianic Significance/Promise</t>
  </si>
  <si>
    <t>Prophetic Revelation/Vision</t>
  </si>
  <si>
    <t>Promise/Vision</t>
  </si>
  <si>
    <t>Cleansing/Vision</t>
  </si>
  <si>
    <t>Authority/Rebuke</t>
  </si>
  <si>
    <t>Beings/Vision</t>
  </si>
  <si>
    <t>Power/Promise</t>
  </si>
  <si>
    <t>Action/Messianic Prophecy</t>
  </si>
  <si>
    <t>Physical Manifestation/Theophany</t>
  </si>
  <si>
    <t>Kingship/Sovereignty</t>
  </si>
  <si>
    <t>Curse/Judgment</t>
  </si>
  <si>
    <t>Appearance/Promise</t>
  </si>
  <si>
    <t>Call To Repentance/Communication</t>
  </si>
  <si>
    <t>Record/Revelation</t>
  </si>
  <si>
    <t>Eschatological Judgment/Promise</t>
  </si>
  <si>
    <t>Command/Reference To Historical /Speech</t>
  </si>
  <si>
    <t>Curse/Warning</t>
  </si>
  <si>
    <t xml:space="preserve">Exorcism/Healing </t>
  </si>
  <si>
    <t>Healing/Spiritual Gift</t>
  </si>
  <si>
    <t>Prophecy/Spiritual Gift</t>
  </si>
  <si>
    <t>Calling/Revelation</t>
  </si>
  <si>
    <t>Exaltation/Resurrection</t>
  </si>
  <si>
    <t>Spiritual Transformation/Work</t>
  </si>
  <si>
    <t>Exaltation/Incarnation</t>
  </si>
  <si>
    <t>Grace/Joy</t>
  </si>
  <si>
    <t>Apostolic Authority/Blessing</t>
  </si>
  <si>
    <t>Deception/False s</t>
  </si>
  <si>
    <t>Delusion/Judgment</t>
  </si>
  <si>
    <t>Appointment/Calling</t>
  </si>
  <si>
    <t>Conversion/Mercy</t>
  </si>
  <si>
    <t>Revelation/Will</t>
  </si>
  <si>
    <t>Ordination/Spiritual Gift</t>
  </si>
  <si>
    <t>Future /Promise</t>
  </si>
  <si>
    <t>Empowerment/Spiritual Gift</t>
  </si>
  <si>
    <t>Mercy/Providence</t>
  </si>
  <si>
    <t>Authority/Judgment</t>
  </si>
  <si>
    <t>Eternal Promise/Preservation</t>
  </si>
  <si>
    <t>Grace/Revelation</t>
  </si>
  <si>
    <t>Eternal Decree/Promise</t>
  </si>
  <si>
    <t>Historical Reference/Reckoning</t>
  </si>
  <si>
    <t>Historical Reference/Judgment</t>
  </si>
  <si>
    <t>Ascension/Resurrection</t>
  </si>
  <si>
    <t>Mercy/Patience</t>
  </si>
  <si>
    <t>Atonement/Cleansing</t>
  </si>
  <si>
    <t>Atonement/Mission</t>
  </si>
  <si>
    <t>Atonement/Love</t>
  </si>
  <si>
    <t>Spiritual Joy/Truth</t>
  </si>
  <si>
    <t>Psalms 2:7</t>
  </si>
  <si>
    <t>Psalms 2:8</t>
  </si>
  <si>
    <t>Psalms 16:10</t>
  </si>
  <si>
    <t>Psalms 16:11</t>
  </si>
  <si>
    <t>Psalms 29:5</t>
  </si>
  <si>
    <t>Psalms 29:7</t>
  </si>
  <si>
    <t>Psalms 29:8</t>
  </si>
  <si>
    <t>Psalms 29:9</t>
  </si>
  <si>
    <t>Psalms 30:11</t>
  </si>
  <si>
    <t>Psalms 89:19</t>
  </si>
  <si>
    <t>Psalms 89:29</t>
  </si>
  <si>
    <t>Psalms 89:35</t>
  </si>
  <si>
    <t>Psalms 89:36</t>
  </si>
  <si>
    <t>Psalms 89:37</t>
  </si>
  <si>
    <t>Psalms 78:15-16</t>
  </si>
  <si>
    <t>Psalms 78:16</t>
  </si>
  <si>
    <t>Psalms 78:24</t>
  </si>
  <si>
    <t>Psalms 78:25</t>
  </si>
  <si>
    <t>Psalms 78:26</t>
  </si>
  <si>
    <t>Psalms 78:27</t>
  </si>
  <si>
    <t>Psalms 78:51</t>
  </si>
  <si>
    <t>Psalms 78:52</t>
  </si>
  <si>
    <t>Psalms 78:53</t>
  </si>
  <si>
    <t>Psalms 78:68</t>
  </si>
  <si>
    <t>Psalms 78:69</t>
  </si>
  <si>
    <t>Psalms 78:70</t>
  </si>
  <si>
    <t>Psalms 78:71</t>
  </si>
  <si>
    <t>Psalms 107:33</t>
  </si>
  <si>
    <t>Psalms 107:34</t>
  </si>
  <si>
    <t>Psalms 107:35</t>
  </si>
  <si>
    <t>Psalms 107:9</t>
  </si>
  <si>
    <t>Psalms 107:14</t>
  </si>
  <si>
    <t>Psalms 107:16</t>
  </si>
  <si>
    <t>Psalms 107:20</t>
  </si>
  <si>
    <t>Psalms 107:29</t>
  </si>
  <si>
    <t>Psalms 107:30</t>
  </si>
  <si>
    <t>Psalms 104:5</t>
  </si>
  <si>
    <t>Psalms 104:6</t>
  </si>
  <si>
    <t>Psalms 104:7</t>
  </si>
  <si>
    <t>Psalms 104:8</t>
  </si>
  <si>
    <t>Psalms 104:9</t>
  </si>
  <si>
    <t>Psalms 104:10</t>
  </si>
  <si>
    <t>Psalms 104:13</t>
  </si>
  <si>
    <t>Psalms 104:14</t>
  </si>
  <si>
    <t>Psalms 104:19</t>
  </si>
  <si>
    <t>Psalms 104:20</t>
  </si>
  <si>
    <t>Psalms 104:27</t>
  </si>
  <si>
    <t>Psalms 104:28</t>
  </si>
  <si>
    <t>Psalms 104:29</t>
  </si>
  <si>
    <t>Psalms 104:30</t>
  </si>
  <si>
    <t>Psalms 104:32</t>
  </si>
  <si>
    <t>Psalms 136:13</t>
  </si>
  <si>
    <t>Psalms 136:14</t>
  </si>
  <si>
    <t>Psalms 136:15</t>
  </si>
  <si>
    <t>Psalms 136:16</t>
  </si>
  <si>
    <t>Psalms 136:17-20</t>
  </si>
  <si>
    <t>Psalms 136:18</t>
  </si>
  <si>
    <t>Psalms 136:19</t>
  </si>
  <si>
    <t>Psalms 136:20</t>
  </si>
  <si>
    <t>Psalms 136:21-22</t>
  </si>
  <si>
    <t>Psalms 136:23</t>
  </si>
  <si>
    <t>Psalms 136:24</t>
  </si>
  <si>
    <t>Psalms 136:25</t>
  </si>
  <si>
    <t>Psalms 147:2</t>
  </si>
  <si>
    <t>Psalms 147:3</t>
  </si>
  <si>
    <t>Psalms 147:4</t>
  </si>
  <si>
    <t>Psalms 147:8</t>
  </si>
  <si>
    <t>Psalms 147:9</t>
  </si>
  <si>
    <t>Psalms 147:18</t>
  </si>
  <si>
    <t>Psalms 147:19</t>
  </si>
  <si>
    <t>Psalms 147:20</t>
  </si>
  <si>
    <t>God speaks to Moses commanding departure from Horeb</t>
  </si>
  <si>
    <t>Deuteronomy 1:6-8</t>
  </si>
  <si>
    <t>Mount Horeb (Sinai)</t>
  </si>
  <si>
    <t>Exodus 3:1-12; Numbers 10:11-13</t>
  </si>
  <si>
    <t>Deuteronomy 1:8</t>
  </si>
  <si>
    <t>Genesis 12:7; 13:14-17; 15:18-21; 26:3-4; 28:13-14</t>
  </si>
  <si>
    <t>God commands Moses to appoint judges</t>
  </si>
  <si>
    <t>Deuteronomy 1:9-18</t>
  </si>
  <si>
    <t>Exodus 18:13-26; Numbers 11:16-17</t>
  </si>
  <si>
    <t>Deuteronomy 1:19-25</t>
  </si>
  <si>
    <t>Kadesh Barnea</t>
  </si>
  <si>
    <t>Numbers 13:1-33</t>
  </si>
  <si>
    <t>Numbers 14:20-35; Psalm 95:10-11; Hebrews 3:7-11</t>
  </si>
  <si>
    <t>Deuteronomy 2:5</t>
  </si>
  <si>
    <t>Mount Seir</t>
  </si>
  <si>
    <t>Genesis 36:8-9; Joshua 24:4</t>
  </si>
  <si>
    <t>Ar (Moab)</t>
  </si>
  <si>
    <t>Genesis 19:36-38</t>
  </si>
  <si>
    <t>Deuteronomy 2:19-21</t>
  </si>
  <si>
    <t>Genesis 14:5</t>
  </si>
  <si>
    <t>Deuteronomy 2:24-25</t>
  </si>
  <si>
    <t>Arnon Valley</t>
  </si>
  <si>
    <t>Numbers 21:21-35</t>
  </si>
  <si>
    <t>God delivers Sihon and his land into Israel's hands</t>
  </si>
  <si>
    <t>Deuteronomy 2:30-36</t>
  </si>
  <si>
    <t>Heshbon to Arnon</t>
  </si>
  <si>
    <t>Numbers 21:21-31; Judges 11:19-22</t>
  </si>
  <si>
    <t>God's hardening of Sihon's heart</t>
  </si>
  <si>
    <t>Deuteronomy 2:30</t>
  </si>
  <si>
    <t>Heshbon</t>
  </si>
  <si>
    <t>Exodus 4:21; 7:3; Romans 9:17-18</t>
  </si>
  <si>
    <t>God delivers Og king of Bashan into Israel's hands</t>
  </si>
  <si>
    <t>Deuteronomy 3:1-11</t>
  </si>
  <si>
    <t>Edrei</t>
  </si>
  <si>
    <t>Numbers 21:33-35; Psalm 135:10-11; 136:17-20</t>
  </si>
  <si>
    <t>Deuteronomy 3:21-22</t>
  </si>
  <si>
    <t>Joshua 1:5-9; 10:25</t>
  </si>
  <si>
    <t>Deuteronomy 3:23-27</t>
  </si>
  <si>
    <t>Numbers 20:10-12; 27:12-14; Deuteronomy 32:48-52</t>
  </si>
  <si>
    <t>Hardening</t>
  </si>
  <si>
    <t>Encouragement</t>
  </si>
  <si>
    <t>God promises to give the land to Abraham, Isaac, and Jacob</t>
  </si>
  <si>
    <t>God commands to send spies to scout the land</t>
  </si>
  <si>
    <t>Deuteronomy 1:29-33</t>
  </si>
  <si>
    <t>Deuteronomy 1:34-45</t>
  </si>
  <si>
    <t>God promises to fight for and guide Israel</t>
  </si>
  <si>
    <t>God judges the wilderness generation</t>
  </si>
  <si>
    <t>God protects Esau's descendants in Seir</t>
  </si>
  <si>
    <t>God protects the Lot's descendants in Ar</t>
  </si>
  <si>
    <t>Deuteronomy 2:9-19</t>
  </si>
  <si>
    <t>God destroys the Rephaites before the Ammonites</t>
  </si>
  <si>
    <t>God commands to cross the Arnon Valley and defeat Sihon</t>
  </si>
  <si>
    <t>God refuses to let Moses cross into the Promised Land</t>
  </si>
  <si>
    <t>God destroys followers of Ba'al of Pe'or</t>
  </si>
  <si>
    <t>God encourages Joshua about future conquests</t>
  </si>
  <si>
    <t>Deuteronomy 4:3</t>
  </si>
  <si>
    <t>God speaks from fire at Horeb</t>
  </si>
  <si>
    <t>God warns about not testing Him</t>
  </si>
  <si>
    <t>Deuteronomy 6:16-21</t>
  </si>
  <si>
    <t>God angered over golden calf</t>
  </si>
  <si>
    <t>Deuteronomy 11:14-15</t>
  </si>
  <si>
    <t>Deuteronomy 13:1-18</t>
  </si>
  <si>
    <t>God establishes laws against idolatry and false teachers</t>
  </si>
  <si>
    <t>Deuteronomy 14:1-2</t>
  </si>
  <si>
    <t>God gives laws about mourning</t>
  </si>
  <si>
    <t>Deuteronomy 15:1-18</t>
  </si>
  <si>
    <t>God commands consecration of first males of flock</t>
  </si>
  <si>
    <t>Deuteronomy 15:19-23</t>
  </si>
  <si>
    <t>Wrath/Judgment</t>
  </si>
  <si>
    <t>Command/Inscription</t>
  </si>
  <si>
    <t>Theophany/Fire/Cloud</t>
  </si>
  <si>
    <t>Law</t>
  </si>
  <si>
    <t>Requirement</t>
  </si>
  <si>
    <t>Command/Worship</t>
  </si>
  <si>
    <t>Covenant</t>
  </si>
  <si>
    <t>Law/Tithe</t>
  </si>
  <si>
    <t>Law/Ownership</t>
  </si>
  <si>
    <t>Law/Consecration</t>
  </si>
  <si>
    <t>Law/Purity</t>
  </si>
  <si>
    <t>Law/Mourning</t>
  </si>
  <si>
    <t>Law/Slaughter</t>
  </si>
  <si>
    <t>Law/False Idols</t>
  </si>
  <si>
    <t>God gives laws about pagan pillars</t>
  </si>
  <si>
    <t>Deuteronomy 16:21-22</t>
  </si>
  <si>
    <t>God gives laws about administering justice</t>
  </si>
  <si>
    <t>Deuteronomy 17:1-13</t>
  </si>
  <si>
    <t>God forbids spiritism</t>
  </si>
  <si>
    <t>Deuteronomy 18:9-14, 20-22</t>
  </si>
  <si>
    <t>God commands establishing cities of refuge</t>
  </si>
  <si>
    <t>Deuteronomy 19:1-13</t>
  </si>
  <si>
    <t>God gives civil and moral laws</t>
  </si>
  <si>
    <t>Law/Civil</t>
  </si>
  <si>
    <t>God preserves Israel in wilderness</t>
  </si>
  <si>
    <t>Deuteronomy 29:10-29</t>
  </si>
  <si>
    <t>Revelation/Prophecy</t>
  </si>
  <si>
    <t>Deuteronomy 31:19-22</t>
  </si>
  <si>
    <t>Law/Writing</t>
  </si>
  <si>
    <t>God speaks of His covenant</t>
  </si>
  <si>
    <t>Theophany/Cloud</t>
  </si>
  <si>
    <t>Command/Writing</t>
  </si>
  <si>
    <t>Deep waters</t>
  </si>
  <si>
    <t>compile a dataset/table sorted by book number, book name, chapter and verse as they appear in the bible, for the biblical books 1-10, include a 4th column providing the most accurate and precise location(s) associated with those verses, using the nrsv edition of the holy bible, also provide a confidence percentage of how confident (100% being fully confident) you are of the location's accuracy/precision (this confidence value can be provided in 5% bucket intervals/steps), adjacent verses (and or chapters and books) can be grouped together as a range as long as they are consequetive), if they all use the same location. If a section of verses have an unclear location, use the most likely and relevent location . Book Number, Book Chapter, Verse End, Verse Start, Location,  and Confidence columns should all be separate. present this dataset as a csv.</t>
  </si>
  <si>
    <t>PARSE KMZ FILE TO EXTRACT LAT/LONG, ETC</t>
  </si>
  <si>
    <t>Book Number</t>
  </si>
  <si>
    <t>Book Name</t>
  </si>
  <si>
    <t>Chapter</t>
  </si>
  <si>
    <t>Verse Start</t>
  </si>
  <si>
    <t>Verse End</t>
  </si>
  <si>
    <t>Confidence</t>
  </si>
  <si>
    <t>Primordial creation space</t>
  </si>
  <si>
    <t>Earth (general)</t>
  </si>
  <si>
    <t>Land of Nod (east of Eden)</t>
  </si>
  <si>
    <t>Antediluvian world (general)</t>
  </si>
  <si>
    <t>Earth (pre-flood)</t>
  </si>
  <si>
    <t>Earth (during flood)</t>
  </si>
  <si>
    <t>Earth (post-flood)</t>
  </si>
  <si>
    <t>Earth (nations dispersed)</t>
  </si>
  <si>
    <t>Plain of Shinar (Babylon)</t>
  </si>
  <si>
    <t>Ur of the Chaldeans/Haran</t>
  </si>
  <si>
    <t>Canaan (Bethel Negeb)</t>
  </si>
  <si>
    <t>Canaan and surrounding regions</t>
  </si>
  <si>
    <t>Canaan (Mamre Sodom region)</t>
  </si>
  <si>
    <t>Sodom Gomorrah Zoar region</t>
  </si>
  <si>
    <t>Gerar (Philistine territory)</t>
  </si>
  <si>
    <t>Beersheba region</t>
  </si>
  <si>
    <t>Land of Moriah</t>
  </si>
  <si>
    <t>Hebron (Canaan)</t>
  </si>
  <si>
    <t>Mesopotamia/Canaan</t>
  </si>
  <si>
    <t>Gerar/Beersheba region</t>
  </si>
  <si>
    <t>Canaan (Bethel)</t>
  </si>
  <si>
    <t>Paddan-aram (Mesopotamia)</t>
  </si>
  <si>
    <t>Paddan-aram/Journey to Canaan</t>
  </si>
  <si>
    <t>Journey to Canaan</t>
  </si>
  <si>
    <t>Canaan (Shechem)</t>
  </si>
  <si>
    <t>Shechem (Canaan)</t>
  </si>
  <si>
    <t>Canaan (Bethel Hebron)</t>
  </si>
  <si>
    <t>Seir/Edom</t>
  </si>
  <si>
    <t>Canaan (Judah's territory)</t>
  </si>
  <si>
    <t>Egypt/Canaan</t>
  </si>
  <si>
    <t>Journey to Egypt/Egypt</t>
  </si>
  <si>
    <t>Egypt (Nile River region)</t>
  </si>
  <si>
    <t>Midian (Mount Horeb/Sinai region)</t>
  </si>
  <si>
    <t>Mount Horeb (also called Mount Sinai)</t>
  </si>
  <si>
    <t>Journey from Midian to Egypt</t>
  </si>
  <si>
    <t>Egypt (Pharaoh's court and Hebrew work sites)</t>
  </si>
  <si>
    <t>Egypt (Pharaoh's court and Nile River)</t>
  </si>
  <si>
    <t>Egypt (throughout the land)</t>
  </si>
  <si>
    <t>Wilderness journey (Egypt to Sinai)</t>
  </si>
  <si>
    <t>Red Sea/Sea of Reeds</t>
  </si>
  <si>
    <t>Wilderness of Shur</t>
  </si>
  <si>
    <t>Wilderness journey (Sinai to Paran)</t>
  </si>
  <si>
    <t>Wilderness journey</t>
  </si>
  <si>
    <t>Wilderness of Paran/Canaan reconnaissance</t>
  </si>
  <si>
    <t>Wilderness journey (Kadesh)</t>
  </si>
  <si>
    <t>Wilderness journey (Transjordan)</t>
  </si>
  <si>
    <t>Plains of Moab/Transjordan</t>
  </si>
  <si>
    <t>Wilderness journey summary</t>
  </si>
  <si>
    <t>Mount Nebo/Plains of Moab</t>
  </si>
  <si>
    <t>Ai/Achor Valley</t>
  </si>
  <si>
    <t>Ai/Bethel region</t>
  </si>
  <si>
    <t>Southern Canaan campaign</t>
  </si>
  <si>
    <t>Northern Canaan campaign</t>
  </si>
  <si>
    <t>Canaan (conquered territories)</t>
  </si>
  <si>
    <t>Canaan (tribal allocations)</t>
  </si>
  <si>
    <t>Canaan (Ephraim's territory)</t>
  </si>
  <si>
    <t>Canaan (Manasseh's territory)</t>
  </si>
  <si>
    <t>Canaan (Benjamin's territory)</t>
  </si>
  <si>
    <t>Canaan (remaining tribal territories)</t>
  </si>
  <si>
    <t>Canaan (cities of refuge)</t>
  </si>
  <si>
    <t>Canaan (Levitical cities)</t>
  </si>
  <si>
    <t>Canaan/Transjordan</t>
  </si>
  <si>
    <t>Shechem/Canaan</t>
  </si>
  <si>
    <t>Northern Canaan</t>
  </si>
  <si>
    <t>Central Canaan</t>
  </si>
  <si>
    <t>Central Canaan/Transjordan</t>
  </si>
  <si>
    <t>Shechem region</t>
  </si>
  <si>
    <t>Transjordan/Canaan</t>
  </si>
  <si>
    <t>Canaan (Philistine border)</t>
  </si>
  <si>
    <t>Canaan (Philistine territory)</t>
  </si>
  <si>
    <t>Moab/Bethlehem</t>
  </si>
  <si>
    <t>Ramah/Shiloh</t>
  </si>
  <si>
    <t>Shiloh/Aphek/Philistine territory</t>
  </si>
  <si>
    <t>Philistine territory/Beth-shemesh</t>
  </si>
  <si>
    <t>Mizpah/Ramah</t>
  </si>
  <si>
    <t>Ramah/Saul's territory</t>
  </si>
  <si>
    <t>Ramah/Gibeah</t>
  </si>
  <si>
    <t>Jabesh-gilead/Gilgal</t>
  </si>
  <si>
    <t>Gibeah/Philistine territory</t>
  </si>
  <si>
    <t>Gilgal/Amalekite territory</t>
  </si>
  <si>
    <t>Bethlehem/Gibeah</t>
  </si>
  <si>
    <t>Gibeah/Saul's court</t>
  </si>
  <si>
    <t>Gibeah/Ramah</t>
  </si>
  <si>
    <t>Nob/Gath</t>
  </si>
  <si>
    <t>Adullam/Keilah</t>
  </si>
  <si>
    <t>Keilah/Wilderness of Ziph</t>
  </si>
  <si>
    <t>Wilderness of En-gedi</t>
  </si>
  <si>
    <t>Wilderness of Paran/Maon</t>
  </si>
  <si>
    <t>Philistine territory (Gath)</t>
  </si>
  <si>
    <t>Philistine territory/Endor</t>
  </si>
  <si>
    <t>Philistine territory/Ziklag</t>
  </si>
  <si>
    <t>Ziklag/Hebron</t>
  </si>
  <si>
    <t>Hebron/Mahanaim</t>
  </si>
  <si>
    <t>Hebron/Jerusalem</t>
  </si>
  <si>
    <t>Jerusalem/conquered territories</t>
  </si>
  <si>
    <t>Jerusalem/Transjordan</t>
  </si>
  <si>
    <t>Jerusalem/Rabbah</t>
  </si>
  <si>
    <t>Jerusalem/Bahurim</t>
  </si>
  <si>
    <t>Jerusalem/Mahanaim</t>
  </si>
  <si>
    <t>Mahanaim/Forest of Ephraim</t>
  </si>
  <si>
    <t>Mahanaim/Jerusalem</t>
  </si>
  <si>
    <t>Jerusalem/Abel-beth-maacah</t>
  </si>
  <si>
    <t>Jerusalem/Gibeon</t>
  </si>
  <si>
    <t>Jerusalem/throughout Israel</t>
  </si>
  <si>
    <t>Jerusalem/Lebanon</t>
  </si>
  <si>
    <t>Jerusalem/various locations</t>
  </si>
  <si>
    <t>Shechem/Rehoboam's kingdom</t>
  </si>
  <si>
    <t>Bethel/Judah</t>
  </si>
  <si>
    <t>Tirzah/Jerusalem</t>
  </si>
  <si>
    <t>Jerusalem/Tirzah</t>
  </si>
  <si>
    <t>Northern Israel (Tirzah/Samaria)</t>
  </si>
  <si>
    <t>Northern Israel/Zarephath</t>
  </si>
  <si>
    <t>Mount Carmel/Northern Israel</t>
  </si>
  <si>
    <t>Mount Horeb/Northern Israel</t>
  </si>
  <si>
    <t>Samaria/Northern Israel</t>
  </si>
  <si>
    <t>Jezreel/Samaria</t>
  </si>
  <si>
    <t>Samaria/Ramoth-gilead</t>
  </si>
  <si>
    <t>Jericho/Jordan River/Bethel</t>
  </si>
  <si>
    <t>Moab/Northern Israel</t>
  </si>
  <si>
    <t>Northern Israel (Shunem/Gilgal)</t>
  </si>
  <si>
    <t>Samaria/Damascus</t>
  </si>
  <si>
    <t>Northern Israel/Damascus/Jerusalem</t>
  </si>
  <si>
    <t>Jezreel/Northern Israel</t>
  </si>
  <si>
    <t>Samaria/Jerusalem</t>
  </si>
  <si>
    <t>Samaria/Assyria</t>
  </si>
  <si>
    <t>Genealogical (various ancestral locations)</t>
  </si>
  <si>
    <t>Genealogical (Judah/various locations)</t>
  </si>
  <si>
    <t>Genealogical (Davidic line/Jerusalem)</t>
  </si>
  <si>
    <t>Genealogical (tribal territories)</t>
  </si>
  <si>
    <t>Genealogical (Transjordan)</t>
  </si>
  <si>
    <t>Genealogical (Levitical cities)</t>
  </si>
  <si>
    <t>Genealogical (Benjamin/Jerusalem)</t>
  </si>
  <si>
    <t>Hebron/various locations</t>
  </si>
  <si>
    <t>Jerusalem/Kiriath-jearim</t>
  </si>
  <si>
    <t>Shechem/Jerusalem</t>
  </si>
  <si>
    <t>Jerusalem/Northern Israel</t>
  </si>
  <si>
    <t>Jerusalem/Ramoth-gilead</t>
  </si>
  <si>
    <t>Jerusalem/Edom</t>
  </si>
  <si>
    <t>Jerusalem/Damascus</t>
  </si>
  <si>
    <t>Jerusalem/Persia</t>
  </si>
  <si>
    <t>Susa/Jerusalem</t>
  </si>
  <si>
    <t>Susa (Persia)</t>
  </si>
  <si>
    <t>Susa (Persia)/Persian Empire</t>
  </si>
  <si>
    <t>Land of Uz</t>
  </si>
  <si>
    <t>Jerusalem/Zion (liturgical context)</t>
  </si>
  <si>
    <t>Babylon/Jerusalem (exile context)</t>
  </si>
  <si>
    <t>Jerusalem/Israel (wisdom context)</t>
  </si>
  <si>
    <t>Jerusalem/Judah and Assyria</t>
  </si>
  <si>
    <t>Damascus/Syria</t>
  </si>
  <si>
    <t>Ethiopia/Cush</t>
  </si>
  <si>
    <t>Egypt/Ethiopia</t>
  </si>
  <si>
    <t>Babylon/Arabia</t>
  </si>
  <si>
    <t>Tyre/Phoenicia</t>
  </si>
  <si>
    <t>Universal judgment</t>
  </si>
  <si>
    <t>Universal/Jerusalem</t>
  </si>
  <si>
    <t>Jerusalem/Egypt</t>
  </si>
  <si>
    <t>Wilderness/Zion</t>
  </si>
  <si>
    <t>Jerusalem/Judah and nations</t>
  </si>
  <si>
    <t>Jerusalem/Judah/Egypt</t>
  </si>
  <si>
    <t>Philistia</t>
  </si>
  <si>
    <t>Ammon/Edom/Damascus/Kedar/Elam</t>
  </si>
  <si>
    <t>Babylon (Tel-abib by Chebar River)</t>
  </si>
  <si>
    <t>Babylon (vision of Jerusalem)</t>
  </si>
  <si>
    <t>Babylon (vision of Jerusalem temple)</t>
  </si>
  <si>
    <t>Babylon (vision of Jerusalem/Babylon)</t>
  </si>
  <si>
    <t>Babylon (vision of Jerusalem/Samaria)</t>
  </si>
  <si>
    <t>Babylon (oracles against nations)</t>
  </si>
  <si>
    <t>Babylon (oracle against Tyre)</t>
  </si>
  <si>
    <t>Babylon (oracle against Tyre/Sidon)</t>
  </si>
  <si>
    <t>Babylon (oracle against Egypt)</t>
  </si>
  <si>
    <t>Babylon (watchman oracle)</t>
  </si>
  <si>
    <t>Babylon (shepherd oracle)</t>
  </si>
  <si>
    <t>Babylon (oracle against Edom)</t>
  </si>
  <si>
    <t>Babylon (restoration oracle)</t>
  </si>
  <si>
    <t>Babylon (Gog oracle)</t>
  </si>
  <si>
    <t>Babylon (temple vision)</t>
  </si>
  <si>
    <t>Babylon (under Persian rule)</t>
  </si>
  <si>
    <t>Northern Israel (oracles against nations)</t>
  </si>
  <si>
    <t>Joppa/Mediterranean Sea</t>
  </si>
  <si>
    <t>Inside great fish (Mediterranean Sea)</t>
  </si>
  <si>
    <t>Nineveh</t>
  </si>
  <si>
    <t>Judah (prophecy against Nineveh)</t>
  </si>
  <si>
    <t>Judah (prophecy against nations)</t>
  </si>
  <si>
    <t>Jerusalem (post-exilic)</t>
  </si>
  <si>
    <t>Jerusalem/surrounding regions</t>
  </si>
  <si>
    <t>1 Esdras</t>
  </si>
  <si>
    <t>Journey from Babylon to Jerusalem</t>
  </si>
  <si>
    <t>2 Esdras</t>
  </si>
  <si>
    <t>Tobit</t>
  </si>
  <si>
    <t>Nineveh/Ecbatana</t>
  </si>
  <si>
    <t>Nineveh/journey to Media</t>
  </si>
  <si>
    <t>Journey to Media</t>
  </si>
  <si>
    <t>Ecbatana/Media</t>
  </si>
  <si>
    <t>Journey to Nineveh</t>
  </si>
  <si>
    <t>Judith</t>
  </si>
  <si>
    <t>Assyrian empire</t>
  </si>
  <si>
    <t>Bethulia/Judah</t>
  </si>
  <si>
    <t>Bethulia/Assyrian camp</t>
  </si>
  <si>
    <t>Bethulia/surrounding region</t>
  </si>
  <si>
    <t>Esther (Greek)</t>
  </si>
  <si>
    <t>Susa/Persia</t>
  </si>
  <si>
    <t>Susa/Persian empire</t>
  </si>
  <si>
    <t>Persian empire</t>
  </si>
  <si>
    <t>Egypt/Nazareth</t>
  </si>
  <si>
    <t>Wilderness of Judea</t>
  </si>
  <si>
    <t>Capernaum/Galilee</t>
  </si>
  <si>
    <t>Sea of Galilee region</t>
  </si>
  <si>
    <t>Mount (Galilee region)</t>
  </si>
  <si>
    <t>Capernaum/Galilee region</t>
  </si>
  <si>
    <t>Galilee region</t>
  </si>
  <si>
    <t>Galilee/Tyre and Sidon region</t>
  </si>
  <si>
    <t>Caesarea Philippi region</t>
  </si>
  <si>
    <t>High mountain (Galilee region)</t>
  </si>
  <si>
    <t>Judea/Jordan region</t>
  </si>
  <si>
    <t>Jerusalem (Mount of Olives)</t>
  </si>
  <si>
    <t>Jerusalem/Gethsemane</t>
  </si>
  <si>
    <t>Jerusalem (Golgotha)</t>
  </si>
  <si>
    <t>Jerusalem/Galilee</t>
  </si>
  <si>
    <t>Jordan River/Galilee region</t>
  </si>
  <si>
    <t>Gerasenes/Galilee region</t>
  </si>
  <si>
    <t>Galilee/Tyre region</t>
  </si>
  <si>
    <t>Judea/Jericho/Jerusalem journey</t>
  </si>
  <si>
    <t>Judea/Jerusalem region</t>
  </si>
  <si>
    <t>Bethlehem/Nazareth/Jerusalem</t>
  </si>
  <si>
    <t>Wilderness/Nazareth/Galilee</t>
  </si>
  <si>
    <t>Galilee/Judea region</t>
  </si>
  <si>
    <t>Judea/Jericho</t>
  </si>
  <si>
    <t>Jericho/Jerusalem</t>
  </si>
  <si>
    <t>Jerusalem/Emmaus</t>
  </si>
  <si>
    <t>Cana/Jerusalem</t>
  </si>
  <si>
    <t>Samaria/Galilee</t>
  </si>
  <si>
    <t>Jerusalem/Jordan region</t>
  </si>
  <si>
    <t>Bethany/Jerusalem region</t>
  </si>
  <si>
    <t>Jerusalem/Judea</t>
  </si>
  <si>
    <t>Gaza road/Caesarea</t>
  </si>
  <si>
    <t>Lydda/Joppa</t>
  </si>
  <si>
    <t>Antioch/Cyprus</t>
  </si>
  <si>
    <t>Pisidian Antioch</t>
  </si>
  <si>
    <t>Iconium/Lystra/Derbe</t>
  </si>
  <si>
    <t>Jerusalem/Antioch</t>
  </si>
  <si>
    <t>Lystra/Troas</t>
  </si>
  <si>
    <t>Thessalonica/Berea</t>
  </si>
  <si>
    <t>Athens</t>
  </si>
  <si>
    <t>Macedonia/Troas</t>
  </si>
  <si>
    <t>Miletus</t>
  </si>
  <si>
    <t>Tyre/Caesarea</t>
  </si>
  <si>
    <t>Jerusalem/Caesarea</t>
  </si>
  <si>
    <t>Sea voyage (Caesarea to Malta)</t>
  </si>
  <si>
    <t>Malta/Rome</t>
  </si>
  <si>
    <t>Unknown (likely Rome or Jerusalem)</t>
  </si>
  <si>
    <t>Unknown (likely Jerusalem or diaspora)</t>
  </si>
  <si>
    <t>Unknown (likely Rome)</t>
  </si>
  <si>
    <t>Babylon (likely Rome)</t>
  </si>
  <si>
    <t>Unknown (likely Rome or Asia Minor)</t>
  </si>
  <si>
    <t>Unknown (likely Ephesus)</t>
  </si>
  <si>
    <t>Unknown (likely Palestine or Syria)</t>
  </si>
  <si>
    <t>Patmos</t>
  </si>
  <si>
    <t>Patmos (visions of seven churches in Asia Minor)</t>
  </si>
  <si>
    <t>Patmos (heavenly visions)</t>
  </si>
  <si>
    <t>Patmos (visions including Jerusalem)</t>
  </si>
  <si>
    <t>Patmos (visions of earthly powers)</t>
  </si>
  <si>
    <t>Patmos (visions including Mount Zion)</t>
  </si>
  <si>
    <t>Patmos (visions of earth including Armageddon)</t>
  </si>
  <si>
    <t>Patmos (visions of Babylon)</t>
  </si>
  <si>
    <t>Patmos (visions of final judgment)</t>
  </si>
  <si>
    <t>Patmos (visions of New Jerusalem)</t>
  </si>
  <si>
    <t>python code to parse a kml file to retrieve all tags found within folder tags in the kml code</t>
  </si>
  <si>
    <t>[Gen 17:1 ASV] "And when Abram was ninety years old and nine, Jehovah appeared to Abram, and said unto him, I am God Almighty; walk before me, and be thou perfect."</t>
  </si>
  <si>
    <t>[Gen 17:17 ASV] "Then Abraham fell upon his face, and laughed, and said in his heart, Shall a child be born unto him that is a hundred years old? and shall Sarah, that is ninety years old, bear?"</t>
  </si>
  <si>
    <t>[Gen 23:1 ASV] "And the life of Sarah was a hundred and seven and twenty years: these were the years of the life of Sarah." This was in Hebron (aka Kirjath Arba) in Canaan around 1859 BC.</t>
  </si>
  <si>
    <t>[Gen 25:20 ASV] "and Isaac was forty years old when he took Rebekah, the daughter of Bethuel the Syrian of Paddan-aram, the sister of Laban the Syrian, to be his wife."
[Gen 25:26 ASV] "And after that came forth his brother, and his hand had hold on Esau's heel; and his name was called Jacob: and Isaac was threescore years old when she bare them."</t>
  </si>
  <si>
    <t>[Gen 25:27 ASV] "And the boys grew: and Esau was a skilful hunter, a man of the field; and Jacob was a quiet man, dwelling in tents."</t>
  </si>
  <si>
    <t>[Gen 26:34 ASV] "And when Esau was forty years old he took to wife Judith the daughter of Beeri the Hittite, and Basemath the daughter of Elon the Hittite:" - When Esau was forty years old, he took as wives Judith the daughter of Beeri the Hittite, and Basemath the daughter of Elon the Hittite.</t>
  </si>
  <si>
    <t>[Exo 12:40 ASV] "Now the time that the children of Israel dwelt in Egypt was four hundred and thirty years."</t>
  </si>
  <si>
    <t>[Exo 7:7 ASV] "And Moses was fourscore years old, and Aaron fourscore and three years old, when they spake unto Pharaoh."</t>
  </si>
  <si>
    <t>[Act 7:30 ASV] "And when forty years were fulfilled, an angel appeared to him in the wilderness of mount Sinai, in a flame of fire in a bush."</t>
  </si>
  <si>
    <t>[Exo 2:2 ASV] "And the woman conceived, and bare a son: and when she saw him that he was a goodly child, she hid him three months."
[Exo 2:11 ASV] "And it came to pass in those days, when Moses was grown up, that he went out unto his brethren, and looked on their burdens: and he saw an Egyptian smiting a Hebrew, one of his brethren." (Moses vists his brethren (40 years later))
[Act 7:23 ASV] "But when he was well-nigh forty years old, it came into his heart to visit his brethren the children of Israel."
[Exo 3:2 ASV] "And the angel of Jehovah appeared unto him in a flame of fire out of the midst of a bush: and he looked, and, behold, the bush burned with fire, and the bush was not consumed." (another 40 years later - 80 years since Moses birth)</t>
  </si>
  <si>
    <t>[Gen 47:28 ASV] "And Jacob lived in the land of Egypt seventeen years: so the days of Jacob, the years of his life, were a hundred forty and seven years."
[Gen 49:33 ASV] "And when Jacob made an end of charging his sons, he gathered up his feet into the bed, and yielded up the ghost, and was gathered unto his people."</t>
  </si>
  <si>
    <t>[Gen 47:9 ASV] "And Jacob said unto Pharaoh, The days of the years of my pilgrimage are a hundred and thirty years: few and evil have been the days of the years of my life, and they have not attained unto the days of the years of the life of my fathers in the days of their pilgrimage."</t>
  </si>
  <si>
    <t>[Gen 41:46 ASV] "And Joseph was thirty years old when he stood before Pharaoh king of Egypt. And Joseph went out from the presence of Pharaoh, and went throughout all the land of Egypt."</t>
  </si>
  <si>
    <t>[Gen 41:1 ASV] "And it came to pass at the end of two full years, that Pharaoh dreamed: and, behold, he stood by the river."</t>
  </si>
  <si>
    <t>[Gen 37:2 ASV] "These are the generations of Jacob. Joseph, being seventeen years old, was feeding the flock with his brethren; and he was a lad with the sons of Bilhah, and with the sons of Zilpah, his father's wives: and Joseph brought the evil report of them unto their father."</t>
  </si>
  <si>
    <t>[Deu 34:7 ASV] "And Moses was a hundred and twenty years old when he died: his eye was not dim, nor his natural force abated."Deuteronomy 34:7 - "Moses was a hundred and twenty years old when he died, yet his eyes were not weak nor his strength gone."</t>
  </si>
  <si>
    <t>Replace supporting reference text with ASV for copyright issues</t>
  </si>
  <si>
    <t>write python code that extracts as a table the following info from a kmz file located locally. Location (name of location, found under Folder-&gt;name), Description (under &lt;description&gt;), Type (under &lt;styleUrl&gt;),</t>
  </si>
  <si>
    <t>c. 1235 BC</t>
  </si>
  <si>
    <t>c. 1234 BC</t>
  </si>
  <si>
    <t>c. 1234-1233 BC</t>
  </si>
  <si>
    <t>c. 1233 BC</t>
  </si>
  <si>
    <t>c. 1233-1230 BC</t>
  </si>
  <si>
    <t>c. 1230 BC</t>
  </si>
  <si>
    <t>c. 1229 BC</t>
  </si>
  <si>
    <t>c. 1227 BC</t>
  </si>
  <si>
    <t>c. 1220 BC</t>
  </si>
  <si>
    <t>Notes:</t>
  </si>
  <si>
    <t>God instructs Judah to go first against the Canaanites</t>
  </si>
  <si>
    <t>Judges 1:2</t>
  </si>
  <si>
    <t>Speech/Guidance/Answer</t>
  </si>
  <si>
    <t>c. 1218 BC</t>
  </si>
  <si>
    <t>c. 1215 BC</t>
  </si>
  <si>
    <t>c. 1210 BC</t>
  </si>
  <si>
    <t>c. 1202 BC</t>
  </si>
  <si>
    <t>c. 1202-1162 BC</t>
  </si>
  <si>
    <t>c. 1162 BC</t>
  </si>
  <si>
    <t>c. 1144 BC</t>
  </si>
  <si>
    <t>c. 1144-1064 BC</t>
  </si>
  <si>
    <t>c. 1094 BC</t>
  </si>
  <si>
    <t>c. 1094-1074 BC</t>
  </si>
  <si>
    <t>c. 1074 BC</t>
  </si>
  <si>
    <t>c. 1054 BC</t>
  </si>
  <si>
    <t>Dates are approximate and based on traditional chronological frameworks</t>
  </si>
  <si>
    <t>Some events (like Samson's birth) are placed earlier to allow for his 20-year judgeship</t>
  </si>
  <si>
    <t>The civil war with Benjamin (Judges 19-21) is placed during the general period of instability</t>
  </si>
  <si>
    <t>Overlapping judgeships are assumed for some periods, particularly in different regions</t>
  </si>
  <si>
    <t>The chronology follows the general pattern of apostasy, oppression, crying out, and deliverance</t>
  </si>
  <si>
    <t>Confirm/revise Notes Entry #s for each book INCL REVISED Timeline notes eg fof judges, joshua</t>
  </si>
  <si>
    <t>Judges 2:1</t>
  </si>
  <si>
    <t>Judgment/Rebuke/Speech</t>
  </si>
  <si>
    <t>Angel rebukes Israel for covenant breaking; declares He will not drive out nations</t>
  </si>
  <si>
    <t>God delivers Israel over to their enemies</t>
  </si>
  <si>
    <t>Judgment/Defeat</t>
  </si>
  <si>
    <t>Judges 2:13-15</t>
  </si>
  <si>
    <t>Anger/Judgment/Speech</t>
  </si>
  <si>
    <t>Judges 2:23-3:4</t>
  </si>
  <si>
    <t>Judges 2:20-22</t>
  </si>
  <si>
    <t>God's anger burns against Israel; declares judgment over them</t>
  </si>
  <si>
    <t>God gives the land rest for forty years</t>
  </si>
  <si>
    <t>God gives the land rest for eighty years</t>
  </si>
  <si>
    <t>Shamgar saves Israel from Philistines; kills 600 Philistines with ox goad</t>
  </si>
  <si>
    <t>Strength/Deliverance/Victory</t>
  </si>
  <si>
    <t>Between Ramah and Beth-el in the hill-country of Ephraim</t>
  </si>
  <si>
    <t>Judges 4:6</t>
  </si>
  <si>
    <t>Judges 4:16</t>
  </si>
  <si>
    <t>God subdues Jabin king of Canaan</t>
  </si>
  <si>
    <t>Judges 4:23-24</t>
  </si>
  <si>
    <t>Hazor/Northern Canaan</t>
  </si>
  <si>
    <t>God curses Meroz for not aiding Israel</t>
  </si>
  <si>
    <t>Judges 5:23</t>
  </si>
  <si>
    <t>c. 1212 BC</t>
  </si>
  <si>
    <t>c. 1210-1050 BC</t>
  </si>
  <si>
    <t>c. 1135 BC</t>
  </si>
  <si>
    <t>c. 1124-1104 BC</t>
  </si>
  <si>
    <t>c. 1124-1084 BC</t>
  </si>
  <si>
    <t>c. 1104 BC</t>
  </si>
  <si>
    <t>c. 1104-1064 BC</t>
  </si>
  <si>
    <t>c. 1064-1057 BC</t>
  </si>
  <si>
    <t>c. 1057 BC</t>
  </si>
  <si>
    <t>c. 1057-1017 BC</t>
  </si>
  <si>
    <t>c. 1017-994 BC</t>
  </si>
  <si>
    <t>c. 994-972 BC</t>
  </si>
  <si>
    <t>c. 972 BC</t>
  </si>
  <si>
    <t>c. 972-954 BC</t>
  </si>
  <si>
    <t>c. 954 BC</t>
  </si>
  <si>
    <t>c. 1072 BC</t>
  </si>
  <si>
    <t>c. 1071 BC</t>
  </si>
  <si>
    <t>c. 1066 BC</t>
  </si>
  <si>
    <t>c. 1058 BC</t>
  </si>
  <si>
    <t>Speech/Rebuke</t>
  </si>
  <si>
    <t>Angel calls Gideon a mighty man of valor</t>
  </si>
  <si>
    <t>Recognition/Speech</t>
  </si>
  <si>
    <t>Presence/Promise/Speech</t>
  </si>
  <si>
    <t>Speech/Instruction</t>
  </si>
  <si>
    <t>Presence/Assurance/Promise</t>
  </si>
  <si>
    <t>God commands a sacrifice from Gideon</t>
  </si>
  <si>
    <t>Speech/Command</t>
  </si>
  <si>
    <t>Judges 6:18</t>
  </si>
  <si>
    <t>Angel of the LORD instructs Gideon on sacrifice</t>
  </si>
  <si>
    <t>Judges 6:20</t>
  </si>
  <si>
    <t>Peace/Reassurance/Speech</t>
  </si>
  <si>
    <t>God answers Gideon's prayer; makes fleece wet and ground dry</t>
  </si>
  <si>
    <t>Instruction/Strategy/Speech</t>
  </si>
  <si>
    <t>Judges 7:2-3</t>
  </si>
  <si>
    <t>Judges 7:3</t>
  </si>
  <si>
    <t>God gives test to further reduce Gideon's army</t>
  </si>
  <si>
    <t>Test/Strategy</t>
  </si>
  <si>
    <t>God provides Gideon encouragement through another's dream</t>
  </si>
  <si>
    <t>Encouragement/Sign/Speech</t>
  </si>
  <si>
    <t>Judges 7:10-15</t>
  </si>
  <si>
    <t>God gives Midianite a dream of Israel's victory</t>
  </si>
  <si>
    <t>Prophecy/Dream</t>
  </si>
  <si>
    <t>Judgment/Death</t>
  </si>
  <si>
    <t>Judges 9:20</t>
  </si>
  <si>
    <t>Jotham prophecies Abimelech and Shechem destroy each other</t>
  </si>
  <si>
    <t>Judges 9:23-24</t>
  </si>
  <si>
    <t>Rebuke/Judgment/Speech</t>
  </si>
  <si>
    <t>God refuses to save Israel</t>
  </si>
  <si>
    <t>Judges 13:1</t>
  </si>
  <si>
    <t>c. 1095-1055 BC</t>
  </si>
  <si>
    <t>God delivers Israel over to Philistines for 40 years due to their evil</t>
  </si>
  <si>
    <t>Angel gives the Nazirite woman instructions</t>
  </si>
  <si>
    <t>Annunciation/Prophecy/Speech</t>
  </si>
  <si>
    <t>God listens to Manoah's prayer; Angel appears again to the woman</t>
  </si>
  <si>
    <t>Prayer/Response/Theophany</t>
  </si>
  <si>
    <t>Deliverance/Promise/Speech</t>
  </si>
  <si>
    <t>Confirmation/Instruction/Speech</t>
  </si>
  <si>
    <t>Angel declares name is wonderful</t>
  </si>
  <si>
    <t>Praise/Speech</t>
  </si>
  <si>
    <t>Judges 13:18</t>
  </si>
  <si>
    <t>Departure/Fire</t>
  </si>
  <si>
    <t>Barren woman gives birth to Samson</t>
  </si>
  <si>
    <t>Holy Spirit comes mightily upon Samson</t>
  </si>
  <si>
    <t>God inclines Samson towards a Philistine woman</t>
  </si>
  <si>
    <t>Judges 14:1-4</t>
  </si>
  <si>
    <t>Timnah</t>
  </si>
  <si>
    <t>Judges 15:14</t>
  </si>
  <si>
    <t>Ropes binding Samson become like burnt flax and drop away</t>
  </si>
  <si>
    <t>Samson kills 1000 men with donkey's jawbone</t>
  </si>
  <si>
    <t>God provides water from donkey's jawbone</t>
  </si>
  <si>
    <t>Samson's strength leaves when his hair is cut</t>
  </si>
  <si>
    <t>God grants Samson a final burst of strength</t>
  </si>
  <si>
    <t>Samson collapses temple, killing thousands</t>
  </si>
  <si>
    <t>Death/Destruction/Victory</t>
  </si>
  <si>
    <t>God confirms the second battle against the tribe of Benjamin</t>
  </si>
  <si>
    <t>Judges 20:23</t>
  </si>
  <si>
    <t>God designates Judah to go into battle first against the tribe of Benjamin</t>
  </si>
  <si>
    <t>God allows tribe of Benjamin to defeat Israel</t>
  </si>
  <si>
    <t>Judges 20:21</t>
  </si>
  <si>
    <t>God strikes Benjamin before Israel; destroys 25,100 Benjamites</t>
  </si>
  <si>
    <t xml:space="preserve">Approximate dates for the Joshua events are given, using the anchor date of c. 1236 BC for Joshua 4:14. </t>
  </si>
  <si>
    <t>The dates reflect the narrative progression from the immediate post-Jordan crossing events through the conquest campaigns and final settlement of the land.</t>
  </si>
  <si>
    <t>The timeline assumes that the active conquest period lasted approximately 5-6 years, followed by a longer period of territorial allocation and administrative organization.</t>
  </si>
  <si>
    <t>Joshua's final addresses are placed near the end of his leadership, roughly 16 years after the Jordan crossing, which aligns with the typical lifespan expectations for leaders of that era.</t>
  </si>
  <si>
    <t>Naomi hears that the LORD has ended famine</t>
  </si>
  <si>
    <t>Ruth 2:15-16</t>
  </si>
  <si>
    <t>LORD enables Ruth to conceive; she bears a son</t>
  </si>
  <si>
    <t>God closes Hannah's womb</t>
  </si>
  <si>
    <t>1 Samuel 1:4-5</t>
  </si>
  <si>
    <t>1 Samuel 1:10-11, 17-20</t>
  </si>
  <si>
    <t>1 Samuel 1:20-21</t>
  </si>
  <si>
    <t>1 Samuel 3:11-14</t>
  </si>
  <si>
    <t>Eli's time of judging ends after 40 years</t>
  </si>
  <si>
    <t>1 Samuel 4:18</t>
  </si>
  <si>
    <t>Judgment/Plague/Destruction</t>
  </si>
  <si>
    <t>Instruction/Repentance/Speech</t>
  </si>
  <si>
    <t>In progress</t>
  </si>
  <si>
    <t>God guides Gideon to blow trumpet and gather army</t>
  </si>
  <si>
    <t>Empowerment/Spirit/Trumpet</t>
  </si>
  <si>
    <t>God answers Gideon's prayer again; makes fleece dry and ground wet</t>
  </si>
  <si>
    <t>Prophecy/Revelation/Speech</t>
  </si>
  <si>
    <t>God strikes Ashdod with tumors for retaining the Ark</t>
  </si>
  <si>
    <t>God strikes Gath with tumors for retaining the Ark</t>
  </si>
  <si>
    <t>God strikes Ekron with deadly destruction for retaining the Ark</t>
  </si>
  <si>
    <t>God strikes 70 men of Beth-shemesh dead for retaining the Ark</t>
  </si>
  <si>
    <t>add disclaimer about categories - this is first round of many to try to diligently group certain events. Not 100% of all "events" may be accounted for, however given the similar challenge of categorizing, some margin of overlooked or unaccounted for data may be.</t>
  </si>
  <si>
    <t>God declares the people have rejected Him as their reigning king</t>
  </si>
  <si>
    <t>Judgment/Speech/</t>
  </si>
  <si>
    <t>1 Samuel 8:7-9</t>
  </si>
  <si>
    <t>1 Samuel 8:10-18</t>
  </si>
  <si>
    <t xml:space="preserve">God reveals their coming king's character </t>
  </si>
  <si>
    <t>God promises his people a king</t>
  </si>
  <si>
    <t>1 Samuel 8:22</t>
  </si>
  <si>
    <t>1 Samuel 9:17</t>
  </si>
  <si>
    <t>Guidance/Meeting/Speech</t>
  </si>
  <si>
    <t>1 Samuel 10:2-9</t>
  </si>
  <si>
    <t>1 Samuel 10:18-19</t>
  </si>
  <si>
    <t>God declares His people rejected Him; requests His replacements</t>
  </si>
  <si>
    <t>Location/Revelation/Speech</t>
  </si>
  <si>
    <t>God's Spirit moves Saul to anger</t>
  </si>
  <si>
    <t>Holy Spirit/Anger</t>
  </si>
  <si>
    <t>1 Samuel 11:6</t>
  </si>
  <si>
    <t>God sends thunder and rain in answer to Samuel's prayer</t>
  </si>
  <si>
    <t>Sign/Thunder/Rain</t>
  </si>
  <si>
    <t>1 Samuel 13:13-14</t>
  </si>
  <si>
    <t>God declares another king will come</t>
  </si>
  <si>
    <t>Judgment/Anointing</t>
  </si>
  <si>
    <t>God reveals offender through Urim and Thummim</t>
  </si>
  <si>
    <t>Judgment/Revelation/Prayer</t>
  </si>
  <si>
    <t>for dates:</t>
  </si>
  <si>
    <t xml:space="preserve">given Judges 20:35 occurred around c. 1210 BC , give calculated dates for 1 Samuel for the following groups of verses: </t>
  </si>
  <si>
    <t>God regrets making Saul king</t>
  </si>
  <si>
    <t>1 Samuel 15:10-11</t>
  </si>
  <si>
    <t>God judges Saul for disobedience</t>
  </si>
  <si>
    <t>Judgment/Disobedience</t>
  </si>
  <si>
    <t>1 Samuel 15:17-19</t>
  </si>
  <si>
    <t>1 Samuel 15:22-23</t>
  </si>
  <si>
    <t>God tears kingdom from Saul and gives it to Saul's neighbor</t>
  </si>
  <si>
    <t>Judgment/Disempowerment/Disowning</t>
  </si>
  <si>
    <t>Judgment/Disobedience/Rejection/Disowning</t>
  </si>
  <si>
    <t>1 Samuel 15:28-29</t>
  </si>
  <si>
    <t>God witnesses against Israel</t>
  </si>
  <si>
    <t>1 Samuel 12:5-6</t>
  </si>
  <si>
    <t>1 Samuel 14:41-42</t>
  </si>
  <si>
    <t>1 Samuel 15:2-3</t>
  </si>
  <si>
    <t>God rejects Saul as king</t>
  </si>
  <si>
    <t>1 Samuel 15:35</t>
  </si>
  <si>
    <t>God commands destruction of Amalek for opposing Him</t>
  </si>
  <si>
    <t>Guidance/Instruction/Speech</t>
  </si>
  <si>
    <t>Witness/Judgment/Speech</t>
  </si>
  <si>
    <t>Judgment/Destruction/Death/Speech</t>
  </si>
  <si>
    <t>Judgment/Sorrow/Speech</t>
  </si>
  <si>
    <t>God's Spirit departs Saul; sends a distressing spirit on Saul</t>
  </si>
  <si>
    <t>David's music causes Saul's tormenting spirit to depart</t>
  </si>
  <si>
    <t>Deliverance/Music</t>
  </si>
  <si>
    <t>1 Samuel 16:23</t>
  </si>
  <si>
    <t>God brings a harmful spirit upon Saul</t>
  </si>
  <si>
    <t>Oppression/Anger</t>
  </si>
  <si>
    <t>1 Samuel 18:10</t>
  </si>
  <si>
    <t>1 Samuel 18:10-11</t>
  </si>
  <si>
    <t>1 Samuel 19:9-10</t>
  </si>
  <si>
    <t>1 Samuel 18:14</t>
  </si>
  <si>
    <t>1 Samuel 19:10</t>
  </si>
  <si>
    <t>Victory/Blessing/Presence</t>
  </si>
  <si>
    <t>Prophecy/Empowerment</t>
  </si>
  <si>
    <t>Naioth in Ramah</t>
  </si>
  <si>
    <t>Saul and his messengers prophesy by the Spirit of God</t>
  </si>
  <si>
    <t>1 Samuel 19:20-24</t>
  </si>
  <si>
    <t>Guidance/Speech</t>
  </si>
  <si>
    <t>God answers David's prayer; directs him regarding the Philistines</t>
  </si>
  <si>
    <t>1 Samuel 23:2-4</t>
  </si>
  <si>
    <t>God prevents Saul from finding David in the wilderness</t>
  </si>
  <si>
    <t>1 Samuel 23:25-28</t>
  </si>
  <si>
    <t>God delivers Saul to David in cave; Saul's life spared</t>
  </si>
  <si>
    <t>Samuel's spirit appears and prophesies/announces judgment over Saul</t>
  </si>
  <si>
    <t>God tells of Saul and sons' death</t>
  </si>
  <si>
    <t>Judgment/Prophecy/Death</t>
  </si>
  <si>
    <t>Saul and three sons die in battle; Philistines defeat Israel</t>
  </si>
  <si>
    <t>1 Samuel 1:4-5; 1 Samuel 1:10-11, 17-20; 1 Samuel 1:20-21; 1 Samuel 2:21, 26; 1 Samuel 2:27-36; 1 Samuel 3:4-10; 1 Samuel 3:11-14; 1 Samuel 3:19-21; 1 Samuel 3:21; 1 Samuel 4:10-11; 1 Samuel 4:17-18; 1 Samuel 4:18; 1 Samuel 4:19-22; 1 Samuel 5:2-4; 1 Samuel 5:6-7; 1 Samuel 5:8-9; 1 Samuel 5:10-12; 1 Samuel 6:19; 1 Samuel 7:1-2; 1 Samuel 7:3-4; 1 Samuel 7:10; 1 Samuel 7:10-11; 1 Samuel 7:13-14; 1 Samuel 8:7-9; 1 Samuel 8:10-18; 1 Samuel 8:22; 1 Samuel 9:15-16; 1 Samuel 9:17; 1 Samuel 10:1; 1 Samuel 10:2-9; 1 Samuel 10:9; 1 Samuel 10:9-10; 1 Samuel 10:10-13; 1 Samuel 10:18-19; 1 Samuel 10:20-21; 1 Samuel 10:22; 1 Samuel 11:6; 1 Samuel 12:5-6; 1 Samuel 12:17-18; 1 Samuel 13:13-14; 1 Samuel 14:41-42; 1 Samuel 15:2-3; 1 Samuel 15:10-11; 1 Samuel 15:17-19; 1 Samuel 15:22-23; 1 Samuel 15:28-29; 1 Samuel 15:35; 1 Samuel 16:1-3; 1 Samuel 16:6-10; 1 Samuel 16:11-12; 1 Samuel 16:13; 1 Samuel 16:14; 1 Samuel 16:23; 1 Samuel 17:45-51; 1 Samuel 18:12, 14, 28; 1 Samuel 18:10; 1 Samuel 18:10-11; 1 Samuel 18:14; 1 Samuel 19:9-10; 1 Samuel 19:10; 1 Samuel 19:20-24; 1 Samuel 23:2-4; 1 Samuel 23:10-12; 1 Samuel 23:14; 1 Samuel 23:25-28; 1 Samuel 24:1-7; 1 Samuel 24:16-20; 1 Samuel 25:38; 1 Samuel 25:39-42; 1 Samuel 26:7-12; 1 Samuel 26:12; 1 Samuel 28:11-19; 1 Samuel 28:19; 1 Samuel 30:7-8; 1 Samuel 30:17-20; 1 Samuel 31:1-7</t>
  </si>
  <si>
    <t>c. 1115-1112 BC</t>
  </si>
  <si>
    <t>c. 1112-1110 BC</t>
  </si>
  <si>
    <t>c. 1110 BC</t>
  </si>
  <si>
    <t>c. 1105-1100 BC</t>
  </si>
  <si>
    <t>c. 1095-1090 BC</t>
  </si>
  <si>
    <t>c. 1090 BC</t>
  </si>
  <si>
    <t>Aphek/Ebenezer</t>
  </si>
  <si>
    <t>c. 1090-1089 BC</t>
  </si>
  <si>
    <t>c. 1089 BC</t>
  </si>
  <si>
    <t>c. 1089-1070 BC</t>
  </si>
  <si>
    <t>c. 1070 BC</t>
  </si>
  <si>
    <t>Israel (general)</t>
  </si>
  <si>
    <t>Mizpeh</t>
  </si>
  <si>
    <t>c. 1070-1050 BC</t>
  </si>
  <si>
    <t>En route to Gibeah</t>
  </si>
  <si>
    <t>c. 1049 BC</t>
  </si>
  <si>
    <t>c. 1048 BC</t>
  </si>
  <si>
    <t>c. 1047-1045 BC</t>
  </si>
  <si>
    <t>Michmash region</t>
  </si>
  <si>
    <t>c. 1030-1025 BC</t>
  </si>
  <si>
    <t>Unknown</t>
  </si>
  <si>
    <t>c. 1025-1024 BC</t>
  </si>
  <si>
    <t>c. 1024 BC</t>
  </si>
  <si>
    <t>c. 1023-1020 BC</t>
  </si>
  <si>
    <t>c. 1022-1020 BC</t>
  </si>
  <si>
    <t>c. 1018-1016 BC</t>
  </si>
  <si>
    <t>c. 1018-1015 BC</t>
  </si>
  <si>
    <t>c. 1016-1015 BC</t>
  </si>
  <si>
    <t>c. 1015-1014 BC</t>
  </si>
  <si>
    <t>c. 1014 BC</t>
  </si>
  <si>
    <t>c. 1013-1012 BC</t>
  </si>
  <si>
    <t>c. 1011 BC</t>
  </si>
  <si>
    <t>Mizpeh/Ebenezer</t>
  </si>
  <si>
    <t>Prayer/Mercy</t>
  </si>
  <si>
    <t>TBD</t>
  </si>
  <si>
    <t>have claude reassign locs and give a confidental percentage on accuracy, and a col indicating whether there's physical/scientific evidence to support this location</t>
  </si>
  <si>
    <t>Elisha</t>
  </si>
  <si>
    <t>bears</t>
  </si>
  <si>
    <t>Elisha's instruction</t>
  </si>
  <si>
    <t>warning</t>
  </si>
  <si>
    <t>young prophet</t>
  </si>
  <si>
    <t>prophet</t>
  </si>
  <si>
    <t>Hazael</t>
  </si>
  <si>
    <t>Elisha's bones</t>
  </si>
  <si>
    <t>Joash</t>
  </si>
  <si>
    <t>Jeroboam II</t>
  </si>
  <si>
    <t>author</t>
  </si>
  <si>
    <t>prophets</t>
  </si>
  <si>
    <t>lions</t>
  </si>
  <si>
    <t>Hezekiah</t>
  </si>
  <si>
    <t>Huldah</t>
  </si>
  <si>
    <t>people</t>
  </si>
  <si>
    <t>conscience</t>
  </si>
  <si>
    <t>Gad</t>
  </si>
  <si>
    <t>musicians</t>
  </si>
  <si>
    <t>Shishak</t>
  </si>
  <si>
    <t>Azariah</t>
  </si>
  <si>
    <t>Hanani</t>
  </si>
  <si>
    <t>Jahaziel</t>
  </si>
  <si>
    <t>Jehu</t>
  </si>
  <si>
    <t>Eliezer</t>
  </si>
  <si>
    <t>Oded</t>
  </si>
  <si>
    <t>Pharaoh Necho</t>
  </si>
  <si>
    <t>Cyrus</t>
  </si>
  <si>
    <t>unity</t>
  </si>
  <si>
    <t>circumstances</t>
  </si>
  <si>
    <t>leaders</t>
  </si>
  <si>
    <t>Cyrus/Darius/Artaxerxes</t>
  </si>
  <si>
    <t>officials</t>
  </si>
  <si>
    <t>process</t>
  </si>
  <si>
    <t>obedience</t>
  </si>
  <si>
    <t>study</t>
  </si>
  <si>
    <t>Mordecai</t>
  </si>
  <si>
    <t>royal authority</t>
  </si>
  <si>
    <t>wind</t>
  </si>
  <si>
    <t>Elihu</t>
  </si>
  <si>
    <t>king</t>
  </si>
  <si>
    <t>Ebed-melech</t>
  </si>
  <si>
    <t>Babylonians</t>
  </si>
  <si>
    <t>angels</t>
  </si>
  <si>
    <t>Jacob</t>
  </si>
  <si>
    <t>Moses/Aaron</t>
  </si>
  <si>
    <t>Aaron</t>
  </si>
  <si>
    <t>Balaam</t>
  </si>
  <si>
    <t>Moses/Levites</t>
  </si>
  <si>
    <t>Moses/Joshua</t>
  </si>
  <si>
    <t>Othniel</t>
  </si>
  <si>
    <t>Ehud</t>
  </si>
  <si>
    <t>Shamgar</t>
  </si>
  <si>
    <t>Deborah</t>
  </si>
  <si>
    <t>Jael</t>
  </si>
  <si>
    <t>Samson</t>
  </si>
  <si>
    <t>Samuel</t>
  </si>
  <si>
    <t>Saul</t>
  </si>
  <si>
    <t>Joab/David</t>
  </si>
  <si>
    <t>David/Hushai</t>
  </si>
  <si>
    <t>supporters</t>
  </si>
  <si>
    <t>David's army</t>
  </si>
  <si>
    <t>wise woman</t>
  </si>
  <si>
    <t>David's men</t>
  </si>
  <si>
    <t>Abishai</t>
  </si>
  <si>
    <t>David's warriors</t>
  </si>
  <si>
    <t>man of GOD</t>
  </si>
  <si>
    <t>old prophet</t>
  </si>
  <si>
    <t>lion</t>
  </si>
  <si>
    <t>ravens</t>
  </si>
  <si>
    <t>Elijah/Obadiah</t>
  </si>
  <si>
    <t>angel</t>
  </si>
  <si>
    <t>Micaiah</t>
  </si>
  <si>
    <t>prophetic insight</t>
  </si>
  <si>
    <t>David responding</t>
  </si>
  <si>
    <t>David submitting</t>
  </si>
  <si>
    <t>People responding</t>
  </si>
  <si>
    <t>Judah/Benjamin responding</t>
  </si>
  <si>
    <t>Ahab responding</t>
  </si>
  <si>
    <t>Judah responding</t>
  </si>
  <si>
    <t>Leaders responding</t>
  </si>
  <si>
    <t>Asa responding</t>
  </si>
  <si>
    <t>Hezekiah responding</t>
  </si>
  <si>
    <t>Jews responding</t>
  </si>
  <si>
    <t>Moses/Tribal leaders</t>
  </si>
  <si>
    <t>Ephod</t>
  </si>
  <si>
    <t>Consolidate Messenger</t>
  </si>
  <si>
    <t>God delivers Saul to David; Saul's life spared</t>
  </si>
  <si>
    <t>Hill of Hachilah, Wilderness of Ziph</t>
  </si>
  <si>
    <t>Men of Judah</t>
  </si>
  <si>
    <t>Philistines</t>
  </si>
  <si>
    <t>Women</t>
  </si>
  <si>
    <t>Boaz</t>
  </si>
  <si>
    <t>Naomi</t>
  </si>
  <si>
    <t>Manoah's wife</t>
  </si>
  <si>
    <t>Enemies</t>
  </si>
  <si>
    <t>Midianite</t>
  </si>
  <si>
    <t>Gideon</t>
  </si>
  <si>
    <t>Amalekites/Canaanites</t>
  </si>
  <si>
    <t>Angels of the LORD</t>
  </si>
  <si>
    <t>c. 3382 BC</t>
  </si>
  <si>
    <t>Creation of Adam</t>
  </si>
  <si>
    <t>Age of Chaos begins</t>
  </si>
  <si>
    <t>Fall of Man</t>
  </si>
  <si>
    <t>Age of Chaos</t>
  </si>
  <si>
    <t>Birth of Seth</t>
  </si>
  <si>
    <t>130 AM</t>
  </si>
  <si>
    <t>Birth of Enosh</t>
  </si>
  <si>
    <t>235 AM</t>
  </si>
  <si>
    <t>Birth of Kenan</t>
  </si>
  <si>
    <t>325 AM</t>
  </si>
  <si>
    <t>Birth of Mahalalel</t>
  </si>
  <si>
    <t>395 AM</t>
  </si>
  <si>
    <t>Birth of Jared</t>
  </si>
  <si>
    <t>460 AM</t>
  </si>
  <si>
    <t>Birth of Enoch</t>
  </si>
  <si>
    <t>622 AM</t>
  </si>
  <si>
    <t>Birth of Methuselah</t>
  </si>
  <si>
    <t>687 AM</t>
  </si>
  <si>
    <t>Birth of Lamech</t>
  </si>
  <si>
    <t>874 AM</t>
  </si>
  <si>
    <t>Birth of Noah</t>
  </si>
  <si>
    <t>1056 AM</t>
  </si>
  <si>
    <t>1656 AM</t>
  </si>
  <si>
    <t>Age of Chaos ends</t>
  </si>
  <si>
    <t>Post-Flood Reset</t>
  </si>
  <si>
    <t>Age of Law preparation</t>
  </si>
  <si>
    <t>Tower of Babel falls</t>
  </si>
  <si>
    <t>1993 AM</t>
  </si>
  <si>
    <t>Age of Law</t>
  </si>
  <si>
    <t>Birth of Abraham</t>
  </si>
  <si>
    <t>1948 AM</t>
  </si>
  <si>
    <t>God's Promise to Abraham</t>
  </si>
  <si>
    <t>2018 AM</t>
  </si>
  <si>
    <t>Birth of Isaac</t>
  </si>
  <si>
    <t>2048 AM</t>
  </si>
  <si>
    <t>Birth of Jacob</t>
  </si>
  <si>
    <t>2108 AM</t>
  </si>
  <si>
    <t>Israel goes to Egypt</t>
  </si>
  <si>
    <t>2238 AM</t>
  </si>
  <si>
    <t>The Exodus from Egypt</t>
  </si>
  <si>
    <t>2448 AM</t>
  </si>
  <si>
    <t>Ten Commandments given</t>
  </si>
  <si>
    <t>Israel enters Canaan</t>
  </si>
  <si>
    <t>2488 AM</t>
  </si>
  <si>
    <t>Rule of Judges begins</t>
  </si>
  <si>
    <t>2505 AM</t>
  </si>
  <si>
    <t>King David's reign begins</t>
  </si>
  <si>
    <t>Solomon's Temple dedication</t>
  </si>
  <si>
    <t>2935 AM</t>
  </si>
  <si>
    <t>Temple destroyed (Babylon)</t>
  </si>
  <si>
    <t>3338 AM</t>
  </si>
  <si>
    <t>Temple rebuilt</t>
  </si>
  <si>
    <t>3388 AM</t>
  </si>
  <si>
    <t>Birth of Jesus Christ</t>
  </si>
  <si>
    <t>4000 AM</t>
  </si>
  <si>
    <t>Age of Grace begins</t>
  </si>
  <si>
    <t>Crucifixion of Jesus</t>
  </si>
  <si>
    <t>4032 AM</t>
  </si>
  <si>
    <t>Age of Grace</t>
  </si>
  <si>
    <t>Resurrection of Jesus</t>
  </si>
  <si>
    <t>Destruction of Second Temple</t>
  </si>
  <si>
    <t>4070 AM</t>
  </si>
  <si>
    <t>End of "Times of the Gentiles"</t>
  </si>
  <si>
    <t>5948 AM</t>
  </si>
  <si>
    <t>Israel becomes a nation</t>
  </si>
  <si>
    <t>5948 AM (May 14, 1948)</t>
  </si>
  <si>
    <t>Jerusalem recaptured</t>
  </si>
  <si>
    <t>5967 AM (June 7, 1967)</t>
  </si>
  <si>
    <t>Present Day</t>
  </si>
  <si>
    <t>6025 AM (2025 AD)</t>
  </si>
  <si>
    <t>End of Age of Grace (projected)</t>
  </si>
  <si>
    <t>6000 AM</t>
  </si>
  <si>
    <t>Age of Grace ends</t>
  </si>
  <si>
    <t>Second Coming of Christ</t>
  </si>
  <si>
    <t>Millennial Kingdom begins</t>
  </si>
  <si>
    <t>Millennial Kingdom</t>
  </si>
  <si>
    <t>6000-7000 AM</t>
  </si>
  <si>
    <t>1000-year reign</t>
  </si>
  <si>
    <t>End of All Ages</t>
  </si>
  <si>
    <t>7000 AM</t>
  </si>
  <si>
    <t>Eternity begins</t>
  </si>
  <si>
    <t>Notes on Ken Johnson's Essene Calendar System:</t>
  </si>
  <si>
    <t>The Four Ages (7,000-year plan):</t>
  </si>
  <si>
    <r>
      <t>1. Age of Chaos</t>
    </r>
    <r>
      <rPr>
        <sz val="11"/>
        <color theme="1"/>
        <rFont val="Calibri"/>
        <family val="2"/>
        <scheme val="minor"/>
      </rPr>
      <t xml:space="preserve"> (1-2000 AM): From Creation to Abraham, marked by the Flood</t>
    </r>
  </si>
  <si>
    <r>
      <t>2. Age of Law</t>
    </r>
    <r>
      <rPr>
        <sz val="11"/>
        <color theme="1"/>
        <rFont val="Calibri"/>
        <family val="2"/>
        <scheme val="minor"/>
      </rPr>
      <t xml:space="preserve"> (2000-4000 AM): From Abraham to Christ, marked by giving of Torah</t>
    </r>
  </si>
  <si>
    <r>
      <t>3. Age of Grace</t>
    </r>
    <r>
      <rPr>
        <sz val="11"/>
        <color theme="1"/>
        <rFont val="Calibri"/>
        <family val="2"/>
        <scheme val="minor"/>
      </rPr>
      <t xml:space="preserve"> (4000-6000 AM): From Christ's birth to His return, Church Age</t>
    </r>
  </si>
  <si>
    <r>
      <t>4. Millennial Kingdom</t>
    </r>
    <r>
      <rPr>
        <sz val="11"/>
        <color theme="1"/>
        <rFont val="Calibri"/>
        <family val="2"/>
        <scheme val="minor"/>
      </rPr>
      <t xml:space="preserve"> (6000-7000 AM): Christ's 1000-year reign on Earth</t>
    </r>
  </si>
  <si>
    <t>Key Features:</t>
  </si>
  <si>
    <t>Uses Anno Mundi (AM) dating from Creation</t>
  </si>
  <si>
    <t>364-day solar calendar with leap weeks every 5-6 years</t>
  </si>
  <si>
    <t>Calendar starts each year on Wednesday</t>
  </si>
  <si>
    <t>All festivals fall on same day of week annually</t>
  </si>
  <si>
    <t>Predicted Israel's rebirth (1948) and Jerusalem's recapture (1967)</t>
  </si>
  <si>
    <t>Prophetic Alignments:</t>
  </si>
  <si>
    <t>Flood at 1656 AM (end of first age)</t>
  </si>
  <si>
    <t>Exodus at 2448 AM (middle of second age)</t>
  </si>
  <si>
    <t>Christ's birth at 4000 AM (beginning of third age)</t>
  </si>
  <si>
    <t>Israel's restoration at 5948 AM (near end of third age)</t>
  </si>
  <si>
    <t>Second Coming projected near 6000 AM (beginning of fourth age)</t>
  </si>
  <si>
    <t>1 AM</t>
  </si>
  <si>
    <t>2920 AM</t>
  </si>
  <si>
    <t>Prophet</t>
  </si>
  <si>
    <t>Donkey</t>
  </si>
  <si>
    <t>Bronze Serpent</t>
  </si>
  <si>
    <t>EventID</t>
  </si>
  <si>
    <t>Intercession/Prayer/Speech</t>
  </si>
  <si>
    <t>Category 1</t>
  </si>
  <si>
    <t>Category 2</t>
  </si>
  <si>
    <t>Category 3</t>
  </si>
  <si>
    <t>Category 4</t>
  </si>
  <si>
    <t>Category 5</t>
  </si>
  <si>
    <t>Category 6</t>
  </si>
  <si>
    <t>Category 7</t>
  </si>
  <si>
    <t>Category 8</t>
  </si>
  <si>
    <t>Category 9</t>
  </si>
  <si>
    <t>Category 10</t>
  </si>
  <si>
    <t>Curse</t>
  </si>
  <si>
    <t>Dream</t>
  </si>
  <si>
    <t>Test</t>
  </si>
  <si>
    <t>Hail</t>
  </si>
  <si>
    <t>Water</t>
  </si>
  <si>
    <t>Food</t>
  </si>
  <si>
    <t>Answer</t>
  </si>
  <si>
    <t>Cosmic</t>
  </si>
  <si>
    <t>Thunder</t>
  </si>
  <si>
    <t>Consolidated Word</t>
  </si>
  <si>
    <t>Apparition, Appearance</t>
  </si>
  <si>
    <t>Blessing, Blessings</t>
  </si>
  <si>
    <t>Choice, Selection</t>
  </si>
  <si>
    <t>Cosmic, Cosmic Intervention</t>
  </si>
  <si>
    <t>Curse, Curses, Prophetic Curse</t>
  </si>
  <si>
    <t>Dream, Dreams</t>
  </si>
  <si>
    <t>Fertility (duplicate removed)</t>
  </si>
  <si>
    <t>Food, Food and Water (Food portion)</t>
  </si>
  <si>
    <t>Fulfilled Prophecy, Fulfillment, Fulfilment</t>
  </si>
  <si>
    <t>Hail, Hailstones</t>
  </si>
  <si>
    <t>Intervention, Miraculous Intervention</t>
  </si>
  <si>
    <t>Judge, Judgment</t>
  </si>
  <si>
    <t>Answered Prayer, Prayer</t>
  </si>
  <si>
    <t>Sign, Signal, Signs</t>
  </si>
  <si>
    <t>Test, Testing</t>
  </si>
  <si>
    <t>Thunder, Thundering</t>
  </si>
  <si>
    <t>War</t>
  </si>
  <si>
    <t>Water, Food and Water (Water portion)</t>
  </si>
  <si>
    <t>Original Words</t>
  </si>
  <si>
    <t>for category consolidation:</t>
  </si>
  <si>
    <t xml:space="preserve">Given table, </t>
  </si>
  <si>
    <t>Dream/Revelation</t>
  </si>
  <si>
    <t>Fulfillment/Providence</t>
  </si>
  <si>
    <t>Comfort/Dream/Speech</t>
  </si>
  <si>
    <t>Confirmation/Sign</t>
  </si>
  <si>
    <t>Prayer/Intercession</t>
  </si>
  <si>
    <t>Victory/War</t>
  </si>
  <si>
    <t>Command/Speech/War</t>
  </si>
  <si>
    <t>Promise/War</t>
  </si>
  <si>
    <t>Law/War</t>
  </si>
  <si>
    <t>Covenant/Curse</t>
  </si>
  <si>
    <t>Blessing/Covenant</t>
  </si>
  <si>
    <t>Curse/Speech</t>
  </si>
  <si>
    <t>Command/Sign</t>
  </si>
  <si>
    <t>Intervention/War</t>
  </si>
  <si>
    <t>Hail/War</t>
  </si>
  <si>
    <t>Judgment/Discipline/Test</t>
  </si>
  <si>
    <t>Judgment/Victory/War</t>
  </si>
  <si>
    <t>Appointment/Judgment</t>
  </si>
  <si>
    <t>Confusion/War</t>
  </si>
  <si>
    <t>Cosmic/War</t>
  </si>
  <si>
    <t>Water/Victory/War</t>
  </si>
  <si>
    <t>Sign/Prayer/Water</t>
  </si>
  <si>
    <t>Pursuit/Victory/Fulfillment</t>
  </si>
  <si>
    <t>Deliverance/Victory/War</t>
  </si>
  <si>
    <t>Judgment/Test</t>
  </si>
  <si>
    <t>Prayer/Hearing</t>
  </si>
  <si>
    <t>Thunder/War</t>
  </si>
  <si>
    <t>Revelation/Choice</t>
  </si>
  <si>
    <t>Choice/Choice/Anointing</t>
  </si>
  <si>
    <t>Appearance/Prophecy/Judgment</t>
  </si>
  <si>
    <t>Recovery/Victory/Fulfillment</t>
  </si>
  <si>
    <t>Event Reference</t>
  </si>
  <si>
    <t>Event Category</t>
  </si>
  <si>
    <t>Event ID</t>
  </si>
  <si>
    <t>Event Description</t>
  </si>
  <si>
    <t>Event Location</t>
  </si>
  <si>
    <t>Event Date Range</t>
  </si>
  <si>
    <t>Event Messenger</t>
  </si>
  <si>
    <t>Event Notes</t>
  </si>
  <si>
    <t>Event Start Date</t>
  </si>
  <si>
    <t>Event End Date</t>
  </si>
  <si>
    <t>Event Date Range Full</t>
  </si>
  <si>
    <t>Event Era</t>
  </si>
  <si>
    <t>Essene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</si>
</sst>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00B050"/>
      <name val="Calibri"/>
      <family val="2"/>
      <scheme val="minor"/>
    </font>
    <font>
      <sz val="11"/>
      <color rgb="FFFF0000"/>
      <name val="Calibri"/>
      <family val="2"/>
      <scheme val="minor"/>
    </font>
    <font>
      <b/>
      <sz val="11"/>
      <color rgb="FFFF0000"/>
      <name val="Calibri"/>
      <family val="2"/>
      <scheme val="minor"/>
    </font>
    <font>
      <b/>
      <sz val="18"/>
      <color theme="1"/>
      <name val="Calibri"/>
      <family val="2"/>
      <scheme val="minor"/>
    </font>
    <font>
      <b/>
      <sz val="13.5"/>
      <color theme="1"/>
      <name val="Calibri"/>
      <family val="2"/>
      <scheme val="minor"/>
    </font>
    <font>
      <sz val="11"/>
      <color theme="9"/>
      <name val="Calibri"/>
      <family val="2"/>
      <scheme val="minor"/>
    </font>
    <font>
      <sz val="11"/>
      <name val="Calibri"/>
      <family val="2"/>
      <scheme val="minor"/>
    </font>
    <font>
      <sz val="11"/>
      <color theme="5" tint="-0.249977111117893"/>
      <name val="Calibri"/>
      <family val="2"/>
      <scheme val="minor"/>
    </font>
    <font>
      <i/>
      <sz val="11"/>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2" tint="-0.249977111117893"/>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xf>
    <xf numFmtId="0" fontId="0" fillId="0" borderId="0" xfId="0" applyAlignment="1">
      <alignment wrapText="1"/>
    </xf>
    <xf numFmtId="0" fontId="0" fillId="0" borderId="0" xfId="0" applyAlignment="1">
      <alignment vertical="center"/>
    </xf>
    <xf numFmtId="0" fontId="0" fillId="0" borderId="0" xfId="0" applyAlignment="1">
      <alignment horizontal="left" vertical="center" wrapText="1"/>
    </xf>
    <xf numFmtId="0" fontId="1" fillId="0" borderId="0" xfId="0" applyFont="1" applyAlignment="1">
      <alignment horizontal="left" vertical="center" wrapText="1"/>
    </xf>
    <xf numFmtId="0" fontId="1" fillId="0" borderId="0" xfId="0" applyFont="1" applyAlignment="1">
      <alignment wrapText="1"/>
    </xf>
    <xf numFmtId="0" fontId="1" fillId="2" borderId="0" xfId="0" applyFont="1" applyFill="1" applyAlignment="1">
      <alignment horizontal="left" vertical="center" wrapText="1"/>
    </xf>
    <xf numFmtId="0" fontId="1" fillId="2" borderId="0" xfId="0" applyFont="1" applyFill="1" applyAlignment="1">
      <alignment wrapText="1"/>
    </xf>
    <xf numFmtId="0" fontId="2" fillId="0" borderId="0" xfId="0" applyFont="1" applyAlignment="1">
      <alignment vertical="top"/>
    </xf>
    <xf numFmtId="0" fontId="2" fillId="0" borderId="0" xfId="0" applyFont="1"/>
    <xf numFmtId="0" fontId="0" fillId="0" borderId="0" xfId="0" applyAlignment="1">
      <alignment vertical="top" wrapText="1"/>
    </xf>
    <xf numFmtId="0" fontId="3" fillId="0" borderId="0" xfId="0" applyFont="1"/>
    <xf numFmtId="0" fontId="3" fillId="0" borderId="0" xfId="0" applyFont="1" applyAlignment="1">
      <alignment horizontal="left" vertical="center" indent="1"/>
    </xf>
    <xf numFmtId="0" fontId="4" fillId="0" borderId="0" xfId="0" applyFont="1" applyAlignment="1">
      <alignment horizontal="left" vertical="center" indent="1"/>
    </xf>
    <xf numFmtId="0" fontId="3" fillId="0" borderId="0" xfId="0" applyFont="1" applyAlignment="1">
      <alignment wrapText="1"/>
    </xf>
    <xf numFmtId="0" fontId="5" fillId="0" borderId="0" xfId="0" applyFont="1" applyAlignment="1">
      <alignment vertical="center"/>
    </xf>
    <xf numFmtId="0" fontId="1" fillId="0" borderId="0" xfId="0" applyFont="1" applyAlignment="1">
      <alignment horizontal="left" vertical="center"/>
    </xf>
    <xf numFmtId="0" fontId="6" fillId="0" borderId="0" xfId="0" applyFont="1" applyAlignment="1">
      <alignment vertical="center"/>
    </xf>
    <xf numFmtId="0" fontId="7" fillId="0" borderId="0" xfId="0" applyFont="1"/>
    <xf numFmtId="0" fontId="8" fillId="0" borderId="0" xfId="0" applyFont="1"/>
    <xf numFmtId="0" fontId="9" fillId="0" borderId="0" xfId="0" applyFont="1"/>
    <xf numFmtId="9" fontId="0" fillId="0" borderId="0" xfId="0" applyNumberFormat="1"/>
    <xf numFmtId="0" fontId="0" fillId="0" borderId="0" xfId="0" applyAlignment="1">
      <alignment vertical="center" wrapText="1"/>
    </xf>
    <xf numFmtId="0" fontId="0" fillId="4" borderId="0" xfId="0" applyFill="1"/>
    <xf numFmtId="0" fontId="0" fillId="4" borderId="0" xfId="0" applyFill="1" applyAlignment="1">
      <alignment vertical="center" wrapText="1"/>
    </xf>
    <xf numFmtId="0" fontId="8" fillId="4" borderId="0" xfId="0" applyFont="1" applyFill="1"/>
    <xf numFmtId="0" fontId="3" fillId="4" borderId="0" xfId="0" applyFont="1" applyFill="1"/>
    <xf numFmtId="0" fontId="0" fillId="0" borderId="0" xfId="0" quotePrefix="1" applyAlignment="1">
      <alignment vertical="center"/>
    </xf>
    <xf numFmtId="0" fontId="10" fillId="3" borderId="0" xfId="0" applyFont="1" applyFill="1"/>
  </cellXfs>
  <cellStyles count="1">
    <cellStyle name="Normal" xfId="0" builtinId="0"/>
  </cellStyles>
  <dxfs count="3">
    <dxf>
      <font>
        <b/>
        <i val="0"/>
      </font>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6C6B5-E12E-4199-B87C-6B85B88467A7}">
  <sheetPr codeName="Sheet12"/>
  <dimension ref="A1:M2913"/>
  <sheetViews>
    <sheetView topLeftCell="D1" zoomScale="85" zoomScaleNormal="85" workbookViewId="0">
      <selection activeCell="N1" sqref="N1:O1048576"/>
    </sheetView>
  </sheetViews>
  <sheetFormatPr defaultColWidth="13.36328125" defaultRowHeight="14.5" x14ac:dyDescent="0.35"/>
  <cols>
    <col min="2" max="2" width="50.54296875" customWidth="1"/>
    <col min="3" max="3" width="32.6328125" customWidth="1"/>
    <col min="4" max="4" width="28.36328125" customWidth="1"/>
    <col min="5" max="5" width="22.453125" customWidth="1"/>
    <col min="6" max="6" width="18" customWidth="1"/>
    <col min="7" max="7" width="21.453125" customWidth="1"/>
    <col min="8" max="8" width="28.453125" customWidth="1"/>
    <col min="9" max="9" width="32.08984375" bestFit="1" customWidth="1"/>
    <col min="10" max="10" width="3.6328125" bestFit="1" customWidth="1"/>
    <col min="11" max="12" width="8.90625" customWidth="1"/>
  </cols>
  <sheetData>
    <row r="1" spans="1:13" s="1" customFormat="1" x14ac:dyDescent="0.35">
      <c r="A1" s="1" t="s">
        <v>12738</v>
      </c>
      <c r="B1" s="1" t="s">
        <v>12739</v>
      </c>
      <c r="C1" s="1" t="s">
        <v>12737</v>
      </c>
      <c r="D1" s="1" t="s">
        <v>12736</v>
      </c>
      <c r="E1" s="1" t="s">
        <v>12740</v>
      </c>
      <c r="F1" s="1" t="s">
        <v>12746</v>
      </c>
      <c r="G1" s="1" t="s">
        <v>12742</v>
      </c>
      <c r="H1" s="1" t="s">
        <v>12743</v>
      </c>
      <c r="I1" s="1" t="s">
        <v>12741</v>
      </c>
      <c r="J1" s="1" t="s">
        <v>12747</v>
      </c>
      <c r="K1" s="1" t="s">
        <v>12744</v>
      </c>
      <c r="L1" s="1" t="s">
        <v>12745</v>
      </c>
      <c r="M1" s="1" t="s">
        <v>12748</v>
      </c>
    </row>
    <row r="2" spans="1:13" x14ac:dyDescent="0.35">
      <c r="A2">
        <v>1</v>
      </c>
      <c r="B2" t="s">
        <v>110</v>
      </c>
      <c r="C2" t="s">
        <v>3653</v>
      </c>
      <c r="D2" t="s">
        <v>10774</v>
      </c>
      <c r="E2" t="s">
        <v>11895</v>
      </c>
      <c r="F2" t="s">
        <v>10782</v>
      </c>
      <c r="G2" t="s">
        <v>112</v>
      </c>
      <c r="I2" t="str">
        <f t="shared" ref="I2:I65" si="0">SUBSTITUTE(SUBSTITUTE(SUBSTITUTE(F2,"c. ","")," BC","")," AD","")</f>
        <v>4004</v>
      </c>
      <c r="J2" t="str">
        <f t="shared" ref="J2:J65" si="1">RIGHT(F2, 2)</f>
        <v>BC</v>
      </c>
      <c r="K2">
        <f t="shared" ref="K2:K65" si="2">IF(J2="BC", 0-IF(ISERROR(FIND("-",I2)),I2,LEFT(I2,FIND("-",I2)-1)), IF(ISERROR(FIND("-",I2)),I2,LEFT(I2,FIND("-",I2)-1)))</f>
        <v>-4004</v>
      </c>
      <c r="L2">
        <f t="shared" ref="L2:L65" si="3">IF(J2="BC", 0-IF(ISERROR(FIND("-",I2)),I2,RIGHT(I2,FIND("-",I2)-1)), IF(ISERROR(FIND("-",I2)),I2,RIGHT(I2,FIND("-",I2)-1)))</f>
        <v>-4004</v>
      </c>
      <c r="M2">
        <v>-3925</v>
      </c>
    </row>
    <row r="3" spans="1:13" x14ac:dyDescent="0.35">
      <c r="A3">
        <v>2</v>
      </c>
      <c r="B3" t="s">
        <v>113</v>
      </c>
      <c r="C3" t="s">
        <v>11105</v>
      </c>
      <c r="D3" t="s">
        <v>114</v>
      </c>
      <c r="E3" t="s">
        <v>11895</v>
      </c>
      <c r="F3" t="s">
        <v>10782</v>
      </c>
      <c r="G3" t="s">
        <v>112</v>
      </c>
      <c r="I3" t="str">
        <f t="shared" si="0"/>
        <v>4004</v>
      </c>
      <c r="J3" t="str">
        <f t="shared" si="1"/>
        <v>BC</v>
      </c>
      <c r="K3">
        <f t="shared" si="2"/>
        <v>-4004</v>
      </c>
      <c r="L3">
        <f t="shared" si="3"/>
        <v>-4004</v>
      </c>
    </row>
    <row r="4" spans="1:13" x14ac:dyDescent="0.35">
      <c r="A4">
        <v>3</v>
      </c>
      <c r="B4" t="s">
        <v>116</v>
      </c>
      <c r="C4" t="s">
        <v>11105</v>
      </c>
      <c r="D4" t="s">
        <v>117</v>
      </c>
      <c r="E4" t="s">
        <v>11895</v>
      </c>
      <c r="F4" t="s">
        <v>10782</v>
      </c>
      <c r="G4" t="s">
        <v>112</v>
      </c>
      <c r="I4" t="str">
        <f t="shared" si="0"/>
        <v>4004</v>
      </c>
      <c r="J4" t="str">
        <f t="shared" si="1"/>
        <v>BC</v>
      </c>
      <c r="K4">
        <f t="shared" si="2"/>
        <v>-4004</v>
      </c>
      <c r="L4">
        <f t="shared" si="3"/>
        <v>-4004</v>
      </c>
    </row>
    <row r="5" spans="1:13" x14ac:dyDescent="0.35">
      <c r="A5">
        <v>4</v>
      </c>
      <c r="B5" t="s">
        <v>118</v>
      </c>
      <c r="C5" t="s">
        <v>11105</v>
      </c>
      <c r="D5" t="s">
        <v>119</v>
      </c>
      <c r="E5" t="s">
        <v>115</v>
      </c>
      <c r="F5" t="s">
        <v>10782</v>
      </c>
      <c r="G5" t="s">
        <v>112</v>
      </c>
      <c r="I5" t="str">
        <f t="shared" si="0"/>
        <v>4004</v>
      </c>
      <c r="J5" t="str">
        <f t="shared" si="1"/>
        <v>BC</v>
      </c>
      <c r="K5">
        <f t="shared" si="2"/>
        <v>-4004</v>
      </c>
      <c r="L5">
        <f t="shared" si="3"/>
        <v>-4004</v>
      </c>
    </row>
    <row r="6" spans="1:13" x14ac:dyDescent="0.35">
      <c r="A6">
        <v>5</v>
      </c>
      <c r="B6" t="s">
        <v>120</v>
      </c>
      <c r="C6" t="s">
        <v>11105</v>
      </c>
      <c r="D6" t="s">
        <v>121</v>
      </c>
      <c r="E6" t="s">
        <v>115</v>
      </c>
      <c r="F6" t="s">
        <v>10782</v>
      </c>
      <c r="G6" t="s">
        <v>112</v>
      </c>
      <c r="I6" t="str">
        <f t="shared" si="0"/>
        <v>4004</v>
      </c>
      <c r="J6" t="str">
        <f t="shared" si="1"/>
        <v>BC</v>
      </c>
      <c r="K6">
        <f t="shared" si="2"/>
        <v>-4004</v>
      </c>
      <c r="L6">
        <f t="shared" si="3"/>
        <v>-4004</v>
      </c>
    </row>
    <row r="7" spans="1:13" x14ac:dyDescent="0.35">
      <c r="A7">
        <v>6</v>
      </c>
      <c r="B7" t="s">
        <v>122</v>
      </c>
      <c r="C7" t="s">
        <v>11105</v>
      </c>
      <c r="D7" t="s">
        <v>123</v>
      </c>
      <c r="E7" t="s">
        <v>115</v>
      </c>
      <c r="F7" t="s">
        <v>10782</v>
      </c>
      <c r="G7" t="s">
        <v>112</v>
      </c>
      <c r="I7" t="str">
        <f t="shared" si="0"/>
        <v>4004</v>
      </c>
      <c r="J7" t="str">
        <f t="shared" si="1"/>
        <v>BC</v>
      </c>
      <c r="K7">
        <f t="shared" si="2"/>
        <v>-4004</v>
      </c>
      <c r="L7">
        <f t="shared" si="3"/>
        <v>-4004</v>
      </c>
    </row>
    <row r="8" spans="1:13" x14ac:dyDescent="0.35">
      <c r="A8">
        <v>7</v>
      </c>
      <c r="B8" t="s">
        <v>125</v>
      </c>
      <c r="C8" t="s">
        <v>11105</v>
      </c>
      <c r="D8" t="s">
        <v>10775</v>
      </c>
      <c r="E8" t="s">
        <v>115</v>
      </c>
      <c r="F8" t="s">
        <v>10782</v>
      </c>
      <c r="G8" t="s">
        <v>112</v>
      </c>
      <c r="I8" t="str">
        <f t="shared" si="0"/>
        <v>4004</v>
      </c>
      <c r="J8" t="str">
        <f t="shared" si="1"/>
        <v>BC</v>
      </c>
      <c r="K8">
        <f t="shared" si="2"/>
        <v>-4004</v>
      </c>
      <c r="L8">
        <f t="shared" si="3"/>
        <v>-4004</v>
      </c>
    </row>
    <row r="9" spans="1:13" x14ac:dyDescent="0.35">
      <c r="A9">
        <v>8</v>
      </c>
      <c r="B9" t="s">
        <v>126</v>
      </c>
      <c r="C9" t="s">
        <v>11105</v>
      </c>
      <c r="D9" t="s">
        <v>10776</v>
      </c>
      <c r="E9" t="s">
        <v>115</v>
      </c>
      <c r="F9" t="s">
        <v>10782</v>
      </c>
      <c r="G9" t="s">
        <v>112</v>
      </c>
      <c r="I9" t="str">
        <f t="shared" si="0"/>
        <v>4004</v>
      </c>
      <c r="J9" t="str">
        <f t="shared" si="1"/>
        <v>BC</v>
      </c>
      <c r="K9">
        <f t="shared" si="2"/>
        <v>-4004</v>
      </c>
      <c r="L9">
        <f t="shared" si="3"/>
        <v>-4004</v>
      </c>
    </row>
    <row r="10" spans="1:13" x14ac:dyDescent="0.35">
      <c r="A10">
        <v>9</v>
      </c>
      <c r="B10" t="s">
        <v>127</v>
      </c>
      <c r="C10" t="s">
        <v>11105</v>
      </c>
      <c r="D10" t="s">
        <v>128</v>
      </c>
      <c r="E10" t="s">
        <v>115</v>
      </c>
      <c r="F10" t="s">
        <v>10782</v>
      </c>
      <c r="G10" t="s">
        <v>112</v>
      </c>
      <c r="I10" t="str">
        <f t="shared" si="0"/>
        <v>4004</v>
      </c>
      <c r="J10" t="str">
        <f t="shared" si="1"/>
        <v>BC</v>
      </c>
      <c r="K10">
        <f t="shared" si="2"/>
        <v>-4004</v>
      </c>
      <c r="L10">
        <f t="shared" si="3"/>
        <v>-4004</v>
      </c>
    </row>
    <row r="11" spans="1:13" x14ac:dyDescent="0.35">
      <c r="A11">
        <v>10</v>
      </c>
      <c r="B11" t="s">
        <v>129</v>
      </c>
      <c r="C11" t="s">
        <v>11106</v>
      </c>
      <c r="D11" t="s">
        <v>130</v>
      </c>
      <c r="E11" t="s">
        <v>131</v>
      </c>
      <c r="F11" t="s">
        <v>10782</v>
      </c>
      <c r="G11" t="s">
        <v>112</v>
      </c>
      <c r="I11" t="str">
        <f t="shared" si="0"/>
        <v>4004</v>
      </c>
      <c r="J11" t="str">
        <f t="shared" si="1"/>
        <v>BC</v>
      </c>
      <c r="K11">
        <f t="shared" si="2"/>
        <v>-4004</v>
      </c>
      <c r="L11">
        <f t="shared" si="3"/>
        <v>-4004</v>
      </c>
    </row>
    <row r="12" spans="1:13" x14ac:dyDescent="0.35">
      <c r="A12">
        <v>11</v>
      </c>
      <c r="B12" t="s">
        <v>133</v>
      </c>
      <c r="C12" t="s">
        <v>3653</v>
      </c>
      <c r="D12" t="s">
        <v>134</v>
      </c>
      <c r="E12" t="s">
        <v>131</v>
      </c>
      <c r="F12" t="s">
        <v>10782</v>
      </c>
      <c r="G12" t="s">
        <v>112</v>
      </c>
      <c r="I12" t="str">
        <f t="shared" si="0"/>
        <v>4004</v>
      </c>
      <c r="J12" t="str">
        <f t="shared" si="1"/>
        <v>BC</v>
      </c>
      <c r="K12">
        <f t="shared" si="2"/>
        <v>-4004</v>
      </c>
      <c r="L12">
        <f t="shared" si="3"/>
        <v>-4004</v>
      </c>
    </row>
    <row r="13" spans="1:13" x14ac:dyDescent="0.35">
      <c r="A13">
        <v>12</v>
      </c>
      <c r="B13" t="s">
        <v>135</v>
      </c>
      <c r="C13" t="s">
        <v>11107</v>
      </c>
      <c r="D13" t="s">
        <v>136</v>
      </c>
      <c r="E13" t="s">
        <v>131</v>
      </c>
      <c r="F13" t="s">
        <v>10782</v>
      </c>
      <c r="G13" t="s">
        <v>112</v>
      </c>
      <c r="I13" t="str">
        <f t="shared" si="0"/>
        <v>4004</v>
      </c>
      <c r="J13" t="str">
        <f t="shared" si="1"/>
        <v>BC</v>
      </c>
      <c r="K13">
        <f t="shared" si="2"/>
        <v>-4004</v>
      </c>
      <c r="L13">
        <f t="shared" si="3"/>
        <v>-4004</v>
      </c>
    </row>
    <row r="14" spans="1:13" x14ac:dyDescent="0.35">
      <c r="A14">
        <v>13</v>
      </c>
      <c r="B14" t="s">
        <v>137</v>
      </c>
      <c r="C14" t="s">
        <v>3653</v>
      </c>
      <c r="D14" t="s">
        <v>138</v>
      </c>
      <c r="E14" t="s">
        <v>131</v>
      </c>
      <c r="F14" t="s">
        <v>10782</v>
      </c>
      <c r="G14" t="s">
        <v>112</v>
      </c>
      <c r="I14" t="str">
        <f t="shared" si="0"/>
        <v>4004</v>
      </c>
      <c r="J14" t="str">
        <f t="shared" si="1"/>
        <v>BC</v>
      </c>
      <c r="K14">
        <f t="shared" si="2"/>
        <v>-4004</v>
      </c>
      <c r="L14">
        <f t="shared" si="3"/>
        <v>-4004</v>
      </c>
    </row>
    <row r="15" spans="1:13" x14ac:dyDescent="0.35">
      <c r="A15">
        <v>14</v>
      </c>
      <c r="B15" t="s">
        <v>139</v>
      </c>
      <c r="C15" t="s">
        <v>11108</v>
      </c>
      <c r="D15" t="s">
        <v>140</v>
      </c>
      <c r="E15" t="s">
        <v>131</v>
      </c>
      <c r="F15" t="s">
        <v>10782</v>
      </c>
      <c r="G15" t="s">
        <v>112</v>
      </c>
      <c r="I15" t="str">
        <f t="shared" si="0"/>
        <v>4004</v>
      </c>
      <c r="J15" t="str">
        <f t="shared" si="1"/>
        <v>BC</v>
      </c>
      <c r="K15">
        <f t="shared" si="2"/>
        <v>-4004</v>
      </c>
      <c r="L15">
        <f t="shared" si="3"/>
        <v>-4004</v>
      </c>
    </row>
    <row r="16" spans="1:13" x14ac:dyDescent="0.35">
      <c r="A16">
        <v>15</v>
      </c>
      <c r="B16" t="s">
        <v>141</v>
      </c>
      <c r="C16" t="s">
        <v>11108</v>
      </c>
      <c r="D16" t="s">
        <v>142</v>
      </c>
      <c r="E16" t="s">
        <v>131</v>
      </c>
      <c r="F16" t="s">
        <v>10782</v>
      </c>
      <c r="G16" t="s">
        <v>112</v>
      </c>
      <c r="I16" t="str">
        <f t="shared" si="0"/>
        <v>4004</v>
      </c>
      <c r="J16" t="str">
        <f t="shared" si="1"/>
        <v>BC</v>
      </c>
      <c r="K16">
        <f t="shared" si="2"/>
        <v>-4004</v>
      </c>
      <c r="L16">
        <f t="shared" si="3"/>
        <v>-4004</v>
      </c>
    </row>
    <row r="17" spans="1:13" x14ac:dyDescent="0.35">
      <c r="A17">
        <v>16</v>
      </c>
      <c r="B17" t="s">
        <v>143</v>
      </c>
      <c r="C17" t="s">
        <v>11109</v>
      </c>
      <c r="D17" t="s">
        <v>144</v>
      </c>
      <c r="E17" t="s">
        <v>131</v>
      </c>
      <c r="F17" t="s">
        <v>10782</v>
      </c>
      <c r="G17" t="s">
        <v>112</v>
      </c>
      <c r="I17" t="str">
        <f t="shared" si="0"/>
        <v>4004</v>
      </c>
      <c r="J17" t="str">
        <f t="shared" si="1"/>
        <v>BC</v>
      </c>
      <c r="K17">
        <f t="shared" si="2"/>
        <v>-4004</v>
      </c>
      <c r="L17">
        <f t="shared" si="3"/>
        <v>-4004</v>
      </c>
      <c r="M17">
        <v>1</v>
      </c>
    </row>
    <row r="18" spans="1:13" x14ac:dyDescent="0.35">
      <c r="A18">
        <v>17</v>
      </c>
      <c r="B18" t="s">
        <v>145</v>
      </c>
      <c r="C18" t="s">
        <v>11110</v>
      </c>
      <c r="D18" t="s">
        <v>146</v>
      </c>
      <c r="E18" t="s">
        <v>131</v>
      </c>
      <c r="F18" t="s">
        <v>10782</v>
      </c>
      <c r="G18" t="s">
        <v>112</v>
      </c>
      <c r="I18" t="str">
        <f t="shared" si="0"/>
        <v>4004</v>
      </c>
      <c r="J18" t="str">
        <f t="shared" si="1"/>
        <v>BC</v>
      </c>
      <c r="K18">
        <f t="shared" si="2"/>
        <v>-4004</v>
      </c>
      <c r="L18">
        <f t="shared" si="3"/>
        <v>-4004</v>
      </c>
    </row>
    <row r="19" spans="1:13" x14ac:dyDescent="0.35">
      <c r="A19">
        <v>18</v>
      </c>
      <c r="B19" t="s">
        <v>147</v>
      </c>
      <c r="C19" t="s">
        <v>11110</v>
      </c>
      <c r="D19" t="s">
        <v>148</v>
      </c>
      <c r="E19" t="s">
        <v>131</v>
      </c>
      <c r="F19" t="s">
        <v>10782</v>
      </c>
      <c r="G19" t="s">
        <v>112</v>
      </c>
      <c r="I19" t="str">
        <f t="shared" si="0"/>
        <v>4004</v>
      </c>
      <c r="J19" t="str">
        <f t="shared" si="1"/>
        <v>BC</v>
      </c>
      <c r="K19">
        <f t="shared" si="2"/>
        <v>-4004</v>
      </c>
      <c r="L19">
        <f t="shared" si="3"/>
        <v>-4004</v>
      </c>
    </row>
    <row r="20" spans="1:13" x14ac:dyDescent="0.35">
      <c r="A20">
        <v>19</v>
      </c>
      <c r="B20" t="s">
        <v>149</v>
      </c>
      <c r="C20" t="s">
        <v>10038</v>
      </c>
      <c r="D20" t="s">
        <v>150</v>
      </c>
      <c r="E20" t="s">
        <v>131</v>
      </c>
      <c r="F20" t="s">
        <v>10782</v>
      </c>
      <c r="G20" t="s">
        <v>112</v>
      </c>
      <c r="I20" t="str">
        <f t="shared" si="0"/>
        <v>4004</v>
      </c>
      <c r="J20" t="str">
        <f t="shared" si="1"/>
        <v>BC</v>
      </c>
      <c r="K20">
        <f t="shared" si="2"/>
        <v>-4004</v>
      </c>
      <c r="L20">
        <f t="shared" si="3"/>
        <v>-4004</v>
      </c>
    </row>
    <row r="21" spans="1:13" x14ac:dyDescent="0.35">
      <c r="A21">
        <v>20</v>
      </c>
      <c r="B21" t="s">
        <v>151</v>
      </c>
      <c r="C21" t="s">
        <v>11110</v>
      </c>
      <c r="D21" t="s">
        <v>152</v>
      </c>
      <c r="E21" t="s">
        <v>131</v>
      </c>
      <c r="F21" t="s">
        <v>10782</v>
      </c>
      <c r="G21" t="s">
        <v>112</v>
      </c>
      <c r="I21" t="str">
        <f t="shared" si="0"/>
        <v>4004</v>
      </c>
      <c r="J21" t="str">
        <f t="shared" si="1"/>
        <v>BC</v>
      </c>
      <c r="K21">
        <f t="shared" si="2"/>
        <v>-4004</v>
      </c>
      <c r="L21">
        <f t="shared" si="3"/>
        <v>-4004</v>
      </c>
    </row>
    <row r="22" spans="1:13" x14ac:dyDescent="0.35">
      <c r="A22">
        <v>21</v>
      </c>
      <c r="B22" t="s">
        <v>10777</v>
      </c>
      <c r="C22" t="s">
        <v>10544</v>
      </c>
      <c r="D22" t="s">
        <v>10778</v>
      </c>
      <c r="E22" t="s">
        <v>131</v>
      </c>
      <c r="F22" t="s">
        <v>10782</v>
      </c>
      <c r="G22" t="s">
        <v>112</v>
      </c>
      <c r="I22" t="str">
        <f t="shared" si="0"/>
        <v>4004</v>
      </c>
      <c r="J22" t="str">
        <f t="shared" si="1"/>
        <v>BC</v>
      </c>
      <c r="K22">
        <f t="shared" si="2"/>
        <v>-4004</v>
      </c>
      <c r="L22">
        <f t="shared" si="3"/>
        <v>-4004</v>
      </c>
    </row>
    <row r="23" spans="1:13" x14ac:dyDescent="0.35">
      <c r="A23">
        <v>22</v>
      </c>
      <c r="B23" t="s">
        <v>10779</v>
      </c>
      <c r="C23" t="s">
        <v>11111</v>
      </c>
      <c r="D23" t="s">
        <v>153</v>
      </c>
      <c r="E23" t="s">
        <v>154</v>
      </c>
      <c r="F23" t="s">
        <v>10782</v>
      </c>
      <c r="G23" t="s">
        <v>112</v>
      </c>
      <c r="I23" t="str">
        <f t="shared" si="0"/>
        <v>4004</v>
      </c>
      <c r="J23" t="str">
        <f t="shared" si="1"/>
        <v>BC</v>
      </c>
      <c r="K23">
        <f t="shared" si="2"/>
        <v>-4004</v>
      </c>
      <c r="L23">
        <f t="shared" si="3"/>
        <v>-4004</v>
      </c>
    </row>
    <row r="24" spans="1:13" x14ac:dyDescent="0.35">
      <c r="A24">
        <v>23</v>
      </c>
      <c r="B24" t="s">
        <v>155</v>
      </c>
      <c r="C24" t="s">
        <v>11112</v>
      </c>
      <c r="D24" t="s">
        <v>156</v>
      </c>
      <c r="E24" t="s">
        <v>154</v>
      </c>
      <c r="F24" t="s">
        <v>132</v>
      </c>
      <c r="G24" t="s">
        <v>112</v>
      </c>
      <c r="I24" t="str">
        <f t="shared" si="0"/>
        <v>4000</v>
      </c>
      <c r="J24" t="str">
        <f t="shared" si="1"/>
        <v>BC</v>
      </c>
      <c r="K24">
        <f t="shared" si="2"/>
        <v>-4000</v>
      </c>
      <c r="L24">
        <f t="shared" si="3"/>
        <v>-4000</v>
      </c>
    </row>
    <row r="25" spans="1:13" x14ac:dyDescent="0.35">
      <c r="A25">
        <v>24</v>
      </c>
      <c r="B25" t="s">
        <v>157</v>
      </c>
      <c r="C25" t="s">
        <v>11108</v>
      </c>
      <c r="D25" t="s">
        <v>10780</v>
      </c>
      <c r="E25" t="s">
        <v>154</v>
      </c>
      <c r="F25" t="s">
        <v>132</v>
      </c>
      <c r="G25" t="s">
        <v>112</v>
      </c>
      <c r="I25" t="str">
        <f t="shared" si="0"/>
        <v>4000</v>
      </c>
      <c r="J25" t="str">
        <f t="shared" si="1"/>
        <v>BC</v>
      </c>
      <c r="K25">
        <f t="shared" si="2"/>
        <v>-4000</v>
      </c>
      <c r="L25">
        <f t="shared" si="3"/>
        <v>-4000</v>
      </c>
    </row>
    <row r="26" spans="1:13" x14ac:dyDescent="0.35">
      <c r="A26">
        <v>25</v>
      </c>
      <c r="B26" t="s">
        <v>10781</v>
      </c>
      <c r="C26" t="s">
        <v>11113</v>
      </c>
      <c r="D26" t="s">
        <v>158</v>
      </c>
      <c r="E26" t="s">
        <v>154</v>
      </c>
      <c r="F26" t="s">
        <v>132</v>
      </c>
      <c r="G26" t="s">
        <v>112</v>
      </c>
      <c r="I26" t="str">
        <f t="shared" si="0"/>
        <v>4000</v>
      </c>
      <c r="J26" t="str">
        <f t="shared" si="1"/>
        <v>BC</v>
      </c>
      <c r="K26">
        <f t="shared" si="2"/>
        <v>-4000</v>
      </c>
      <c r="L26">
        <f t="shared" si="3"/>
        <v>-4000</v>
      </c>
    </row>
    <row r="27" spans="1:13" x14ac:dyDescent="0.35">
      <c r="A27">
        <v>26</v>
      </c>
      <c r="B27" t="s">
        <v>159</v>
      </c>
      <c r="C27" t="s">
        <v>11114</v>
      </c>
      <c r="D27" t="s">
        <v>160</v>
      </c>
      <c r="E27" t="s">
        <v>154</v>
      </c>
      <c r="F27" t="s">
        <v>132</v>
      </c>
      <c r="G27" t="s">
        <v>112</v>
      </c>
      <c r="I27" t="str">
        <f t="shared" si="0"/>
        <v>4000</v>
      </c>
      <c r="J27" t="str">
        <f t="shared" si="1"/>
        <v>BC</v>
      </c>
      <c r="K27">
        <f t="shared" si="2"/>
        <v>-4000</v>
      </c>
      <c r="L27">
        <f t="shared" si="3"/>
        <v>-4000</v>
      </c>
    </row>
    <row r="28" spans="1:13" x14ac:dyDescent="0.35">
      <c r="A28">
        <v>27</v>
      </c>
      <c r="B28" t="s">
        <v>161</v>
      </c>
      <c r="C28" t="s">
        <v>10039</v>
      </c>
      <c r="D28" t="s">
        <v>35</v>
      </c>
      <c r="E28" t="s">
        <v>115</v>
      </c>
      <c r="F28" t="s">
        <v>12557</v>
      </c>
      <c r="G28" t="s">
        <v>112</v>
      </c>
      <c r="I28" t="str">
        <f t="shared" si="0"/>
        <v>3382</v>
      </c>
      <c r="J28" t="str">
        <f t="shared" si="1"/>
        <v>BC</v>
      </c>
      <c r="K28">
        <f t="shared" si="2"/>
        <v>-3382</v>
      </c>
      <c r="L28">
        <f t="shared" si="3"/>
        <v>-3382</v>
      </c>
    </row>
    <row r="29" spans="1:13" x14ac:dyDescent="0.35">
      <c r="A29">
        <v>28</v>
      </c>
      <c r="B29" t="s">
        <v>10786</v>
      </c>
      <c r="C29" t="s">
        <v>10498</v>
      </c>
      <c r="D29" t="s">
        <v>162</v>
      </c>
      <c r="E29" t="s">
        <v>115</v>
      </c>
      <c r="F29" t="s">
        <v>10783</v>
      </c>
      <c r="G29" t="s">
        <v>112</v>
      </c>
      <c r="I29" t="str">
        <f t="shared" si="0"/>
        <v>2468</v>
      </c>
      <c r="J29" t="str">
        <f t="shared" si="1"/>
        <v>BC</v>
      </c>
      <c r="K29">
        <f t="shared" si="2"/>
        <v>-2468</v>
      </c>
      <c r="L29">
        <f t="shared" si="3"/>
        <v>-2468</v>
      </c>
    </row>
    <row r="30" spans="1:13" x14ac:dyDescent="0.35">
      <c r="A30">
        <v>29</v>
      </c>
      <c r="B30" t="s">
        <v>163</v>
      </c>
      <c r="C30" t="s">
        <v>11107</v>
      </c>
      <c r="D30" t="s">
        <v>164</v>
      </c>
      <c r="E30" t="s">
        <v>115</v>
      </c>
      <c r="F30" t="s">
        <v>165</v>
      </c>
      <c r="G30" t="s">
        <v>112</v>
      </c>
      <c r="I30" t="str">
        <f t="shared" si="0"/>
        <v>2348</v>
      </c>
      <c r="J30" t="str">
        <f t="shared" si="1"/>
        <v>BC</v>
      </c>
      <c r="K30">
        <f t="shared" si="2"/>
        <v>-2348</v>
      </c>
      <c r="L30">
        <f t="shared" si="3"/>
        <v>-2348</v>
      </c>
      <c r="M30">
        <v>1656</v>
      </c>
    </row>
    <row r="31" spans="1:13" x14ac:dyDescent="0.35">
      <c r="A31">
        <v>30</v>
      </c>
      <c r="B31" t="s">
        <v>166</v>
      </c>
      <c r="C31" t="s">
        <v>10040</v>
      </c>
      <c r="D31" t="s">
        <v>167</v>
      </c>
      <c r="E31" t="s">
        <v>115</v>
      </c>
      <c r="F31" t="s">
        <v>165</v>
      </c>
      <c r="G31" t="s">
        <v>112</v>
      </c>
      <c r="I31" t="str">
        <f t="shared" si="0"/>
        <v>2348</v>
      </c>
      <c r="J31" t="str">
        <f t="shared" si="1"/>
        <v>BC</v>
      </c>
      <c r="K31">
        <f t="shared" si="2"/>
        <v>-2348</v>
      </c>
      <c r="L31">
        <f t="shared" si="3"/>
        <v>-2348</v>
      </c>
      <c r="M31">
        <v>1656</v>
      </c>
    </row>
    <row r="32" spans="1:13" x14ac:dyDescent="0.35">
      <c r="A32">
        <v>31</v>
      </c>
      <c r="B32" t="s">
        <v>168</v>
      </c>
      <c r="C32" t="s">
        <v>10505</v>
      </c>
      <c r="D32" t="s">
        <v>169</v>
      </c>
      <c r="E32" t="s">
        <v>115</v>
      </c>
      <c r="F32" t="s">
        <v>165</v>
      </c>
      <c r="G32" t="s">
        <v>112</v>
      </c>
      <c r="H32" t="s">
        <v>10861</v>
      </c>
      <c r="I32" t="str">
        <f t="shared" si="0"/>
        <v>2348</v>
      </c>
      <c r="J32" t="str">
        <f t="shared" si="1"/>
        <v>BC</v>
      </c>
      <c r="K32">
        <f t="shared" si="2"/>
        <v>-2348</v>
      </c>
      <c r="L32">
        <f t="shared" si="3"/>
        <v>-2348</v>
      </c>
      <c r="M32">
        <v>1656</v>
      </c>
    </row>
    <row r="33" spans="1:13" x14ac:dyDescent="0.35">
      <c r="A33">
        <v>32</v>
      </c>
      <c r="B33" t="s">
        <v>171</v>
      </c>
      <c r="C33" t="s">
        <v>11115</v>
      </c>
      <c r="D33" t="s">
        <v>172</v>
      </c>
      <c r="E33" t="s">
        <v>115</v>
      </c>
      <c r="F33" t="s">
        <v>165</v>
      </c>
      <c r="G33" t="s">
        <v>112</v>
      </c>
      <c r="I33" t="str">
        <f t="shared" si="0"/>
        <v>2348</v>
      </c>
      <c r="J33" t="str">
        <f t="shared" si="1"/>
        <v>BC</v>
      </c>
      <c r="K33">
        <f t="shared" si="2"/>
        <v>-2348</v>
      </c>
      <c r="L33">
        <f t="shared" si="3"/>
        <v>-2348</v>
      </c>
      <c r="M33">
        <v>1656</v>
      </c>
    </row>
    <row r="34" spans="1:13" x14ac:dyDescent="0.35">
      <c r="A34">
        <v>33</v>
      </c>
      <c r="B34" t="s">
        <v>174</v>
      </c>
      <c r="C34" t="s">
        <v>11112</v>
      </c>
      <c r="D34" t="s">
        <v>175</v>
      </c>
      <c r="E34" t="s">
        <v>10784</v>
      </c>
      <c r="F34" t="s">
        <v>173</v>
      </c>
      <c r="G34" t="s">
        <v>112</v>
      </c>
      <c r="I34" t="str">
        <f t="shared" si="0"/>
        <v>2347</v>
      </c>
      <c r="J34" t="str">
        <f t="shared" si="1"/>
        <v>BC</v>
      </c>
      <c r="K34">
        <f t="shared" si="2"/>
        <v>-2347</v>
      </c>
      <c r="L34">
        <f t="shared" si="3"/>
        <v>-2347</v>
      </c>
    </row>
    <row r="35" spans="1:13" x14ac:dyDescent="0.35">
      <c r="A35">
        <v>34</v>
      </c>
      <c r="B35" t="s">
        <v>176</v>
      </c>
      <c r="C35" t="s">
        <v>11106</v>
      </c>
      <c r="D35" t="s">
        <v>177</v>
      </c>
      <c r="E35" t="s">
        <v>10784</v>
      </c>
      <c r="F35" t="s">
        <v>173</v>
      </c>
      <c r="G35" t="s">
        <v>112</v>
      </c>
      <c r="I35" t="str">
        <f t="shared" si="0"/>
        <v>2347</v>
      </c>
      <c r="J35" t="str">
        <f t="shared" si="1"/>
        <v>BC</v>
      </c>
      <c r="K35">
        <f t="shared" si="2"/>
        <v>-2347</v>
      </c>
      <c r="L35">
        <f t="shared" si="3"/>
        <v>-2347</v>
      </c>
    </row>
    <row r="36" spans="1:13" x14ac:dyDescent="0.35">
      <c r="A36">
        <v>35</v>
      </c>
      <c r="B36" t="s">
        <v>10785</v>
      </c>
      <c r="C36" t="s">
        <v>11116</v>
      </c>
      <c r="D36" t="s">
        <v>178</v>
      </c>
      <c r="E36" t="s">
        <v>10784</v>
      </c>
      <c r="F36" t="s">
        <v>173</v>
      </c>
      <c r="G36" t="s">
        <v>112</v>
      </c>
      <c r="I36" t="str">
        <f t="shared" si="0"/>
        <v>2347</v>
      </c>
      <c r="J36" t="str">
        <f t="shared" si="1"/>
        <v>BC</v>
      </c>
      <c r="K36">
        <f t="shared" si="2"/>
        <v>-2347</v>
      </c>
      <c r="L36">
        <f t="shared" si="3"/>
        <v>-2347</v>
      </c>
    </row>
    <row r="37" spans="1:13" x14ac:dyDescent="0.35">
      <c r="A37">
        <v>36</v>
      </c>
      <c r="B37" t="s">
        <v>18</v>
      </c>
      <c r="C37" t="s">
        <v>11117</v>
      </c>
      <c r="D37" t="s">
        <v>19</v>
      </c>
      <c r="E37" t="s">
        <v>10788</v>
      </c>
      <c r="F37" t="s">
        <v>10787</v>
      </c>
      <c r="G37" t="s">
        <v>112</v>
      </c>
      <c r="I37" t="str">
        <f t="shared" si="0"/>
        <v>2280-1817</v>
      </c>
      <c r="J37" t="str">
        <f t="shared" si="1"/>
        <v>BC</v>
      </c>
      <c r="K37">
        <f t="shared" si="2"/>
        <v>-2280</v>
      </c>
      <c r="L37">
        <f t="shared" si="3"/>
        <v>-1817</v>
      </c>
      <c r="M37">
        <v>1993</v>
      </c>
    </row>
    <row r="38" spans="1:13" x14ac:dyDescent="0.35">
      <c r="A38">
        <v>37</v>
      </c>
      <c r="B38" t="s">
        <v>179</v>
      </c>
      <c r="C38" t="s">
        <v>11118</v>
      </c>
      <c r="D38" t="s">
        <v>180</v>
      </c>
      <c r="E38" t="s">
        <v>10789</v>
      </c>
      <c r="F38" t="s">
        <v>10790</v>
      </c>
      <c r="G38" t="s">
        <v>112</v>
      </c>
      <c r="I38" t="str">
        <f t="shared" si="0"/>
        <v>1921</v>
      </c>
      <c r="J38" t="str">
        <f t="shared" si="1"/>
        <v>BC</v>
      </c>
      <c r="K38">
        <f t="shared" si="2"/>
        <v>-1921</v>
      </c>
      <c r="L38">
        <f t="shared" si="3"/>
        <v>-1921</v>
      </c>
    </row>
    <row r="39" spans="1:13" x14ac:dyDescent="0.35">
      <c r="A39">
        <v>38</v>
      </c>
      <c r="B39" t="s">
        <v>181</v>
      </c>
      <c r="C39" t="s">
        <v>11119</v>
      </c>
      <c r="D39" t="s">
        <v>182</v>
      </c>
      <c r="E39" t="s">
        <v>10791</v>
      </c>
      <c r="F39" t="s">
        <v>10798</v>
      </c>
      <c r="G39" t="s">
        <v>112</v>
      </c>
      <c r="I39" t="str">
        <f t="shared" si="0"/>
        <v>1921-1911</v>
      </c>
      <c r="J39" t="str">
        <f t="shared" si="1"/>
        <v>BC</v>
      </c>
      <c r="K39">
        <f t="shared" si="2"/>
        <v>-1921</v>
      </c>
      <c r="L39">
        <f t="shared" si="3"/>
        <v>-1911</v>
      </c>
    </row>
    <row r="40" spans="1:13" x14ac:dyDescent="0.35">
      <c r="A40">
        <v>39</v>
      </c>
      <c r="B40" t="s">
        <v>184</v>
      </c>
      <c r="C40" t="s">
        <v>11111</v>
      </c>
      <c r="D40" t="s">
        <v>185</v>
      </c>
      <c r="E40" t="s">
        <v>186</v>
      </c>
      <c r="F40" t="s">
        <v>10798</v>
      </c>
      <c r="G40" t="s">
        <v>112</v>
      </c>
      <c r="I40" t="str">
        <f t="shared" si="0"/>
        <v>1921-1911</v>
      </c>
      <c r="J40" t="str">
        <f t="shared" si="1"/>
        <v>BC</v>
      </c>
      <c r="K40">
        <f t="shared" si="2"/>
        <v>-1921</v>
      </c>
      <c r="L40">
        <f t="shared" si="3"/>
        <v>-1911</v>
      </c>
    </row>
    <row r="41" spans="1:13" x14ac:dyDescent="0.35">
      <c r="A41">
        <v>40</v>
      </c>
      <c r="B41" t="s">
        <v>10793</v>
      </c>
      <c r="C41" t="s">
        <v>11120</v>
      </c>
      <c r="D41" t="s">
        <v>10794</v>
      </c>
      <c r="E41" t="s">
        <v>255</v>
      </c>
      <c r="F41" t="s">
        <v>10798</v>
      </c>
      <c r="G41" t="s">
        <v>112</v>
      </c>
      <c r="I41" t="str">
        <f t="shared" si="0"/>
        <v>1921-1911</v>
      </c>
      <c r="J41" t="str">
        <f t="shared" si="1"/>
        <v>BC</v>
      </c>
      <c r="K41">
        <f t="shared" si="2"/>
        <v>-1921</v>
      </c>
      <c r="L41">
        <f t="shared" si="3"/>
        <v>-1911</v>
      </c>
    </row>
    <row r="42" spans="1:13" x14ac:dyDescent="0.35">
      <c r="A42">
        <v>41</v>
      </c>
      <c r="B42" t="s">
        <v>188</v>
      </c>
      <c r="C42" t="s">
        <v>11120</v>
      </c>
      <c r="D42" t="s">
        <v>10796</v>
      </c>
      <c r="E42" t="s">
        <v>10795</v>
      </c>
      <c r="F42" t="s">
        <v>10798</v>
      </c>
      <c r="G42" t="s">
        <v>112</v>
      </c>
      <c r="I42" t="str">
        <f t="shared" si="0"/>
        <v>1921-1911</v>
      </c>
      <c r="J42" t="str">
        <f t="shared" si="1"/>
        <v>BC</v>
      </c>
      <c r="K42">
        <f t="shared" si="2"/>
        <v>-1921</v>
      </c>
      <c r="L42">
        <f t="shared" si="3"/>
        <v>-1911</v>
      </c>
    </row>
    <row r="43" spans="1:13" x14ac:dyDescent="0.35">
      <c r="A43">
        <v>42</v>
      </c>
      <c r="B43" t="s">
        <v>189</v>
      </c>
      <c r="C43" t="s">
        <v>11121</v>
      </c>
      <c r="D43" t="s">
        <v>190</v>
      </c>
      <c r="E43" t="s">
        <v>10795</v>
      </c>
      <c r="F43" t="s">
        <v>10798</v>
      </c>
      <c r="G43" t="s">
        <v>112</v>
      </c>
      <c r="I43" t="str">
        <f t="shared" si="0"/>
        <v>1921-1911</v>
      </c>
      <c r="J43" t="str">
        <f t="shared" si="1"/>
        <v>BC</v>
      </c>
      <c r="K43">
        <f t="shared" si="2"/>
        <v>-1921</v>
      </c>
      <c r="L43">
        <f t="shared" si="3"/>
        <v>-1911</v>
      </c>
    </row>
    <row r="44" spans="1:13" x14ac:dyDescent="0.35">
      <c r="A44">
        <v>43</v>
      </c>
      <c r="B44" t="s">
        <v>191</v>
      </c>
      <c r="C44" t="s">
        <v>10511</v>
      </c>
      <c r="D44" t="s">
        <v>192</v>
      </c>
      <c r="E44" t="s">
        <v>10797</v>
      </c>
      <c r="F44" t="s">
        <v>10798</v>
      </c>
      <c r="G44" t="s">
        <v>63</v>
      </c>
      <c r="I44" t="str">
        <f t="shared" si="0"/>
        <v>1921-1911</v>
      </c>
      <c r="J44" t="str">
        <f t="shared" si="1"/>
        <v>BC</v>
      </c>
      <c r="K44">
        <f t="shared" si="2"/>
        <v>-1921</v>
      </c>
      <c r="L44">
        <f t="shared" si="3"/>
        <v>-1911</v>
      </c>
    </row>
    <row r="45" spans="1:13" x14ac:dyDescent="0.35">
      <c r="A45">
        <v>44</v>
      </c>
      <c r="B45" t="s">
        <v>193</v>
      </c>
      <c r="C45" t="s">
        <v>10511</v>
      </c>
      <c r="D45" t="s">
        <v>194</v>
      </c>
      <c r="E45" t="s">
        <v>187</v>
      </c>
      <c r="F45" t="s">
        <v>10792</v>
      </c>
      <c r="G45" t="s">
        <v>112</v>
      </c>
      <c r="H45" t="s">
        <v>12171</v>
      </c>
      <c r="I45" t="str">
        <f t="shared" si="0"/>
        <v>1897</v>
      </c>
      <c r="J45" t="str">
        <f t="shared" si="1"/>
        <v>BC</v>
      </c>
      <c r="K45">
        <f t="shared" si="2"/>
        <v>-1897</v>
      </c>
      <c r="L45">
        <f t="shared" si="3"/>
        <v>-1897</v>
      </c>
    </row>
    <row r="46" spans="1:13" x14ac:dyDescent="0.35">
      <c r="A46">
        <v>45</v>
      </c>
      <c r="B46" t="s">
        <v>10803</v>
      </c>
      <c r="C46" t="s">
        <v>11122</v>
      </c>
      <c r="D46" t="s">
        <v>10804</v>
      </c>
      <c r="E46" t="s">
        <v>187</v>
      </c>
      <c r="F46" t="s">
        <v>10792</v>
      </c>
      <c r="G46" t="s">
        <v>112</v>
      </c>
      <c r="I46" t="str">
        <f t="shared" si="0"/>
        <v>1897</v>
      </c>
      <c r="J46" t="str">
        <f t="shared" si="1"/>
        <v>BC</v>
      </c>
      <c r="K46">
        <f t="shared" si="2"/>
        <v>-1897</v>
      </c>
      <c r="L46">
        <f t="shared" si="3"/>
        <v>-1897</v>
      </c>
      <c r="M46">
        <v>2018</v>
      </c>
    </row>
    <row r="47" spans="1:13" x14ac:dyDescent="0.35">
      <c r="A47">
        <v>46</v>
      </c>
      <c r="B47" t="s">
        <v>195</v>
      </c>
      <c r="C47" t="s">
        <v>11123</v>
      </c>
      <c r="D47" t="s">
        <v>196</v>
      </c>
      <c r="E47" t="s">
        <v>187</v>
      </c>
      <c r="F47" t="s">
        <v>10792</v>
      </c>
      <c r="G47" t="s">
        <v>112</v>
      </c>
      <c r="I47" t="str">
        <f t="shared" si="0"/>
        <v>1897</v>
      </c>
      <c r="J47" t="str">
        <f t="shared" si="1"/>
        <v>BC</v>
      </c>
      <c r="K47">
        <f t="shared" si="2"/>
        <v>-1897</v>
      </c>
      <c r="L47">
        <f t="shared" si="3"/>
        <v>-1897</v>
      </c>
    </row>
    <row r="48" spans="1:13" x14ac:dyDescent="0.35">
      <c r="A48">
        <v>47</v>
      </c>
      <c r="B48" t="s">
        <v>10805</v>
      </c>
      <c r="C48" t="s">
        <v>11123</v>
      </c>
      <c r="D48" t="s">
        <v>10806</v>
      </c>
      <c r="E48" t="s">
        <v>187</v>
      </c>
      <c r="F48" t="s">
        <v>10792</v>
      </c>
      <c r="G48" t="s">
        <v>112</v>
      </c>
      <c r="I48" t="str">
        <f t="shared" si="0"/>
        <v>1897</v>
      </c>
      <c r="J48" t="str">
        <f t="shared" si="1"/>
        <v>BC</v>
      </c>
      <c r="K48">
        <f t="shared" si="2"/>
        <v>-1897</v>
      </c>
      <c r="L48">
        <f t="shared" si="3"/>
        <v>-1897</v>
      </c>
    </row>
    <row r="49" spans="1:13" x14ac:dyDescent="0.35">
      <c r="A49">
        <v>48</v>
      </c>
      <c r="B49" t="s">
        <v>10825</v>
      </c>
      <c r="C49" t="s">
        <v>11120</v>
      </c>
      <c r="D49" t="s">
        <v>197</v>
      </c>
      <c r="E49" t="s">
        <v>187</v>
      </c>
      <c r="F49" t="s">
        <v>10792</v>
      </c>
      <c r="G49" t="s">
        <v>112</v>
      </c>
      <c r="H49" t="s">
        <v>12172</v>
      </c>
      <c r="I49" t="str">
        <f t="shared" si="0"/>
        <v>1897</v>
      </c>
      <c r="J49" t="str">
        <f t="shared" si="1"/>
        <v>BC</v>
      </c>
      <c r="K49">
        <f t="shared" si="2"/>
        <v>-1897</v>
      </c>
      <c r="L49">
        <f t="shared" si="3"/>
        <v>-1897</v>
      </c>
    </row>
    <row r="50" spans="1:13" x14ac:dyDescent="0.35">
      <c r="A50">
        <v>49</v>
      </c>
      <c r="B50" t="s">
        <v>10807</v>
      </c>
      <c r="C50" t="s">
        <v>11124</v>
      </c>
      <c r="D50" t="s">
        <v>10808</v>
      </c>
      <c r="E50" t="s">
        <v>187</v>
      </c>
      <c r="F50" t="s">
        <v>10792</v>
      </c>
      <c r="G50" t="s">
        <v>112</v>
      </c>
      <c r="I50" t="str">
        <f t="shared" si="0"/>
        <v>1897</v>
      </c>
      <c r="J50" t="str">
        <f t="shared" si="1"/>
        <v>BC</v>
      </c>
      <c r="K50">
        <f t="shared" si="2"/>
        <v>-1897</v>
      </c>
      <c r="L50">
        <f t="shared" si="3"/>
        <v>-1897</v>
      </c>
    </row>
    <row r="51" spans="1:13" x14ac:dyDescent="0.35">
      <c r="A51">
        <v>50</v>
      </c>
      <c r="B51" t="s">
        <v>198</v>
      </c>
      <c r="C51" t="s">
        <v>11124</v>
      </c>
      <c r="D51" t="s">
        <v>199</v>
      </c>
      <c r="E51" t="s">
        <v>187</v>
      </c>
      <c r="F51" t="s">
        <v>10792</v>
      </c>
      <c r="G51" t="s">
        <v>112</v>
      </c>
      <c r="I51" t="str">
        <f t="shared" si="0"/>
        <v>1897</v>
      </c>
      <c r="J51" t="str">
        <f t="shared" si="1"/>
        <v>BC</v>
      </c>
      <c r="K51">
        <f t="shared" si="2"/>
        <v>-1897</v>
      </c>
      <c r="L51">
        <f t="shared" si="3"/>
        <v>-1897</v>
      </c>
    </row>
    <row r="52" spans="1:13" x14ac:dyDescent="0.35">
      <c r="A52">
        <v>51</v>
      </c>
      <c r="B52" t="s">
        <v>10809</v>
      </c>
      <c r="C52" t="s">
        <v>11124</v>
      </c>
      <c r="D52" t="s">
        <v>10810</v>
      </c>
      <c r="E52" t="s">
        <v>187</v>
      </c>
      <c r="F52" t="s">
        <v>10792</v>
      </c>
      <c r="G52" t="s">
        <v>112</v>
      </c>
      <c r="I52" t="str">
        <f t="shared" si="0"/>
        <v>1897</v>
      </c>
      <c r="J52" t="str">
        <f t="shared" si="1"/>
        <v>BC</v>
      </c>
      <c r="K52">
        <f t="shared" si="2"/>
        <v>-1897</v>
      </c>
      <c r="L52">
        <f t="shared" si="3"/>
        <v>-1897</v>
      </c>
    </row>
    <row r="53" spans="1:13" x14ac:dyDescent="0.35">
      <c r="A53">
        <v>52</v>
      </c>
      <c r="B53" t="s">
        <v>200</v>
      </c>
      <c r="C53" t="s">
        <v>10511</v>
      </c>
      <c r="D53" t="s">
        <v>201</v>
      </c>
      <c r="E53" t="s">
        <v>202</v>
      </c>
      <c r="F53" t="s">
        <v>10792</v>
      </c>
      <c r="G53" t="s">
        <v>12556</v>
      </c>
      <c r="I53" t="str">
        <f t="shared" si="0"/>
        <v>1897</v>
      </c>
      <c r="J53" t="str">
        <f t="shared" si="1"/>
        <v>BC</v>
      </c>
      <c r="K53">
        <f t="shared" si="2"/>
        <v>-1897</v>
      </c>
      <c r="L53">
        <f t="shared" si="3"/>
        <v>-1897</v>
      </c>
    </row>
    <row r="54" spans="1:13" x14ac:dyDescent="0.35">
      <c r="A54">
        <v>53</v>
      </c>
      <c r="B54" t="s">
        <v>203</v>
      </c>
      <c r="C54" t="s">
        <v>11124</v>
      </c>
      <c r="D54" t="s">
        <v>204</v>
      </c>
      <c r="E54" t="s">
        <v>202</v>
      </c>
      <c r="F54" t="s">
        <v>10792</v>
      </c>
      <c r="G54" t="s">
        <v>112</v>
      </c>
      <c r="I54" t="str">
        <f t="shared" si="0"/>
        <v>1897</v>
      </c>
      <c r="J54" t="str">
        <f t="shared" si="1"/>
        <v>BC</v>
      </c>
      <c r="K54">
        <f t="shared" si="2"/>
        <v>-1897</v>
      </c>
      <c r="L54">
        <f t="shared" si="3"/>
        <v>-1897</v>
      </c>
    </row>
    <row r="55" spans="1:13" x14ac:dyDescent="0.35">
      <c r="A55">
        <v>54</v>
      </c>
      <c r="B55" t="s">
        <v>205</v>
      </c>
      <c r="C55" t="s">
        <v>11125</v>
      </c>
      <c r="D55" t="s">
        <v>206</v>
      </c>
      <c r="E55" t="s">
        <v>202</v>
      </c>
      <c r="F55" t="s">
        <v>10792</v>
      </c>
      <c r="G55" t="s">
        <v>112</v>
      </c>
      <c r="I55" t="str">
        <f t="shared" si="0"/>
        <v>1897</v>
      </c>
      <c r="J55" t="str">
        <f t="shared" si="1"/>
        <v>BC</v>
      </c>
      <c r="K55">
        <f t="shared" si="2"/>
        <v>-1897</v>
      </c>
      <c r="L55">
        <f t="shared" si="3"/>
        <v>-1897</v>
      </c>
    </row>
    <row r="56" spans="1:13" x14ac:dyDescent="0.35">
      <c r="A56">
        <v>55</v>
      </c>
      <c r="B56" t="s">
        <v>10813</v>
      </c>
      <c r="C56" t="s">
        <v>10042</v>
      </c>
      <c r="D56" t="s">
        <v>10812</v>
      </c>
      <c r="E56" t="s">
        <v>209</v>
      </c>
      <c r="F56" t="s">
        <v>10792</v>
      </c>
      <c r="G56" t="s">
        <v>12556</v>
      </c>
      <c r="I56" t="str">
        <f t="shared" si="0"/>
        <v>1897</v>
      </c>
      <c r="J56" t="str">
        <f t="shared" si="1"/>
        <v>BC</v>
      </c>
      <c r="K56">
        <f t="shared" si="2"/>
        <v>-1897</v>
      </c>
      <c r="L56">
        <f t="shared" si="3"/>
        <v>-1897</v>
      </c>
    </row>
    <row r="57" spans="1:13" x14ac:dyDescent="0.35">
      <c r="A57">
        <v>56</v>
      </c>
      <c r="B57" t="s">
        <v>208</v>
      </c>
      <c r="C57" t="s">
        <v>10544</v>
      </c>
      <c r="D57" t="s">
        <v>20</v>
      </c>
      <c r="E57" t="s">
        <v>209</v>
      </c>
      <c r="F57" t="s">
        <v>10792</v>
      </c>
      <c r="G57" t="s">
        <v>12556</v>
      </c>
      <c r="I57" t="str">
        <f t="shared" si="0"/>
        <v>1897</v>
      </c>
      <c r="J57" t="str">
        <f t="shared" si="1"/>
        <v>BC</v>
      </c>
      <c r="K57">
        <f t="shared" si="2"/>
        <v>-1897</v>
      </c>
      <c r="L57">
        <f t="shared" si="3"/>
        <v>-1897</v>
      </c>
    </row>
    <row r="58" spans="1:13" x14ac:dyDescent="0.35">
      <c r="A58">
        <v>57</v>
      </c>
      <c r="B58" t="s">
        <v>10814</v>
      </c>
      <c r="C58" t="s">
        <v>10042</v>
      </c>
      <c r="D58" t="s">
        <v>10815</v>
      </c>
      <c r="E58" t="s">
        <v>209</v>
      </c>
      <c r="F58" t="s">
        <v>10792</v>
      </c>
      <c r="G58" t="s">
        <v>12556</v>
      </c>
      <c r="I58" t="str">
        <f t="shared" si="0"/>
        <v>1897</v>
      </c>
      <c r="J58" t="str">
        <f t="shared" si="1"/>
        <v>BC</v>
      </c>
      <c r="K58">
        <f t="shared" si="2"/>
        <v>-1897</v>
      </c>
      <c r="L58">
        <f t="shared" si="3"/>
        <v>-1897</v>
      </c>
    </row>
    <row r="59" spans="1:13" x14ac:dyDescent="0.35">
      <c r="A59">
        <v>58</v>
      </c>
      <c r="B59" t="s">
        <v>210</v>
      </c>
      <c r="C59" t="s">
        <v>11126</v>
      </c>
      <c r="D59" t="s">
        <v>21</v>
      </c>
      <c r="E59" t="s">
        <v>211</v>
      </c>
      <c r="F59" t="s">
        <v>10792</v>
      </c>
      <c r="G59" t="s">
        <v>112</v>
      </c>
      <c r="I59" t="str">
        <f t="shared" si="0"/>
        <v>1897</v>
      </c>
      <c r="J59" t="str">
        <f t="shared" si="1"/>
        <v>BC</v>
      </c>
      <c r="K59">
        <f t="shared" si="2"/>
        <v>-1897</v>
      </c>
      <c r="L59">
        <f t="shared" si="3"/>
        <v>-1897</v>
      </c>
    </row>
    <row r="60" spans="1:13" x14ac:dyDescent="0.35">
      <c r="A60">
        <v>59</v>
      </c>
      <c r="B60" t="s">
        <v>212</v>
      </c>
      <c r="C60" t="s">
        <v>10043</v>
      </c>
      <c r="D60" t="s">
        <v>22</v>
      </c>
      <c r="E60" t="s">
        <v>10816</v>
      </c>
      <c r="F60" t="s">
        <v>10792</v>
      </c>
      <c r="G60" t="s">
        <v>112</v>
      </c>
      <c r="I60" t="str">
        <f t="shared" si="0"/>
        <v>1897</v>
      </c>
      <c r="J60" t="str">
        <f t="shared" si="1"/>
        <v>BC</v>
      </c>
      <c r="K60">
        <f t="shared" si="2"/>
        <v>-1897</v>
      </c>
      <c r="L60">
        <f t="shared" si="3"/>
        <v>-1897</v>
      </c>
    </row>
    <row r="61" spans="1:13" x14ac:dyDescent="0.35">
      <c r="A61">
        <v>60</v>
      </c>
      <c r="B61" t="s">
        <v>10817</v>
      </c>
      <c r="C61" t="s">
        <v>11127</v>
      </c>
      <c r="D61" t="s">
        <v>213</v>
      </c>
      <c r="E61" t="s">
        <v>214</v>
      </c>
      <c r="F61" t="s">
        <v>10792</v>
      </c>
      <c r="G61" t="s">
        <v>10818</v>
      </c>
      <c r="I61" t="str">
        <f t="shared" si="0"/>
        <v>1897</v>
      </c>
      <c r="J61" t="str">
        <f t="shared" si="1"/>
        <v>BC</v>
      </c>
      <c r="K61">
        <f t="shared" si="2"/>
        <v>-1897</v>
      </c>
      <c r="L61">
        <f t="shared" si="3"/>
        <v>-1897</v>
      </c>
    </row>
    <row r="62" spans="1:13" x14ac:dyDescent="0.35">
      <c r="A62">
        <v>61</v>
      </c>
      <c r="B62" t="s">
        <v>215</v>
      </c>
      <c r="C62" t="s">
        <v>11128</v>
      </c>
      <c r="D62" t="s">
        <v>64</v>
      </c>
      <c r="E62" t="s">
        <v>214</v>
      </c>
      <c r="F62" t="s">
        <v>10792</v>
      </c>
      <c r="G62" t="s">
        <v>112</v>
      </c>
      <c r="I62" t="str">
        <f t="shared" si="0"/>
        <v>1897</v>
      </c>
      <c r="J62" t="str">
        <f t="shared" si="1"/>
        <v>BC</v>
      </c>
      <c r="K62">
        <f t="shared" si="2"/>
        <v>-1897</v>
      </c>
      <c r="L62">
        <f t="shared" si="3"/>
        <v>-1897</v>
      </c>
    </row>
    <row r="63" spans="1:13" x14ac:dyDescent="0.35">
      <c r="A63">
        <v>62</v>
      </c>
      <c r="B63" t="s">
        <v>216</v>
      </c>
      <c r="C63" t="s">
        <v>11129</v>
      </c>
      <c r="D63" t="s">
        <v>217</v>
      </c>
      <c r="E63" t="s">
        <v>214</v>
      </c>
      <c r="F63" t="s">
        <v>10792</v>
      </c>
      <c r="G63" t="s">
        <v>112</v>
      </c>
      <c r="I63" t="str">
        <f t="shared" si="0"/>
        <v>1897</v>
      </c>
      <c r="J63" t="str">
        <f t="shared" si="1"/>
        <v>BC</v>
      </c>
      <c r="K63">
        <f t="shared" si="2"/>
        <v>-1897</v>
      </c>
      <c r="L63">
        <f t="shared" si="3"/>
        <v>-1897</v>
      </c>
    </row>
    <row r="64" spans="1:13" x14ac:dyDescent="0.35">
      <c r="A64">
        <v>63</v>
      </c>
      <c r="B64" t="s">
        <v>218</v>
      </c>
      <c r="C64" t="s">
        <v>10722</v>
      </c>
      <c r="D64" t="s">
        <v>219</v>
      </c>
      <c r="E64" t="s">
        <v>221</v>
      </c>
      <c r="F64" t="s">
        <v>10811</v>
      </c>
      <c r="G64" t="s">
        <v>112</v>
      </c>
      <c r="H64" t="s">
        <v>12172</v>
      </c>
      <c r="I64" t="str">
        <f t="shared" si="0"/>
        <v>1896</v>
      </c>
      <c r="J64" t="str">
        <f t="shared" si="1"/>
        <v>BC</v>
      </c>
      <c r="K64">
        <f t="shared" si="2"/>
        <v>-1896</v>
      </c>
      <c r="L64">
        <f t="shared" si="3"/>
        <v>-1896</v>
      </c>
      <c r="M64">
        <v>2048</v>
      </c>
    </row>
    <row r="65" spans="1:13" x14ac:dyDescent="0.35">
      <c r="A65">
        <v>64</v>
      </c>
      <c r="B65" t="s">
        <v>10820</v>
      </c>
      <c r="C65" t="s">
        <v>11112</v>
      </c>
      <c r="D65" t="s">
        <v>10819</v>
      </c>
      <c r="E65" t="s">
        <v>221</v>
      </c>
      <c r="F65" t="s">
        <v>10821</v>
      </c>
      <c r="G65" t="s">
        <v>112</v>
      </c>
      <c r="I65" t="str">
        <f t="shared" si="0"/>
        <v>1894-1892</v>
      </c>
      <c r="J65" t="str">
        <f t="shared" si="1"/>
        <v>BC</v>
      </c>
      <c r="K65">
        <f t="shared" si="2"/>
        <v>-1894</v>
      </c>
      <c r="L65">
        <f t="shared" si="3"/>
        <v>-1892</v>
      </c>
    </row>
    <row r="66" spans="1:13" x14ac:dyDescent="0.35">
      <c r="A66">
        <v>65</v>
      </c>
      <c r="B66" t="s">
        <v>220</v>
      </c>
      <c r="C66" t="s">
        <v>11130</v>
      </c>
      <c r="D66" t="s">
        <v>10822</v>
      </c>
      <c r="E66" t="s">
        <v>221</v>
      </c>
      <c r="F66" t="s">
        <v>10821</v>
      </c>
      <c r="G66" t="s">
        <v>63</v>
      </c>
      <c r="I66" t="str">
        <f t="shared" ref="I66:I129" si="4">SUBSTITUTE(SUBSTITUTE(SUBSTITUTE(F66,"c. ","")," BC","")," AD","")</f>
        <v>1894-1892</v>
      </c>
      <c r="J66" t="str">
        <f t="shared" ref="J66:J129" si="5">RIGHT(F66, 2)</f>
        <v>BC</v>
      </c>
      <c r="K66">
        <f t="shared" ref="K66:K129" si="6">IF(J66="BC", 0-IF(ISERROR(FIND("-",I66)),I66,LEFT(I66,FIND("-",I66)-1)), IF(ISERROR(FIND("-",I66)),I66,LEFT(I66,FIND("-",I66)-1)))</f>
        <v>-1894</v>
      </c>
      <c r="L66">
        <f t="shared" ref="L66:L129" si="7">IF(J66="BC", 0-IF(ISERROR(FIND("-",I66)),I66,RIGHT(I66,FIND("-",I66)-1)), IF(ISERROR(FIND("-",I66)),I66,RIGHT(I66,FIND("-",I66)-1)))</f>
        <v>-1892</v>
      </c>
    </row>
    <row r="67" spans="1:13" x14ac:dyDescent="0.35">
      <c r="A67">
        <v>66</v>
      </c>
      <c r="B67" t="s">
        <v>10823</v>
      </c>
      <c r="C67" t="s">
        <v>10038</v>
      </c>
      <c r="D67" t="s">
        <v>223</v>
      </c>
      <c r="E67" t="s">
        <v>221</v>
      </c>
      <c r="F67" t="s">
        <v>10821</v>
      </c>
      <c r="G67" t="s">
        <v>112</v>
      </c>
      <c r="I67" t="str">
        <f t="shared" si="4"/>
        <v>1894-1892</v>
      </c>
      <c r="J67" t="str">
        <f t="shared" si="5"/>
        <v>BC</v>
      </c>
      <c r="K67">
        <f t="shared" si="6"/>
        <v>-1894</v>
      </c>
      <c r="L67">
        <f t="shared" si="7"/>
        <v>-1892</v>
      </c>
    </row>
    <row r="68" spans="1:13" x14ac:dyDescent="0.35">
      <c r="A68">
        <v>67</v>
      </c>
      <c r="B68" t="s">
        <v>10824</v>
      </c>
      <c r="C68" t="s">
        <v>11131</v>
      </c>
      <c r="D68" t="s">
        <v>65</v>
      </c>
      <c r="E68" t="s">
        <v>233</v>
      </c>
      <c r="F68" t="s">
        <v>10826</v>
      </c>
      <c r="G68" t="s">
        <v>112</v>
      </c>
      <c r="I68" t="str">
        <f t="shared" si="4"/>
        <v>1882-1859</v>
      </c>
      <c r="J68" t="str">
        <f t="shared" si="5"/>
        <v>BC</v>
      </c>
      <c r="K68">
        <f t="shared" si="6"/>
        <v>-1882</v>
      </c>
      <c r="L68">
        <f t="shared" si="7"/>
        <v>-1859</v>
      </c>
    </row>
    <row r="69" spans="1:13" x14ac:dyDescent="0.35">
      <c r="A69">
        <v>68</v>
      </c>
      <c r="B69" t="s">
        <v>224</v>
      </c>
      <c r="C69" t="s">
        <v>11132</v>
      </c>
      <c r="D69" t="s">
        <v>225</v>
      </c>
      <c r="E69" t="s">
        <v>226</v>
      </c>
      <c r="F69" t="s">
        <v>10826</v>
      </c>
      <c r="G69" t="s">
        <v>63</v>
      </c>
      <c r="I69" t="str">
        <f t="shared" si="4"/>
        <v>1882-1859</v>
      </c>
      <c r="J69" t="str">
        <f t="shared" si="5"/>
        <v>BC</v>
      </c>
      <c r="K69">
        <f t="shared" si="6"/>
        <v>-1882</v>
      </c>
      <c r="L69">
        <f t="shared" si="7"/>
        <v>-1859</v>
      </c>
    </row>
    <row r="70" spans="1:13" x14ac:dyDescent="0.35">
      <c r="A70">
        <v>69</v>
      </c>
      <c r="B70" t="s">
        <v>227</v>
      </c>
      <c r="C70" t="s">
        <v>10038</v>
      </c>
      <c r="D70" t="s">
        <v>66</v>
      </c>
      <c r="E70" t="s">
        <v>226</v>
      </c>
      <c r="F70" t="s">
        <v>10826</v>
      </c>
      <c r="G70" t="s">
        <v>112</v>
      </c>
      <c r="I70" t="str">
        <f t="shared" si="4"/>
        <v>1882-1859</v>
      </c>
      <c r="J70" t="str">
        <f t="shared" si="5"/>
        <v>BC</v>
      </c>
      <c r="K70">
        <f t="shared" si="6"/>
        <v>-1882</v>
      </c>
      <c r="L70">
        <f t="shared" si="7"/>
        <v>-1859</v>
      </c>
    </row>
    <row r="71" spans="1:13" x14ac:dyDescent="0.35">
      <c r="A71">
        <v>70</v>
      </c>
      <c r="B71" t="s">
        <v>228</v>
      </c>
      <c r="C71" t="s">
        <v>11122</v>
      </c>
      <c r="D71" t="s">
        <v>229</v>
      </c>
      <c r="E71" t="s">
        <v>226</v>
      </c>
      <c r="F71" t="s">
        <v>10826</v>
      </c>
      <c r="G71" t="s">
        <v>63</v>
      </c>
      <c r="H71" t="s">
        <v>12173</v>
      </c>
      <c r="I71" t="str">
        <f t="shared" si="4"/>
        <v>1882-1859</v>
      </c>
      <c r="J71" t="str">
        <f t="shared" si="5"/>
        <v>BC</v>
      </c>
      <c r="K71">
        <f t="shared" si="6"/>
        <v>-1882</v>
      </c>
      <c r="L71">
        <f t="shared" si="7"/>
        <v>-1859</v>
      </c>
    </row>
    <row r="72" spans="1:13" x14ac:dyDescent="0.35">
      <c r="A72">
        <v>71</v>
      </c>
      <c r="B72" t="s">
        <v>231</v>
      </c>
      <c r="C72" t="s">
        <v>11133</v>
      </c>
      <c r="D72" t="s">
        <v>232</v>
      </c>
      <c r="E72" t="s">
        <v>230</v>
      </c>
      <c r="F72" t="s">
        <v>10827</v>
      </c>
      <c r="G72" t="s">
        <v>112</v>
      </c>
      <c r="I72" t="str">
        <f t="shared" si="4"/>
        <v>1856</v>
      </c>
      <c r="J72" t="str">
        <f t="shared" si="5"/>
        <v>BC</v>
      </c>
      <c r="K72">
        <f t="shared" si="6"/>
        <v>-1856</v>
      </c>
      <c r="L72">
        <f t="shared" si="7"/>
        <v>-1856</v>
      </c>
    </row>
    <row r="73" spans="1:13" x14ac:dyDescent="0.35">
      <c r="A73">
        <v>72</v>
      </c>
      <c r="B73" t="s">
        <v>10858</v>
      </c>
      <c r="C73" t="s">
        <v>11134</v>
      </c>
      <c r="D73" t="s">
        <v>67</v>
      </c>
      <c r="E73" t="s">
        <v>10829</v>
      </c>
      <c r="F73" t="s">
        <v>10828</v>
      </c>
      <c r="G73" t="s">
        <v>112</v>
      </c>
      <c r="H73" t="s">
        <v>12174</v>
      </c>
      <c r="I73" t="str">
        <f t="shared" si="4"/>
        <v>1836</v>
      </c>
      <c r="J73" t="str">
        <f t="shared" si="5"/>
        <v>BC</v>
      </c>
      <c r="K73">
        <f t="shared" si="6"/>
        <v>-1836</v>
      </c>
      <c r="L73">
        <f t="shared" si="7"/>
        <v>-1836</v>
      </c>
    </row>
    <row r="74" spans="1:13" x14ac:dyDescent="0.35">
      <c r="A74">
        <v>73</v>
      </c>
      <c r="B74" t="s">
        <v>10831</v>
      </c>
      <c r="C74" t="s">
        <v>11124</v>
      </c>
      <c r="D74" t="s">
        <v>10830</v>
      </c>
      <c r="E74" t="s">
        <v>10829</v>
      </c>
      <c r="F74" t="s">
        <v>10828</v>
      </c>
      <c r="G74" t="s">
        <v>112</v>
      </c>
      <c r="I74" t="str">
        <f t="shared" si="4"/>
        <v>1836</v>
      </c>
      <c r="J74" t="str">
        <f t="shared" si="5"/>
        <v>BC</v>
      </c>
      <c r="K74">
        <f t="shared" si="6"/>
        <v>-1836</v>
      </c>
      <c r="L74">
        <f t="shared" si="7"/>
        <v>-1836</v>
      </c>
      <c r="M74">
        <v>2108</v>
      </c>
    </row>
    <row r="75" spans="1:13" x14ac:dyDescent="0.35">
      <c r="A75">
        <v>74</v>
      </c>
      <c r="B75" t="s">
        <v>10833</v>
      </c>
      <c r="C75" t="s">
        <v>10511</v>
      </c>
      <c r="D75" t="s">
        <v>10832</v>
      </c>
      <c r="E75" t="s">
        <v>214</v>
      </c>
      <c r="F75" t="s">
        <v>10883</v>
      </c>
      <c r="G75" t="s">
        <v>112</v>
      </c>
      <c r="H75" t="s">
        <v>12175</v>
      </c>
      <c r="I75" t="str">
        <f t="shared" si="4"/>
        <v>1816-1796</v>
      </c>
      <c r="J75" t="str">
        <f t="shared" si="5"/>
        <v>BC</v>
      </c>
      <c r="K75">
        <f t="shared" si="6"/>
        <v>-1816</v>
      </c>
      <c r="L75">
        <f t="shared" si="7"/>
        <v>-1796</v>
      </c>
    </row>
    <row r="76" spans="1:13" x14ac:dyDescent="0.35">
      <c r="A76">
        <v>75</v>
      </c>
      <c r="B76" t="s">
        <v>10834</v>
      </c>
      <c r="C76" t="s">
        <v>11135</v>
      </c>
      <c r="D76" t="s">
        <v>234</v>
      </c>
      <c r="E76" t="s">
        <v>233</v>
      </c>
      <c r="F76" t="s">
        <v>10883</v>
      </c>
      <c r="G76" t="s">
        <v>112</v>
      </c>
      <c r="H76" t="s">
        <v>12176</v>
      </c>
      <c r="I76" t="str">
        <f t="shared" si="4"/>
        <v>1816-1796</v>
      </c>
      <c r="J76" t="str">
        <f t="shared" si="5"/>
        <v>BC</v>
      </c>
      <c r="K76">
        <f t="shared" si="6"/>
        <v>-1816</v>
      </c>
      <c r="L76">
        <f t="shared" si="7"/>
        <v>-1796</v>
      </c>
    </row>
    <row r="77" spans="1:13" x14ac:dyDescent="0.35">
      <c r="A77">
        <v>76</v>
      </c>
      <c r="B77" t="s">
        <v>235</v>
      </c>
      <c r="C77" t="s">
        <v>10718</v>
      </c>
      <c r="D77" t="s">
        <v>236</v>
      </c>
      <c r="E77" t="s">
        <v>10835</v>
      </c>
      <c r="F77" t="s">
        <v>10882</v>
      </c>
      <c r="G77" t="s">
        <v>112</v>
      </c>
      <c r="I77" t="str">
        <f t="shared" si="4"/>
        <v>1796-1733</v>
      </c>
      <c r="J77" t="str">
        <f t="shared" si="5"/>
        <v>BC</v>
      </c>
      <c r="K77">
        <f t="shared" si="6"/>
        <v>-1796</v>
      </c>
      <c r="L77">
        <f t="shared" si="7"/>
        <v>-1733</v>
      </c>
    </row>
    <row r="78" spans="1:13" x14ac:dyDescent="0.35">
      <c r="A78">
        <v>77</v>
      </c>
      <c r="B78" t="s">
        <v>238</v>
      </c>
      <c r="C78" t="s">
        <v>10722</v>
      </c>
      <c r="D78" t="s">
        <v>239</v>
      </c>
      <c r="E78" t="s">
        <v>10837</v>
      </c>
      <c r="F78" t="s">
        <v>10882</v>
      </c>
      <c r="G78" t="s">
        <v>112</v>
      </c>
      <c r="I78" t="str">
        <f t="shared" si="4"/>
        <v>1796-1733</v>
      </c>
      <c r="J78" t="str">
        <f t="shared" si="5"/>
        <v>BC</v>
      </c>
      <c r="K78">
        <f t="shared" si="6"/>
        <v>-1796</v>
      </c>
      <c r="L78">
        <f t="shared" si="7"/>
        <v>-1733</v>
      </c>
    </row>
    <row r="79" spans="1:13" x14ac:dyDescent="0.35">
      <c r="A79">
        <v>78</v>
      </c>
      <c r="B79" t="s">
        <v>240</v>
      </c>
      <c r="C79" t="s">
        <v>10722</v>
      </c>
      <c r="D79" t="s">
        <v>241</v>
      </c>
      <c r="E79" t="s">
        <v>10837</v>
      </c>
      <c r="F79" t="s">
        <v>10882</v>
      </c>
      <c r="G79" t="s">
        <v>112</v>
      </c>
      <c r="I79" t="str">
        <f t="shared" si="4"/>
        <v>1796-1733</v>
      </c>
      <c r="J79" t="str">
        <f t="shared" si="5"/>
        <v>BC</v>
      </c>
      <c r="K79">
        <f t="shared" si="6"/>
        <v>-1796</v>
      </c>
      <c r="L79">
        <f t="shared" si="7"/>
        <v>-1733</v>
      </c>
    </row>
    <row r="80" spans="1:13" x14ac:dyDescent="0.35">
      <c r="A80">
        <v>79</v>
      </c>
      <c r="B80" t="s">
        <v>242</v>
      </c>
      <c r="C80" t="s">
        <v>10722</v>
      </c>
      <c r="D80" t="s">
        <v>243</v>
      </c>
      <c r="E80" t="s">
        <v>10837</v>
      </c>
      <c r="F80" t="s">
        <v>10882</v>
      </c>
      <c r="G80" t="s">
        <v>112</v>
      </c>
      <c r="I80" t="str">
        <f t="shared" si="4"/>
        <v>1796-1733</v>
      </c>
      <c r="J80" t="str">
        <f t="shared" si="5"/>
        <v>BC</v>
      </c>
      <c r="K80">
        <f t="shared" si="6"/>
        <v>-1796</v>
      </c>
      <c r="L80">
        <f t="shared" si="7"/>
        <v>-1733</v>
      </c>
    </row>
    <row r="81" spans="1:12" x14ac:dyDescent="0.35">
      <c r="A81">
        <v>80</v>
      </c>
      <c r="B81" t="s">
        <v>244</v>
      </c>
      <c r="C81" t="s">
        <v>10722</v>
      </c>
      <c r="D81" t="s">
        <v>68</v>
      </c>
      <c r="E81" t="s">
        <v>10837</v>
      </c>
      <c r="F81" t="s">
        <v>10882</v>
      </c>
      <c r="G81" t="s">
        <v>112</v>
      </c>
      <c r="I81" t="str">
        <f t="shared" si="4"/>
        <v>1796-1733</v>
      </c>
      <c r="J81" t="str">
        <f t="shared" si="5"/>
        <v>BC</v>
      </c>
      <c r="K81">
        <f t="shared" si="6"/>
        <v>-1796</v>
      </c>
      <c r="L81">
        <f t="shared" si="7"/>
        <v>-1733</v>
      </c>
    </row>
    <row r="82" spans="1:12" x14ac:dyDescent="0.35">
      <c r="A82">
        <v>81</v>
      </c>
      <c r="B82" t="s">
        <v>10836</v>
      </c>
      <c r="C82" t="s">
        <v>10722</v>
      </c>
      <c r="D82" t="s">
        <v>68</v>
      </c>
      <c r="E82" t="s">
        <v>10837</v>
      </c>
      <c r="F82" t="s">
        <v>10882</v>
      </c>
      <c r="G82" t="s">
        <v>112</v>
      </c>
      <c r="I82" t="str">
        <f t="shared" si="4"/>
        <v>1796-1733</v>
      </c>
      <c r="J82" t="str">
        <f t="shared" si="5"/>
        <v>BC</v>
      </c>
      <c r="K82">
        <f t="shared" si="6"/>
        <v>-1796</v>
      </c>
      <c r="L82">
        <f t="shared" si="7"/>
        <v>-1733</v>
      </c>
    </row>
    <row r="83" spans="1:12" x14ac:dyDescent="0.35">
      <c r="A83">
        <v>82</v>
      </c>
      <c r="B83" t="s">
        <v>10838</v>
      </c>
      <c r="C83" t="s">
        <v>10722</v>
      </c>
      <c r="D83" t="s">
        <v>245</v>
      </c>
      <c r="E83" t="s">
        <v>10837</v>
      </c>
      <c r="F83" t="s">
        <v>10882</v>
      </c>
      <c r="G83" t="s">
        <v>112</v>
      </c>
      <c r="I83" t="str">
        <f t="shared" si="4"/>
        <v>1796-1733</v>
      </c>
      <c r="J83" t="str">
        <f t="shared" si="5"/>
        <v>BC</v>
      </c>
      <c r="K83">
        <f t="shared" si="6"/>
        <v>-1796</v>
      </c>
      <c r="L83">
        <f t="shared" si="7"/>
        <v>-1733</v>
      </c>
    </row>
    <row r="84" spans="1:12" x14ac:dyDescent="0.35">
      <c r="A84">
        <v>83</v>
      </c>
      <c r="B84" t="s">
        <v>246</v>
      </c>
      <c r="C84" t="s">
        <v>10722</v>
      </c>
      <c r="D84" t="s">
        <v>247</v>
      </c>
      <c r="E84" t="s">
        <v>10837</v>
      </c>
      <c r="F84" t="s">
        <v>10882</v>
      </c>
      <c r="G84" t="s">
        <v>112</v>
      </c>
      <c r="I84" t="str">
        <f t="shared" si="4"/>
        <v>1796-1733</v>
      </c>
      <c r="J84" t="str">
        <f t="shared" si="5"/>
        <v>BC</v>
      </c>
      <c r="K84">
        <f t="shared" si="6"/>
        <v>-1796</v>
      </c>
      <c r="L84">
        <f t="shared" si="7"/>
        <v>-1733</v>
      </c>
    </row>
    <row r="85" spans="1:12" x14ac:dyDescent="0.35">
      <c r="A85">
        <v>84</v>
      </c>
      <c r="B85" t="s">
        <v>10839</v>
      </c>
      <c r="C85" t="s">
        <v>10722</v>
      </c>
      <c r="D85" t="s">
        <v>10840</v>
      </c>
      <c r="E85" t="s">
        <v>10837</v>
      </c>
      <c r="F85" t="s">
        <v>10882</v>
      </c>
      <c r="G85" t="s">
        <v>112</v>
      </c>
      <c r="I85" t="str">
        <f t="shared" si="4"/>
        <v>1796-1733</v>
      </c>
      <c r="J85" t="str">
        <f t="shared" si="5"/>
        <v>BC</v>
      </c>
      <c r="K85">
        <f t="shared" si="6"/>
        <v>-1796</v>
      </c>
      <c r="L85">
        <f t="shared" si="7"/>
        <v>-1733</v>
      </c>
    </row>
    <row r="86" spans="1:12" x14ac:dyDescent="0.35">
      <c r="A86">
        <v>85</v>
      </c>
      <c r="B86" t="s">
        <v>248</v>
      </c>
      <c r="C86" t="s">
        <v>11136</v>
      </c>
      <c r="D86" t="s">
        <v>10841</v>
      </c>
      <c r="E86" t="s">
        <v>10837</v>
      </c>
      <c r="F86" t="s">
        <v>10882</v>
      </c>
      <c r="G86" t="s">
        <v>63</v>
      </c>
      <c r="I86" t="str">
        <f t="shared" si="4"/>
        <v>1796-1733</v>
      </c>
      <c r="J86" t="str">
        <f t="shared" si="5"/>
        <v>BC</v>
      </c>
      <c r="K86">
        <f t="shared" si="6"/>
        <v>-1796</v>
      </c>
      <c r="L86">
        <f t="shared" si="7"/>
        <v>-1733</v>
      </c>
    </row>
    <row r="87" spans="1:12" x14ac:dyDescent="0.35">
      <c r="A87">
        <v>86</v>
      </c>
      <c r="B87" t="s">
        <v>249</v>
      </c>
      <c r="C87" t="s">
        <v>11107</v>
      </c>
      <c r="D87" t="s">
        <v>10842</v>
      </c>
      <c r="E87" t="s">
        <v>10837</v>
      </c>
      <c r="F87" t="s">
        <v>10882</v>
      </c>
      <c r="G87" t="s">
        <v>112</v>
      </c>
      <c r="I87" t="str">
        <f t="shared" si="4"/>
        <v>1796-1733</v>
      </c>
      <c r="J87" t="str">
        <f t="shared" si="5"/>
        <v>BC</v>
      </c>
      <c r="K87">
        <f t="shared" si="6"/>
        <v>-1796</v>
      </c>
      <c r="L87">
        <f t="shared" si="7"/>
        <v>-1733</v>
      </c>
    </row>
    <row r="88" spans="1:12" x14ac:dyDescent="0.35">
      <c r="A88">
        <v>87</v>
      </c>
      <c r="B88" t="s">
        <v>10843</v>
      </c>
      <c r="C88" t="s">
        <v>11137</v>
      </c>
      <c r="D88" t="s">
        <v>69</v>
      </c>
      <c r="E88" t="s">
        <v>10837</v>
      </c>
      <c r="F88" t="s">
        <v>10882</v>
      </c>
      <c r="G88" t="s">
        <v>112</v>
      </c>
      <c r="I88" t="str">
        <f t="shared" si="4"/>
        <v>1796-1733</v>
      </c>
      <c r="J88" t="str">
        <f t="shared" si="5"/>
        <v>BC</v>
      </c>
      <c r="K88">
        <f t="shared" si="6"/>
        <v>-1796</v>
      </c>
      <c r="L88">
        <f t="shared" si="7"/>
        <v>-1733</v>
      </c>
    </row>
    <row r="89" spans="1:12" x14ac:dyDescent="0.35">
      <c r="A89">
        <v>88</v>
      </c>
      <c r="B89" t="s">
        <v>250</v>
      </c>
      <c r="C89" t="s">
        <v>10751</v>
      </c>
      <c r="D89" t="s">
        <v>70</v>
      </c>
      <c r="E89" t="s">
        <v>251</v>
      </c>
      <c r="F89" t="s">
        <v>10882</v>
      </c>
      <c r="G89" t="s">
        <v>12556</v>
      </c>
      <c r="I89" t="str">
        <f t="shared" si="4"/>
        <v>1796-1733</v>
      </c>
      <c r="J89" t="str">
        <f t="shared" si="5"/>
        <v>BC</v>
      </c>
      <c r="K89">
        <f t="shared" si="6"/>
        <v>-1796</v>
      </c>
      <c r="L89">
        <f t="shared" si="7"/>
        <v>-1733</v>
      </c>
    </row>
    <row r="90" spans="1:12" x14ac:dyDescent="0.35">
      <c r="A90">
        <v>89</v>
      </c>
      <c r="B90" t="s">
        <v>10844</v>
      </c>
      <c r="C90" t="s">
        <v>11103</v>
      </c>
      <c r="D90" t="s">
        <v>71</v>
      </c>
      <c r="E90" t="s">
        <v>252</v>
      </c>
      <c r="F90" t="s">
        <v>10882</v>
      </c>
      <c r="G90" t="s">
        <v>63</v>
      </c>
      <c r="I90" t="str">
        <f t="shared" si="4"/>
        <v>1796-1733</v>
      </c>
      <c r="J90" t="str">
        <f t="shared" si="5"/>
        <v>BC</v>
      </c>
      <c r="K90">
        <f t="shared" si="6"/>
        <v>-1796</v>
      </c>
      <c r="L90">
        <f t="shared" si="7"/>
        <v>-1733</v>
      </c>
    </row>
    <row r="91" spans="1:12" x14ac:dyDescent="0.35">
      <c r="A91">
        <v>90</v>
      </c>
      <c r="B91" t="s">
        <v>253</v>
      </c>
      <c r="C91" t="s">
        <v>11123</v>
      </c>
      <c r="D91" t="s">
        <v>10847</v>
      </c>
      <c r="E91" t="s">
        <v>252</v>
      </c>
      <c r="F91" t="s">
        <v>10882</v>
      </c>
      <c r="G91" t="s">
        <v>63</v>
      </c>
      <c r="I91" t="str">
        <f t="shared" si="4"/>
        <v>1796-1733</v>
      </c>
      <c r="J91" t="str">
        <f t="shared" si="5"/>
        <v>BC</v>
      </c>
      <c r="K91">
        <f t="shared" si="6"/>
        <v>-1796</v>
      </c>
      <c r="L91">
        <f t="shared" si="7"/>
        <v>-1733</v>
      </c>
    </row>
    <row r="92" spans="1:12" x14ac:dyDescent="0.35">
      <c r="A92">
        <v>91</v>
      </c>
      <c r="B92" t="s">
        <v>10846</v>
      </c>
      <c r="C92" t="s">
        <v>11112</v>
      </c>
      <c r="D92" t="s">
        <v>10845</v>
      </c>
      <c r="E92" t="s">
        <v>183</v>
      </c>
      <c r="F92" t="s">
        <v>10882</v>
      </c>
      <c r="G92" t="s">
        <v>112</v>
      </c>
      <c r="I92" t="str">
        <f t="shared" si="4"/>
        <v>1796-1733</v>
      </c>
      <c r="J92" t="str">
        <f t="shared" si="5"/>
        <v>BC</v>
      </c>
      <c r="K92">
        <f t="shared" si="6"/>
        <v>-1796</v>
      </c>
      <c r="L92">
        <f t="shared" si="7"/>
        <v>-1733</v>
      </c>
    </row>
    <row r="93" spans="1:12" x14ac:dyDescent="0.35">
      <c r="A93">
        <v>92</v>
      </c>
      <c r="B93" t="s">
        <v>10848</v>
      </c>
      <c r="C93" t="s">
        <v>11138</v>
      </c>
      <c r="D93" t="s">
        <v>10849</v>
      </c>
      <c r="E93" t="s">
        <v>237</v>
      </c>
      <c r="F93" t="s">
        <v>10882</v>
      </c>
      <c r="G93" t="s">
        <v>112</v>
      </c>
      <c r="I93" t="str">
        <f t="shared" si="4"/>
        <v>1796-1733</v>
      </c>
      <c r="J93" t="str">
        <f t="shared" si="5"/>
        <v>BC</v>
      </c>
      <c r="K93">
        <f t="shared" si="6"/>
        <v>-1796</v>
      </c>
      <c r="L93">
        <f t="shared" si="7"/>
        <v>-1733</v>
      </c>
    </row>
    <row r="94" spans="1:12" x14ac:dyDescent="0.35">
      <c r="A94">
        <v>93</v>
      </c>
      <c r="B94" t="s">
        <v>10850</v>
      </c>
      <c r="C94" t="s">
        <v>11122</v>
      </c>
      <c r="D94" t="s">
        <v>10851</v>
      </c>
      <c r="E94" t="s">
        <v>237</v>
      </c>
      <c r="F94" t="s">
        <v>10882</v>
      </c>
      <c r="G94" t="s">
        <v>112</v>
      </c>
      <c r="I94" t="str">
        <f t="shared" si="4"/>
        <v>1796-1733</v>
      </c>
      <c r="J94" t="str">
        <f t="shared" si="5"/>
        <v>BC</v>
      </c>
      <c r="K94">
        <f t="shared" si="6"/>
        <v>-1796</v>
      </c>
      <c r="L94">
        <f t="shared" si="7"/>
        <v>-1733</v>
      </c>
    </row>
    <row r="95" spans="1:12" x14ac:dyDescent="0.35">
      <c r="A95">
        <v>94</v>
      </c>
      <c r="B95" t="s">
        <v>257</v>
      </c>
      <c r="C95" t="s">
        <v>12705</v>
      </c>
      <c r="D95" t="s">
        <v>10852</v>
      </c>
      <c r="E95" t="s">
        <v>258</v>
      </c>
      <c r="F95" t="s">
        <v>10879</v>
      </c>
      <c r="G95" t="s">
        <v>112</v>
      </c>
      <c r="H95" t="s">
        <v>12185</v>
      </c>
      <c r="I95" t="str">
        <f t="shared" si="4"/>
        <v>1733</v>
      </c>
      <c r="J95" t="str">
        <f t="shared" si="5"/>
        <v>BC</v>
      </c>
      <c r="K95">
        <f t="shared" si="6"/>
        <v>-1733</v>
      </c>
      <c r="L95">
        <f t="shared" si="7"/>
        <v>-1733</v>
      </c>
    </row>
    <row r="96" spans="1:12" x14ac:dyDescent="0.35">
      <c r="A96">
        <v>95</v>
      </c>
      <c r="B96" t="s">
        <v>254</v>
      </c>
      <c r="C96" t="s">
        <v>11139</v>
      </c>
      <c r="D96" t="s">
        <v>72</v>
      </c>
      <c r="E96" t="s">
        <v>10880</v>
      </c>
      <c r="F96" t="s">
        <v>10872</v>
      </c>
      <c r="G96" t="s">
        <v>112</v>
      </c>
      <c r="H96" t="s">
        <v>10881</v>
      </c>
      <c r="I96" t="str">
        <f t="shared" si="4"/>
        <v>1713</v>
      </c>
      <c r="J96" t="str">
        <f t="shared" si="5"/>
        <v>BC</v>
      </c>
      <c r="K96">
        <f t="shared" si="6"/>
        <v>-1713</v>
      </c>
      <c r="L96">
        <f t="shared" si="7"/>
        <v>-1713</v>
      </c>
    </row>
    <row r="97" spans="1:13" x14ac:dyDescent="0.35">
      <c r="A97">
        <v>96</v>
      </c>
      <c r="B97" t="s">
        <v>256</v>
      </c>
      <c r="C97" t="s">
        <v>11139</v>
      </c>
      <c r="D97" t="s">
        <v>73</v>
      </c>
      <c r="E97" t="s">
        <v>10880</v>
      </c>
      <c r="F97" t="s">
        <v>10872</v>
      </c>
      <c r="G97" t="s">
        <v>112</v>
      </c>
      <c r="H97" t="s">
        <v>10881</v>
      </c>
      <c r="I97" t="str">
        <f t="shared" si="4"/>
        <v>1713</v>
      </c>
      <c r="J97" t="str">
        <f t="shared" si="5"/>
        <v>BC</v>
      </c>
      <c r="K97">
        <f t="shared" si="6"/>
        <v>-1713</v>
      </c>
      <c r="L97">
        <f t="shared" si="7"/>
        <v>-1713</v>
      </c>
    </row>
    <row r="98" spans="1:13" x14ac:dyDescent="0.35">
      <c r="A98">
        <v>97</v>
      </c>
      <c r="B98" t="s">
        <v>259</v>
      </c>
      <c r="C98" t="s">
        <v>12705</v>
      </c>
      <c r="D98" t="s">
        <v>10853</v>
      </c>
      <c r="E98" t="s">
        <v>186</v>
      </c>
      <c r="F98" t="s">
        <v>10878</v>
      </c>
      <c r="G98" t="s">
        <v>112</v>
      </c>
      <c r="I98" t="str">
        <f t="shared" si="4"/>
        <v>1722</v>
      </c>
      <c r="J98" t="str">
        <f t="shared" si="5"/>
        <v>BC</v>
      </c>
      <c r="K98">
        <f t="shared" si="6"/>
        <v>-1722</v>
      </c>
      <c r="L98">
        <f t="shared" si="7"/>
        <v>-1722</v>
      </c>
    </row>
    <row r="99" spans="1:13" x14ac:dyDescent="0.35">
      <c r="A99">
        <v>98</v>
      </c>
      <c r="B99" t="s">
        <v>10855</v>
      </c>
      <c r="C99" t="s">
        <v>11140</v>
      </c>
      <c r="D99" t="s">
        <v>10854</v>
      </c>
      <c r="E99" t="s">
        <v>186</v>
      </c>
      <c r="F99" t="s">
        <v>10878</v>
      </c>
      <c r="G99" t="s">
        <v>10021</v>
      </c>
      <c r="I99" t="str">
        <f t="shared" si="4"/>
        <v>1722</v>
      </c>
      <c r="J99" t="str">
        <f t="shared" si="5"/>
        <v>BC</v>
      </c>
      <c r="K99">
        <f t="shared" si="6"/>
        <v>-1722</v>
      </c>
      <c r="L99">
        <f t="shared" si="7"/>
        <v>-1722</v>
      </c>
    </row>
    <row r="100" spans="1:13" x14ac:dyDescent="0.35">
      <c r="A100">
        <v>99</v>
      </c>
      <c r="B100" t="s">
        <v>260</v>
      </c>
      <c r="C100" t="s">
        <v>12705</v>
      </c>
      <c r="D100" t="s">
        <v>261</v>
      </c>
      <c r="E100" t="s">
        <v>186</v>
      </c>
      <c r="F100" t="s">
        <v>10877</v>
      </c>
      <c r="G100" t="s">
        <v>112</v>
      </c>
      <c r="H100" t="s">
        <v>12184</v>
      </c>
      <c r="I100" t="str">
        <f t="shared" si="4"/>
        <v>1720</v>
      </c>
      <c r="J100" t="str">
        <f t="shared" si="5"/>
        <v>BC</v>
      </c>
      <c r="K100">
        <f t="shared" si="6"/>
        <v>-1720</v>
      </c>
      <c r="L100">
        <f t="shared" si="7"/>
        <v>-1720</v>
      </c>
    </row>
    <row r="101" spans="1:13" x14ac:dyDescent="0.35">
      <c r="A101">
        <v>100</v>
      </c>
      <c r="B101" t="s">
        <v>10856</v>
      </c>
      <c r="C101" t="s">
        <v>11140</v>
      </c>
      <c r="D101" t="s">
        <v>10857</v>
      </c>
      <c r="E101" t="s">
        <v>186</v>
      </c>
      <c r="F101" t="s">
        <v>10877</v>
      </c>
      <c r="G101" t="s">
        <v>10021</v>
      </c>
      <c r="H101" t="s">
        <v>12183</v>
      </c>
      <c r="I101" t="str">
        <f t="shared" si="4"/>
        <v>1720</v>
      </c>
      <c r="J101" t="str">
        <f t="shared" si="5"/>
        <v>BC</v>
      </c>
      <c r="K101">
        <f t="shared" si="6"/>
        <v>-1720</v>
      </c>
      <c r="L101">
        <f t="shared" si="7"/>
        <v>-1720</v>
      </c>
    </row>
    <row r="102" spans="1:13" x14ac:dyDescent="0.35">
      <c r="A102">
        <v>101</v>
      </c>
      <c r="B102" t="s">
        <v>10874</v>
      </c>
      <c r="C102" t="s">
        <v>12706</v>
      </c>
      <c r="D102" t="s">
        <v>10876</v>
      </c>
      <c r="E102" t="s">
        <v>186</v>
      </c>
      <c r="F102" t="s">
        <v>10877</v>
      </c>
      <c r="G102" t="s">
        <v>112</v>
      </c>
      <c r="I102" t="str">
        <f t="shared" si="4"/>
        <v>1720</v>
      </c>
      <c r="J102" t="str">
        <f t="shared" si="5"/>
        <v>BC</v>
      </c>
      <c r="K102">
        <f t="shared" si="6"/>
        <v>-1720</v>
      </c>
      <c r="L102">
        <f t="shared" si="7"/>
        <v>-1720</v>
      </c>
    </row>
    <row r="103" spans="1:13" x14ac:dyDescent="0.35">
      <c r="A103">
        <v>102</v>
      </c>
      <c r="B103" t="s">
        <v>10873</v>
      </c>
      <c r="C103" t="s">
        <v>12706</v>
      </c>
      <c r="D103" t="s">
        <v>10875</v>
      </c>
      <c r="E103" t="s">
        <v>186</v>
      </c>
      <c r="F103" t="s">
        <v>10872</v>
      </c>
      <c r="G103" t="s">
        <v>112</v>
      </c>
      <c r="I103" t="str">
        <f t="shared" si="4"/>
        <v>1713</v>
      </c>
      <c r="J103" t="str">
        <f t="shared" si="5"/>
        <v>BC</v>
      </c>
      <c r="K103">
        <f t="shared" si="6"/>
        <v>-1713</v>
      </c>
      <c r="L103">
        <f t="shared" si="7"/>
        <v>-1713</v>
      </c>
    </row>
    <row r="104" spans="1:13" x14ac:dyDescent="0.35">
      <c r="A104">
        <v>103</v>
      </c>
      <c r="B104" t="s">
        <v>262</v>
      </c>
      <c r="C104" t="s">
        <v>12707</v>
      </c>
      <c r="D104" t="s">
        <v>74</v>
      </c>
      <c r="E104" t="s">
        <v>233</v>
      </c>
      <c r="F104" t="s">
        <v>10871</v>
      </c>
      <c r="G104" t="s">
        <v>112</v>
      </c>
      <c r="H104" t="s">
        <v>12182</v>
      </c>
      <c r="I104" t="str">
        <f t="shared" si="4"/>
        <v>1706</v>
      </c>
      <c r="J104" t="str">
        <f t="shared" si="5"/>
        <v>BC</v>
      </c>
      <c r="K104">
        <f t="shared" si="6"/>
        <v>-1706</v>
      </c>
      <c r="L104">
        <f t="shared" si="7"/>
        <v>-1706</v>
      </c>
      <c r="M104">
        <v>2238</v>
      </c>
    </row>
    <row r="105" spans="1:13" x14ac:dyDescent="0.35">
      <c r="A105">
        <v>104</v>
      </c>
      <c r="B105" t="s">
        <v>10859</v>
      </c>
      <c r="C105" t="s">
        <v>10066</v>
      </c>
      <c r="D105" t="s">
        <v>10862</v>
      </c>
      <c r="E105" t="s">
        <v>10890</v>
      </c>
      <c r="F105" t="s">
        <v>10860</v>
      </c>
      <c r="G105" t="s">
        <v>12501</v>
      </c>
      <c r="H105" t="s">
        <v>12181</v>
      </c>
      <c r="I105" t="str">
        <f t="shared" si="4"/>
        <v>1689</v>
      </c>
      <c r="J105" t="str">
        <f t="shared" si="5"/>
        <v>BC</v>
      </c>
      <c r="K105">
        <f t="shared" si="6"/>
        <v>-1689</v>
      </c>
      <c r="L105">
        <f t="shared" si="7"/>
        <v>-1689</v>
      </c>
    </row>
    <row r="106" spans="1:13" x14ac:dyDescent="0.35">
      <c r="A106">
        <v>105</v>
      </c>
      <c r="B106" t="s">
        <v>10863</v>
      </c>
      <c r="C106" t="s">
        <v>9678</v>
      </c>
      <c r="D106" t="s">
        <v>10864</v>
      </c>
      <c r="E106" t="s">
        <v>10890</v>
      </c>
      <c r="F106" t="s">
        <v>10888</v>
      </c>
      <c r="G106" t="s">
        <v>112</v>
      </c>
      <c r="I106" t="str">
        <f t="shared" si="4"/>
        <v>1356</v>
      </c>
      <c r="J106" t="str">
        <f t="shared" si="5"/>
        <v>BC</v>
      </c>
      <c r="K106">
        <f t="shared" si="6"/>
        <v>-1356</v>
      </c>
      <c r="L106">
        <f t="shared" si="7"/>
        <v>-1356</v>
      </c>
    </row>
    <row r="107" spans="1:13" x14ac:dyDescent="0.35">
      <c r="A107">
        <v>106</v>
      </c>
      <c r="B107" t="s">
        <v>302</v>
      </c>
      <c r="C107" t="s">
        <v>11141</v>
      </c>
      <c r="D107" t="s">
        <v>303</v>
      </c>
      <c r="E107" t="s">
        <v>186</v>
      </c>
      <c r="F107" t="s">
        <v>10889</v>
      </c>
      <c r="G107" t="s">
        <v>112</v>
      </c>
      <c r="H107" t="s">
        <v>12180</v>
      </c>
      <c r="I107" t="str">
        <f t="shared" si="4"/>
        <v>1316-1276</v>
      </c>
      <c r="J107" t="str">
        <f t="shared" si="5"/>
        <v>BC</v>
      </c>
      <c r="K107">
        <f t="shared" si="6"/>
        <v>-1316</v>
      </c>
      <c r="L107">
        <f t="shared" si="7"/>
        <v>-1276</v>
      </c>
    </row>
    <row r="108" spans="1:13" x14ac:dyDescent="0.35">
      <c r="A108">
        <v>107</v>
      </c>
      <c r="B108" t="s">
        <v>10893</v>
      </c>
      <c r="C108" t="s">
        <v>10751</v>
      </c>
      <c r="D108" t="s">
        <v>10891</v>
      </c>
      <c r="E108" t="s">
        <v>357</v>
      </c>
      <c r="F108" t="s">
        <v>10884</v>
      </c>
      <c r="G108" t="s">
        <v>63</v>
      </c>
      <c r="H108" t="s">
        <v>12179</v>
      </c>
      <c r="I108" t="str">
        <f t="shared" si="4"/>
        <v>1276</v>
      </c>
      <c r="J108" t="str">
        <f t="shared" si="5"/>
        <v>BC</v>
      </c>
      <c r="K108">
        <f t="shared" si="6"/>
        <v>-1276</v>
      </c>
      <c r="L108">
        <f t="shared" si="7"/>
        <v>-1276</v>
      </c>
    </row>
    <row r="109" spans="1:13" x14ac:dyDescent="0.35">
      <c r="A109">
        <v>108</v>
      </c>
      <c r="B109" t="s">
        <v>10892</v>
      </c>
      <c r="C109" t="s">
        <v>11112</v>
      </c>
      <c r="D109" t="s">
        <v>10894</v>
      </c>
      <c r="E109" t="s">
        <v>357</v>
      </c>
      <c r="F109" t="s">
        <v>10884</v>
      </c>
      <c r="G109" t="s">
        <v>112</v>
      </c>
      <c r="I109" t="str">
        <f t="shared" si="4"/>
        <v>1276</v>
      </c>
      <c r="J109" t="str">
        <f t="shared" si="5"/>
        <v>BC</v>
      </c>
      <c r="K109">
        <f t="shared" si="6"/>
        <v>-1276</v>
      </c>
      <c r="L109">
        <f t="shared" si="7"/>
        <v>-1276</v>
      </c>
    </row>
    <row r="110" spans="1:13" x14ac:dyDescent="0.35">
      <c r="A110">
        <v>109</v>
      </c>
      <c r="B110" t="s">
        <v>305</v>
      </c>
      <c r="C110" t="s">
        <v>10896</v>
      </c>
      <c r="D110" t="s">
        <v>10898</v>
      </c>
      <c r="E110" t="s">
        <v>357</v>
      </c>
      <c r="F110" t="s">
        <v>10884</v>
      </c>
      <c r="G110" t="s">
        <v>8297</v>
      </c>
      <c r="I110" t="str">
        <f t="shared" si="4"/>
        <v>1276</v>
      </c>
      <c r="J110" t="str">
        <f t="shared" si="5"/>
        <v>BC</v>
      </c>
      <c r="K110">
        <f t="shared" si="6"/>
        <v>-1276</v>
      </c>
      <c r="L110">
        <f t="shared" si="7"/>
        <v>-1276</v>
      </c>
    </row>
    <row r="111" spans="1:13" x14ac:dyDescent="0.35">
      <c r="A111">
        <v>110</v>
      </c>
      <c r="B111" t="s">
        <v>10897</v>
      </c>
      <c r="C111" t="s">
        <v>10896</v>
      </c>
      <c r="D111" t="s">
        <v>10899</v>
      </c>
      <c r="E111" t="s">
        <v>357</v>
      </c>
      <c r="F111" t="s">
        <v>10884</v>
      </c>
      <c r="G111" t="s">
        <v>8297</v>
      </c>
      <c r="I111" t="str">
        <f t="shared" si="4"/>
        <v>1276</v>
      </c>
      <c r="J111" t="str">
        <f t="shared" si="5"/>
        <v>BC</v>
      </c>
      <c r="K111">
        <f t="shared" si="6"/>
        <v>-1276</v>
      </c>
      <c r="L111">
        <f t="shared" si="7"/>
        <v>-1276</v>
      </c>
    </row>
    <row r="112" spans="1:13" x14ac:dyDescent="0.35">
      <c r="A112">
        <v>111</v>
      </c>
      <c r="B112" t="s">
        <v>10900</v>
      </c>
      <c r="C112" t="s">
        <v>11142</v>
      </c>
      <c r="D112" t="s">
        <v>10901</v>
      </c>
      <c r="E112" t="s">
        <v>357</v>
      </c>
      <c r="F112" t="s">
        <v>10884</v>
      </c>
      <c r="G112" t="s">
        <v>8297</v>
      </c>
      <c r="I112" t="str">
        <f t="shared" si="4"/>
        <v>1276</v>
      </c>
      <c r="J112" t="str">
        <f t="shared" si="5"/>
        <v>BC</v>
      </c>
      <c r="K112">
        <f t="shared" si="6"/>
        <v>-1276</v>
      </c>
      <c r="L112">
        <f t="shared" si="7"/>
        <v>-1276</v>
      </c>
    </row>
    <row r="113" spans="1:12" x14ac:dyDescent="0.35">
      <c r="A113">
        <v>112</v>
      </c>
      <c r="B113" t="s">
        <v>10903</v>
      </c>
      <c r="C113" t="s">
        <v>11143</v>
      </c>
      <c r="D113" t="s">
        <v>10902</v>
      </c>
      <c r="E113" t="s">
        <v>357</v>
      </c>
      <c r="F113" t="s">
        <v>10884</v>
      </c>
      <c r="G113" t="s">
        <v>8297</v>
      </c>
      <c r="I113" t="str">
        <f t="shared" si="4"/>
        <v>1276</v>
      </c>
      <c r="J113" t="str">
        <f t="shared" si="5"/>
        <v>BC</v>
      </c>
      <c r="K113">
        <f t="shared" si="6"/>
        <v>-1276</v>
      </c>
      <c r="L113">
        <f t="shared" si="7"/>
        <v>-1276</v>
      </c>
    </row>
    <row r="114" spans="1:12" x14ac:dyDescent="0.35">
      <c r="A114">
        <v>113</v>
      </c>
      <c r="B114" t="s">
        <v>10904</v>
      </c>
      <c r="C114" t="s">
        <v>10896</v>
      </c>
      <c r="D114" t="s">
        <v>306</v>
      </c>
      <c r="E114" t="s">
        <v>357</v>
      </c>
      <c r="F114" t="s">
        <v>10884</v>
      </c>
      <c r="G114" t="s">
        <v>112</v>
      </c>
      <c r="I114" t="str">
        <f t="shared" si="4"/>
        <v>1276</v>
      </c>
      <c r="J114" t="str">
        <f t="shared" si="5"/>
        <v>BC</v>
      </c>
      <c r="K114">
        <f t="shared" si="6"/>
        <v>-1276</v>
      </c>
      <c r="L114">
        <f t="shared" si="7"/>
        <v>-1276</v>
      </c>
    </row>
    <row r="115" spans="1:12" x14ac:dyDescent="0.35">
      <c r="A115">
        <v>114</v>
      </c>
      <c r="B115" t="s">
        <v>10905</v>
      </c>
      <c r="C115" t="s">
        <v>11144</v>
      </c>
      <c r="D115" t="s">
        <v>10906</v>
      </c>
      <c r="E115" t="s">
        <v>357</v>
      </c>
      <c r="F115" t="s">
        <v>10884</v>
      </c>
      <c r="G115" t="s">
        <v>112</v>
      </c>
      <c r="I115" t="str">
        <f t="shared" si="4"/>
        <v>1276</v>
      </c>
      <c r="J115" t="str">
        <f t="shared" si="5"/>
        <v>BC</v>
      </c>
      <c r="K115">
        <f t="shared" si="6"/>
        <v>-1276</v>
      </c>
      <c r="L115">
        <f t="shared" si="7"/>
        <v>-1276</v>
      </c>
    </row>
    <row r="116" spans="1:12" x14ac:dyDescent="0.35">
      <c r="A116">
        <v>115</v>
      </c>
      <c r="B116" t="s">
        <v>307</v>
      </c>
      <c r="C116" t="s">
        <v>11145</v>
      </c>
      <c r="D116" t="s">
        <v>308</v>
      </c>
      <c r="E116" t="s">
        <v>357</v>
      </c>
      <c r="F116" t="s">
        <v>10884</v>
      </c>
      <c r="G116" t="s">
        <v>112</v>
      </c>
      <c r="I116" t="str">
        <f t="shared" si="4"/>
        <v>1276</v>
      </c>
      <c r="J116" t="str">
        <f t="shared" si="5"/>
        <v>BC</v>
      </c>
      <c r="K116">
        <f t="shared" si="6"/>
        <v>-1276</v>
      </c>
      <c r="L116">
        <f t="shared" si="7"/>
        <v>-1276</v>
      </c>
    </row>
    <row r="117" spans="1:12" x14ac:dyDescent="0.35">
      <c r="A117">
        <v>116</v>
      </c>
      <c r="B117" t="s">
        <v>309</v>
      </c>
      <c r="C117" t="s">
        <v>11107</v>
      </c>
      <c r="D117" t="s">
        <v>310</v>
      </c>
      <c r="E117" t="s">
        <v>311</v>
      </c>
      <c r="F117" t="s">
        <v>10884</v>
      </c>
      <c r="G117" t="s">
        <v>112</v>
      </c>
      <c r="I117" t="str">
        <f t="shared" si="4"/>
        <v>1276</v>
      </c>
      <c r="J117" t="str">
        <f t="shared" si="5"/>
        <v>BC</v>
      </c>
      <c r="K117">
        <f t="shared" si="6"/>
        <v>-1276</v>
      </c>
      <c r="L117">
        <f t="shared" si="7"/>
        <v>-1276</v>
      </c>
    </row>
    <row r="118" spans="1:12" x14ac:dyDescent="0.35">
      <c r="A118">
        <v>117</v>
      </c>
      <c r="B118" t="s">
        <v>312</v>
      </c>
      <c r="C118" t="s">
        <v>11117</v>
      </c>
      <c r="D118" t="s">
        <v>313</v>
      </c>
      <c r="E118" t="s">
        <v>314</v>
      </c>
      <c r="F118" t="s">
        <v>10884</v>
      </c>
      <c r="G118" t="s">
        <v>112</v>
      </c>
      <c r="I118" t="str">
        <f t="shared" si="4"/>
        <v>1276</v>
      </c>
      <c r="J118" t="str">
        <f t="shared" si="5"/>
        <v>BC</v>
      </c>
      <c r="K118">
        <f t="shared" si="6"/>
        <v>-1276</v>
      </c>
      <c r="L118">
        <f t="shared" si="7"/>
        <v>-1276</v>
      </c>
    </row>
    <row r="119" spans="1:12" x14ac:dyDescent="0.35">
      <c r="A119">
        <v>118</v>
      </c>
      <c r="B119" t="s">
        <v>315</v>
      </c>
      <c r="C119" t="s">
        <v>11112</v>
      </c>
      <c r="D119" t="s">
        <v>316</v>
      </c>
      <c r="E119" t="s">
        <v>317</v>
      </c>
      <c r="F119" t="s">
        <v>10884</v>
      </c>
      <c r="G119" t="s">
        <v>112</v>
      </c>
      <c r="I119" t="str">
        <f t="shared" si="4"/>
        <v>1276</v>
      </c>
      <c r="J119" t="str">
        <f t="shared" si="5"/>
        <v>BC</v>
      </c>
      <c r="K119">
        <f t="shared" si="6"/>
        <v>-1276</v>
      </c>
      <c r="L119">
        <f t="shared" si="7"/>
        <v>-1276</v>
      </c>
    </row>
    <row r="120" spans="1:12" x14ac:dyDescent="0.35">
      <c r="A120">
        <v>119</v>
      </c>
      <c r="B120" t="s">
        <v>10907</v>
      </c>
      <c r="C120" t="s">
        <v>12708</v>
      </c>
      <c r="D120" t="s">
        <v>10909</v>
      </c>
      <c r="E120" t="s">
        <v>186</v>
      </c>
      <c r="F120" t="s">
        <v>10884</v>
      </c>
      <c r="G120" t="s">
        <v>12502</v>
      </c>
      <c r="I120" t="str">
        <f t="shared" si="4"/>
        <v>1276</v>
      </c>
      <c r="J120" t="str">
        <f t="shared" si="5"/>
        <v>BC</v>
      </c>
      <c r="K120">
        <f t="shared" si="6"/>
        <v>-1276</v>
      </c>
      <c r="L120">
        <f t="shared" si="7"/>
        <v>-1276</v>
      </c>
    </row>
    <row r="121" spans="1:12" x14ac:dyDescent="0.35">
      <c r="A121">
        <v>120</v>
      </c>
      <c r="B121" t="s">
        <v>10908</v>
      </c>
      <c r="C121" t="s">
        <v>12708</v>
      </c>
      <c r="D121" t="s">
        <v>10910</v>
      </c>
      <c r="E121" t="s">
        <v>186</v>
      </c>
      <c r="F121" t="s">
        <v>10884</v>
      </c>
      <c r="G121" t="s">
        <v>12502</v>
      </c>
      <c r="I121" t="str">
        <f t="shared" si="4"/>
        <v>1276</v>
      </c>
      <c r="J121" t="str">
        <f t="shared" si="5"/>
        <v>BC</v>
      </c>
      <c r="K121">
        <f t="shared" si="6"/>
        <v>-1276</v>
      </c>
      <c r="L121">
        <f t="shared" si="7"/>
        <v>-1276</v>
      </c>
    </row>
    <row r="122" spans="1:12" x14ac:dyDescent="0.35">
      <c r="A122">
        <v>121</v>
      </c>
      <c r="B122" t="s">
        <v>318</v>
      </c>
      <c r="C122" t="s">
        <v>10047</v>
      </c>
      <c r="D122" t="s">
        <v>10955</v>
      </c>
      <c r="E122" t="s">
        <v>186</v>
      </c>
      <c r="F122" t="s">
        <v>10884</v>
      </c>
      <c r="G122" t="s">
        <v>112</v>
      </c>
      <c r="I122" t="str">
        <f t="shared" si="4"/>
        <v>1276</v>
      </c>
      <c r="J122" t="str">
        <f t="shared" si="5"/>
        <v>BC</v>
      </c>
      <c r="K122">
        <f t="shared" si="6"/>
        <v>-1276</v>
      </c>
      <c r="L122">
        <f t="shared" si="7"/>
        <v>-1276</v>
      </c>
    </row>
    <row r="123" spans="1:12" x14ac:dyDescent="0.35">
      <c r="A123">
        <v>122</v>
      </c>
      <c r="B123" t="s">
        <v>10911</v>
      </c>
      <c r="C123" t="s">
        <v>11120</v>
      </c>
      <c r="D123" t="s">
        <v>320</v>
      </c>
      <c r="E123" t="s">
        <v>186</v>
      </c>
      <c r="F123" t="s">
        <v>10884</v>
      </c>
      <c r="G123" t="s">
        <v>112</v>
      </c>
      <c r="I123" t="str">
        <f t="shared" si="4"/>
        <v>1276</v>
      </c>
      <c r="J123" t="str">
        <f t="shared" si="5"/>
        <v>BC</v>
      </c>
      <c r="K123">
        <f t="shared" si="6"/>
        <v>-1276</v>
      </c>
      <c r="L123">
        <f t="shared" si="7"/>
        <v>-1276</v>
      </c>
    </row>
    <row r="124" spans="1:12" x14ac:dyDescent="0.35">
      <c r="A124">
        <v>123</v>
      </c>
      <c r="B124" t="s">
        <v>10912</v>
      </c>
      <c r="C124" t="s">
        <v>11112</v>
      </c>
      <c r="D124" t="s">
        <v>10913</v>
      </c>
      <c r="E124" t="s">
        <v>186</v>
      </c>
      <c r="F124" t="s">
        <v>10884</v>
      </c>
      <c r="G124" t="s">
        <v>112</v>
      </c>
      <c r="I124" t="str">
        <f t="shared" si="4"/>
        <v>1276</v>
      </c>
      <c r="J124" t="str">
        <f t="shared" si="5"/>
        <v>BC</v>
      </c>
      <c r="K124">
        <f t="shared" si="6"/>
        <v>-1276</v>
      </c>
      <c r="L124">
        <f t="shared" si="7"/>
        <v>-1276</v>
      </c>
    </row>
    <row r="125" spans="1:12" x14ac:dyDescent="0.35">
      <c r="A125">
        <v>124</v>
      </c>
      <c r="B125" t="s">
        <v>10914</v>
      </c>
      <c r="C125" t="s">
        <v>11125</v>
      </c>
      <c r="D125" t="s">
        <v>10915</v>
      </c>
      <c r="E125" t="s">
        <v>186</v>
      </c>
      <c r="F125" t="s">
        <v>10884</v>
      </c>
      <c r="G125" t="s">
        <v>112</v>
      </c>
      <c r="I125" t="str">
        <f t="shared" si="4"/>
        <v>1276</v>
      </c>
      <c r="J125" t="str">
        <f t="shared" si="5"/>
        <v>BC</v>
      </c>
      <c r="K125">
        <f t="shared" si="6"/>
        <v>-1276</v>
      </c>
      <c r="L125">
        <f t="shared" si="7"/>
        <v>-1276</v>
      </c>
    </row>
    <row r="126" spans="1:12" x14ac:dyDescent="0.35">
      <c r="A126">
        <v>125</v>
      </c>
      <c r="B126" t="s">
        <v>10921</v>
      </c>
      <c r="C126" t="s">
        <v>11112</v>
      </c>
      <c r="D126" t="s">
        <v>10916</v>
      </c>
      <c r="E126" t="s">
        <v>186</v>
      </c>
      <c r="F126" t="s">
        <v>10884</v>
      </c>
      <c r="G126" t="s">
        <v>12502</v>
      </c>
      <c r="H126" t="s">
        <v>12178</v>
      </c>
      <c r="I126" t="str">
        <f t="shared" si="4"/>
        <v>1276</v>
      </c>
      <c r="J126" t="str">
        <f t="shared" si="5"/>
        <v>BC</v>
      </c>
      <c r="K126">
        <f t="shared" si="6"/>
        <v>-1276</v>
      </c>
      <c r="L126">
        <f t="shared" si="7"/>
        <v>-1276</v>
      </c>
    </row>
    <row r="127" spans="1:12" x14ac:dyDescent="0.35">
      <c r="A127">
        <v>126</v>
      </c>
      <c r="B127" t="s">
        <v>10895</v>
      </c>
      <c r="C127" t="s">
        <v>10896</v>
      </c>
      <c r="D127" t="s">
        <v>10917</v>
      </c>
      <c r="E127" t="s">
        <v>186</v>
      </c>
      <c r="F127" t="s">
        <v>10884</v>
      </c>
      <c r="G127" t="s">
        <v>12503</v>
      </c>
      <c r="I127" t="str">
        <f t="shared" si="4"/>
        <v>1276</v>
      </c>
      <c r="J127" t="str">
        <f t="shared" si="5"/>
        <v>BC</v>
      </c>
      <c r="K127">
        <f t="shared" si="6"/>
        <v>-1276</v>
      </c>
      <c r="L127">
        <f t="shared" si="7"/>
        <v>-1276</v>
      </c>
    </row>
    <row r="128" spans="1:12" x14ac:dyDescent="0.35">
      <c r="A128">
        <v>127</v>
      </c>
      <c r="B128" t="s">
        <v>10922</v>
      </c>
      <c r="C128" t="s">
        <v>10719</v>
      </c>
      <c r="D128" t="s">
        <v>10923</v>
      </c>
      <c r="E128" t="s">
        <v>186</v>
      </c>
      <c r="F128" t="s">
        <v>10884</v>
      </c>
      <c r="G128" t="s">
        <v>12502</v>
      </c>
      <c r="I128" t="str">
        <f t="shared" si="4"/>
        <v>1276</v>
      </c>
      <c r="J128" t="str">
        <f t="shared" si="5"/>
        <v>BC</v>
      </c>
      <c r="K128">
        <f t="shared" si="6"/>
        <v>-1276</v>
      </c>
      <c r="L128">
        <f t="shared" si="7"/>
        <v>-1276</v>
      </c>
    </row>
    <row r="129" spans="1:12" x14ac:dyDescent="0.35">
      <c r="A129">
        <v>128</v>
      </c>
      <c r="B129" t="s">
        <v>10918</v>
      </c>
      <c r="C129" t="s">
        <v>11112</v>
      </c>
      <c r="D129" t="s">
        <v>10925</v>
      </c>
      <c r="E129" t="s">
        <v>186</v>
      </c>
      <c r="F129" t="s">
        <v>10884</v>
      </c>
      <c r="G129" t="s">
        <v>12502</v>
      </c>
      <c r="I129" t="str">
        <f t="shared" si="4"/>
        <v>1276</v>
      </c>
      <c r="J129" t="str">
        <f t="shared" si="5"/>
        <v>BC</v>
      </c>
      <c r="K129">
        <f t="shared" si="6"/>
        <v>-1276</v>
      </c>
      <c r="L129">
        <f t="shared" si="7"/>
        <v>-1276</v>
      </c>
    </row>
    <row r="130" spans="1:12" x14ac:dyDescent="0.35">
      <c r="A130">
        <v>129</v>
      </c>
      <c r="B130" t="s">
        <v>321</v>
      </c>
      <c r="C130" t="s">
        <v>10924</v>
      </c>
      <c r="D130" t="s">
        <v>10919</v>
      </c>
      <c r="E130" t="s">
        <v>322</v>
      </c>
      <c r="F130" t="s">
        <v>10884</v>
      </c>
      <c r="G130" t="s">
        <v>12502</v>
      </c>
      <c r="I130" t="str">
        <f t="shared" ref="I130:I193" si="8">SUBSTITUTE(SUBSTITUTE(SUBSTITUTE(F130,"c. ","")," BC","")," AD","")</f>
        <v>1276</v>
      </c>
      <c r="J130" t="str">
        <f t="shared" ref="J130:J193" si="9">RIGHT(F130, 2)</f>
        <v>BC</v>
      </c>
      <c r="K130">
        <f t="shared" ref="K130:K193" si="10">IF(J130="BC", 0-IF(ISERROR(FIND("-",I130)),I130,LEFT(I130,FIND("-",I130)-1)), IF(ISERROR(FIND("-",I130)),I130,LEFT(I130,FIND("-",I130)-1)))</f>
        <v>-1276</v>
      </c>
      <c r="L130">
        <f t="shared" ref="L130:L193" si="11">IF(J130="BC", 0-IF(ISERROR(FIND("-",I130)),I130,RIGHT(I130,FIND("-",I130)-1)), IF(ISERROR(FIND("-",I130)),I130,RIGHT(I130,FIND("-",I130)-1)))</f>
        <v>-1276</v>
      </c>
    </row>
    <row r="131" spans="1:12" x14ac:dyDescent="0.35">
      <c r="A131">
        <v>130</v>
      </c>
      <c r="B131" t="s">
        <v>10922</v>
      </c>
      <c r="C131" t="s">
        <v>10719</v>
      </c>
      <c r="D131" t="s">
        <v>10926</v>
      </c>
      <c r="E131" t="s">
        <v>322</v>
      </c>
      <c r="F131" t="s">
        <v>10884</v>
      </c>
      <c r="G131" t="s">
        <v>12502</v>
      </c>
      <c r="I131" t="str">
        <f t="shared" si="8"/>
        <v>1276</v>
      </c>
      <c r="J131" t="str">
        <f t="shared" si="9"/>
        <v>BC</v>
      </c>
      <c r="K131">
        <f t="shared" si="10"/>
        <v>-1276</v>
      </c>
      <c r="L131">
        <f t="shared" si="11"/>
        <v>-1276</v>
      </c>
    </row>
    <row r="132" spans="1:12" x14ac:dyDescent="0.35">
      <c r="A132">
        <v>131</v>
      </c>
      <c r="B132" t="s">
        <v>10920</v>
      </c>
      <c r="C132" t="s">
        <v>11112</v>
      </c>
      <c r="D132" t="s">
        <v>10927</v>
      </c>
      <c r="E132" t="s">
        <v>186</v>
      </c>
      <c r="F132" t="s">
        <v>10884</v>
      </c>
      <c r="G132" t="s">
        <v>12502</v>
      </c>
      <c r="I132" t="str">
        <f t="shared" si="8"/>
        <v>1276</v>
      </c>
      <c r="J132" t="str">
        <f t="shared" si="9"/>
        <v>BC</v>
      </c>
      <c r="K132">
        <f t="shared" si="10"/>
        <v>-1276</v>
      </c>
      <c r="L132">
        <f t="shared" si="11"/>
        <v>-1276</v>
      </c>
    </row>
    <row r="133" spans="1:12" x14ac:dyDescent="0.35">
      <c r="A133">
        <v>132</v>
      </c>
      <c r="B133" t="s">
        <v>323</v>
      </c>
      <c r="C133" t="s">
        <v>11146</v>
      </c>
      <c r="D133" t="s">
        <v>10928</v>
      </c>
      <c r="E133" t="s">
        <v>186</v>
      </c>
      <c r="F133" t="s">
        <v>10884</v>
      </c>
      <c r="G133" t="s">
        <v>12502</v>
      </c>
      <c r="I133" t="str">
        <f t="shared" si="8"/>
        <v>1276</v>
      </c>
      <c r="J133" t="str">
        <f t="shared" si="9"/>
        <v>BC</v>
      </c>
      <c r="K133">
        <f t="shared" si="10"/>
        <v>-1276</v>
      </c>
      <c r="L133">
        <f t="shared" si="11"/>
        <v>-1276</v>
      </c>
    </row>
    <row r="134" spans="1:12" x14ac:dyDescent="0.35">
      <c r="A134">
        <v>133</v>
      </c>
      <c r="B134" t="s">
        <v>10930</v>
      </c>
      <c r="C134" t="s">
        <v>11104</v>
      </c>
      <c r="D134" t="s">
        <v>10929</v>
      </c>
      <c r="E134" t="s">
        <v>186</v>
      </c>
      <c r="F134" t="s">
        <v>10884</v>
      </c>
      <c r="G134" t="s">
        <v>12502</v>
      </c>
      <c r="I134" t="str">
        <f t="shared" si="8"/>
        <v>1276</v>
      </c>
      <c r="J134" t="str">
        <f t="shared" si="9"/>
        <v>BC</v>
      </c>
      <c r="K134">
        <f t="shared" si="10"/>
        <v>-1276</v>
      </c>
      <c r="L134">
        <f t="shared" si="11"/>
        <v>-1276</v>
      </c>
    </row>
    <row r="135" spans="1:12" x14ac:dyDescent="0.35">
      <c r="A135">
        <v>134</v>
      </c>
      <c r="B135" t="s">
        <v>10931</v>
      </c>
      <c r="C135" t="s">
        <v>11112</v>
      </c>
      <c r="D135" t="s">
        <v>10932</v>
      </c>
      <c r="E135" t="s">
        <v>186</v>
      </c>
      <c r="F135" t="s">
        <v>10884</v>
      </c>
      <c r="G135" t="s">
        <v>12502</v>
      </c>
      <c r="I135" t="str">
        <f t="shared" si="8"/>
        <v>1276</v>
      </c>
      <c r="J135" t="str">
        <f t="shared" si="9"/>
        <v>BC</v>
      </c>
      <c r="K135">
        <f t="shared" si="10"/>
        <v>-1276</v>
      </c>
      <c r="L135">
        <f t="shared" si="11"/>
        <v>-1276</v>
      </c>
    </row>
    <row r="136" spans="1:12" x14ac:dyDescent="0.35">
      <c r="A136">
        <v>135</v>
      </c>
      <c r="B136" t="s">
        <v>324</v>
      </c>
      <c r="C136" t="s">
        <v>11147</v>
      </c>
      <c r="D136" t="s">
        <v>10933</v>
      </c>
      <c r="E136" t="s">
        <v>186</v>
      </c>
      <c r="F136" t="s">
        <v>10884</v>
      </c>
      <c r="G136" t="s">
        <v>12502</v>
      </c>
      <c r="I136" t="str">
        <f t="shared" si="8"/>
        <v>1276</v>
      </c>
      <c r="J136" t="str">
        <f t="shared" si="9"/>
        <v>BC</v>
      </c>
      <c r="K136">
        <f t="shared" si="10"/>
        <v>-1276</v>
      </c>
      <c r="L136">
        <f t="shared" si="11"/>
        <v>-1276</v>
      </c>
    </row>
    <row r="137" spans="1:12" x14ac:dyDescent="0.35">
      <c r="A137">
        <v>136</v>
      </c>
      <c r="B137" t="s">
        <v>10922</v>
      </c>
      <c r="C137" t="s">
        <v>10719</v>
      </c>
      <c r="D137" t="s">
        <v>10934</v>
      </c>
      <c r="E137" t="s">
        <v>186</v>
      </c>
      <c r="F137" t="s">
        <v>10884</v>
      </c>
      <c r="G137" t="s">
        <v>12502</v>
      </c>
      <c r="I137" t="str">
        <f t="shared" si="8"/>
        <v>1276</v>
      </c>
      <c r="J137" t="str">
        <f t="shared" si="9"/>
        <v>BC</v>
      </c>
      <c r="K137">
        <f t="shared" si="10"/>
        <v>-1276</v>
      </c>
      <c r="L137">
        <f t="shared" si="11"/>
        <v>-1276</v>
      </c>
    </row>
    <row r="138" spans="1:12" x14ac:dyDescent="0.35">
      <c r="A138">
        <v>137</v>
      </c>
      <c r="B138" t="s">
        <v>325</v>
      </c>
      <c r="C138" t="s">
        <v>11148</v>
      </c>
      <c r="D138" t="s">
        <v>10935</v>
      </c>
      <c r="E138" t="s">
        <v>326</v>
      </c>
      <c r="F138" t="s">
        <v>10884</v>
      </c>
      <c r="G138" t="s">
        <v>112</v>
      </c>
      <c r="I138" t="str">
        <f t="shared" si="8"/>
        <v>1276</v>
      </c>
      <c r="J138" t="str">
        <f t="shared" si="9"/>
        <v>BC</v>
      </c>
      <c r="K138">
        <f t="shared" si="10"/>
        <v>-1276</v>
      </c>
      <c r="L138">
        <f t="shared" si="11"/>
        <v>-1276</v>
      </c>
    </row>
    <row r="139" spans="1:12" x14ac:dyDescent="0.35">
      <c r="A139">
        <v>138</v>
      </c>
      <c r="B139" t="s">
        <v>10936</v>
      </c>
      <c r="C139" t="s">
        <v>12709</v>
      </c>
      <c r="D139" t="s">
        <v>10937</v>
      </c>
      <c r="E139" t="s">
        <v>186</v>
      </c>
      <c r="F139" t="s">
        <v>10884</v>
      </c>
      <c r="G139" t="s">
        <v>12502</v>
      </c>
      <c r="I139" t="str">
        <f t="shared" si="8"/>
        <v>1276</v>
      </c>
      <c r="J139" t="str">
        <f t="shared" si="9"/>
        <v>BC</v>
      </c>
      <c r="K139">
        <f t="shared" si="10"/>
        <v>-1276</v>
      </c>
      <c r="L139">
        <f t="shared" si="11"/>
        <v>-1276</v>
      </c>
    </row>
    <row r="140" spans="1:12" x14ac:dyDescent="0.35">
      <c r="A140">
        <v>139</v>
      </c>
      <c r="B140" t="s">
        <v>10922</v>
      </c>
      <c r="C140" t="s">
        <v>10719</v>
      </c>
      <c r="D140" t="s">
        <v>10938</v>
      </c>
      <c r="E140" t="s">
        <v>186</v>
      </c>
      <c r="F140" t="s">
        <v>10884</v>
      </c>
      <c r="G140" t="s">
        <v>12502</v>
      </c>
      <c r="I140" t="str">
        <f t="shared" si="8"/>
        <v>1276</v>
      </c>
      <c r="J140" t="str">
        <f t="shared" si="9"/>
        <v>BC</v>
      </c>
      <c r="K140">
        <f t="shared" si="10"/>
        <v>-1276</v>
      </c>
      <c r="L140">
        <f t="shared" si="11"/>
        <v>-1276</v>
      </c>
    </row>
    <row r="141" spans="1:12" x14ac:dyDescent="0.35">
      <c r="A141">
        <v>140</v>
      </c>
      <c r="B141" t="s">
        <v>327</v>
      </c>
      <c r="C141" t="s">
        <v>11149</v>
      </c>
      <c r="D141" t="s">
        <v>10939</v>
      </c>
      <c r="E141" t="s">
        <v>326</v>
      </c>
      <c r="F141" t="s">
        <v>10884</v>
      </c>
      <c r="G141" t="s">
        <v>112</v>
      </c>
      <c r="I141" t="str">
        <f t="shared" si="8"/>
        <v>1276</v>
      </c>
      <c r="J141" t="str">
        <f t="shared" si="9"/>
        <v>BC</v>
      </c>
      <c r="K141">
        <f t="shared" si="10"/>
        <v>-1276</v>
      </c>
      <c r="L141">
        <f t="shared" si="11"/>
        <v>-1276</v>
      </c>
    </row>
    <row r="142" spans="1:12" x14ac:dyDescent="0.35">
      <c r="A142">
        <v>141</v>
      </c>
      <c r="B142" t="s">
        <v>10940</v>
      </c>
      <c r="C142" t="s">
        <v>11112</v>
      </c>
      <c r="D142" t="s">
        <v>10941</v>
      </c>
      <c r="E142" t="s">
        <v>186</v>
      </c>
      <c r="F142" t="s">
        <v>10884</v>
      </c>
      <c r="G142" t="s">
        <v>12502</v>
      </c>
      <c r="I142" t="str">
        <f t="shared" si="8"/>
        <v>1276</v>
      </c>
      <c r="J142" t="str">
        <f t="shared" si="9"/>
        <v>BC</v>
      </c>
      <c r="K142">
        <f t="shared" si="10"/>
        <v>-1276</v>
      </c>
      <c r="L142">
        <f t="shared" si="11"/>
        <v>-1276</v>
      </c>
    </row>
    <row r="143" spans="1:12" x14ac:dyDescent="0.35">
      <c r="A143">
        <v>142</v>
      </c>
      <c r="B143" t="s">
        <v>328</v>
      </c>
      <c r="C143" t="s">
        <v>11150</v>
      </c>
      <c r="D143" t="s">
        <v>10942</v>
      </c>
      <c r="E143" t="s">
        <v>186</v>
      </c>
      <c r="F143" t="s">
        <v>10884</v>
      </c>
      <c r="G143" t="s">
        <v>12502</v>
      </c>
      <c r="I143" t="str">
        <f t="shared" si="8"/>
        <v>1276</v>
      </c>
      <c r="J143" t="str">
        <f t="shared" si="9"/>
        <v>BC</v>
      </c>
      <c r="K143">
        <f t="shared" si="10"/>
        <v>-1276</v>
      </c>
      <c r="L143">
        <f t="shared" si="11"/>
        <v>-1276</v>
      </c>
    </row>
    <row r="144" spans="1:12" x14ac:dyDescent="0.35">
      <c r="A144">
        <v>143</v>
      </c>
      <c r="B144" t="s">
        <v>10922</v>
      </c>
      <c r="C144" t="s">
        <v>10719</v>
      </c>
      <c r="D144" t="s">
        <v>10943</v>
      </c>
      <c r="E144" t="s">
        <v>186</v>
      </c>
      <c r="F144" t="s">
        <v>10884</v>
      </c>
      <c r="G144" t="s">
        <v>12502</v>
      </c>
      <c r="I144" t="str">
        <f t="shared" si="8"/>
        <v>1276</v>
      </c>
      <c r="J144" t="str">
        <f t="shared" si="9"/>
        <v>BC</v>
      </c>
      <c r="K144">
        <f t="shared" si="10"/>
        <v>-1276</v>
      </c>
      <c r="L144">
        <f t="shared" si="11"/>
        <v>-1276</v>
      </c>
    </row>
    <row r="145" spans="1:13" x14ac:dyDescent="0.35">
      <c r="A145">
        <v>144</v>
      </c>
      <c r="B145" t="s">
        <v>10949</v>
      </c>
      <c r="C145" t="s">
        <v>11112</v>
      </c>
      <c r="D145" t="s">
        <v>10944</v>
      </c>
      <c r="E145" t="s">
        <v>186</v>
      </c>
      <c r="F145" t="s">
        <v>10884</v>
      </c>
      <c r="G145" t="s">
        <v>12502</v>
      </c>
      <c r="I145" t="str">
        <f t="shared" si="8"/>
        <v>1276</v>
      </c>
      <c r="J145" t="str">
        <f t="shared" si="9"/>
        <v>BC</v>
      </c>
      <c r="K145">
        <f t="shared" si="10"/>
        <v>-1276</v>
      </c>
      <c r="L145">
        <f t="shared" si="11"/>
        <v>-1276</v>
      </c>
    </row>
    <row r="146" spans="1:13" x14ac:dyDescent="0.35">
      <c r="A146">
        <v>145</v>
      </c>
      <c r="B146" t="s">
        <v>329</v>
      </c>
      <c r="C146" t="s">
        <v>11151</v>
      </c>
      <c r="D146" t="s">
        <v>10945</v>
      </c>
      <c r="E146" t="s">
        <v>326</v>
      </c>
      <c r="F146" t="s">
        <v>10884</v>
      </c>
      <c r="G146" t="s">
        <v>8297</v>
      </c>
      <c r="I146" t="str">
        <f t="shared" si="8"/>
        <v>1276</v>
      </c>
      <c r="J146" t="str">
        <f t="shared" si="9"/>
        <v>BC</v>
      </c>
      <c r="K146">
        <f t="shared" si="10"/>
        <v>-1276</v>
      </c>
      <c r="L146">
        <f t="shared" si="11"/>
        <v>-1276</v>
      </c>
    </row>
    <row r="147" spans="1:13" x14ac:dyDescent="0.35">
      <c r="A147">
        <v>146</v>
      </c>
      <c r="B147" t="s">
        <v>10954</v>
      </c>
      <c r="C147" t="s">
        <v>12709</v>
      </c>
      <c r="D147" t="s">
        <v>10946</v>
      </c>
      <c r="E147" t="s">
        <v>186</v>
      </c>
      <c r="F147" t="s">
        <v>10884</v>
      </c>
      <c r="G147" t="s">
        <v>12502</v>
      </c>
      <c r="I147" t="str">
        <f t="shared" si="8"/>
        <v>1276</v>
      </c>
      <c r="J147" t="str">
        <f t="shared" si="9"/>
        <v>BC</v>
      </c>
      <c r="K147">
        <f t="shared" si="10"/>
        <v>-1276</v>
      </c>
      <c r="L147">
        <f t="shared" si="11"/>
        <v>-1276</v>
      </c>
    </row>
    <row r="148" spans="1:13" x14ac:dyDescent="0.35">
      <c r="A148">
        <v>147</v>
      </c>
      <c r="B148" t="s">
        <v>10922</v>
      </c>
      <c r="C148" t="s">
        <v>10719</v>
      </c>
      <c r="D148" t="s">
        <v>10947</v>
      </c>
      <c r="E148" t="s">
        <v>186</v>
      </c>
      <c r="F148" t="s">
        <v>10884</v>
      </c>
      <c r="G148" t="s">
        <v>12502</v>
      </c>
      <c r="I148" t="str">
        <f t="shared" si="8"/>
        <v>1276</v>
      </c>
      <c r="J148" t="str">
        <f t="shared" si="9"/>
        <v>BC</v>
      </c>
      <c r="K148">
        <f t="shared" si="10"/>
        <v>-1276</v>
      </c>
      <c r="L148">
        <f t="shared" si="11"/>
        <v>-1276</v>
      </c>
    </row>
    <row r="149" spans="1:13" x14ac:dyDescent="0.35">
      <c r="A149">
        <v>148</v>
      </c>
      <c r="B149" t="s">
        <v>10948</v>
      </c>
      <c r="C149" t="s">
        <v>11112</v>
      </c>
      <c r="D149" t="s">
        <v>10950</v>
      </c>
      <c r="E149" t="s">
        <v>186</v>
      </c>
      <c r="F149" t="s">
        <v>10884</v>
      </c>
      <c r="G149" t="s">
        <v>12502</v>
      </c>
      <c r="I149" t="str">
        <f t="shared" si="8"/>
        <v>1276</v>
      </c>
      <c r="J149" t="str">
        <f t="shared" si="9"/>
        <v>BC</v>
      </c>
      <c r="K149">
        <f t="shared" si="10"/>
        <v>-1276</v>
      </c>
      <c r="L149">
        <f t="shared" si="11"/>
        <v>-1276</v>
      </c>
    </row>
    <row r="150" spans="1:13" x14ac:dyDescent="0.35">
      <c r="A150">
        <v>149</v>
      </c>
      <c r="B150" t="s">
        <v>330</v>
      </c>
      <c r="C150" t="s">
        <v>11152</v>
      </c>
      <c r="D150" t="s">
        <v>10951</v>
      </c>
      <c r="E150" t="s">
        <v>186</v>
      </c>
      <c r="F150" t="s">
        <v>10884</v>
      </c>
      <c r="G150" t="s">
        <v>12502</v>
      </c>
      <c r="I150" t="str">
        <f t="shared" si="8"/>
        <v>1276</v>
      </c>
      <c r="J150" t="str">
        <f t="shared" si="9"/>
        <v>BC</v>
      </c>
      <c r="K150">
        <f t="shared" si="10"/>
        <v>-1276</v>
      </c>
      <c r="L150">
        <f t="shared" si="11"/>
        <v>-1276</v>
      </c>
    </row>
    <row r="151" spans="1:13" x14ac:dyDescent="0.35">
      <c r="A151">
        <v>150</v>
      </c>
      <c r="B151" t="s">
        <v>10953</v>
      </c>
      <c r="C151" t="s">
        <v>12709</v>
      </c>
      <c r="D151" t="s">
        <v>10952</v>
      </c>
      <c r="E151" t="s">
        <v>186</v>
      </c>
      <c r="F151" t="s">
        <v>10884</v>
      </c>
      <c r="G151" t="s">
        <v>12502</v>
      </c>
      <c r="I151" t="str">
        <f t="shared" si="8"/>
        <v>1276</v>
      </c>
      <c r="J151" t="str">
        <f t="shared" si="9"/>
        <v>BC</v>
      </c>
      <c r="K151">
        <f t="shared" si="10"/>
        <v>-1276</v>
      </c>
      <c r="L151">
        <f t="shared" si="11"/>
        <v>-1276</v>
      </c>
    </row>
    <row r="152" spans="1:13" x14ac:dyDescent="0.35">
      <c r="A152">
        <v>151</v>
      </c>
      <c r="B152" t="s">
        <v>10949</v>
      </c>
      <c r="C152" t="s">
        <v>11112</v>
      </c>
      <c r="D152" t="s">
        <v>10956</v>
      </c>
      <c r="E152" t="s">
        <v>186</v>
      </c>
      <c r="F152" t="s">
        <v>10884</v>
      </c>
      <c r="G152" t="s">
        <v>12502</v>
      </c>
      <c r="I152" t="str">
        <f t="shared" si="8"/>
        <v>1276</v>
      </c>
      <c r="J152" t="str">
        <f t="shared" si="9"/>
        <v>BC</v>
      </c>
      <c r="K152">
        <f t="shared" si="10"/>
        <v>-1276</v>
      </c>
      <c r="L152">
        <f t="shared" si="11"/>
        <v>-1276</v>
      </c>
    </row>
    <row r="153" spans="1:13" x14ac:dyDescent="0.35">
      <c r="A153">
        <v>152</v>
      </c>
      <c r="B153" t="s">
        <v>331</v>
      </c>
      <c r="C153" t="s">
        <v>11153</v>
      </c>
      <c r="D153" t="s">
        <v>10957</v>
      </c>
      <c r="E153" t="s">
        <v>326</v>
      </c>
      <c r="F153" t="s">
        <v>10884</v>
      </c>
      <c r="G153" t="s">
        <v>8297</v>
      </c>
      <c r="I153" t="str">
        <f t="shared" si="8"/>
        <v>1276</v>
      </c>
      <c r="J153" t="str">
        <f t="shared" si="9"/>
        <v>BC</v>
      </c>
      <c r="K153">
        <f t="shared" si="10"/>
        <v>-1276</v>
      </c>
      <c r="L153">
        <f t="shared" si="11"/>
        <v>-1276</v>
      </c>
    </row>
    <row r="154" spans="1:13" x14ac:dyDescent="0.35">
      <c r="A154">
        <v>153</v>
      </c>
      <c r="B154" t="s">
        <v>10958</v>
      </c>
      <c r="C154" t="s">
        <v>10719</v>
      </c>
      <c r="D154" t="s">
        <v>10959</v>
      </c>
      <c r="E154" t="s">
        <v>263</v>
      </c>
      <c r="F154" t="s">
        <v>10884</v>
      </c>
      <c r="G154" t="s">
        <v>12502</v>
      </c>
      <c r="I154" t="str">
        <f t="shared" si="8"/>
        <v>1276</v>
      </c>
      <c r="J154" t="str">
        <f t="shared" si="9"/>
        <v>BC</v>
      </c>
      <c r="K154">
        <f t="shared" si="10"/>
        <v>-1276</v>
      </c>
      <c r="L154">
        <f t="shared" si="11"/>
        <v>-1276</v>
      </c>
    </row>
    <row r="155" spans="1:13" x14ac:dyDescent="0.35">
      <c r="A155">
        <v>154</v>
      </c>
      <c r="B155" t="s">
        <v>332</v>
      </c>
      <c r="C155" t="s">
        <v>11112</v>
      </c>
      <c r="D155" t="s">
        <v>10960</v>
      </c>
      <c r="E155" t="s">
        <v>263</v>
      </c>
      <c r="F155" t="s">
        <v>10884</v>
      </c>
      <c r="G155" t="s">
        <v>112</v>
      </c>
      <c r="I155" t="str">
        <f t="shared" si="8"/>
        <v>1276</v>
      </c>
      <c r="J155" t="str">
        <f t="shared" si="9"/>
        <v>BC</v>
      </c>
      <c r="K155">
        <f t="shared" si="10"/>
        <v>-1276</v>
      </c>
      <c r="L155">
        <f t="shared" si="11"/>
        <v>-1276</v>
      </c>
    </row>
    <row r="156" spans="1:13" x14ac:dyDescent="0.35">
      <c r="A156">
        <v>155</v>
      </c>
      <c r="B156" t="s">
        <v>333</v>
      </c>
      <c r="C156" t="s">
        <v>11149</v>
      </c>
      <c r="D156" t="s">
        <v>23</v>
      </c>
      <c r="E156" t="s">
        <v>186</v>
      </c>
      <c r="F156" t="s">
        <v>10884</v>
      </c>
      <c r="G156" t="s">
        <v>112</v>
      </c>
      <c r="I156" t="str">
        <f t="shared" si="8"/>
        <v>1276</v>
      </c>
      <c r="J156" t="str">
        <f t="shared" si="9"/>
        <v>BC</v>
      </c>
      <c r="K156">
        <f t="shared" si="10"/>
        <v>-1276</v>
      </c>
      <c r="L156">
        <f t="shared" si="11"/>
        <v>-1276</v>
      </c>
    </row>
    <row r="157" spans="1:13" x14ac:dyDescent="0.35">
      <c r="A157">
        <v>156</v>
      </c>
      <c r="B157" t="s">
        <v>334</v>
      </c>
      <c r="C157" t="s">
        <v>10050</v>
      </c>
      <c r="D157" t="s">
        <v>335</v>
      </c>
      <c r="E157" t="s">
        <v>186</v>
      </c>
      <c r="F157" t="s">
        <v>10884</v>
      </c>
      <c r="G157" t="s">
        <v>112</v>
      </c>
      <c r="H157" t="s">
        <v>12177</v>
      </c>
      <c r="I157" t="str">
        <f t="shared" si="8"/>
        <v>1276</v>
      </c>
      <c r="J157" t="str">
        <f t="shared" si="9"/>
        <v>BC</v>
      </c>
      <c r="K157">
        <f t="shared" si="10"/>
        <v>-1276</v>
      </c>
      <c r="L157">
        <f t="shared" si="11"/>
        <v>-1276</v>
      </c>
      <c r="M157">
        <v>2448</v>
      </c>
    </row>
    <row r="158" spans="1:13" x14ac:dyDescent="0.35">
      <c r="A158">
        <v>157</v>
      </c>
      <c r="B158" t="s">
        <v>10961</v>
      </c>
      <c r="C158" t="s">
        <v>10050</v>
      </c>
      <c r="D158" t="s">
        <v>10962</v>
      </c>
      <c r="E158" t="s">
        <v>186</v>
      </c>
      <c r="F158" t="s">
        <v>10884</v>
      </c>
      <c r="G158" t="s">
        <v>112</v>
      </c>
      <c r="I158" t="str">
        <f t="shared" si="8"/>
        <v>1276</v>
      </c>
      <c r="J158" t="str">
        <f t="shared" si="9"/>
        <v>BC</v>
      </c>
      <c r="K158">
        <f t="shared" si="10"/>
        <v>-1276</v>
      </c>
      <c r="L158">
        <f t="shared" si="11"/>
        <v>-1276</v>
      </c>
    </row>
    <row r="159" spans="1:13" x14ac:dyDescent="0.35">
      <c r="A159">
        <v>158</v>
      </c>
      <c r="B159" t="s">
        <v>10963</v>
      </c>
      <c r="C159" t="s">
        <v>11112</v>
      </c>
      <c r="D159" t="s">
        <v>10964</v>
      </c>
      <c r="E159" t="s">
        <v>186</v>
      </c>
      <c r="F159" t="s">
        <v>10884</v>
      </c>
      <c r="G159" t="s">
        <v>112</v>
      </c>
      <c r="I159" t="str">
        <f t="shared" si="8"/>
        <v>1276</v>
      </c>
      <c r="J159" t="str">
        <f t="shared" si="9"/>
        <v>BC</v>
      </c>
      <c r="K159">
        <f t="shared" si="10"/>
        <v>-1276</v>
      </c>
      <c r="L159">
        <f t="shared" si="11"/>
        <v>-1276</v>
      </c>
    </row>
    <row r="160" spans="1:13" x14ac:dyDescent="0.35">
      <c r="A160">
        <v>159</v>
      </c>
      <c r="B160" t="s">
        <v>10965</v>
      </c>
      <c r="C160" t="s">
        <v>10966</v>
      </c>
      <c r="D160" t="s">
        <v>10967</v>
      </c>
      <c r="E160" t="s">
        <v>337</v>
      </c>
      <c r="F160" t="s">
        <v>10884</v>
      </c>
      <c r="G160" t="s">
        <v>112</v>
      </c>
      <c r="I160" t="str">
        <f t="shared" si="8"/>
        <v>1276</v>
      </c>
      <c r="J160" t="str">
        <f t="shared" si="9"/>
        <v>BC</v>
      </c>
      <c r="K160">
        <f t="shared" si="10"/>
        <v>-1276</v>
      </c>
      <c r="L160">
        <f t="shared" si="11"/>
        <v>-1276</v>
      </c>
    </row>
    <row r="161" spans="1:13" x14ac:dyDescent="0.35">
      <c r="A161">
        <v>160</v>
      </c>
      <c r="B161" t="s">
        <v>336</v>
      </c>
      <c r="C161" t="s">
        <v>11154</v>
      </c>
      <c r="D161" t="s">
        <v>39</v>
      </c>
      <c r="E161" t="s">
        <v>10968</v>
      </c>
      <c r="F161" t="s">
        <v>10884</v>
      </c>
      <c r="G161" t="s">
        <v>112</v>
      </c>
      <c r="I161" t="str">
        <f t="shared" si="8"/>
        <v>1276</v>
      </c>
      <c r="J161" t="str">
        <f t="shared" si="9"/>
        <v>BC</v>
      </c>
      <c r="K161">
        <f t="shared" si="10"/>
        <v>-1276</v>
      </c>
      <c r="L161">
        <f t="shared" si="11"/>
        <v>-1276</v>
      </c>
    </row>
    <row r="162" spans="1:13" x14ac:dyDescent="0.35">
      <c r="A162">
        <v>161</v>
      </c>
      <c r="B162" t="s">
        <v>338</v>
      </c>
      <c r="C162" t="s">
        <v>11112</v>
      </c>
      <c r="D162" t="s">
        <v>339</v>
      </c>
      <c r="E162" t="s">
        <v>341</v>
      </c>
      <c r="F162" t="s">
        <v>10884</v>
      </c>
      <c r="G162" t="s">
        <v>112</v>
      </c>
      <c r="I162" t="str">
        <f t="shared" si="8"/>
        <v>1276</v>
      </c>
      <c r="J162" t="str">
        <f t="shared" si="9"/>
        <v>BC</v>
      </c>
      <c r="K162">
        <f t="shared" si="10"/>
        <v>-1276</v>
      </c>
      <c r="L162">
        <f t="shared" si="11"/>
        <v>-1276</v>
      </c>
    </row>
    <row r="163" spans="1:13" x14ac:dyDescent="0.35">
      <c r="A163">
        <v>162</v>
      </c>
      <c r="B163" t="s">
        <v>10973</v>
      </c>
      <c r="C163" t="s">
        <v>11112</v>
      </c>
      <c r="D163" t="s">
        <v>10972</v>
      </c>
      <c r="E163" t="s">
        <v>341</v>
      </c>
      <c r="F163" t="s">
        <v>10884</v>
      </c>
      <c r="G163" t="s">
        <v>8297</v>
      </c>
      <c r="I163" t="str">
        <f t="shared" si="8"/>
        <v>1276</v>
      </c>
      <c r="J163" t="str">
        <f t="shared" si="9"/>
        <v>BC</v>
      </c>
      <c r="K163">
        <f t="shared" si="10"/>
        <v>-1276</v>
      </c>
      <c r="L163">
        <f t="shared" si="11"/>
        <v>-1276</v>
      </c>
      <c r="M163">
        <v>2448</v>
      </c>
    </row>
    <row r="164" spans="1:13" x14ac:dyDescent="0.35">
      <c r="A164">
        <v>163</v>
      </c>
      <c r="B164" t="s">
        <v>340</v>
      </c>
      <c r="C164" t="s">
        <v>11155</v>
      </c>
      <c r="D164" t="s">
        <v>76</v>
      </c>
      <c r="E164" t="s">
        <v>341</v>
      </c>
      <c r="F164" t="s">
        <v>10884</v>
      </c>
      <c r="G164" t="s">
        <v>63</v>
      </c>
      <c r="I164" t="str">
        <f t="shared" si="8"/>
        <v>1276</v>
      </c>
      <c r="J164" t="str">
        <f t="shared" si="9"/>
        <v>BC</v>
      </c>
      <c r="K164">
        <f t="shared" si="10"/>
        <v>-1276</v>
      </c>
      <c r="L164">
        <f t="shared" si="11"/>
        <v>-1276</v>
      </c>
    </row>
    <row r="165" spans="1:13" x14ac:dyDescent="0.35">
      <c r="A165">
        <v>164</v>
      </c>
      <c r="B165" t="s">
        <v>342</v>
      </c>
      <c r="C165" t="s">
        <v>11156</v>
      </c>
      <c r="D165" t="s">
        <v>343</v>
      </c>
      <c r="E165" t="s">
        <v>341</v>
      </c>
      <c r="F165" t="s">
        <v>10884</v>
      </c>
      <c r="G165" t="s">
        <v>8297</v>
      </c>
      <c r="I165" t="str">
        <f t="shared" si="8"/>
        <v>1276</v>
      </c>
      <c r="J165" t="str">
        <f t="shared" si="9"/>
        <v>BC</v>
      </c>
      <c r="K165">
        <f t="shared" si="10"/>
        <v>-1276</v>
      </c>
      <c r="L165">
        <f t="shared" si="11"/>
        <v>-1276</v>
      </c>
    </row>
    <row r="166" spans="1:13" x14ac:dyDescent="0.35">
      <c r="A166">
        <v>165</v>
      </c>
      <c r="B166" t="s">
        <v>10969</v>
      </c>
      <c r="C166" t="s">
        <v>10505</v>
      </c>
      <c r="D166" t="s">
        <v>10970</v>
      </c>
      <c r="E166" t="s">
        <v>341</v>
      </c>
      <c r="F166" t="s">
        <v>10884</v>
      </c>
      <c r="G166" t="s">
        <v>8297</v>
      </c>
      <c r="I166" t="str">
        <f t="shared" si="8"/>
        <v>1276</v>
      </c>
      <c r="J166" t="str">
        <f t="shared" si="9"/>
        <v>BC</v>
      </c>
      <c r="K166">
        <f t="shared" si="10"/>
        <v>-1276</v>
      </c>
      <c r="L166">
        <f t="shared" si="11"/>
        <v>-1276</v>
      </c>
    </row>
    <row r="167" spans="1:13" x14ac:dyDescent="0.35">
      <c r="A167">
        <v>166</v>
      </c>
      <c r="B167" t="s">
        <v>10971</v>
      </c>
      <c r="C167" t="s">
        <v>11112</v>
      </c>
      <c r="D167" t="s">
        <v>10975</v>
      </c>
      <c r="E167" t="s">
        <v>341</v>
      </c>
      <c r="F167" t="s">
        <v>10884</v>
      </c>
      <c r="G167" t="s">
        <v>8297</v>
      </c>
      <c r="I167" t="str">
        <f t="shared" si="8"/>
        <v>1276</v>
      </c>
      <c r="J167" t="str">
        <f t="shared" si="9"/>
        <v>BC</v>
      </c>
      <c r="K167">
        <f t="shared" si="10"/>
        <v>-1276</v>
      </c>
      <c r="L167">
        <f t="shared" si="11"/>
        <v>-1276</v>
      </c>
    </row>
    <row r="168" spans="1:13" x14ac:dyDescent="0.35">
      <c r="A168">
        <v>167</v>
      </c>
      <c r="B168" t="s">
        <v>10974</v>
      </c>
      <c r="C168" t="s">
        <v>10505</v>
      </c>
      <c r="D168" t="s">
        <v>10976</v>
      </c>
      <c r="E168" t="s">
        <v>341</v>
      </c>
      <c r="F168" t="s">
        <v>10884</v>
      </c>
      <c r="G168" t="s">
        <v>8297</v>
      </c>
      <c r="I168" t="str">
        <f t="shared" si="8"/>
        <v>1276</v>
      </c>
      <c r="J168" t="str">
        <f t="shared" si="9"/>
        <v>BC</v>
      </c>
      <c r="K168">
        <f t="shared" si="10"/>
        <v>-1276</v>
      </c>
      <c r="L168">
        <f t="shared" si="11"/>
        <v>-1276</v>
      </c>
    </row>
    <row r="169" spans="1:13" x14ac:dyDescent="0.35">
      <c r="A169">
        <v>168</v>
      </c>
      <c r="B169" t="s">
        <v>344</v>
      </c>
      <c r="C169" t="s">
        <v>11157</v>
      </c>
      <c r="D169" t="s">
        <v>24</v>
      </c>
      <c r="E169" t="s">
        <v>345</v>
      </c>
      <c r="F169" t="s">
        <v>10884</v>
      </c>
      <c r="G169" t="s">
        <v>8297</v>
      </c>
      <c r="I169" t="str">
        <f t="shared" si="8"/>
        <v>1276</v>
      </c>
      <c r="J169" t="str">
        <f t="shared" si="9"/>
        <v>BC</v>
      </c>
      <c r="K169">
        <f t="shared" si="10"/>
        <v>-1276</v>
      </c>
      <c r="L169">
        <f t="shared" si="11"/>
        <v>-1276</v>
      </c>
    </row>
    <row r="170" spans="1:13" x14ac:dyDescent="0.35">
      <c r="A170">
        <v>169</v>
      </c>
      <c r="B170" t="s">
        <v>346</v>
      </c>
      <c r="C170" t="s">
        <v>11158</v>
      </c>
      <c r="D170" t="s">
        <v>10977</v>
      </c>
      <c r="E170" t="s">
        <v>345</v>
      </c>
      <c r="F170" t="s">
        <v>10884</v>
      </c>
      <c r="G170" t="s">
        <v>112</v>
      </c>
      <c r="I170" t="str">
        <f t="shared" si="8"/>
        <v>1276</v>
      </c>
      <c r="J170" t="str">
        <f t="shared" si="9"/>
        <v>BC</v>
      </c>
      <c r="K170">
        <f t="shared" si="10"/>
        <v>-1276</v>
      </c>
      <c r="L170">
        <f t="shared" si="11"/>
        <v>-1276</v>
      </c>
    </row>
    <row r="171" spans="1:13" x14ac:dyDescent="0.35">
      <c r="A171">
        <v>170</v>
      </c>
      <c r="B171" t="s">
        <v>10978</v>
      </c>
      <c r="C171" t="s">
        <v>11159</v>
      </c>
      <c r="D171" t="s">
        <v>10979</v>
      </c>
      <c r="E171" t="s">
        <v>347</v>
      </c>
      <c r="F171" t="s">
        <v>10884</v>
      </c>
      <c r="G171" t="s">
        <v>112</v>
      </c>
      <c r="I171" t="str">
        <f t="shared" si="8"/>
        <v>1276</v>
      </c>
      <c r="J171" t="str">
        <f t="shared" si="9"/>
        <v>BC</v>
      </c>
      <c r="K171">
        <f t="shared" si="10"/>
        <v>-1276</v>
      </c>
      <c r="L171">
        <f t="shared" si="11"/>
        <v>-1276</v>
      </c>
    </row>
    <row r="172" spans="1:13" x14ac:dyDescent="0.35">
      <c r="A172">
        <v>171</v>
      </c>
      <c r="B172" t="s">
        <v>348</v>
      </c>
      <c r="C172" t="s">
        <v>11160</v>
      </c>
      <c r="D172" t="s">
        <v>75</v>
      </c>
      <c r="E172" t="s">
        <v>347</v>
      </c>
      <c r="F172" t="s">
        <v>10884</v>
      </c>
      <c r="G172" t="s">
        <v>112</v>
      </c>
      <c r="I172" t="str">
        <f t="shared" si="8"/>
        <v>1276</v>
      </c>
      <c r="J172" t="str">
        <f t="shared" si="9"/>
        <v>BC</v>
      </c>
      <c r="K172">
        <f t="shared" si="10"/>
        <v>-1276</v>
      </c>
      <c r="L172">
        <f t="shared" si="11"/>
        <v>-1276</v>
      </c>
    </row>
    <row r="173" spans="1:13" x14ac:dyDescent="0.35">
      <c r="A173">
        <v>172</v>
      </c>
      <c r="B173" t="s">
        <v>10980</v>
      </c>
      <c r="C173" t="s">
        <v>11159</v>
      </c>
      <c r="D173" t="s">
        <v>10981</v>
      </c>
      <c r="E173" t="s">
        <v>347</v>
      </c>
      <c r="F173" t="s">
        <v>10884</v>
      </c>
      <c r="G173" t="s">
        <v>112</v>
      </c>
      <c r="I173" t="str">
        <f t="shared" si="8"/>
        <v>1276</v>
      </c>
      <c r="J173" t="str">
        <f t="shared" si="9"/>
        <v>BC</v>
      </c>
      <c r="K173">
        <f t="shared" si="10"/>
        <v>-1276</v>
      </c>
      <c r="L173">
        <f t="shared" si="11"/>
        <v>-1276</v>
      </c>
    </row>
    <row r="174" spans="1:13" x14ac:dyDescent="0.35">
      <c r="A174">
        <v>173</v>
      </c>
      <c r="B174" t="s">
        <v>10982</v>
      </c>
      <c r="C174" t="s">
        <v>11495</v>
      </c>
      <c r="D174" t="s">
        <v>10983</v>
      </c>
      <c r="E174" t="s">
        <v>347</v>
      </c>
      <c r="F174" t="s">
        <v>10884</v>
      </c>
      <c r="G174" t="s">
        <v>112</v>
      </c>
      <c r="I174" t="str">
        <f t="shared" si="8"/>
        <v>1276</v>
      </c>
      <c r="J174" t="str">
        <f t="shared" si="9"/>
        <v>BC</v>
      </c>
      <c r="K174">
        <f t="shared" si="10"/>
        <v>-1276</v>
      </c>
      <c r="L174">
        <f t="shared" si="11"/>
        <v>-1276</v>
      </c>
    </row>
    <row r="175" spans="1:13" x14ac:dyDescent="0.35">
      <c r="A175">
        <v>174</v>
      </c>
      <c r="B175" t="s">
        <v>349</v>
      </c>
      <c r="C175" t="s">
        <v>11112</v>
      </c>
      <c r="D175" t="s">
        <v>350</v>
      </c>
      <c r="E175" t="s">
        <v>347</v>
      </c>
      <c r="F175" t="s">
        <v>10884</v>
      </c>
      <c r="G175" t="s">
        <v>8297</v>
      </c>
      <c r="I175" t="str">
        <f t="shared" si="8"/>
        <v>1276</v>
      </c>
      <c r="J175" t="str">
        <f t="shared" si="9"/>
        <v>BC</v>
      </c>
      <c r="K175">
        <f t="shared" si="10"/>
        <v>-1276</v>
      </c>
      <c r="L175">
        <f t="shared" si="11"/>
        <v>-1276</v>
      </c>
    </row>
    <row r="176" spans="1:13" x14ac:dyDescent="0.35">
      <c r="A176">
        <v>175</v>
      </c>
      <c r="B176" t="s">
        <v>10984</v>
      </c>
      <c r="C176" t="s">
        <v>11112</v>
      </c>
      <c r="D176" t="s">
        <v>10985</v>
      </c>
      <c r="E176" t="s">
        <v>347</v>
      </c>
      <c r="F176" t="s">
        <v>10884</v>
      </c>
      <c r="G176" t="s">
        <v>12502</v>
      </c>
      <c r="I176" t="str">
        <f t="shared" si="8"/>
        <v>1276</v>
      </c>
      <c r="J176" t="str">
        <f t="shared" si="9"/>
        <v>BC</v>
      </c>
      <c r="K176">
        <f t="shared" si="10"/>
        <v>-1276</v>
      </c>
      <c r="L176">
        <f t="shared" si="11"/>
        <v>-1276</v>
      </c>
    </row>
    <row r="177" spans="1:12" x14ac:dyDescent="0.35">
      <c r="A177">
        <v>176</v>
      </c>
      <c r="B177" t="s">
        <v>10987</v>
      </c>
      <c r="C177" t="s">
        <v>11112</v>
      </c>
      <c r="D177" t="s">
        <v>352</v>
      </c>
      <c r="E177" t="s">
        <v>353</v>
      </c>
      <c r="F177" t="s">
        <v>10884</v>
      </c>
      <c r="G177" t="s">
        <v>8297</v>
      </c>
      <c r="I177" t="str">
        <f t="shared" si="8"/>
        <v>1276</v>
      </c>
      <c r="J177" t="str">
        <f t="shared" si="9"/>
        <v>BC</v>
      </c>
      <c r="K177">
        <f t="shared" si="10"/>
        <v>-1276</v>
      </c>
      <c r="L177">
        <f t="shared" si="11"/>
        <v>-1276</v>
      </c>
    </row>
    <row r="178" spans="1:12" x14ac:dyDescent="0.35">
      <c r="A178">
        <v>177</v>
      </c>
      <c r="B178" t="s">
        <v>351</v>
      </c>
      <c r="C178" t="s">
        <v>10986</v>
      </c>
      <c r="D178" t="s">
        <v>10988</v>
      </c>
      <c r="E178" t="s">
        <v>353</v>
      </c>
      <c r="F178" t="s">
        <v>10884</v>
      </c>
      <c r="G178" t="s">
        <v>8297</v>
      </c>
      <c r="I178" t="str">
        <f t="shared" si="8"/>
        <v>1276</v>
      </c>
      <c r="J178" t="str">
        <f t="shared" si="9"/>
        <v>BC</v>
      </c>
      <c r="K178">
        <f t="shared" si="10"/>
        <v>-1276</v>
      </c>
      <c r="L178">
        <f t="shared" si="11"/>
        <v>-1276</v>
      </c>
    </row>
    <row r="179" spans="1:12" x14ac:dyDescent="0.35">
      <c r="A179">
        <v>178</v>
      </c>
      <c r="B179" t="s">
        <v>354</v>
      </c>
      <c r="C179" t="s">
        <v>11161</v>
      </c>
      <c r="D179" t="s">
        <v>355</v>
      </c>
      <c r="E179" t="s">
        <v>356</v>
      </c>
      <c r="F179" t="s">
        <v>10884</v>
      </c>
      <c r="G179" t="s">
        <v>8297</v>
      </c>
      <c r="I179" t="str">
        <f t="shared" si="8"/>
        <v>1276</v>
      </c>
      <c r="J179" t="str">
        <f t="shared" si="9"/>
        <v>BC</v>
      </c>
      <c r="K179">
        <f t="shared" si="10"/>
        <v>-1276</v>
      </c>
      <c r="L179">
        <f t="shared" si="11"/>
        <v>-1276</v>
      </c>
    </row>
    <row r="180" spans="1:12" x14ac:dyDescent="0.35">
      <c r="A180">
        <v>179</v>
      </c>
      <c r="B180" t="s">
        <v>10989</v>
      </c>
      <c r="C180" t="s">
        <v>11112</v>
      </c>
      <c r="D180" t="s">
        <v>10990</v>
      </c>
      <c r="E180" t="s">
        <v>356</v>
      </c>
      <c r="F180" t="s">
        <v>10884</v>
      </c>
      <c r="G180" t="s">
        <v>8297</v>
      </c>
      <c r="I180" t="str">
        <f t="shared" si="8"/>
        <v>1276</v>
      </c>
      <c r="J180" t="str">
        <f t="shared" si="9"/>
        <v>BC</v>
      </c>
      <c r="K180">
        <f t="shared" si="10"/>
        <v>-1276</v>
      </c>
      <c r="L180">
        <f t="shared" si="11"/>
        <v>-1276</v>
      </c>
    </row>
    <row r="181" spans="1:12" x14ac:dyDescent="0.35">
      <c r="A181">
        <v>180</v>
      </c>
      <c r="B181" t="s">
        <v>10992</v>
      </c>
      <c r="C181" t="s">
        <v>11122</v>
      </c>
      <c r="D181" t="s">
        <v>10991</v>
      </c>
      <c r="E181" t="s">
        <v>357</v>
      </c>
      <c r="F181" t="s">
        <v>10884</v>
      </c>
      <c r="G181" t="s">
        <v>112</v>
      </c>
      <c r="I181" t="str">
        <f t="shared" si="8"/>
        <v>1276</v>
      </c>
      <c r="J181" t="str">
        <f t="shared" si="9"/>
        <v>BC</v>
      </c>
      <c r="K181">
        <f t="shared" si="10"/>
        <v>-1276</v>
      </c>
      <c r="L181">
        <f t="shared" si="11"/>
        <v>-1276</v>
      </c>
    </row>
    <row r="182" spans="1:12" x14ac:dyDescent="0.35">
      <c r="A182">
        <v>181</v>
      </c>
      <c r="B182" t="s">
        <v>358</v>
      </c>
      <c r="C182" t="s">
        <v>11162</v>
      </c>
      <c r="D182" t="s">
        <v>10993</v>
      </c>
      <c r="E182" t="s">
        <v>357</v>
      </c>
      <c r="F182" t="s">
        <v>10884</v>
      </c>
      <c r="G182" t="s">
        <v>112</v>
      </c>
      <c r="I182" t="str">
        <f t="shared" si="8"/>
        <v>1276</v>
      </c>
      <c r="J182" t="str">
        <f t="shared" si="9"/>
        <v>BC</v>
      </c>
      <c r="K182">
        <f t="shared" si="10"/>
        <v>-1276</v>
      </c>
      <c r="L182">
        <f t="shared" si="11"/>
        <v>-1276</v>
      </c>
    </row>
    <row r="183" spans="1:12" x14ac:dyDescent="0.35">
      <c r="A183">
        <v>182</v>
      </c>
      <c r="B183" t="s">
        <v>10995</v>
      </c>
      <c r="C183" t="s">
        <v>11163</v>
      </c>
      <c r="D183" t="s">
        <v>10994</v>
      </c>
      <c r="E183" t="s">
        <v>357</v>
      </c>
      <c r="F183" t="s">
        <v>10884</v>
      </c>
      <c r="G183" t="s">
        <v>112</v>
      </c>
      <c r="I183" t="str">
        <f t="shared" si="8"/>
        <v>1276</v>
      </c>
      <c r="J183" t="str">
        <f t="shared" si="9"/>
        <v>BC</v>
      </c>
      <c r="K183">
        <f t="shared" si="10"/>
        <v>-1276</v>
      </c>
      <c r="L183">
        <f t="shared" si="11"/>
        <v>-1276</v>
      </c>
    </row>
    <row r="184" spans="1:12" x14ac:dyDescent="0.35">
      <c r="A184">
        <v>183</v>
      </c>
      <c r="B184" t="s">
        <v>10996</v>
      </c>
      <c r="C184" t="s">
        <v>11164</v>
      </c>
      <c r="D184" t="s">
        <v>359</v>
      </c>
      <c r="E184" t="s">
        <v>357</v>
      </c>
      <c r="F184" t="s">
        <v>10884</v>
      </c>
      <c r="G184" t="s">
        <v>112</v>
      </c>
      <c r="I184" t="str">
        <f t="shared" si="8"/>
        <v>1276</v>
      </c>
      <c r="J184" t="str">
        <f t="shared" si="9"/>
        <v>BC</v>
      </c>
      <c r="K184">
        <f t="shared" si="10"/>
        <v>-1276</v>
      </c>
      <c r="L184">
        <f t="shared" si="11"/>
        <v>-1276</v>
      </c>
    </row>
    <row r="185" spans="1:12" x14ac:dyDescent="0.35">
      <c r="A185">
        <v>184</v>
      </c>
      <c r="B185" t="s">
        <v>360</v>
      </c>
      <c r="C185" t="s">
        <v>11164</v>
      </c>
      <c r="D185" t="s">
        <v>361</v>
      </c>
      <c r="E185" t="s">
        <v>357</v>
      </c>
      <c r="F185" t="s">
        <v>10884</v>
      </c>
      <c r="G185" t="s">
        <v>112</v>
      </c>
      <c r="I185" t="str">
        <f t="shared" si="8"/>
        <v>1276</v>
      </c>
      <c r="J185" t="str">
        <f t="shared" si="9"/>
        <v>BC</v>
      </c>
      <c r="K185">
        <f t="shared" si="10"/>
        <v>-1276</v>
      </c>
      <c r="L185">
        <f t="shared" si="11"/>
        <v>-1276</v>
      </c>
    </row>
    <row r="186" spans="1:12" x14ac:dyDescent="0.35">
      <c r="A186">
        <v>185</v>
      </c>
      <c r="B186" t="s">
        <v>362</v>
      </c>
      <c r="C186" t="s">
        <v>11164</v>
      </c>
      <c r="D186" t="s">
        <v>363</v>
      </c>
      <c r="E186" t="s">
        <v>357</v>
      </c>
      <c r="F186" t="s">
        <v>10884</v>
      </c>
      <c r="G186" t="s">
        <v>112</v>
      </c>
      <c r="I186" t="str">
        <f t="shared" si="8"/>
        <v>1276</v>
      </c>
      <c r="J186" t="str">
        <f t="shared" si="9"/>
        <v>BC</v>
      </c>
      <c r="K186">
        <f t="shared" si="10"/>
        <v>-1276</v>
      </c>
      <c r="L186">
        <f t="shared" si="11"/>
        <v>-1276</v>
      </c>
    </row>
    <row r="187" spans="1:12" x14ac:dyDescent="0.35">
      <c r="A187">
        <v>186</v>
      </c>
      <c r="B187" t="s">
        <v>10997</v>
      </c>
      <c r="C187" t="s">
        <v>11120</v>
      </c>
      <c r="D187" t="s">
        <v>364</v>
      </c>
      <c r="E187" t="s">
        <v>357</v>
      </c>
      <c r="F187" t="s">
        <v>10884</v>
      </c>
      <c r="G187" t="s">
        <v>112</v>
      </c>
      <c r="I187" t="str">
        <f t="shared" si="8"/>
        <v>1276</v>
      </c>
      <c r="J187" t="str">
        <f t="shared" si="9"/>
        <v>BC</v>
      </c>
      <c r="K187">
        <f t="shared" si="10"/>
        <v>-1276</v>
      </c>
      <c r="L187">
        <f t="shared" si="11"/>
        <v>-1276</v>
      </c>
    </row>
    <row r="188" spans="1:12" x14ac:dyDescent="0.35">
      <c r="A188">
        <v>187</v>
      </c>
      <c r="B188" t="s">
        <v>365</v>
      </c>
      <c r="C188" t="s">
        <v>10052</v>
      </c>
      <c r="D188" t="s">
        <v>77</v>
      </c>
      <c r="E188" t="s">
        <v>357</v>
      </c>
      <c r="F188" t="s">
        <v>10884</v>
      </c>
      <c r="G188" t="s">
        <v>112</v>
      </c>
      <c r="I188" t="str">
        <f t="shared" si="8"/>
        <v>1276</v>
      </c>
      <c r="J188" t="str">
        <f t="shared" si="9"/>
        <v>BC</v>
      </c>
      <c r="K188">
        <f t="shared" si="10"/>
        <v>-1276</v>
      </c>
      <c r="L188">
        <f t="shared" si="11"/>
        <v>-1276</v>
      </c>
    </row>
    <row r="189" spans="1:12" x14ac:dyDescent="0.35">
      <c r="A189">
        <v>188</v>
      </c>
      <c r="B189" t="s">
        <v>10998</v>
      </c>
      <c r="C189" t="s">
        <v>10511</v>
      </c>
      <c r="D189" t="s">
        <v>366</v>
      </c>
      <c r="E189" t="s">
        <v>357</v>
      </c>
      <c r="F189" t="s">
        <v>10884</v>
      </c>
      <c r="G189" t="s">
        <v>112</v>
      </c>
      <c r="I189" t="str">
        <f t="shared" si="8"/>
        <v>1276</v>
      </c>
      <c r="J189" t="str">
        <f t="shared" si="9"/>
        <v>BC</v>
      </c>
      <c r="K189">
        <f t="shared" si="10"/>
        <v>-1276</v>
      </c>
      <c r="L189">
        <f t="shared" si="11"/>
        <v>-1276</v>
      </c>
    </row>
    <row r="190" spans="1:12" x14ac:dyDescent="0.35">
      <c r="A190">
        <v>189</v>
      </c>
      <c r="B190" t="s">
        <v>367</v>
      </c>
      <c r="C190" t="s">
        <v>11112</v>
      </c>
      <c r="D190" t="s">
        <v>368</v>
      </c>
      <c r="E190" t="s">
        <v>357</v>
      </c>
      <c r="F190" t="s">
        <v>10884</v>
      </c>
      <c r="G190" t="s">
        <v>112</v>
      </c>
      <c r="I190" t="str">
        <f t="shared" si="8"/>
        <v>1276</v>
      </c>
      <c r="J190" t="str">
        <f t="shared" si="9"/>
        <v>BC</v>
      </c>
      <c r="K190">
        <f t="shared" si="10"/>
        <v>-1276</v>
      </c>
      <c r="L190">
        <f t="shared" si="11"/>
        <v>-1276</v>
      </c>
    </row>
    <row r="191" spans="1:12" x14ac:dyDescent="0.35">
      <c r="A191">
        <v>190</v>
      </c>
      <c r="B191" t="s">
        <v>369</v>
      </c>
      <c r="C191" t="s">
        <v>10752</v>
      </c>
      <c r="D191" t="s">
        <v>370</v>
      </c>
      <c r="E191" t="s">
        <v>357</v>
      </c>
      <c r="F191" t="s">
        <v>10884</v>
      </c>
      <c r="G191" t="s">
        <v>112</v>
      </c>
      <c r="I191" t="str">
        <f t="shared" si="8"/>
        <v>1276</v>
      </c>
      <c r="J191" t="str">
        <f t="shared" si="9"/>
        <v>BC</v>
      </c>
      <c r="K191">
        <f t="shared" si="10"/>
        <v>-1276</v>
      </c>
      <c r="L191">
        <f t="shared" si="11"/>
        <v>-1276</v>
      </c>
    </row>
    <row r="192" spans="1:12" x14ac:dyDescent="0.35">
      <c r="A192">
        <v>191</v>
      </c>
      <c r="B192" t="s">
        <v>371</v>
      </c>
      <c r="C192" t="s">
        <v>10048</v>
      </c>
      <c r="D192" t="s">
        <v>372</v>
      </c>
      <c r="E192" t="s">
        <v>357</v>
      </c>
      <c r="F192" t="s">
        <v>10884</v>
      </c>
      <c r="G192" t="s">
        <v>112</v>
      </c>
      <c r="I192" t="str">
        <f t="shared" si="8"/>
        <v>1276</v>
      </c>
      <c r="J192" t="str">
        <f t="shared" si="9"/>
        <v>BC</v>
      </c>
      <c r="K192">
        <f t="shared" si="10"/>
        <v>-1276</v>
      </c>
      <c r="L192">
        <f t="shared" si="11"/>
        <v>-1276</v>
      </c>
    </row>
    <row r="193" spans="1:12" x14ac:dyDescent="0.35">
      <c r="A193">
        <v>192</v>
      </c>
      <c r="B193" t="s">
        <v>10999</v>
      </c>
      <c r="C193" t="s">
        <v>10053</v>
      </c>
      <c r="D193" t="s">
        <v>373</v>
      </c>
      <c r="E193" t="s">
        <v>357</v>
      </c>
      <c r="F193" t="s">
        <v>10884</v>
      </c>
      <c r="G193" t="s">
        <v>112</v>
      </c>
      <c r="I193" t="str">
        <f t="shared" si="8"/>
        <v>1276</v>
      </c>
      <c r="J193" t="str">
        <f t="shared" si="9"/>
        <v>BC</v>
      </c>
      <c r="K193">
        <f t="shared" si="10"/>
        <v>-1276</v>
      </c>
      <c r="L193">
        <f t="shared" si="11"/>
        <v>-1276</v>
      </c>
    </row>
    <row r="194" spans="1:12" x14ac:dyDescent="0.35">
      <c r="A194">
        <v>193</v>
      </c>
      <c r="B194" t="s">
        <v>11000</v>
      </c>
      <c r="C194" t="s">
        <v>11002</v>
      </c>
      <c r="D194" t="s">
        <v>11001</v>
      </c>
      <c r="E194" t="s">
        <v>375</v>
      </c>
      <c r="F194" t="s">
        <v>10884</v>
      </c>
      <c r="G194" t="s">
        <v>112</v>
      </c>
      <c r="I194" t="str">
        <f t="shared" ref="I194:I257" si="12">SUBSTITUTE(SUBSTITUTE(SUBSTITUTE(F194,"c. ","")," BC","")," AD","")</f>
        <v>1276</v>
      </c>
      <c r="J194" t="str">
        <f t="shared" ref="J194:J257" si="13">RIGHT(F194, 2)</f>
        <v>BC</v>
      </c>
      <c r="K194">
        <f t="shared" ref="K194:K257" si="14">IF(J194="BC", 0-IF(ISERROR(FIND("-",I194)),I194,LEFT(I194,FIND("-",I194)-1)), IF(ISERROR(FIND("-",I194)),I194,LEFT(I194,FIND("-",I194)-1)))</f>
        <v>-1276</v>
      </c>
      <c r="L194">
        <f t="shared" ref="L194:L257" si="15">IF(J194="BC", 0-IF(ISERROR(FIND("-",I194)),I194,RIGHT(I194,FIND("-",I194)-1)), IF(ISERROR(FIND("-",I194)),I194,RIGHT(I194,FIND("-",I194)-1)))</f>
        <v>-1276</v>
      </c>
    </row>
    <row r="195" spans="1:12" x14ac:dyDescent="0.35">
      <c r="A195">
        <v>194</v>
      </c>
      <c r="B195" t="s">
        <v>374</v>
      </c>
      <c r="C195" t="s">
        <v>10049</v>
      </c>
      <c r="D195" t="s">
        <v>78</v>
      </c>
      <c r="E195" t="s">
        <v>375</v>
      </c>
      <c r="F195" t="s">
        <v>10884</v>
      </c>
      <c r="G195" t="s">
        <v>112</v>
      </c>
      <c r="I195" t="str">
        <f t="shared" si="12"/>
        <v>1276</v>
      </c>
      <c r="J195" t="str">
        <f t="shared" si="13"/>
        <v>BC</v>
      </c>
      <c r="K195">
        <f t="shared" si="14"/>
        <v>-1276</v>
      </c>
      <c r="L195">
        <f t="shared" si="15"/>
        <v>-1276</v>
      </c>
    </row>
    <row r="196" spans="1:12" x14ac:dyDescent="0.35">
      <c r="A196">
        <v>195</v>
      </c>
      <c r="B196" t="s">
        <v>11003</v>
      </c>
      <c r="C196" t="s">
        <v>11112</v>
      </c>
      <c r="D196" t="s">
        <v>11004</v>
      </c>
      <c r="E196" t="s">
        <v>357</v>
      </c>
      <c r="F196" t="s">
        <v>10884</v>
      </c>
      <c r="G196" t="s">
        <v>112</v>
      </c>
      <c r="I196" t="str">
        <f t="shared" si="12"/>
        <v>1276</v>
      </c>
      <c r="J196" t="str">
        <f t="shared" si="13"/>
        <v>BC</v>
      </c>
      <c r="K196">
        <f t="shared" si="14"/>
        <v>-1276</v>
      </c>
      <c r="L196">
        <f t="shared" si="15"/>
        <v>-1276</v>
      </c>
    </row>
    <row r="197" spans="1:12" x14ac:dyDescent="0.35">
      <c r="A197">
        <v>196</v>
      </c>
      <c r="B197" t="s">
        <v>11005</v>
      </c>
      <c r="C197" t="s">
        <v>11165</v>
      </c>
      <c r="D197" t="s">
        <v>11006</v>
      </c>
      <c r="E197" t="s">
        <v>376</v>
      </c>
      <c r="F197" t="s">
        <v>10884</v>
      </c>
      <c r="G197" t="s">
        <v>112</v>
      </c>
      <c r="I197" t="str">
        <f t="shared" si="12"/>
        <v>1276</v>
      </c>
      <c r="J197" t="str">
        <f t="shared" si="13"/>
        <v>BC</v>
      </c>
      <c r="K197">
        <f t="shared" si="14"/>
        <v>-1276</v>
      </c>
      <c r="L197">
        <f t="shared" si="15"/>
        <v>-1276</v>
      </c>
    </row>
    <row r="198" spans="1:12" x14ac:dyDescent="0.35">
      <c r="A198">
        <v>197</v>
      </c>
      <c r="B198" t="s">
        <v>11007</v>
      </c>
      <c r="C198" t="s">
        <v>11166</v>
      </c>
      <c r="D198" t="s">
        <v>11008</v>
      </c>
      <c r="E198" t="s">
        <v>376</v>
      </c>
      <c r="F198" t="s">
        <v>10884</v>
      </c>
      <c r="G198" t="s">
        <v>8297</v>
      </c>
      <c r="I198" t="str">
        <f t="shared" si="12"/>
        <v>1276</v>
      </c>
      <c r="J198" t="str">
        <f t="shared" si="13"/>
        <v>BC</v>
      </c>
      <c r="K198">
        <f t="shared" si="14"/>
        <v>-1276</v>
      </c>
      <c r="L198">
        <f t="shared" si="15"/>
        <v>-1276</v>
      </c>
    </row>
    <row r="199" spans="1:12" x14ac:dyDescent="0.35">
      <c r="A199">
        <v>198</v>
      </c>
      <c r="B199" t="s">
        <v>377</v>
      </c>
      <c r="C199" t="s">
        <v>11167</v>
      </c>
      <c r="D199" t="s">
        <v>378</v>
      </c>
      <c r="E199" t="s">
        <v>357</v>
      </c>
      <c r="F199" t="s">
        <v>10884</v>
      </c>
      <c r="G199" t="s">
        <v>112</v>
      </c>
      <c r="I199" t="str">
        <f t="shared" si="12"/>
        <v>1276</v>
      </c>
      <c r="J199" t="str">
        <f t="shared" si="13"/>
        <v>BC</v>
      </c>
      <c r="K199">
        <f t="shared" si="14"/>
        <v>-1276</v>
      </c>
      <c r="L199">
        <f t="shared" si="15"/>
        <v>-1276</v>
      </c>
    </row>
    <row r="200" spans="1:12" x14ac:dyDescent="0.35">
      <c r="A200">
        <v>199</v>
      </c>
      <c r="B200" t="s">
        <v>11009</v>
      </c>
      <c r="C200" t="s">
        <v>11168</v>
      </c>
      <c r="D200" t="s">
        <v>11010</v>
      </c>
      <c r="E200" t="s">
        <v>357</v>
      </c>
      <c r="F200" t="s">
        <v>10884</v>
      </c>
      <c r="G200" t="s">
        <v>112</v>
      </c>
      <c r="I200" t="str">
        <f t="shared" si="12"/>
        <v>1276</v>
      </c>
      <c r="J200" t="str">
        <f t="shared" si="13"/>
        <v>BC</v>
      </c>
      <c r="K200">
        <f t="shared" si="14"/>
        <v>-1276</v>
      </c>
      <c r="L200">
        <f t="shared" si="15"/>
        <v>-1276</v>
      </c>
    </row>
    <row r="201" spans="1:12" x14ac:dyDescent="0.35">
      <c r="A201">
        <v>200</v>
      </c>
      <c r="B201" t="s">
        <v>379</v>
      </c>
      <c r="C201" t="s">
        <v>11125</v>
      </c>
      <c r="D201" t="s">
        <v>380</v>
      </c>
      <c r="E201" t="s">
        <v>357</v>
      </c>
      <c r="F201" t="s">
        <v>10884</v>
      </c>
      <c r="G201" t="s">
        <v>112</v>
      </c>
      <c r="I201" t="str">
        <f t="shared" si="12"/>
        <v>1276</v>
      </c>
      <c r="J201" t="str">
        <f t="shared" si="13"/>
        <v>BC</v>
      </c>
      <c r="K201">
        <f t="shared" si="14"/>
        <v>-1276</v>
      </c>
      <c r="L201">
        <f t="shared" si="15"/>
        <v>-1276</v>
      </c>
    </row>
    <row r="202" spans="1:12" x14ac:dyDescent="0.35">
      <c r="A202">
        <v>201</v>
      </c>
      <c r="B202" t="s">
        <v>381</v>
      </c>
      <c r="C202" t="s">
        <v>11122</v>
      </c>
      <c r="D202" t="s">
        <v>382</v>
      </c>
      <c r="E202" t="s">
        <v>357</v>
      </c>
      <c r="F202" t="s">
        <v>10884</v>
      </c>
      <c r="G202" t="s">
        <v>112</v>
      </c>
      <c r="I202" t="str">
        <f t="shared" si="12"/>
        <v>1276</v>
      </c>
      <c r="J202" t="str">
        <f t="shared" si="13"/>
        <v>BC</v>
      </c>
      <c r="K202">
        <f t="shared" si="14"/>
        <v>-1276</v>
      </c>
      <c r="L202">
        <f t="shared" si="15"/>
        <v>-1276</v>
      </c>
    </row>
    <row r="203" spans="1:12" x14ac:dyDescent="0.35">
      <c r="A203">
        <v>202</v>
      </c>
      <c r="B203" t="s">
        <v>11011</v>
      </c>
      <c r="C203" t="s">
        <v>11169</v>
      </c>
      <c r="D203" t="s">
        <v>79</v>
      </c>
      <c r="E203" t="s">
        <v>383</v>
      </c>
      <c r="F203" t="s">
        <v>10884</v>
      </c>
      <c r="G203" t="s">
        <v>112</v>
      </c>
      <c r="I203" t="str">
        <f t="shared" si="12"/>
        <v>1276</v>
      </c>
      <c r="J203" t="str">
        <f t="shared" si="13"/>
        <v>BC</v>
      </c>
      <c r="K203">
        <f t="shared" si="14"/>
        <v>-1276</v>
      </c>
      <c r="L203">
        <f t="shared" si="15"/>
        <v>-1276</v>
      </c>
    </row>
    <row r="204" spans="1:12" x14ac:dyDescent="0.35">
      <c r="A204">
        <v>203</v>
      </c>
      <c r="B204" t="s">
        <v>384</v>
      </c>
      <c r="C204" t="s">
        <v>10055</v>
      </c>
      <c r="D204" t="s">
        <v>385</v>
      </c>
      <c r="E204" t="s">
        <v>375</v>
      </c>
      <c r="F204" t="s">
        <v>10884</v>
      </c>
      <c r="G204" t="s">
        <v>112</v>
      </c>
      <c r="I204" t="str">
        <f t="shared" si="12"/>
        <v>1276</v>
      </c>
      <c r="J204" t="str">
        <f t="shared" si="13"/>
        <v>BC</v>
      </c>
      <c r="K204">
        <f t="shared" si="14"/>
        <v>-1276</v>
      </c>
      <c r="L204">
        <f t="shared" si="15"/>
        <v>-1276</v>
      </c>
    </row>
    <row r="205" spans="1:12" x14ac:dyDescent="0.35">
      <c r="A205">
        <v>204</v>
      </c>
      <c r="B205" t="s">
        <v>11012</v>
      </c>
      <c r="C205" t="s">
        <v>11112</v>
      </c>
      <c r="D205" t="s">
        <v>11013</v>
      </c>
      <c r="E205" t="s">
        <v>375</v>
      </c>
      <c r="F205" t="s">
        <v>10884</v>
      </c>
      <c r="G205" t="s">
        <v>112</v>
      </c>
      <c r="I205" t="str">
        <f t="shared" si="12"/>
        <v>1276</v>
      </c>
      <c r="J205" t="str">
        <f t="shared" si="13"/>
        <v>BC</v>
      </c>
      <c r="K205">
        <f t="shared" si="14"/>
        <v>-1276</v>
      </c>
      <c r="L205">
        <f t="shared" si="15"/>
        <v>-1276</v>
      </c>
    </row>
    <row r="206" spans="1:12" x14ac:dyDescent="0.35">
      <c r="A206">
        <v>205</v>
      </c>
      <c r="B206" t="s">
        <v>11014</v>
      </c>
      <c r="C206" t="s">
        <v>11170</v>
      </c>
      <c r="D206" t="s">
        <v>387</v>
      </c>
      <c r="E206" t="s">
        <v>375</v>
      </c>
      <c r="F206" t="s">
        <v>10884</v>
      </c>
      <c r="G206" t="s">
        <v>112</v>
      </c>
      <c r="I206" t="str">
        <f t="shared" si="12"/>
        <v>1276</v>
      </c>
      <c r="J206" t="str">
        <f t="shared" si="13"/>
        <v>BC</v>
      </c>
      <c r="K206">
        <f t="shared" si="14"/>
        <v>-1276</v>
      </c>
      <c r="L206">
        <f t="shared" si="15"/>
        <v>-1276</v>
      </c>
    </row>
    <row r="207" spans="1:12" x14ac:dyDescent="0.35">
      <c r="A207">
        <v>206</v>
      </c>
      <c r="B207" t="s">
        <v>11015</v>
      </c>
      <c r="C207" t="s">
        <v>11171</v>
      </c>
      <c r="D207" t="s">
        <v>388</v>
      </c>
      <c r="E207" t="s">
        <v>389</v>
      </c>
      <c r="F207" t="s">
        <v>10884</v>
      </c>
      <c r="G207" t="s">
        <v>112</v>
      </c>
      <c r="I207" t="str">
        <f t="shared" si="12"/>
        <v>1276</v>
      </c>
      <c r="J207" t="str">
        <f t="shared" si="13"/>
        <v>BC</v>
      </c>
      <c r="K207">
        <f t="shared" si="14"/>
        <v>-1276</v>
      </c>
      <c r="L207">
        <f t="shared" si="15"/>
        <v>-1276</v>
      </c>
    </row>
    <row r="208" spans="1:12" x14ac:dyDescent="0.35">
      <c r="A208">
        <v>207</v>
      </c>
      <c r="B208" t="s">
        <v>412</v>
      </c>
      <c r="C208" t="s">
        <v>11164</v>
      </c>
      <c r="D208" t="s">
        <v>11016</v>
      </c>
      <c r="E208" t="s">
        <v>411</v>
      </c>
      <c r="F208" t="s">
        <v>10884</v>
      </c>
      <c r="G208" t="s">
        <v>112</v>
      </c>
      <c r="I208" t="str">
        <f t="shared" si="12"/>
        <v>1276</v>
      </c>
      <c r="J208" t="str">
        <f t="shared" si="13"/>
        <v>BC</v>
      </c>
      <c r="K208">
        <f t="shared" si="14"/>
        <v>-1276</v>
      </c>
      <c r="L208">
        <f t="shared" si="15"/>
        <v>-1276</v>
      </c>
    </row>
    <row r="209" spans="1:12" x14ac:dyDescent="0.35">
      <c r="A209">
        <v>208</v>
      </c>
      <c r="B209" t="s">
        <v>413</v>
      </c>
      <c r="C209" t="s">
        <v>11164</v>
      </c>
      <c r="D209" t="s">
        <v>414</v>
      </c>
      <c r="E209" t="s">
        <v>411</v>
      </c>
      <c r="F209" t="s">
        <v>10884</v>
      </c>
      <c r="G209" t="s">
        <v>112</v>
      </c>
      <c r="I209" t="str">
        <f t="shared" si="12"/>
        <v>1276</v>
      </c>
      <c r="J209" t="str">
        <f t="shared" si="13"/>
        <v>BC</v>
      </c>
      <c r="K209">
        <f t="shared" si="14"/>
        <v>-1276</v>
      </c>
      <c r="L209">
        <f t="shared" si="15"/>
        <v>-1276</v>
      </c>
    </row>
    <row r="210" spans="1:12" x14ac:dyDescent="0.35">
      <c r="A210">
        <v>209</v>
      </c>
      <c r="B210" t="s">
        <v>415</v>
      </c>
      <c r="C210" t="s">
        <v>11164</v>
      </c>
      <c r="D210" t="s">
        <v>416</v>
      </c>
      <c r="E210" t="s">
        <v>411</v>
      </c>
      <c r="F210" t="s">
        <v>10884</v>
      </c>
      <c r="G210" t="s">
        <v>112</v>
      </c>
      <c r="I210" t="str">
        <f t="shared" si="12"/>
        <v>1276</v>
      </c>
      <c r="J210" t="str">
        <f t="shared" si="13"/>
        <v>BC</v>
      </c>
      <c r="K210">
        <f t="shared" si="14"/>
        <v>-1276</v>
      </c>
      <c r="L210">
        <f t="shared" si="15"/>
        <v>-1276</v>
      </c>
    </row>
    <row r="211" spans="1:12" x14ac:dyDescent="0.35">
      <c r="A211">
        <v>210</v>
      </c>
      <c r="B211" t="s">
        <v>417</v>
      </c>
      <c r="C211" t="s">
        <v>11164</v>
      </c>
      <c r="D211" t="s">
        <v>418</v>
      </c>
      <c r="E211" t="s">
        <v>411</v>
      </c>
      <c r="F211" t="s">
        <v>10884</v>
      </c>
      <c r="G211" t="s">
        <v>112</v>
      </c>
      <c r="I211" t="str">
        <f t="shared" si="12"/>
        <v>1276</v>
      </c>
      <c r="J211" t="str">
        <f t="shared" si="13"/>
        <v>BC</v>
      </c>
      <c r="K211">
        <f t="shared" si="14"/>
        <v>-1276</v>
      </c>
      <c r="L211">
        <f t="shared" si="15"/>
        <v>-1276</v>
      </c>
    </row>
    <row r="212" spans="1:12" x14ac:dyDescent="0.35">
      <c r="A212">
        <v>211</v>
      </c>
      <c r="B212" t="s">
        <v>419</v>
      </c>
      <c r="C212" t="s">
        <v>11164</v>
      </c>
      <c r="D212" t="s">
        <v>420</v>
      </c>
      <c r="E212" t="s">
        <v>411</v>
      </c>
      <c r="F212" t="s">
        <v>10884</v>
      </c>
      <c r="G212" t="s">
        <v>112</v>
      </c>
      <c r="I212" t="str">
        <f t="shared" si="12"/>
        <v>1276</v>
      </c>
      <c r="J212" t="str">
        <f t="shared" si="13"/>
        <v>BC</v>
      </c>
      <c r="K212">
        <f t="shared" si="14"/>
        <v>-1276</v>
      </c>
      <c r="L212">
        <f t="shared" si="15"/>
        <v>-1276</v>
      </c>
    </row>
    <row r="213" spans="1:12" x14ac:dyDescent="0.35">
      <c r="A213">
        <v>212</v>
      </c>
      <c r="B213" t="s">
        <v>421</v>
      </c>
      <c r="C213" t="s">
        <v>11164</v>
      </c>
      <c r="D213" t="s">
        <v>422</v>
      </c>
      <c r="E213" t="s">
        <v>411</v>
      </c>
      <c r="F213" t="s">
        <v>10884</v>
      </c>
      <c r="G213" t="s">
        <v>112</v>
      </c>
      <c r="I213" t="str">
        <f t="shared" si="12"/>
        <v>1276</v>
      </c>
      <c r="J213" t="str">
        <f t="shared" si="13"/>
        <v>BC</v>
      </c>
      <c r="K213">
        <f t="shared" si="14"/>
        <v>-1276</v>
      </c>
      <c r="L213">
        <f t="shared" si="15"/>
        <v>-1276</v>
      </c>
    </row>
    <row r="214" spans="1:12" x14ac:dyDescent="0.35">
      <c r="A214">
        <v>213</v>
      </c>
      <c r="B214" t="s">
        <v>423</v>
      </c>
      <c r="C214" t="s">
        <v>11164</v>
      </c>
      <c r="D214" t="s">
        <v>424</v>
      </c>
      <c r="E214" t="s">
        <v>411</v>
      </c>
      <c r="F214" t="s">
        <v>10884</v>
      </c>
      <c r="G214" t="s">
        <v>112</v>
      </c>
      <c r="I214" t="str">
        <f t="shared" si="12"/>
        <v>1276</v>
      </c>
      <c r="J214" t="str">
        <f t="shared" si="13"/>
        <v>BC</v>
      </c>
      <c r="K214">
        <f t="shared" si="14"/>
        <v>-1276</v>
      </c>
      <c r="L214">
        <f t="shared" si="15"/>
        <v>-1276</v>
      </c>
    </row>
    <row r="215" spans="1:12" x14ac:dyDescent="0.35">
      <c r="A215">
        <v>214</v>
      </c>
      <c r="B215" t="s">
        <v>11019</v>
      </c>
      <c r="C215" t="s">
        <v>11172</v>
      </c>
      <c r="D215" t="s">
        <v>25</v>
      </c>
      <c r="E215" t="s">
        <v>411</v>
      </c>
      <c r="F215" t="s">
        <v>10884</v>
      </c>
      <c r="G215" t="s">
        <v>112</v>
      </c>
      <c r="I215" t="str">
        <f t="shared" si="12"/>
        <v>1276</v>
      </c>
      <c r="J215" t="str">
        <f t="shared" si="13"/>
        <v>BC</v>
      </c>
      <c r="K215">
        <f t="shared" si="14"/>
        <v>-1276</v>
      </c>
      <c r="L215">
        <f t="shared" si="15"/>
        <v>-1276</v>
      </c>
    </row>
    <row r="216" spans="1:12" x14ac:dyDescent="0.35">
      <c r="A216">
        <v>215</v>
      </c>
      <c r="B216" t="s">
        <v>11020</v>
      </c>
      <c r="C216" t="s">
        <v>11139</v>
      </c>
      <c r="D216" t="s">
        <v>11021</v>
      </c>
      <c r="E216" t="s">
        <v>411</v>
      </c>
      <c r="F216" t="s">
        <v>10884</v>
      </c>
      <c r="G216" t="s">
        <v>112</v>
      </c>
      <c r="I216" t="str">
        <f t="shared" si="12"/>
        <v>1276</v>
      </c>
      <c r="J216" t="str">
        <f t="shared" si="13"/>
        <v>BC</v>
      </c>
      <c r="K216">
        <f t="shared" si="14"/>
        <v>-1276</v>
      </c>
      <c r="L216">
        <f t="shared" si="15"/>
        <v>-1276</v>
      </c>
    </row>
    <row r="217" spans="1:12" x14ac:dyDescent="0.35">
      <c r="A217">
        <v>216</v>
      </c>
      <c r="B217" t="s">
        <v>11022</v>
      </c>
      <c r="C217" t="s">
        <v>11164</v>
      </c>
      <c r="D217" t="s">
        <v>425</v>
      </c>
      <c r="E217" t="s">
        <v>411</v>
      </c>
      <c r="F217" t="s">
        <v>10884</v>
      </c>
      <c r="G217" t="s">
        <v>112</v>
      </c>
      <c r="I217" t="str">
        <f t="shared" si="12"/>
        <v>1276</v>
      </c>
      <c r="J217" t="str">
        <f t="shared" si="13"/>
        <v>BC</v>
      </c>
      <c r="K217">
        <f t="shared" si="14"/>
        <v>-1276</v>
      </c>
      <c r="L217">
        <f t="shared" si="15"/>
        <v>-1276</v>
      </c>
    </row>
    <row r="218" spans="1:12" x14ac:dyDescent="0.35">
      <c r="A218">
        <v>217</v>
      </c>
      <c r="B218" t="s">
        <v>426</v>
      </c>
      <c r="C218" t="s">
        <v>11164</v>
      </c>
      <c r="D218" t="s">
        <v>427</v>
      </c>
      <c r="E218" t="s">
        <v>411</v>
      </c>
      <c r="F218" t="s">
        <v>10884</v>
      </c>
      <c r="G218" t="s">
        <v>112</v>
      </c>
      <c r="I218" t="str">
        <f t="shared" si="12"/>
        <v>1276</v>
      </c>
      <c r="J218" t="str">
        <f t="shared" si="13"/>
        <v>BC</v>
      </c>
      <c r="K218">
        <f t="shared" si="14"/>
        <v>-1276</v>
      </c>
      <c r="L218">
        <f t="shared" si="15"/>
        <v>-1276</v>
      </c>
    </row>
    <row r="219" spans="1:12" x14ac:dyDescent="0.35">
      <c r="A219">
        <v>218</v>
      </c>
      <c r="B219" t="s">
        <v>428</v>
      </c>
      <c r="C219" t="s">
        <v>11164</v>
      </c>
      <c r="D219" t="s">
        <v>429</v>
      </c>
      <c r="E219" t="s">
        <v>411</v>
      </c>
      <c r="F219" t="s">
        <v>10884</v>
      </c>
      <c r="G219" t="s">
        <v>112</v>
      </c>
      <c r="I219" t="str">
        <f t="shared" si="12"/>
        <v>1276</v>
      </c>
      <c r="J219" t="str">
        <f t="shared" si="13"/>
        <v>BC</v>
      </c>
      <c r="K219">
        <f t="shared" si="14"/>
        <v>-1276</v>
      </c>
      <c r="L219">
        <f t="shared" si="15"/>
        <v>-1276</v>
      </c>
    </row>
    <row r="220" spans="1:12" x14ac:dyDescent="0.35">
      <c r="A220">
        <v>219</v>
      </c>
      <c r="B220" t="s">
        <v>430</v>
      </c>
      <c r="C220" t="s">
        <v>11164</v>
      </c>
      <c r="D220" t="s">
        <v>431</v>
      </c>
      <c r="E220" t="s">
        <v>411</v>
      </c>
      <c r="F220" t="s">
        <v>10884</v>
      </c>
      <c r="G220" t="s">
        <v>112</v>
      </c>
      <c r="I220" t="str">
        <f t="shared" si="12"/>
        <v>1276</v>
      </c>
      <c r="J220" t="str">
        <f t="shared" si="13"/>
        <v>BC</v>
      </c>
      <c r="K220">
        <f t="shared" si="14"/>
        <v>-1276</v>
      </c>
      <c r="L220">
        <f t="shared" si="15"/>
        <v>-1276</v>
      </c>
    </row>
    <row r="221" spans="1:12" x14ac:dyDescent="0.35">
      <c r="A221">
        <v>220</v>
      </c>
      <c r="B221" t="s">
        <v>432</v>
      </c>
      <c r="C221" t="s">
        <v>11164</v>
      </c>
      <c r="D221" t="s">
        <v>433</v>
      </c>
      <c r="E221" t="s">
        <v>411</v>
      </c>
      <c r="F221" t="s">
        <v>10884</v>
      </c>
      <c r="G221" t="s">
        <v>112</v>
      </c>
      <c r="I221" t="str">
        <f t="shared" si="12"/>
        <v>1276</v>
      </c>
      <c r="J221" t="str">
        <f t="shared" si="13"/>
        <v>BC</v>
      </c>
      <c r="K221">
        <f t="shared" si="14"/>
        <v>-1276</v>
      </c>
      <c r="L221">
        <f t="shared" si="15"/>
        <v>-1276</v>
      </c>
    </row>
    <row r="222" spans="1:12" x14ac:dyDescent="0.35">
      <c r="A222">
        <v>221</v>
      </c>
      <c r="B222" t="s">
        <v>434</v>
      </c>
      <c r="C222" t="s">
        <v>11164</v>
      </c>
      <c r="D222" t="s">
        <v>435</v>
      </c>
      <c r="E222" t="s">
        <v>411</v>
      </c>
      <c r="F222" t="s">
        <v>10884</v>
      </c>
      <c r="G222" t="s">
        <v>112</v>
      </c>
      <c r="I222" t="str">
        <f t="shared" si="12"/>
        <v>1276</v>
      </c>
      <c r="J222" t="str">
        <f t="shared" si="13"/>
        <v>BC</v>
      </c>
      <c r="K222">
        <f t="shared" si="14"/>
        <v>-1276</v>
      </c>
      <c r="L222">
        <f t="shared" si="15"/>
        <v>-1276</v>
      </c>
    </row>
    <row r="223" spans="1:12" x14ac:dyDescent="0.35">
      <c r="A223">
        <v>222</v>
      </c>
      <c r="B223" t="s">
        <v>436</v>
      </c>
      <c r="C223" t="s">
        <v>11164</v>
      </c>
      <c r="D223" t="s">
        <v>437</v>
      </c>
      <c r="E223" t="s">
        <v>411</v>
      </c>
      <c r="F223" t="s">
        <v>10884</v>
      </c>
      <c r="G223" t="s">
        <v>112</v>
      </c>
      <c r="I223" t="str">
        <f t="shared" si="12"/>
        <v>1276</v>
      </c>
      <c r="J223" t="str">
        <f t="shared" si="13"/>
        <v>BC</v>
      </c>
      <c r="K223">
        <f t="shared" si="14"/>
        <v>-1276</v>
      </c>
      <c r="L223">
        <f t="shared" si="15"/>
        <v>-1276</v>
      </c>
    </row>
    <row r="224" spans="1:12" x14ac:dyDescent="0.35">
      <c r="A224">
        <v>223</v>
      </c>
      <c r="B224" t="s">
        <v>438</v>
      </c>
      <c r="C224" t="s">
        <v>11164</v>
      </c>
      <c r="D224" t="s">
        <v>439</v>
      </c>
      <c r="E224" t="s">
        <v>411</v>
      </c>
      <c r="F224" t="s">
        <v>10884</v>
      </c>
      <c r="G224" t="s">
        <v>112</v>
      </c>
      <c r="I224" t="str">
        <f t="shared" si="12"/>
        <v>1276</v>
      </c>
      <c r="J224" t="str">
        <f t="shared" si="13"/>
        <v>BC</v>
      </c>
      <c r="K224">
        <f t="shared" si="14"/>
        <v>-1276</v>
      </c>
      <c r="L224">
        <f t="shared" si="15"/>
        <v>-1276</v>
      </c>
    </row>
    <row r="225" spans="1:12" x14ac:dyDescent="0.35">
      <c r="A225">
        <v>224</v>
      </c>
      <c r="B225" t="s">
        <v>440</v>
      </c>
      <c r="C225" t="s">
        <v>11164</v>
      </c>
      <c r="D225" t="s">
        <v>441</v>
      </c>
      <c r="E225" t="s">
        <v>411</v>
      </c>
      <c r="F225" t="s">
        <v>10884</v>
      </c>
      <c r="G225" t="s">
        <v>112</v>
      </c>
      <c r="I225" t="str">
        <f t="shared" si="12"/>
        <v>1276</v>
      </c>
      <c r="J225" t="str">
        <f t="shared" si="13"/>
        <v>BC</v>
      </c>
      <c r="K225">
        <f t="shared" si="14"/>
        <v>-1276</v>
      </c>
      <c r="L225">
        <f t="shared" si="15"/>
        <v>-1276</v>
      </c>
    </row>
    <row r="226" spans="1:12" x14ac:dyDescent="0.35">
      <c r="A226">
        <v>225</v>
      </c>
      <c r="B226" t="s">
        <v>442</v>
      </c>
      <c r="C226" t="s">
        <v>11164</v>
      </c>
      <c r="D226" t="s">
        <v>443</v>
      </c>
      <c r="E226" t="s">
        <v>411</v>
      </c>
      <c r="F226" t="s">
        <v>10884</v>
      </c>
      <c r="G226" t="s">
        <v>112</v>
      </c>
      <c r="I226" t="str">
        <f t="shared" si="12"/>
        <v>1276</v>
      </c>
      <c r="J226" t="str">
        <f t="shared" si="13"/>
        <v>BC</v>
      </c>
      <c r="K226">
        <f t="shared" si="14"/>
        <v>-1276</v>
      </c>
      <c r="L226">
        <f t="shared" si="15"/>
        <v>-1276</v>
      </c>
    </row>
    <row r="227" spans="1:12" x14ac:dyDescent="0.35">
      <c r="A227">
        <v>226</v>
      </c>
      <c r="B227" t="s">
        <v>444</v>
      </c>
      <c r="C227" t="s">
        <v>11164</v>
      </c>
      <c r="D227" t="s">
        <v>445</v>
      </c>
      <c r="E227" t="s">
        <v>411</v>
      </c>
      <c r="F227" t="s">
        <v>10884</v>
      </c>
      <c r="G227" t="s">
        <v>112</v>
      </c>
      <c r="I227" t="str">
        <f t="shared" si="12"/>
        <v>1276</v>
      </c>
      <c r="J227" t="str">
        <f t="shared" si="13"/>
        <v>BC</v>
      </c>
      <c r="K227">
        <f t="shared" si="14"/>
        <v>-1276</v>
      </c>
      <c r="L227">
        <f t="shared" si="15"/>
        <v>-1276</v>
      </c>
    </row>
    <row r="228" spans="1:12" x14ac:dyDescent="0.35">
      <c r="A228">
        <v>227</v>
      </c>
      <c r="B228" t="s">
        <v>446</v>
      </c>
      <c r="C228" t="s">
        <v>11164</v>
      </c>
      <c r="D228" t="s">
        <v>447</v>
      </c>
      <c r="E228" t="s">
        <v>411</v>
      </c>
      <c r="F228" t="s">
        <v>10884</v>
      </c>
      <c r="G228" t="s">
        <v>112</v>
      </c>
      <c r="I228" t="str">
        <f t="shared" si="12"/>
        <v>1276</v>
      </c>
      <c r="J228" t="str">
        <f t="shared" si="13"/>
        <v>BC</v>
      </c>
      <c r="K228">
        <f t="shared" si="14"/>
        <v>-1276</v>
      </c>
      <c r="L228">
        <f t="shared" si="15"/>
        <v>-1276</v>
      </c>
    </row>
    <row r="229" spans="1:12" x14ac:dyDescent="0.35">
      <c r="A229">
        <v>228</v>
      </c>
      <c r="B229" t="s">
        <v>448</v>
      </c>
      <c r="C229" t="s">
        <v>11164</v>
      </c>
      <c r="D229" t="s">
        <v>449</v>
      </c>
      <c r="E229" t="s">
        <v>411</v>
      </c>
      <c r="F229" t="s">
        <v>10884</v>
      </c>
      <c r="G229" t="s">
        <v>112</v>
      </c>
      <c r="I229" t="str">
        <f t="shared" si="12"/>
        <v>1276</v>
      </c>
      <c r="J229" t="str">
        <f t="shared" si="13"/>
        <v>BC</v>
      </c>
      <c r="K229">
        <f t="shared" si="14"/>
        <v>-1276</v>
      </c>
      <c r="L229">
        <f t="shared" si="15"/>
        <v>-1276</v>
      </c>
    </row>
    <row r="230" spans="1:12" x14ac:dyDescent="0.35">
      <c r="A230">
        <v>229</v>
      </c>
      <c r="B230" t="s">
        <v>450</v>
      </c>
      <c r="C230" t="s">
        <v>11164</v>
      </c>
      <c r="D230" t="s">
        <v>451</v>
      </c>
      <c r="E230" t="s">
        <v>411</v>
      </c>
      <c r="F230" t="s">
        <v>10884</v>
      </c>
      <c r="G230" t="s">
        <v>112</v>
      </c>
      <c r="I230" t="str">
        <f t="shared" si="12"/>
        <v>1276</v>
      </c>
      <c r="J230" t="str">
        <f t="shared" si="13"/>
        <v>BC</v>
      </c>
      <c r="K230">
        <f t="shared" si="14"/>
        <v>-1276</v>
      </c>
      <c r="L230">
        <f t="shared" si="15"/>
        <v>-1276</v>
      </c>
    </row>
    <row r="231" spans="1:12" x14ac:dyDescent="0.35">
      <c r="A231">
        <v>230</v>
      </c>
      <c r="B231" t="s">
        <v>452</v>
      </c>
      <c r="C231" t="s">
        <v>11164</v>
      </c>
      <c r="D231" t="s">
        <v>453</v>
      </c>
      <c r="E231" t="s">
        <v>411</v>
      </c>
      <c r="F231" t="s">
        <v>10884</v>
      </c>
      <c r="G231" t="s">
        <v>112</v>
      </c>
      <c r="I231" t="str">
        <f t="shared" si="12"/>
        <v>1276</v>
      </c>
      <c r="J231" t="str">
        <f t="shared" si="13"/>
        <v>BC</v>
      </c>
      <c r="K231">
        <f t="shared" si="14"/>
        <v>-1276</v>
      </c>
      <c r="L231">
        <f t="shared" si="15"/>
        <v>-1276</v>
      </c>
    </row>
    <row r="232" spans="1:12" x14ac:dyDescent="0.35">
      <c r="A232">
        <v>231</v>
      </c>
      <c r="B232" t="s">
        <v>454</v>
      </c>
      <c r="C232" t="s">
        <v>11164</v>
      </c>
      <c r="D232" t="s">
        <v>455</v>
      </c>
      <c r="E232" t="s">
        <v>411</v>
      </c>
      <c r="F232" t="s">
        <v>10884</v>
      </c>
      <c r="G232" t="s">
        <v>112</v>
      </c>
      <c r="I232" t="str">
        <f t="shared" si="12"/>
        <v>1276</v>
      </c>
      <c r="J232" t="str">
        <f t="shared" si="13"/>
        <v>BC</v>
      </c>
      <c r="K232">
        <f t="shared" si="14"/>
        <v>-1276</v>
      </c>
      <c r="L232">
        <f t="shared" si="15"/>
        <v>-1276</v>
      </c>
    </row>
    <row r="233" spans="1:12" x14ac:dyDescent="0.35">
      <c r="A233">
        <v>232</v>
      </c>
      <c r="B233" t="s">
        <v>456</v>
      </c>
      <c r="C233" t="s">
        <v>11164</v>
      </c>
      <c r="D233" t="s">
        <v>457</v>
      </c>
      <c r="E233" t="s">
        <v>411</v>
      </c>
      <c r="F233" t="s">
        <v>10884</v>
      </c>
      <c r="G233" t="s">
        <v>112</v>
      </c>
      <c r="I233" t="str">
        <f t="shared" si="12"/>
        <v>1276</v>
      </c>
      <c r="J233" t="str">
        <f t="shared" si="13"/>
        <v>BC</v>
      </c>
      <c r="K233">
        <f t="shared" si="14"/>
        <v>-1276</v>
      </c>
      <c r="L233">
        <f t="shared" si="15"/>
        <v>-1276</v>
      </c>
    </row>
    <row r="234" spans="1:12" x14ac:dyDescent="0.35">
      <c r="A234">
        <v>233</v>
      </c>
      <c r="B234" t="s">
        <v>458</v>
      </c>
      <c r="C234" t="s">
        <v>11164</v>
      </c>
      <c r="D234" t="s">
        <v>459</v>
      </c>
      <c r="E234" t="s">
        <v>411</v>
      </c>
      <c r="F234" t="s">
        <v>10884</v>
      </c>
      <c r="G234" t="s">
        <v>112</v>
      </c>
      <c r="I234" t="str">
        <f t="shared" si="12"/>
        <v>1276</v>
      </c>
      <c r="J234" t="str">
        <f t="shared" si="13"/>
        <v>BC</v>
      </c>
      <c r="K234">
        <f t="shared" si="14"/>
        <v>-1276</v>
      </c>
      <c r="L234">
        <f t="shared" si="15"/>
        <v>-1276</v>
      </c>
    </row>
    <row r="235" spans="1:12" x14ac:dyDescent="0.35">
      <c r="A235">
        <v>234</v>
      </c>
      <c r="B235" t="s">
        <v>460</v>
      </c>
      <c r="C235" t="s">
        <v>11164</v>
      </c>
      <c r="D235" t="s">
        <v>461</v>
      </c>
      <c r="E235" t="s">
        <v>411</v>
      </c>
      <c r="F235" t="s">
        <v>10884</v>
      </c>
      <c r="G235" t="s">
        <v>112</v>
      </c>
      <c r="I235" t="str">
        <f t="shared" si="12"/>
        <v>1276</v>
      </c>
      <c r="J235" t="str">
        <f t="shared" si="13"/>
        <v>BC</v>
      </c>
      <c r="K235">
        <f t="shared" si="14"/>
        <v>-1276</v>
      </c>
      <c r="L235">
        <f t="shared" si="15"/>
        <v>-1276</v>
      </c>
    </row>
    <row r="236" spans="1:12" x14ac:dyDescent="0.35">
      <c r="A236">
        <v>235</v>
      </c>
      <c r="B236" t="s">
        <v>462</v>
      </c>
      <c r="C236" t="s">
        <v>11164</v>
      </c>
      <c r="D236" t="s">
        <v>463</v>
      </c>
      <c r="E236" t="s">
        <v>411</v>
      </c>
      <c r="F236" t="s">
        <v>10884</v>
      </c>
      <c r="G236" t="s">
        <v>112</v>
      </c>
      <c r="I236" t="str">
        <f t="shared" si="12"/>
        <v>1276</v>
      </c>
      <c r="J236" t="str">
        <f t="shared" si="13"/>
        <v>BC</v>
      </c>
      <c r="K236">
        <f t="shared" si="14"/>
        <v>-1276</v>
      </c>
      <c r="L236">
        <f t="shared" si="15"/>
        <v>-1276</v>
      </c>
    </row>
    <row r="237" spans="1:12" x14ac:dyDescent="0.35">
      <c r="A237">
        <v>236</v>
      </c>
      <c r="B237" t="s">
        <v>464</v>
      </c>
      <c r="C237" t="s">
        <v>10139</v>
      </c>
      <c r="D237" t="s">
        <v>11023</v>
      </c>
      <c r="E237" t="s">
        <v>411</v>
      </c>
      <c r="F237" t="s">
        <v>10884</v>
      </c>
      <c r="G237" t="s">
        <v>112</v>
      </c>
      <c r="I237" t="str">
        <f t="shared" si="12"/>
        <v>1276</v>
      </c>
      <c r="J237" t="str">
        <f t="shared" si="13"/>
        <v>BC</v>
      </c>
      <c r="K237">
        <f t="shared" si="14"/>
        <v>-1276</v>
      </c>
      <c r="L237">
        <f t="shared" si="15"/>
        <v>-1276</v>
      </c>
    </row>
    <row r="238" spans="1:12" x14ac:dyDescent="0.35">
      <c r="A238">
        <v>237</v>
      </c>
      <c r="B238" t="s">
        <v>465</v>
      </c>
      <c r="C238" t="s">
        <v>11173</v>
      </c>
      <c r="D238" t="s">
        <v>466</v>
      </c>
      <c r="E238" t="s">
        <v>411</v>
      </c>
      <c r="F238" t="s">
        <v>10884</v>
      </c>
      <c r="G238" t="s">
        <v>112</v>
      </c>
      <c r="I238" t="str">
        <f t="shared" si="12"/>
        <v>1276</v>
      </c>
      <c r="J238" t="str">
        <f t="shared" si="13"/>
        <v>BC</v>
      </c>
      <c r="K238">
        <f t="shared" si="14"/>
        <v>-1276</v>
      </c>
      <c r="L238">
        <f t="shared" si="15"/>
        <v>-1276</v>
      </c>
    </row>
    <row r="239" spans="1:12" x14ac:dyDescent="0.35">
      <c r="A239">
        <v>238</v>
      </c>
      <c r="B239" t="s">
        <v>467</v>
      </c>
      <c r="C239" t="s">
        <v>11174</v>
      </c>
      <c r="D239" t="s">
        <v>468</v>
      </c>
      <c r="E239" t="s">
        <v>411</v>
      </c>
      <c r="F239" t="s">
        <v>10884</v>
      </c>
      <c r="G239" t="s">
        <v>112</v>
      </c>
      <c r="I239" t="str">
        <f t="shared" si="12"/>
        <v>1276</v>
      </c>
      <c r="J239" t="str">
        <f t="shared" si="13"/>
        <v>BC</v>
      </c>
      <c r="K239">
        <f t="shared" si="14"/>
        <v>-1276</v>
      </c>
      <c r="L239">
        <f t="shared" si="15"/>
        <v>-1276</v>
      </c>
    </row>
    <row r="240" spans="1:12" x14ac:dyDescent="0.35">
      <c r="A240">
        <v>239</v>
      </c>
      <c r="B240" t="s">
        <v>469</v>
      </c>
      <c r="C240" t="s">
        <v>10256</v>
      </c>
      <c r="D240" t="s">
        <v>11024</v>
      </c>
      <c r="E240" t="s">
        <v>411</v>
      </c>
      <c r="F240" t="s">
        <v>10884</v>
      </c>
      <c r="G240" t="s">
        <v>112</v>
      </c>
      <c r="I240" t="str">
        <f t="shared" si="12"/>
        <v>1276</v>
      </c>
      <c r="J240" t="str">
        <f t="shared" si="13"/>
        <v>BC</v>
      </c>
      <c r="K240">
        <f t="shared" si="14"/>
        <v>-1276</v>
      </c>
      <c r="L240">
        <f t="shared" si="15"/>
        <v>-1276</v>
      </c>
    </row>
    <row r="241" spans="1:12" x14ac:dyDescent="0.35">
      <c r="A241">
        <v>240</v>
      </c>
      <c r="B241" t="s">
        <v>470</v>
      </c>
      <c r="C241" t="s">
        <v>11175</v>
      </c>
      <c r="D241" t="s">
        <v>471</v>
      </c>
      <c r="E241" t="s">
        <v>411</v>
      </c>
      <c r="F241" t="s">
        <v>10884</v>
      </c>
      <c r="G241" t="s">
        <v>112</v>
      </c>
      <c r="I241" t="str">
        <f t="shared" si="12"/>
        <v>1276</v>
      </c>
      <c r="J241" t="str">
        <f t="shared" si="13"/>
        <v>BC</v>
      </c>
      <c r="K241">
        <f t="shared" si="14"/>
        <v>-1276</v>
      </c>
      <c r="L241">
        <f t="shared" si="15"/>
        <v>-1276</v>
      </c>
    </row>
    <row r="242" spans="1:12" x14ac:dyDescent="0.35">
      <c r="A242">
        <v>241</v>
      </c>
      <c r="B242" t="s">
        <v>527</v>
      </c>
      <c r="C242" t="s">
        <v>11176</v>
      </c>
      <c r="D242" t="s">
        <v>11025</v>
      </c>
      <c r="E242" t="s">
        <v>526</v>
      </c>
      <c r="F242" t="s">
        <v>10885</v>
      </c>
      <c r="G242" t="s">
        <v>112</v>
      </c>
      <c r="I242" t="str">
        <f t="shared" si="12"/>
        <v>1276-1236</v>
      </c>
      <c r="J242" t="str">
        <f t="shared" si="13"/>
        <v>BC</v>
      </c>
      <c r="K242">
        <f t="shared" si="14"/>
        <v>-1276</v>
      </c>
      <c r="L242">
        <f t="shared" si="15"/>
        <v>-1236</v>
      </c>
    </row>
    <row r="243" spans="1:12" x14ac:dyDescent="0.35">
      <c r="A243">
        <v>242</v>
      </c>
      <c r="B243" t="s">
        <v>528</v>
      </c>
      <c r="C243" t="s">
        <v>11177</v>
      </c>
      <c r="D243" t="s">
        <v>529</v>
      </c>
      <c r="E243" t="s">
        <v>526</v>
      </c>
      <c r="F243" t="s">
        <v>10885</v>
      </c>
      <c r="G243" t="s">
        <v>112</v>
      </c>
      <c r="I243" t="str">
        <f t="shared" si="12"/>
        <v>1276-1236</v>
      </c>
      <c r="J243" t="str">
        <f t="shared" si="13"/>
        <v>BC</v>
      </c>
      <c r="K243">
        <f t="shared" si="14"/>
        <v>-1276</v>
      </c>
      <c r="L243">
        <f t="shared" si="15"/>
        <v>-1236</v>
      </c>
    </row>
    <row r="244" spans="1:12" x14ac:dyDescent="0.35">
      <c r="A244">
        <v>243</v>
      </c>
      <c r="B244" t="s">
        <v>530</v>
      </c>
      <c r="C244" t="s">
        <v>11145</v>
      </c>
      <c r="D244" t="s">
        <v>531</v>
      </c>
      <c r="E244" t="s">
        <v>526</v>
      </c>
      <c r="F244" t="s">
        <v>10885</v>
      </c>
      <c r="G244" t="s">
        <v>112</v>
      </c>
      <c r="I244" t="str">
        <f t="shared" si="12"/>
        <v>1276-1236</v>
      </c>
      <c r="J244" t="str">
        <f t="shared" si="13"/>
        <v>BC</v>
      </c>
      <c r="K244">
        <f t="shared" si="14"/>
        <v>-1276</v>
      </c>
      <c r="L244">
        <f t="shared" si="15"/>
        <v>-1236</v>
      </c>
    </row>
    <row r="245" spans="1:12" x14ac:dyDescent="0.35">
      <c r="A245">
        <v>244</v>
      </c>
      <c r="B245" t="s">
        <v>532</v>
      </c>
      <c r="C245" t="s">
        <v>11112</v>
      </c>
      <c r="D245" t="s">
        <v>533</v>
      </c>
      <c r="E245" t="s">
        <v>526</v>
      </c>
      <c r="F245" t="s">
        <v>10885</v>
      </c>
      <c r="G245" t="s">
        <v>112</v>
      </c>
      <c r="I245" t="str">
        <f t="shared" si="12"/>
        <v>1276-1236</v>
      </c>
      <c r="J245" t="str">
        <f t="shared" si="13"/>
        <v>BC</v>
      </c>
      <c r="K245">
        <f t="shared" si="14"/>
        <v>-1276</v>
      </c>
      <c r="L245">
        <f t="shared" si="15"/>
        <v>-1236</v>
      </c>
    </row>
    <row r="246" spans="1:12" x14ac:dyDescent="0.35">
      <c r="A246">
        <v>245</v>
      </c>
      <c r="B246" t="s">
        <v>534</v>
      </c>
      <c r="C246" t="s">
        <v>11164</v>
      </c>
      <c r="D246" t="s">
        <v>535</v>
      </c>
      <c r="E246" t="s">
        <v>526</v>
      </c>
      <c r="F246" t="s">
        <v>10885</v>
      </c>
      <c r="G246" t="s">
        <v>112</v>
      </c>
      <c r="I246" t="str">
        <f t="shared" si="12"/>
        <v>1276-1236</v>
      </c>
      <c r="J246" t="str">
        <f t="shared" si="13"/>
        <v>BC</v>
      </c>
      <c r="K246">
        <f t="shared" si="14"/>
        <v>-1276</v>
      </c>
      <c r="L246">
        <f t="shared" si="15"/>
        <v>-1236</v>
      </c>
    </row>
    <row r="247" spans="1:12" x14ac:dyDescent="0.35">
      <c r="A247">
        <v>246</v>
      </c>
      <c r="B247" t="s">
        <v>536</v>
      </c>
      <c r="C247" t="s">
        <v>11164</v>
      </c>
      <c r="D247" t="s">
        <v>537</v>
      </c>
      <c r="E247" t="s">
        <v>526</v>
      </c>
      <c r="F247" t="s">
        <v>10885</v>
      </c>
      <c r="G247" t="s">
        <v>112</v>
      </c>
      <c r="I247" t="str">
        <f t="shared" si="12"/>
        <v>1276-1236</v>
      </c>
      <c r="J247" t="str">
        <f t="shared" si="13"/>
        <v>BC</v>
      </c>
      <c r="K247">
        <f t="shared" si="14"/>
        <v>-1276</v>
      </c>
      <c r="L247">
        <f t="shared" si="15"/>
        <v>-1236</v>
      </c>
    </row>
    <row r="248" spans="1:12" x14ac:dyDescent="0.35">
      <c r="A248">
        <v>247</v>
      </c>
      <c r="B248" t="s">
        <v>538</v>
      </c>
      <c r="C248" t="s">
        <v>11178</v>
      </c>
      <c r="D248" t="s">
        <v>539</v>
      </c>
      <c r="E248" t="s">
        <v>526</v>
      </c>
      <c r="F248" t="s">
        <v>10885</v>
      </c>
      <c r="G248" t="s">
        <v>112</v>
      </c>
      <c r="I248" t="str">
        <f t="shared" si="12"/>
        <v>1276-1236</v>
      </c>
      <c r="J248" t="str">
        <f t="shared" si="13"/>
        <v>BC</v>
      </c>
      <c r="K248">
        <f t="shared" si="14"/>
        <v>-1276</v>
      </c>
      <c r="L248">
        <f t="shared" si="15"/>
        <v>-1236</v>
      </c>
    </row>
    <row r="249" spans="1:12" x14ac:dyDescent="0.35">
      <c r="A249">
        <v>248</v>
      </c>
      <c r="B249" t="s">
        <v>540</v>
      </c>
      <c r="C249" t="s">
        <v>11164</v>
      </c>
      <c r="D249" t="s">
        <v>541</v>
      </c>
      <c r="E249" t="s">
        <v>526</v>
      </c>
      <c r="F249" t="s">
        <v>10885</v>
      </c>
      <c r="G249" t="s">
        <v>112</v>
      </c>
      <c r="I249" t="str">
        <f t="shared" si="12"/>
        <v>1276-1236</v>
      </c>
      <c r="J249" t="str">
        <f t="shared" si="13"/>
        <v>BC</v>
      </c>
      <c r="K249">
        <f t="shared" si="14"/>
        <v>-1276</v>
      </c>
      <c r="L249">
        <f t="shared" si="15"/>
        <v>-1236</v>
      </c>
    </row>
    <row r="250" spans="1:12" x14ac:dyDescent="0.35">
      <c r="A250">
        <v>249</v>
      </c>
      <c r="B250" t="s">
        <v>11028</v>
      </c>
      <c r="C250" t="s">
        <v>11179</v>
      </c>
      <c r="D250" t="s">
        <v>542</v>
      </c>
      <c r="E250" t="s">
        <v>526</v>
      </c>
      <c r="F250" t="s">
        <v>10885</v>
      </c>
      <c r="G250" t="s">
        <v>112</v>
      </c>
      <c r="I250" t="str">
        <f t="shared" si="12"/>
        <v>1276-1236</v>
      </c>
      <c r="J250" t="str">
        <f t="shared" si="13"/>
        <v>BC</v>
      </c>
      <c r="K250">
        <f t="shared" si="14"/>
        <v>-1276</v>
      </c>
      <c r="L250">
        <f t="shared" si="15"/>
        <v>-1236</v>
      </c>
    </row>
    <row r="251" spans="1:12" x14ac:dyDescent="0.35">
      <c r="A251">
        <v>250</v>
      </c>
      <c r="B251" t="s">
        <v>11026</v>
      </c>
      <c r="C251" t="s">
        <v>11180</v>
      </c>
      <c r="D251" t="s">
        <v>543</v>
      </c>
      <c r="E251" t="s">
        <v>526</v>
      </c>
      <c r="F251" t="s">
        <v>10885</v>
      </c>
      <c r="G251" t="s">
        <v>12541</v>
      </c>
      <c r="I251" t="str">
        <f t="shared" si="12"/>
        <v>1276-1236</v>
      </c>
      <c r="J251" t="str">
        <f t="shared" si="13"/>
        <v>BC</v>
      </c>
      <c r="K251">
        <f t="shared" si="14"/>
        <v>-1276</v>
      </c>
      <c r="L251">
        <f t="shared" si="15"/>
        <v>-1236</v>
      </c>
    </row>
    <row r="252" spans="1:12" x14ac:dyDescent="0.35">
      <c r="A252">
        <v>251</v>
      </c>
      <c r="B252" t="s">
        <v>11027</v>
      </c>
      <c r="C252" t="s">
        <v>11181</v>
      </c>
      <c r="D252" t="s">
        <v>544</v>
      </c>
      <c r="E252" t="s">
        <v>411</v>
      </c>
      <c r="F252" t="s">
        <v>10885</v>
      </c>
      <c r="G252" t="s">
        <v>112</v>
      </c>
      <c r="I252" t="str">
        <f t="shared" si="12"/>
        <v>1276-1236</v>
      </c>
      <c r="J252" t="str">
        <f t="shared" si="13"/>
        <v>BC</v>
      </c>
      <c r="K252">
        <f t="shared" si="14"/>
        <v>-1276</v>
      </c>
      <c r="L252">
        <f t="shared" si="15"/>
        <v>-1236</v>
      </c>
    </row>
    <row r="253" spans="1:12" x14ac:dyDescent="0.35">
      <c r="A253">
        <v>252</v>
      </c>
      <c r="B253" t="s">
        <v>545</v>
      </c>
      <c r="C253" t="s">
        <v>11112</v>
      </c>
      <c r="D253" t="s">
        <v>546</v>
      </c>
      <c r="E253" t="s">
        <v>526</v>
      </c>
      <c r="F253" t="s">
        <v>10885</v>
      </c>
      <c r="G253" t="s">
        <v>112</v>
      </c>
      <c r="I253" t="str">
        <f t="shared" si="12"/>
        <v>1276-1236</v>
      </c>
      <c r="J253" t="str">
        <f t="shared" si="13"/>
        <v>BC</v>
      </c>
      <c r="K253">
        <f t="shared" si="14"/>
        <v>-1276</v>
      </c>
      <c r="L253">
        <f t="shared" si="15"/>
        <v>-1236</v>
      </c>
    </row>
    <row r="254" spans="1:12" x14ac:dyDescent="0.35">
      <c r="A254">
        <v>253</v>
      </c>
      <c r="B254" t="s">
        <v>547</v>
      </c>
      <c r="C254" t="s">
        <v>11182</v>
      </c>
      <c r="D254" t="s">
        <v>548</v>
      </c>
      <c r="E254" t="s">
        <v>526</v>
      </c>
      <c r="F254" t="s">
        <v>10885</v>
      </c>
      <c r="G254" t="s">
        <v>112</v>
      </c>
      <c r="I254" t="str">
        <f t="shared" si="12"/>
        <v>1276-1236</v>
      </c>
      <c r="J254" t="str">
        <f t="shared" si="13"/>
        <v>BC</v>
      </c>
      <c r="K254">
        <f t="shared" si="14"/>
        <v>-1276</v>
      </c>
      <c r="L254">
        <f t="shared" si="15"/>
        <v>-1236</v>
      </c>
    </row>
    <row r="255" spans="1:12" x14ac:dyDescent="0.35">
      <c r="A255">
        <v>254</v>
      </c>
      <c r="B255" t="s">
        <v>549</v>
      </c>
      <c r="C255" t="s">
        <v>11183</v>
      </c>
      <c r="D255" t="s">
        <v>550</v>
      </c>
      <c r="E255" t="s">
        <v>526</v>
      </c>
      <c r="F255" t="s">
        <v>10885</v>
      </c>
      <c r="G255" t="s">
        <v>112</v>
      </c>
      <c r="I255" t="str">
        <f t="shared" si="12"/>
        <v>1276-1236</v>
      </c>
      <c r="J255" t="str">
        <f t="shared" si="13"/>
        <v>BC</v>
      </c>
      <c r="K255">
        <f t="shared" si="14"/>
        <v>-1276</v>
      </c>
      <c r="L255">
        <f t="shared" si="15"/>
        <v>-1236</v>
      </c>
    </row>
    <row r="256" spans="1:12" x14ac:dyDescent="0.35">
      <c r="A256">
        <v>255</v>
      </c>
      <c r="B256" t="s">
        <v>11029</v>
      </c>
      <c r="C256" t="s">
        <v>10051</v>
      </c>
      <c r="D256" t="s">
        <v>551</v>
      </c>
      <c r="E256" t="s">
        <v>526</v>
      </c>
      <c r="F256" t="s">
        <v>10885</v>
      </c>
      <c r="G256" t="s">
        <v>112</v>
      </c>
      <c r="I256" t="str">
        <f t="shared" si="12"/>
        <v>1276-1236</v>
      </c>
      <c r="J256" t="str">
        <f t="shared" si="13"/>
        <v>BC</v>
      </c>
      <c r="K256">
        <f t="shared" si="14"/>
        <v>-1276</v>
      </c>
      <c r="L256">
        <f t="shared" si="15"/>
        <v>-1236</v>
      </c>
    </row>
    <row r="257" spans="1:12" x14ac:dyDescent="0.35">
      <c r="A257">
        <v>256</v>
      </c>
      <c r="B257" t="s">
        <v>552</v>
      </c>
      <c r="C257" t="s">
        <v>11112</v>
      </c>
      <c r="D257" t="s">
        <v>553</v>
      </c>
      <c r="E257" t="s">
        <v>526</v>
      </c>
      <c r="F257" t="s">
        <v>10885</v>
      </c>
      <c r="G257" t="s">
        <v>112</v>
      </c>
      <c r="I257" t="str">
        <f t="shared" si="12"/>
        <v>1276-1236</v>
      </c>
      <c r="J257" t="str">
        <f t="shared" si="13"/>
        <v>BC</v>
      </c>
      <c r="K257">
        <f t="shared" si="14"/>
        <v>-1276</v>
      </c>
      <c r="L257">
        <f t="shared" si="15"/>
        <v>-1236</v>
      </c>
    </row>
    <row r="258" spans="1:12" x14ac:dyDescent="0.35">
      <c r="A258">
        <v>257</v>
      </c>
      <c r="B258" t="s">
        <v>554</v>
      </c>
      <c r="C258" t="s">
        <v>10058</v>
      </c>
      <c r="D258" t="s">
        <v>555</v>
      </c>
      <c r="E258" t="s">
        <v>526</v>
      </c>
      <c r="F258" t="s">
        <v>10885</v>
      </c>
      <c r="G258" t="s">
        <v>112</v>
      </c>
      <c r="I258" t="str">
        <f t="shared" ref="I258:I321" si="16">SUBSTITUTE(SUBSTITUTE(SUBSTITUTE(F258,"c. ","")," BC","")," AD","")</f>
        <v>1276-1236</v>
      </c>
      <c r="J258" t="str">
        <f t="shared" ref="J258:J321" si="17">RIGHT(F258, 2)</f>
        <v>BC</v>
      </c>
      <c r="K258">
        <f t="shared" ref="K258:K321" si="18">IF(J258="BC", 0-IF(ISERROR(FIND("-",I258)),I258,LEFT(I258,FIND("-",I258)-1)), IF(ISERROR(FIND("-",I258)),I258,LEFT(I258,FIND("-",I258)-1)))</f>
        <v>-1276</v>
      </c>
      <c r="L258">
        <f t="shared" ref="L258:L321" si="19">IF(J258="BC", 0-IF(ISERROR(FIND("-",I258)),I258,RIGHT(I258,FIND("-",I258)-1)), IF(ISERROR(FIND("-",I258)),I258,RIGHT(I258,FIND("-",I258)-1)))</f>
        <v>-1236</v>
      </c>
    </row>
    <row r="259" spans="1:12" x14ac:dyDescent="0.35">
      <c r="A259">
        <v>258</v>
      </c>
      <c r="B259" t="s">
        <v>556</v>
      </c>
      <c r="C259" t="s">
        <v>10220</v>
      </c>
      <c r="D259" t="s">
        <v>11031</v>
      </c>
      <c r="E259" t="s">
        <v>557</v>
      </c>
      <c r="F259" t="s">
        <v>10885</v>
      </c>
      <c r="G259" t="s">
        <v>112</v>
      </c>
      <c r="I259" t="str">
        <f t="shared" si="16"/>
        <v>1276-1236</v>
      </c>
      <c r="J259" t="str">
        <f t="shared" si="17"/>
        <v>BC</v>
      </c>
      <c r="K259">
        <f t="shared" si="18"/>
        <v>-1276</v>
      </c>
      <c r="L259">
        <f t="shared" si="19"/>
        <v>-1236</v>
      </c>
    </row>
    <row r="260" spans="1:12" x14ac:dyDescent="0.35">
      <c r="A260">
        <v>259</v>
      </c>
      <c r="B260" t="s">
        <v>11030</v>
      </c>
      <c r="C260" t="s">
        <v>11104</v>
      </c>
      <c r="D260" t="s">
        <v>558</v>
      </c>
      <c r="E260" t="s">
        <v>557</v>
      </c>
      <c r="F260" t="s">
        <v>10885</v>
      </c>
      <c r="G260" t="s">
        <v>112</v>
      </c>
      <c r="I260" t="str">
        <f t="shared" si="16"/>
        <v>1276-1236</v>
      </c>
      <c r="J260" t="str">
        <f t="shared" si="17"/>
        <v>BC</v>
      </c>
      <c r="K260">
        <f t="shared" si="18"/>
        <v>-1276</v>
      </c>
      <c r="L260">
        <f t="shared" si="19"/>
        <v>-1236</v>
      </c>
    </row>
    <row r="261" spans="1:12" x14ac:dyDescent="0.35">
      <c r="A261">
        <v>260</v>
      </c>
      <c r="B261" t="s">
        <v>560</v>
      </c>
      <c r="C261" t="s">
        <v>11184</v>
      </c>
      <c r="D261" t="s">
        <v>561</v>
      </c>
      <c r="E261" t="s">
        <v>337</v>
      </c>
      <c r="F261" t="s">
        <v>10885</v>
      </c>
      <c r="G261" t="s">
        <v>112</v>
      </c>
      <c r="I261" t="str">
        <f t="shared" si="16"/>
        <v>1276-1236</v>
      </c>
      <c r="J261" t="str">
        <f t="shared" si="17"/>
        <v>BC</v>
      </c>
      <c r="K261">
        <f t="shared" si="18"/>
        <v>-1276</v>
      </c>
      <c r="L261">
        <f t="shared" si="19"/>
        <v>-1236</v>
      </c>
    </row>
    <row r="262" spans="1:12" x14ac:dyDescent="0.35">
      <c r="A262">
        <v>261</v>
      </c>
      <c r="B262" t="s">
        <v>11032</v>
      </c>
      <c r="C262" t="s">
        <v>11185</v>
      </c>
      <c r="D262" t="s">
        <v>562</v>
      </c>
      <c r="E262" t="s">
        <v>563</v>
      </c>
      <c r="F262" t="s">
        <v>10885</v>
      </c>
      <c r="G262" t="s">
        <v>112</v>
      </c>
      <c r="I262" t="str">
        <f t="shared" si="16"/>
        <v>1276-1236</v>
      </c>
      <c r="J262" t="str">
        <f t="shared" si="17"/>
        <v>BC</v>
      </c>
      <c r="K262">
        <f t="shared" si="18"/>
        <v>-1276</v>
      </c>
      <c r="L262">
        <f t="shared" si="19"/>
        <v>-1236</v>
      </c>
    </row>
    <row r="263" spans="1:12" x14ac:dyDescent="0.35">
      <c r="A263">
        <v>262</v>
      </c>
      <c r="B263" t="s">
        <v>564</v>
      </c>
      <c r="C263" t="s">
        <v>10059</v>
      </c>
      <c r="D263" t="s">
        <v>565</v>
      </c>
      <c r="E263" t="s">
        <v>563</v>
      </c>
      <c r="F263" t="s">
        <v>10885</v>
      </c>
      <c r="G263" t="s">
        <v>112</v>
      </c>
      <c r="I263" t="str">
        <f t="shared" si="16"/>
        <v>1276-1236</v>
      </c>
      <c r="J263" t="str">
        <f t="shared" si="17"/>
        <v>BC</v>
      </c>
      <c r="K263">
        <f t="shared" si="18"/>
        <v>-1276</v>
      </c>
      <c r="L263">
        <f t="shared" si="19"/>
        <v>-1236</v>
      </c>
    </row>
    <row r="264" spans="1:12" x14ac:dyDescent="0.35">
      <c r="A264">
        <v>263</v>
      </c>
      <c r="B264" t="s">
        <v>566</v>
      </c>
      <c r="C264" t="s">
        <v>11186</v>
      </c>
      <c r="D264" t="s">
        <v>567</v>
      </c>
      <c r="E264" t="s">
        <v>337</v>
      </c>
      <c r="F264" t="s">
        <v>10885</v>
      </c>
      <c r="G264" t="s">
        <v>112</v>
      </c>
      <c r="I264" t="str">
        <f t="shared" si="16"/>
        <v>1276-1236</v>
      </c>
      <c r="J264" t="str">
        <f t="shared" si="17"/>
        <v>BC</v>
      </c>
      <c r="K264">
        <f t="shared" si="18"/>
        <v>-1276</v>
      </c>
      <c r="L264">
        <f t="shared" si="19"/>
        <v>-1236</v>
      </c>
    </row>
    <row r="265" spans="1:12" x14ac:dyDescent="0.35">
      <c r="A265">
        <v>264</v>
      </c>
      <c r="B265" t="s">
        <v>568</v>
      </c>
      <c r="C265" t="s">
        <v>10049</v>
      </c>
      <c r="D265" t="s">
        <v>569</v>
      </c>
      <c r="E265" t="s">
        <v>570</v>
      </c>
      <c r="F265" t="s">
        <v>10885</v>
      </c>
      <c r="G265" t="s">
        <v>112</v>
      </c>
      <c r="I265" t="str">
        <f t="shared" si="16"/>
        <v>1276-1236</v>
      </c>
      <c r="J265" t="str">
        <f t="shared" si="17"/>
        <v>BC</v>
      </c>
      <c r="K265">
        <f t="shared" si="18"/>
        <v>-1276</v>
      </c>
      <c r="L265">
        <f t="shared" si="19"/>
        <v>-1236</v>
      </c>
    </row>
    <row r="266" spans="1:12" x14ac:dyDescent="0.35">
      <c r="A266">
        <v>265</v>
      </c>
      <c r="B266" t="s">
        <v>572</v>
      </c>
      <c r="C266" t="s">
        <v>11118</v>
      </c>
      <c r="D266" t="s">
        <v>573</v>
      </c>
      <c r="E266" t="s">
        <v>571</v>
      </c>
      <c r="F266" t="s">
        <v>10885</v>
      </c>
      <c r="G266" t="s">
        <v>112</v>
      </c>
      <c r="I266" t="str">
        <f t="shared" si="16"/>
        <v>1276-1236</v>
      </c>
      <c r="J266" t="str">
        <f t="shared" si="17"/>
        <v>BC</v>
      </c>
      <c r="K266">
        <f t="shared" si="18"/>
        <v>-1276</v>
      </c>
      <c r="L266">
        <f t="shared" si="19"/>
        <v>-1236</v>
      </c>
    </row>
    <row r="267" spans="1:12" x14ac:dyDescent="0.35">
      <c r="A267">
        <v>266</v>
      </c>
      <c r="B267" t="s">
        <v>574</v>
      </c>
      <c r="C267" t="s">
        <v>11187</v>
      </c>
      <c r="D267" t="s">
        <v>575</v>
      </c>
      <c r="E267" t="s">
        <v>576</v>
      </c>
      <c r="F267" t="s">
        <v>10885</v>
      </c>
      <c r="G267" t="s">
        <v>112</v>
      </c>
      <c r="I267" t="str">
        <f t="shared" si="16"/>
        <v>1276-1236</v>
      </c>
      <c r="J267" t="str">
        <f t="shared" si="17"/>
        <v>BC</v>
      </c>
      <c r="K267">
        <f t="shared" si="18"/>
        <v>-1276</v>
      </c>
      <c r="L267">
        <f t="shared" si="19"/>
        <v>-1236</v>
      </c>
    </row>
    <row r="268" spans="1:12" x14ac:dyDescent="0.35">
      <c r="A268">
        <v>267</v>
      </c>
      <c r="B268" t="s">
        <v>577</v>
      </c>
      <c r="C268" t="s">
        <v>11188</v>
      </c>
      <c r="D268" t="s">
        <v>578</v>
      </c>
      <c r="E268" t="s">
        <v>411</v>
      </c>
      <c r="F268" t="s">
        <v>10885</v>
      </c>
      <c r="G268" t="s">
        <v>112</v>
      </c>
      <c r="I268" t="str">
        <f t="shared" si="16"/>
        <v>1276-1236</v>
      </c>
      <c r="J268" t="str">
        <f t="shared" si="17"/>
        <v>BC</v>
      </c>
      <c r="K268">
        <f t="shared" si="18"/>
        <v>-1276</v>
      </c>
      <c r="L268">
        <f t="shared" si="19"/>
        <v>-1236</v>
      </c>
    </row>
    <row r="269" spans="1:12" x14ac:dyDescent="0.35">
      <c r="A269">
        <v>268</v>
      </c>
      <c r="B269" t="s">
        <v>11033</v>
      </c>
      <c r="C269" t="s">
        <v>10060</v>
      </c>
      <c r="D269" t="s">
        <v>579</v>
      </c>
      <c r="E269" t="s">
        <v>571</v>
      </c>
      <c r="F269" t="s">
        <v>10885</v>
      </c>
      <c r="G269" t="s">
        <v>112</v>
      </c>
      <c r="I269" t="str">
        <f t="shared" si="16"/>
        <v>1276-1236</v>
      </c>
      <c r="J269" t="str">
        <f t="shared" si="17"/>
        <v>BC</v>
      </c>
      <c r="K269">
        <f t="shared" si="18"/>
        <v>-1276</v>
      </c>
      <c r="L269">
        <f t="shared" si="19"/>
        <v>-1236</v>
      </c>
    </row>
    <row r="270" spans="1:12" x14ac:dyDescent="0.35">
      <c r="A270">
        <v>269</v>
      </c>
      <c r="B270" t="s">
        <v>11035</v>
      </c>
      <c r="C270" t="s">
        <v>12663</v>
      </c>
      <c r="D270" t="s">
        <v>580</v>
      </c>
      <c r="E270" t="s">
        <v>571</v>
      </c>
      <c r="F270" t="s">
        <v>10885</v>
      </c>
      <c r="G270" t="s">
        <v>112</v>
      </c>
      <c r="I270" t="str">
        <f t="shared" si="16"/>
        <v>1276-1236</v>
      </c>
      <c r="J270" t="str">
        <f t="shared" si="17"/>
        <v>BC</v>
      </c>
      <c r="K270">
        <f t="shared" si="18"/>
        <v>-1276</v>
      </c>
      <c r="L270">
        <f t="shared" si="19"/>
        <v>-1236</v>
      </c>
    </row>
    <row r="271" spans="1:12" x14ac:dyDescent="0.35">
      <c r="A271">
        <v>270</v>
      </c>
      <c r="B271" t="s">
        <v>581</v>
      </c>
      <c r="C271" t="s">
        <v>10061</v>
      </c>
      <c r="D271" t="s">
        <v>582</v>
      </c>
      <c r="E271" t="s">
        <v>571</v>
      </c>
      <c r="F271" t="s">
        <v>10885</v>
      </c>
      <c r="G271" t="s">
        <v>112</v>
      </c>
      <c r="I271" t="str">
        <f t="shared" si="16"/>
        <v>1276-1236</v>
      </c>
      <c r="J271" t="str">
        <f t="shared" si="17"/>
        <v>BC</v>
      </c>
      <c r="K271">
        <f t="shared" si="18"/>
        <v>-1276</v>
      </c>
      <c r="L271">
        <f t="shared" si="19"/>
        <v>-1236</v>
      </c>
    </row>
    <row r="272" spans="1:12" x14ac:dyDescent="0.35">
      <c r="A272">
        <v>271</v>
      </c>
      <c r="B272" t="s">
        <v>583</v>
      </c>
      <c r="C272" t="s">
        <v>11176</v>
      </c>
      <c r="D272" t="s">
        <v>584</v>
      </c>
      <c r="E272" t="s">
        <v>585</v>
      </c>
      <c r="F272" t="s">
        <v>10885</v>
      </c>
      <c r="G272" t="s">
        <v>112</v>
      </c>
      <c r="I272" t="str">
        <f t="shared" si="16"/>
        <v>1276-1236</v>
      </c>
      <c r="J272" t="str">
        <f t="shared" si="17"/>
        <v>BC</v>
      </c>
      <c r="K272">
        <f t="shared" si="18"/>
        <v>-1276</v>
      </c>
      <c r="L272">
        <f t="shared" si="19"/>
        <v>-1236</v>
      </c>
    </row>
    <row r="273" spans="1:12" x14ac:dyDescent="0.35">
      <c r="A273">
        <v>272</v>
      </c>
      <c r="B273" t="s">
        <v>587</v>
      </c>
      <c r="C273" t="s">
        <v>11160</v>
      </c>
      <c r="D273" t="s">
        <v>588</v>
      </c>
      <c r="E273" t="s">
        <v>411</v>
      </c>
      <c r="F273" t="s">
        <v>10885</v>
      </c>
      <c r="G273" t="s">
        <v>112</v>
      </c>
      <c r="I273" t="str">
        <f t="shared" si="16"/>
        <v>1276-1236</v>
      </c>
      <c r="J273" t="str">
        <f t="shared" si="17"/>
        <v>BC</v>
      </c>
      <c r="K273">
        <f t="shared" si="18"/>
        <v>-1276</v>
      </c>
      <c r="L273">
        <f t="shared" si="19"/>
        <v>-1236</v>
      </c>
    </row>
    <row r="274" spans="1:12" x14ac:dyDescent="0.35">
      <c r="A274">
        <v>273</v>
      </c>
      <c r="B274" t="s">
        <v>589</v>
      </c>
      <c r="C274" t="s">
        <v>10719</v>
      </c>
      <c r="D274" t="s">
        <v>590</v>
      </c>
      <c r="E274" t="s">
        <v>586</v>
      </c>
      <c r="F274" t="s">
        <v>10885</v>
      </c>
      <c r="G274" t="s">
        <v>112</v>
      </c>
      <c r="I274" t="str">
        <f t="shared" si="16"/>
        <v>1276-1236</v>
      </c>
      <c r="J274" t="str">
        <f t="shared" si="17"/>
        <v>BC</v>
      </c>
      <c r="K274">
        <f t="shared" si="18"/>
        <v>-1276</v>
      </c>
      <c r="L274">
        <f t="shared" si="19"/>
        <v>-1236</v>
      </c>
    </row>
    <row r="275" spans="1:12" x14ac:dyDescent="0.35">
      <c r="A275">
        <v>274</v>
      </c>
      <c r="B275" t="s">
        <v>11034</v>
      </c>
      <c r="C275" t="s">
        <v>11189</v>
      </c>
      <c r="D275" t="s">
        <v>591</v>
      </c>
      <c r="E275" t="s">
        <v>586</v>
      </c>
      <c r="F275" t="s">
        <v>10885</v>
      </c>
      <c r="G275" t="s">
        <v>112</v>
      </c>
      <c r="I275" t="str">
        <f t="shared" si="16"/>
        <v>1276-1236</v>
      </c>
      <c r="J275" t="str">
        <f t="shared" si="17"/>
        <v>BC</v>
      </c>
      <c r="K275">
        <f t="shared" si="18"/>
        <v>-1276</v>
      </c>
      <c r="L275">
        <f t="shared" si="19"/>
        <v>-1236</v>
      </c>
    </row>
    <row r="276" spans="1:12" x14ac:dyDescent="0.35">
      <c r="A276">
        <v>275</v>
      </c>
      <c r="B276" t="s">
        <v>592</v>
      </c>
      <c r="C276" t="s">
        <v>10049</v>
      </c>
      <c r="D276" t="s">
        <v>80</v>
      </c>
      <c r="E276" t="s">
        <v>586</v>
      </c>
      <c r="F276" t="s">
        <v>10885</v>
      </c>
      <c r="G276" t="s">
        <v>112</v>
      </c>
      <c r="I276" t="str">
        <f t="shared" si="16"/>
        <v>1276-1236</v>
      </c>
      <c r="J276" t="str">
        <f t="shared" si="17"/>
        <v>BC</v>
      </c>
      <c r="K276">
        <f t="shared" si="18"/>
        <v>-1276</v>
      </c>
      <c r="L276">
        <f t="shared" si="19"/>
        <v>-1236</v>
      </c>
    </row>
    <row r="277" spans="1:12" x14ac:dyDescent="0.35">
      <c r="A277">
        <v>276</v>
      </c>
      <c r="B277" t="s">
        <v>593</v>
      </c>
      <c r="C277" t="s">
        <v>11190</v>
      </c>
      <c r="D277" t="s">
        <v>594</v>
      </c>
      <c r="E277" t="s">
        <v>595</v>
      </c>
      <c r="F277" t="s">
        <v>10885</v>
      </c>
      <c r="G277" t="s">
        <v>12555</v>
      </c>
      <c r="I277" t="str">
        <f t="shared" si="16"/>
        <v>1276-1236</v>
      </c>
      <c r="J277" t="str">
        <f t="shared" si="17"/>
        <v>BC</v>
      </c>
      <c r="K277">
        <f t="shared" si="18"/>
        <v>-1276</v>
      </c>
      <c r="L277">
        <f t="shared" si="19"/>
        <v>-1236</v>
      </c>
    </row>
    <row r="278" spans="1:12" x14ac:dyDescent="0.35">
      <c r="A278">
        <v>277</v>
      </c>
      <c r="B278" t="s">
        <v>596</v>
      </c>
      <c r="C278" t="s">
        <v>11175</v>
      </c>
      <c r="D278" t="s">
        <v>597</v>
      </c>
      <c r="E278" t="s">
        <v>337</v>
      </c>
      <c r="F278" t="s">
        <v>10885</v>
      </c>
      <c r="G278" t="s">
        <v>112</v>
      </c>
      <c r="I278" t="str">
        <f t="shared" si="16"/>
        <v>1276-1236</v>
      </c>
      <c r="J278" t="str">
        <f t="shared" si="17"/>
        <v>BC</v>
      </c>
      <c r="K278">
        <f t="shared" si="18"/>
        <v>-1276</v>
      </c>
      <c r="L278">
        <f t="shared" si="19"/>
        <v>-1236</v>
      </c>
    </row>
    <row r="279" spans="1:12" x14ac:dyDescent="0.35">
      <c r="A279">
        <v>278</v>
      </c>
      <c r="B279" t="s">
        <v>598</v>
      </c>
      <c r="C279" t="s">
        <v>11191</v>
      </c>
      <c r="D279" t="s">
        <v>599</v>
      </c>
      <c r="E279" t="s">
        <v>337</v>
      </c>
      <c r="F279" t="s">
        <v>10885</v>
      </c>
      <c r="G279" t="s">
        <v>600</v>
      </c>
      <c r="I279" t="str">
        <f t="shared" si="16"/>
        <v>1276-1236</v>
      </c>
      <c r="J279" t="str">
        <f t="shared" si="17"/>
        <v>BC</v>
      </c>
      <c r="K279">
        <f t="shared" si="18"/>
        <v>-1276</v>
      </c>
      <c r="L279">
        <f t="shared" si="19"/>
        <v>-1236</v>
      </c>
    </row>
    <row r="280" spans="1:12" x14ac:dyDescent="0.35">
      <c r="A280">
        <v>279</v>
      </c>
      <c r="B280" t="s">
        <v>601</v>
      </c>
      <c r="C280" t="s">
        <v>11176</v>
      </c>
      <c r="D280" t="s">
        <v>602</v>
      </c>
      <c r="E280" t="s">
        <v>337</v>
      </c>
      <c r="F280" t="s">
        <v>10885</v>
      </c>
      <c r="G280" t="s">
        <v>112</v>
      </c>
      <c r="I280" t="str">
        <f t="shared" si="16"/>
        <v>1276-1236</v>
      </c>
      <c r="J280" t="str">
        <f t="shared" si="17"/>
        <v>BC</v>
      </c>
      <c r="K280">
        <f t="shared" si="18"/>
        <v>-1276</v>
      </c>
      <c r="L280">
        <f t="shared" si="19"/>
        <v>-1236</v>
      </c>
    </row>
    <row r="281" spans="1:12" x14ac:dyDescent="0.35">
      <c r="A281">
        <v>280</v>
      </c>
      <c r="B281" t="s">
        <v>11036</v>
      </c>
      <c r="C281" t="s">
        <v>10719</v>
      </c>
      <c r="D281" t="s">
        <v>603</v>
      </c>
      <c r="E281" t="s">
        <v>337</v>
      </c>
      <c r="F281" t="s">
        <v>10885</v>
      </c>
      <c r="G281" t="s">
        <v>112</v>
      </c>
      <c r="I281" t="str">
        <f t="shared" si="16"/>
        <v>1276-1236</v>
      </c>
      <c r="J281" t="str">
        <f t="shared" si="17"/>
        <v>BC</v>
      </c>
      <c r="K281">
        <f t="shared" si="18"/>
        <v>-1276</v>
      </c>
      <c r="L281">
        <f t="shared" si="19"/>
        <v>-1236</v>
      </c>
    </row>
    <row r="282" spans="1:12" x14ac:dyDescent="0.35">
      <c r="A282">
        <v>281</v>
      </c>
      <c r="B282" t="s">
        <v>11038</v>
      </c>
      <c r="C282" t="s">
        <v>11192</v>
      </c>
      <c r="D282" t="s">
        <v>604</v>
      </c>
      <c r="E282" t="s">
        <v>337</v>
      </c>
      <c r="F282" t="s">
        <v>10885</v>
      </c>
      <c r="G282" t="s">
        <v>112</v>
      </c>
      <c r="I282" t="str">
        <f t="shared" si="16"/>
        <v>1276-1236</v>
      </c>
      <c r="J282" t="str">
        <f t="shared" si="17"/>
        <v>BC</v>
      </c>
      <c r="K282">
        <f t="shared" si="18"/>
        <v>-1276</v>
      </c>
      <c r="L282">
        <f t="shared" si="19"/>
        <v>-1236</v>
      </c>
    </row>
    <row r="283" spans="1:12" x14ac:dyDescent="0.35">
      <c r="A283">
        <v>282</v>
      </c>
      <c r="B283" t="s">
        <v>11037</v>
      </c>
      <c r="C283" t="s">
        <v>11193</v>
      </c>
      <c r="D283" t="s">
        <v>604</v>
      </c>
      <c r="E283" t="s">
        <v>337</v>
      </c>
      <c r="F283" t="s">
        <v>10885</v>
      </c>
      <c r="G283" t="s">
        <v>112</v>
      </c>
      <c r="I283" t="str">
        <f t="shared" si="16"/>
        <v>1276-1236</v>
      </c>
      <c r="J283" t="str">
        <f t="shared" si="17"/>
        <v>BC</v>
      </c>
      <c r="K283">
        <f t="shared" si="18"/>
        <v>-1276</v>
      </c>
      <c r="L283">
        <f t="shared" si="19"/>
        <v>-1236</v>
      </c>
    </row>
    <row r="284" spans="1:12" x14ac:dyDescent="0.35">
      <c r="A284">
        <v>283</v>
      </c>
      <c r="B284" t="s">
        <v>605</v>
      </c>
      <c r="C284" t="s">
        <v>10220</v>
      </c>
      <c r="D284" t="s">
        <v>606</v>
      </c>
      <c r="E284" t="s">
        <v>337</v>
      </c>
      <c r="F284" t="s">
        <v>10885</v>
      </c>
      <c r="G284" t="s">
        <v>112</v>
      </c>
      <c r="I284" t="str">
        <f t="shared" si="16"/>
        <v>1276-1236</v>
      </c>
      <c r="J284" t="str">
        <f t="shared" si="17"/>
        <v>BC</v>
      </c>
      <c r="K284">
        <f t="shared" si="18"/>
        <v>-1276</v>
      </c>
      <c r="L284">
        <f t="shared" si="19"/>
        <v>-1236</v>
      </c>
    </row>
    <row r="285" spans="1:12" x14ac:dyDescent="0.35">
      <c r="A285">
        <v>284</v>
      </c>
      <c r="B285" t="s">
        <v>607</v>
      </c>
      <c r="C285" t="s">
        <v>11194</v>
      </c>
      <c r="D285" t="s">
        <v>608</v>
      </c>
      <c r="E285" t="s">
        <v>337</v>
      </c>
      <c r="F285" t="s">
        <v>10885</v>
      </c>
      <c r="G285" t="s">
        <v>112</v>
      </c>
      <c r="I285" t="str">
        <f t="shared" si="16"/>
        <v>1276-1236</v>
      </c>
      <c r="J285" t="str">
        <f t="shared" si="17"/>
        <v>BC</v>
      </c>
      <c r="K285">
        <f t="shared" si="18"/>
        <v>-1276</v>
      </c>
      <c r="L285">
        <f t="shared" si="19"/>
        <v>-1236</v>
      </c>
    </row>
    <row r="286" spans="1:12" x14ac:dyDescent="0.35">
      <c r="A286">
        <v>285</v>
      </c>
      <c r="B286" t="s">
        <v>609</v>
      </c>
      <c r="C286" t="s">
        <v>11160</v>
      </c>
      <c r="D286" t="s">
        <v>610</v>
      </c>
      <c r="E286" t="s">
        <v>411</v>
      </c>
      <c r="F286" t="s">
        <v>10885</v>
      </c>
      <c r="G286" t="s">
        <v>112</v>
      </c>
      <c r="I286" t="str">
        <f t="shared" si="16"/>
        <v>1276-1236</v>
      </c>
      <c r="J286" t="str">
        <f t="shared" si="17"/>
        <v>BC</v>
      </c>
      <c r="K286">
        <f t="shared" si="18"/>
        <v>-1276</v>
      </c>
      <c r="L286">
        <f t="shared" si="19"/>
        <v>-1236</v>
      </c>
    </row>
    <row r="287" spans="1:12" x14ac:dyDescent="0.35">
      <c r="A287">
        <v>286</v>
      </c>
      <c r="B287" t="s">
        <v>11039</v>
      </c>
      <c r="C287" t="s">
        <v>10546</v>
      </c>
      <c r="D287" t="s">
        <v>611</v>
      </c>
      <c r="E287" t="s">
        <v>337</v>
      </c>
      <c r="F287" t="s">
        <v>10885</v>
      </c>
      <c r="G287" t="s">
        <v>112</v>
      </c>
      <c r="I287" t="str">
        <f t="shared" si="16"/>
        <v>1276-1236</v>
      </c>
      <c r="J287" t="str">
        <f t="shared" si="17"/>
        <v>BC</v>
      </c>
      <c r="K287">
        <f t="shared" si="18"/>
        <v>-1276</v>
      </c>
      <c r="L287">
        <f t="shared" si="19"/>
        <v>-1236</v>
      </c>
    </row>
    <row r="288" spans="1:12" x14ac:dyDescent="0.35">
      <c r="A288">
        <v>287</v>
      </c>
      <c r="B288" t="s">
        <v>612</v>
      </c>
      <c r="C288" t="s">
        <v>10049</v>
      </c>
      <c r="D288" t="s">
        <v>613</v>
      </c>
      <c r="E288" t="s">
        <v>337</v>
      </c>
      <c r="F288" t="s">
        <v>10885</v>
      </c>
      <c r="G288" t="s">
        <v>112</v>
      </c>
      <c r="I288" t="str">
        <f t="shared" si="16"/>
        <v>1276-1236</v>
      </c>
      <c r="J288" t="str">
        <f t="shared" si="17"/>
        <v>BC</v>
      </c>
      <c r="K288">
        <f t="shared" si="18"/>
        <v>-1276</v>
      </c>
      <c r="L288">
        <f t="shared" si="19"/>
        <v>-1236</v>
      </c>
    </row>
    <row r="289" spans="1:12" x14ac:dyDescent="0.35">
      <c r="A289">
        <v>288</v>
      </c>
      <c r="B289" t="s">
        <v>614</v>
      </c>
      <c r="C289" t="s">
        <v>11195</v>
      </c>
      <c r="D289" t="s">
        <v>615</v>
      </c>
      <c r="E289" t="s">
        <v>337</v>
      </c>
      <c r="F289" t="s">
        <v>10885</v>
      </c>
      <c r="G289" t="s">
        <v>12503</v>
      </c>
      <c r="I289" t="str">
        <f t="shared" si="16"/>
        <v>1276-1236</v>
      </c>
      <c r="J289" t="str">
        <f t="shared" si="17"/>
        <v>BC</v>
      </c>
      <c r="K289">
        <f t="shared" si="18"/>
        <v>-1276</v>
      </c>
      <c r="L289">
        <f t="shared" si="19"/>
        <v>-1236</v>
      </c>
    </row>
    <row r="290" spans="1:12" x14ac:dyDescent="0.35">
      <c r="A290">
        <v>289</v>
      </c>
      <c r="B290" t="s">
        <v>616</v>
      </c>
      <c r="C290" t="s">
        <v>11139</v>
      </c>
      <c r="D290" t="s">
        <v>617</v>
      </c>
      <c r="E290" t="s">
        <v>337</v>
      </c>
      <c r="F290" t="s">
        <v>10885</v>
      </c>
      <c r="G290" t="s">
        <v>112</v>
      </c>
      <c r="I290" t="str">
        <f t="shared" si="16"/>
        <v>1276-1236</v>
      </c>
      <c r="J290" t="str">
        <f t="shared" si="17"/>
        <v>BC</v>
      </c>
      <c r="K290">
        <f t="shared" si="18"/>
        <v>-1276</v>
      </c>
      <c r="L290">
        <f t="shared" si="19"/>
        <v>-1236</v>
      </c>
    </row>
    <row r="291" spans="1:12" x14ac:dyDescent="0.35">
      <c r="A291">
        <v>290</v>
      </c>
      <c r="B291" t="s">
        <v>618</v>
      </c>
      <c r="C291" t="s">
        <v>11196</v>
      </c>
      <c r="D291" t="s">
        <v>619</v>
      </c>
      <c r="E291" t="s">
        <v>337</v>
      </c>
      <c r="F291" t="s">
        <v>10885</v>
      </c>
      <c r="G291" t="s">
        <v>112</v>
      </c>
      <c r="I291" t="str">
        <f t="shared" si="16"/>
        <v>1276-1236</v>
      </c>
      <c r="J291" t="str">
        <f t="shared" si="17"/>
        <v>BC</v>
      </c>
      <c r="K291">
        <f t="shared" si="18"/>
        <v>-1276</v>
      </c>
      <c r="L291">
        <f t="shared" si="19"/>
        <v>-1236</v>
      </c>
    </row>
    <row r="292" spans="1:12" x14ac:dyDescent="0.35">
      <c r="A292">
        <v>291</v>
      </c>
      <c r="B292" t="s">
        <v>620</v>
      </c>
      <c r="C292" t="s">
        <v>10604</v>
      </c>
      <c r="D292" t="s">
        <v>621</v>
      </c>
      <c r="E292" t="s">
        <v>411</v>
      </c>
      <c r="F292" t="s">
        <v>10885</v>
      </c>
      <c r="G292" t="s">
        <v>112</v>
      </c>
      <c r="I292" t="str">
        <f t="shared" si="16"/>
        <v>1276-1236</v>
      </c>
      <c r="J292" t="str">
        <f t="shared" si="17"/>
        <v>BC</v>
      </c>
      <c r="K292">
        <f t="shared" si="18"/>
        <v>-1276</v>
      </c>
      <c r="L292">
        <f t="shared" si="19"/>
        <v>-1236</v>
      </c>
    </row>
    <row r="293" spans="1:12" x14ac:dyDescent="0.35">
      <c r="A293">
        <v>292</v>
      </c>
      <c r="B293" t="s">
        <v>11040</v>
      </c>
      <c r="C293" t="s">
        <v>11194</v>
      </c>
      <c r="D293" t="s">
        <v>622</v>
      </c>
      <c r="E293" t="s">
        <v>411</v>
      </c>
      <c r="F293" t="s">
        <v>10885</v>
      </c>
      <c r="G293" t="s">
        <v>112</v>
      </c>
      <c r="I293" t="str">
        <f t="shared" si="16"/>
        <v>1276-1236</v>
      </c>
      <c r="J293" t="str">
        <f t="shared" si="17"/>
        <v>BC</v>
      </c>
      <c r="K293">
        <f t="shared" si="18"/>
        <v>-1276</v>
      </c>
      <c r="L293">
        <f t="shared" si="19"/>
        <v>-1236</v>
      </c>
    </row>
    <row r="294" spans="1:12" x14ac:dyDescent="0.35">
      <c r="A294">
        <v>293</v>
      </c>
      <c r="B294" t="s">
        <v>623</v>
      </c>
      <c r="C294" t="s">
        <v>11175</v>
      </c>
      <c r="D294" t="s">
        <v>624</v>
      </c>
      <c r="E294" t="s">
        <v>337</v>
      </c>
      <c r="F294" t="s">
        <v>10885</v>
      </c>
      <c r="G294" t="s">
        <v>112</v>
      </c>
      <c r="I294" t="str">
        <f t="shared" si="16"/>
        <v>1276-1236</v>
      </c>
      <c r="J294" t="str">
        <f t="shared" si="17"/>
        <v>BC</v>
      </c>
      <c r="K294">
        <f t="shared" si="18"/>
        <v>-1276</v>
      </c>
      <c r="L294">
        <f t="shared" si="19"/>
        <v>-1236</v>
      </c>
    </row>
    <row r="295" spans="1:12" x14ac:dyDescent="0.35">
      <c r="A295">
        <v>294</v>
      </c>
      <c r="B295" t="s">
        <v>625</v>
      </c>
      <c r="C295" t="s">
        <v>11175</v>
      </c>
      <c r="D295" t="s">
        <v>626</v>
      </c>
      <c r="E295" t="s">
        <v>337</v>
      </c>
      <c r="F295" t="s">
        <v>10885</v>
      </c>
      <c r="G295" t="s">
        <v>112</v>
      </c>
      <c r="I295" t="str">
        <f t="shared" si="16"/>
        <v>1276-1236</v>
      </c>
      <c r="J295" t="str">
        <f t="shared" si="17"/>
        <v>BC</v>
      </c>
      <c r="K295">
        <f t="shared" si="18"/>
        <v>-1276</v>
      </c>
      <c r="L295">
        <f t="shared" si="19"/>
        <v>-1236</v>
      </c>
    </row>
    <row r="296" spans="1:12" x14ac:dyDescent="0.35">
      <c r="A296">
        <v>295</v>
      </c>
      <c r="B296" t="s">
        <v>630</v>
      </c>
      <c r="C296" t="s">
        <v>11197</v>
      </c>
      <c r="D296" t="s">
        <v>631</v>
      </c>
      <c r="E296" t="s">
        <v>627</v>
      </c>
      <c r="F296" t="s">
        <v>10885</v>
      </c>
      <c r="G296" t="s">
        <v>112</v>
      </c>
      <c r="I296" t="str">
        <f t="shared" si="16"/>
        <v>1276-1236</v>
      </c>
      <c r="J296" t="str">
        <f t="shared" si="17"/>
        <v>BC</v>
      </c>
      <c r="K296">
        <f t="shared" si="18"/>
        <v>-1276</v>
      </c>
      <c r="L296">
        <f t="shared" si="19"/>
        <v>-1236</v>
      </c>
    </row>
    <row r="297" spans="1:12" x14ac:dyDescent="0.35">
      <c r="A297">
        <v>296</v>
      </c>
      <c r="B297" t="s">
        <v>633</v>
      </c>
      <c r="C297" t="s">
        <v>10038</v>
      </c>
      <c r="D297" t="s">
        <v>632</v>
      </c>
      <c r="E297" t="s">
        <v>627</v>
      </c>
      <c r="F297" t="s">
        <v>10885</v>
      </c>
      <c r="G297" t="s">
        <v>112</v>
      </c>
      <c r="I297" t="str">
        <f t="shared" si="16"/>
        <v>1276-1236</v>
      </c>
      <c r="J297" t="str">
        <f t="shared" si="17"/>
        <v>BC</v>
      </c>
      <c r="K297">
        <f t="shared" si="18"/>
        <v>-1276</v>
      </c>
      <c r="L297">
        <f t="shared" si="19"/>
        <v>-1236</v>
      </c>
    </row>
    <row r="298" spans="1:12" x14ac:dyDescent="0.35">
      <c r="A298">
        <v>297</v>
      </c>
      <c r="B298" t="s">
        <v>11041</v>
      </c>
      <c r="C298" t="s">
        <v>10062</v>
      </c>
      <c r="D298" t="s">
        <v>634</v>
      </c>
      <c r="E298" t="s">
        <v>627</v>
      </c>
      <c r="F298" t="s">
        <v>10885</v>
      </c>
      <c r="G298" t="s">
        <v>112</v>
      </c>
      <c r="I298" t="str">
        <f t="shared" si="16"/>
        <v>1276-1236</v>
      </c>
      <c r="J298" t="str">
        <f t="shared" si="17"/>
        <v>BC</v>
      </c>
      <c r="K298">
        <f t="shared" si="18"/>
        <v>-1276</v>
      </c>
      <c r="L298">
        <f t="shared" si="19"/>
        <v>-1236</v>
      </c>
    </row>
    <row r="299" spans="1:12" x14ac:dyDescent="0.35">
      <c r="A299">
        <v>298</v>
      </c>
      <c r="B299" t="s">
        <v>11042</v>
      </c>
      <c r="C299" t="s">
        <v>11198</v>
      </c>
      <c r="D299" t="s">
        <v>11043</v>
      </c>
      <c r="E299" t="s">
        <v>636</v>
      </c>
      <c r="F299" t="s">
        <v>10885</v>
      </c>
      <c r="G299" t="s">
        <v>112</v>
      </c>
      <c r="I299" t="str">
        <f t="shared" si="16"/>
        <v>1276-1236</v>
      </c>
      <c r="J299" t="str">
        <f t="shared" si="17"/>
        <v>BC</v>
      </c>
      <c r="K299">
        <f t="shared" si="18"/>
        <v>-1276</v>
      </c>
      <c r="L299">
        <f t="shared" si="19"/>
        <v>-1236</v>
      </c>
    </row>
    <row r="300" spans="1:12" x14ac:dyDescent="0.35">
      <c r="A300">
        <v>299</v>
      </c>
      <c r="B300" t="s">
        <v>637</v>
      </c>
      <c r="C300" t="s">
        <v>11199</v>
      </c>
      <c r="D300" t="s">
        <v>638</v>
      </c>
      <c r="E300" t="s">
        <v>595</v>
      </c>
      <c r="F300" t="s">
        <v>10885</v>
      </c>
      <c r="G300" t="s">
        <v>112</v>
      </c>
      <c r="I300" t="str">
        <f t="shared" si="16"/>
        <v>1276-1236</v>
      </c>
      <c r="J300" t="str">
        <f t="shared" si="17"/>
        <v>BC</v>
      </c>
      <c r="K300">
        <f t="shared" si="18"/>
        <v>-1276</v>
      </c>
      <c r="L300">
        <f t="shared" si="19"/>
        <v>-1236</v>
      </c>
    </row>
    <row r="301" spans="1:12" x14ac:dyDescent="0.35">
      <c r="A301">
        <v>300</v>
      </c>
      <c r="B301" t="s">
        <v>11044</v>
      </c>
      <c r="C301" t="s">
        <v>11139</v>
      </c>
      <c r="D301" t="s">
        <v>40</v>
      </c>
      <c r="E301" t="s">
        <v>337</v>
      </c>
      <c r="F301" t="s">
        <v>10885</v>
      </c>
      <c r="G301" t="s">
        <v>112</v>
      </c>
      <c r="I301" t="str">
        <f t="shared" si="16"/>
        <v>1276-1236</v>
      </c>
      <c r="J301" t="str">
        <f t="shared" si="17"/>
        <v>BC</v>
      </c>
      <c r="K301">
        <f t="shared" si="18"/>
        <v>-1276</v>
      </c>
      <c r="L301">
        <f t="shared" si="19"/>
        <v>-1236</v>
      </c>
    </row>
    <row r="302" spans="1:12" x14ac:dyDescent="0.35">
      <c r="A302">
        <v>301</v>
      </c>
      <c r="B302" t="s">
        <v>639</v>
      </c>
      <c r="C302" t="s">
        <v>11200</v>
      </c>
      <c r="D302" t="s">
        <v>640</v>
      </c>
      <c r="E302" t="s">
        <v>337</v>
      </c>
      <c r="F302" t="s">
        <v>10885</v>
      </c>
      <c r="G302" t="s">
        <v>112</v>
      </c>
      <c r="I302" t="str">
        <f t="shared" si="16"/>
        <v>1276-1236</v>
      </c>
      <c r="J302" t="str">
        <f t="shared" si="17"/>
        <v>BC</v>
      </c>
      <c r="K302">
        <f t="shared" si="18"/>
        <v>-1276</v>
      </c>
      <c r="L302">
        <f t="shared" si="19"/>
        <v>-1236</v>
      </c>
    </row>
    <row r="303" spans="1:12" x14ac:dyDescent="0.35">
      <c r="A303">
        <v>302</v>
      </c>
      <c r="B303" t="s">
        <v>641</v>
      </c>
      <c r="C303" t="s">
        <v>10063</v>
      </c>
      <c r="D303" t="s">
        <v>81</v>
      </c>
      <c r="E303" t="s">
        <v>337</v>
      </c>
      <c r="F303" t="s">
        <v>10885</v>
      </c>
      <c r="G303" t="s">
        <v>12661</v>
      </c>
      <c r="I303" t="str">
        <f t="shared" si="16"/>
        <v>1276-1236</v>
      </c>
      <c r="J303" t="str">
        <f t="shared" si="17"/>
        <v>BC</v>
      </c>
      <c r="K303">
        <f t="shared" si="18"/>
        <v>-1276</v>
      </c>
      <c r="L303">
        <f t="shared" si="19"/>
        <v>-1236</v>
      </c>
    </row>
    <row r="304" spans="1:12" x14ac:dyDescent="0.35">
      <c r="A304">
        <v>303</v>
      </c>
      <c r="B304" t="s">
        <v>642</v>
      </c>
      <c r="C304" t="s">
        <v>12710</v>
      </c>
      <c r="D304" t="s">
        <v>643</v>
      </c>
      <c r="E304" t="s">
        <v>644</v>
      </c>
      <c r="F304" t="s">
        <v>10885</v>
      </c>
      <c r="G304" t="s">
        <v>112</v>
      </c>
      <c r="I304" t="str">
        <f t="shared" si="16"/>
        <v>1276-1236</v>
      </c>
      <c r="J304" t="str">
        <f t="shared" si="17"/>
        <v>BC</v>
      </c>
      <c r="K304">
        <f t="shared" si="18"/>
        <v>-1276</v>
      </c>
      <c r="L304">
        <f t="shared" si="19"/>
        <v>-1236</v>
      </c>
    </row>
    <row r="305" spans="1:12" x14ac:dyDescent="0.35">
      <c r="A305">
        <v>304</v>
      </c>
      <c r="B305" t="s">
        <v>645</v>
      </c>
      <c r="C305" t="s">
        <v>12710</v>
      </c>
      <c r="D305" t="s">
        <v>82</v>
      </c>
      <c r="E305" t="s">
        <v>646</v>
      </c>
      <c r="F305" t="s">
        <v>10885</v>
      </c>
      <c r="G305" t="s">
        <v>112</v>
      </c>
      <c r="I305" t="str">
        <f t="shared" si="16"/>
        <v>1276-1236</v>
      </c>
      <c r="J305" t="str">
        <f t="shared" si="17"/>
        <v>BC</v>
      </c>
      <c r="K305">
        <f t="shared" si="18"/>
        <v>-1276</v>
      </c>
      <c r="L305">
        <f t="shared" si="19"/>
        <v>-1236</v>
      </c>
    </row>
    <row r="306" spans="1:12" x14ac:dyDescent="0.35">
      <c r="A306">
        <v>305</v>
      </c>
      <c r="B306" t="s">
        <v>648</v>
      </c>
      <c r="C306" t="s">
        <v>11201</v>
      </c>
      <c r="D306" t="s">
        <v>649</v>
      </c>
      <c r="E306" t="s">
        <v>650</v>
      </c>
      <c r="F306" t="s">
        <v>10885</v>
      </c>
      <c r="G306" t="s">
        <v>112</v>
      </c>
      <c r="I306" t="str">
        <f t="shared" si="16"/>
        <v>1276-1236</v>
      </c>
      <c r="J306" t="str">
        <f t="shared" si="17"/>
        <v>BC</v>
      </c>
      <c r="K306">
        <f t="shared" si="18"/>
        <v>-1276</v>
      </c>
      <c r="L306">
        <f t="shared" si="19"/>
        <v>-1236</v>
      </c>
    </row>
    <row r="307" spans="1:12" x14ac:dyDescent="0.35">
      <c r="A307">
        <v>306</v>
      </c>
      <c r="B307" t="s">
        <v>651</v>
      </c>
      <c r="C307" t="s">
        <v>11202</v>
      </c>
      <c r="D307" t="s">
        <v>652</v>
      </c>
      <c r="E307" t="s">
        <v>653</v>
      </c>
      <c r="F307" t="s">
        <v>10885</v>
      </c>
      <c r="G307" t="s">
        <v>112</v>
      </c>
      <c r="I307" t="str">
        <f t="shared" si="16"/>
        <v>1276-1236</v>
      </c>
      <c r="J307" t="str">
        <f t="shared" si="17"/>
        <v>BC</v>
      </c>
      <c r="K307">
        <f t="shared" si="18"/>
        <v>-1276</v>
      </c>
      <c r="L307">
        <f t="shared" si="19"/>
        <v>-1236</v>
      </c>
    </row>
    <row r="308" spans="1:12" x14ac:dyDescent="0.35">
      <c r="A308">
        <v>307</v>
      </c>
      <c r="B308" t="s">
        <v>654</v>
      </c>
      <c r="C308" t="s">
        <v>10065</v>
      </c>
      <c r="D308" t="s">
        <v>11045</v>
      </c>
      <c r="E308" t="s">
        <v>655</v>
      </c>
      <c r="F308" t="s">
        <v>10885</v>
      </c>
      <c r="G308" t="s">
        <v>63</v>
      </c>
      <c r="I308" t="str">
        <f t="shared" si="16"/>
        <v>1276-1236</v>
      </c>
      <c r="J308" t="str">
        <f t="shared" si="17"/>
        <v>BC</v>
      </c>
      <c r="K308">
        <f t="shared" si="18"/>
        <v>-1276</v>
      </c>
      <c r="L308">
        <f t="shared" si="19"/>
        <v>-1236</v>
      </c>
    </row>
    <row r="309" spans="1:12" x14ac:dyDescent="0.35">
      <c r="A309">
        <v>308</v>
      </c>
      <c r="B309" t="s">
        <v>656</v>
      </c>
      <c r="C309" t="s">
        <v>10753</v>
      </c>
      <c r="D309" t="s">
        <v>11046</v>
      </c>
      <c r="E309" t="s">
        <v>655</v>
      </c>
      <c r="F309" t="s">
        <v>10885</v>
      </c>
      <c r="G309" t="s">
        <v>12660</v>
      </c>
      <c r="I309" t="str">
        <f t="shared" si="16"/>
        <v>1276-1236</v>
      </c>
      <c r="J309" t="str">
        <f t="shared" si="17"/>
        <v>BC</v>
      </c>
      <c r="K309">
        <f t="shared" si="18"/>
        <v>-1276</v>
      </c>
      <c r="L309">
        <f t="shared" si="19"/>
        <v>-1236</v>
      </c>
    </row>
    <row r="310" spans="1:12" x14ac:dyDescent="0.35">
      <c r="A310">
        <v>309</v>
      </c>
      <c r="B310" t="s">
        <v>657</v>
      </c>
      <c r="C310" t="s">
        <v>10524</v>
      </c>
      <c r="D310" t="s">
        <v>658</v>
      </c>
      <c r="E310" t="s">
        <v>655</v>
      </c>
      <c r="F310" t="s">
        <v>10885</v>
      </c>
      <c r="G310" t="s">
        <v>112</v>
      </c>
      <c r="I310" t="str">
        <f t="shared" si="16"/>
        <v>1276-1236</v>
      </c>
      <c r="J310" t="str">
        <f t="shared" si="17"/>
        <v>BC</v>
      </c>
      <c r="K310">
        <f t="shared" si="18"/>
        <v>-1276</v>
      </c>
      <c r="L310">
        <f t="shared" si="19"/>
        <v>-1236</v>
      </c>
    </row>
    <row r="311" spans="1:12" x14ac:dyDescent="0.35">
      <c r="A311">
        <v>310</v>
      </c>
      <c r="B311" t="s">
        <v>659</v>
      </c>
      <c r="C311" t="s">
        <v>11203</v>
      </c>
      <c r="D311" t="s">
        <v>660</v>
      </c>
      <c r="E311" t="s">
        <v>655</v>
      </c>
      <c r="F311" t="s">
        <v>10885</v>
      </c>
      <c r="G311" t="s">
        <v>63</v>
      </c>
      <c r="I311" t="str">
        <f t="shared" si="16"/>
        <v>1276-1236</v>
      </c>
      <c r="J311" t="str">
        <f t="shared" si="17"/>
        <v>BC</v>
      </c>
      <c r="K311">
        <f t="shared" si="18"/>
        <v>-1276</v>
      </c>
      <c r="L311">
        <f t="shared" si="19"/>
        <v>-1236</v>
      </c>
    </row>
    <row r="312" spans="1:12" x14ac:dyDescent="0.35">
      <c r="A312">
        <v>311</v>
      </c>
      <c r="B312" t="s">
        <v>11047</v>
      </c>
      <c r="C312" t="s">
        <v>10606</v>
      </c>
      <c r="D312" t="s">
        <v>11049</v>
      </c>
      <c r="E312" t="s">
        <v>647</v>
      </c>
      <c r="F312" t="s">
        <v>10885</v>
      </c>
      <c r="G312" t="s">
        <v>112</v>
      </c>
      <c r="I312" t="str">
        <f t="shared" si="16"/>
        <v>1276-1236</v>
      </c>
      <c r="J312" t="str">
        <f t="shared" si="17"/>
        <v>BC</v>
      </c>
      <c r="K312">
        <f t="shared" si="18"/>
        <v>-1276</v>
      </c>
      <c r="L312">
        <f t="shared" si="19"/>
        <v>-1236</v>
      </c>
    </row>
    <row r="313" spans="1:12" x14ac:dyDescent="0.35">
      <c r="A313">
        <v>312</v>
      </c>
      <c r="B313" t="s">
        <v>661</v>
      </c>
      <c r="C313" t="s">
        <v>11204</v>
      </c>
      <c r="D313" t="s">
        <v>11048</v>
      </c>
      <c r="E313" t="s">
        <v>647</v>
      </c>
      <c r="F313" t="s">
        <v>10885</v>
      </c>
      <c r="G313" t="s">
        <v>112</v>
      </c>
      <c r="I313" t="str">
        <f t="shared" si="16"/>
        <v>1276-1236</v>
      </c>
      <c r="J313" t="str">
        <f t="shared" si="17"/>
        <v>BC</v>
      </c>
      <c r="K313">
        <f t="shared" si="18"/>
        <v>-1276</v>
      </c>
      <c r="L313">
        <f t="shared" si="19"/>
        <v>-1236</v>
      </c>
    </row>
    <row r="314" spans="1:12" x14ac:dyDescent="0.35">
      <c r="A314">
        <v>313</v>
      </c>
      <c r="B314" t="s">
        <v>662</v>
      </c>
      <c r="C314" t="s">
        <v>10066</v>
      </c>
      <c r="D314" t="s">
        <v>11050</v>
      </c>
      <c r="E314" t="s">
        <v>663</v>
      </c>
      <c r="F314" t="s">
        <v>10885</v>
      </c>
      <c r="G314" t="s">
        <v>12504</v>
      </c>
      <c r="I314" t="str">
        <f t="shared" si="16"/>
        <v>1276-1236</v>
      </c>
      <c r="J314" t="str">
        <f t="shared" si="17"/>
        <v>BC</v>
      </c>
      <c r="K314">
        <f t="shared" si="18"/>
        <v>-1276</v>
      </c>
      <c r="L314">
        <f t="shared" si="19"/>
        <v>-1236</v>
      </c>
    </row>
    <row r="315" spans="1:12" x14ac:dyDescent="0.35">
      <c r="A315">
        <v>314</v>
      </c>
      <c r="B315" t="s">
        <v>664</v>
      </c>
      <c r="C315" t="s">
        <v>10059</v>
      </c>
      <c r="D315" t="s">
        <v>665</v>
      </c>
      <c r="E315" t="s">
        <v>647</v>
      </c>
      <c r="F315" t="s">
        <v>10885</v>
      </c>
      <c r="G315" t="s">
        <v>112</v>
      </c>
      <c r="I315" t="str">
        <f t="shared" si="16"/>
        <v>1276-1236</v>
      </c>
      <c r="J315" t="str">
        <f t="shared" si="17"/>
        <v>BC</v>
      </c>
      <c r="K315">
        <f t="shared" si="18"/>
        <v>-1276</v>
      </c>
      <c r="L315">
        <f t="shared" si="19"/>
        <v>-1236</v>
      </c>
    </row>
    <row r="316" spans="1:12" x14ac:dyDescent="0.35">
      <c r="A316">
        <v>315</v>
      </c>
      <c r="B316" t="s">
        <v>11051</v>
      </c>
      <c r="C316" t="s">
        <v>10544</v>
      </c>
      <c r="D316" t="s">
        <v>668</v>
      </c>
      <c r="E316" t="s">
        <v>666</v>
      </c>
      <c r="F316" t="s">
        <v>10885</v>
      </c>
      <c r="G316" t="s">
        <v>112</v>
      </c>
      <c r="I316" t="str">
        <f t="shared" si="16"/>
        <v>1276-1236</v>
      </c>
      <c r="J316" t="str">
        <f t="shared" si="17"/>
        <v>BC</v>
      </c>
      <c r="K316">
        <f t="shared" si="18"/>
        <v>-1276</v>
      </c>
      <c r="L316">
        <f t="shared" si="19"/>
        <v>-1236</v>
      </c>
    </row>
    <row r="317" spans="1:12" x14ac:dyDescent="0.35">
      <c r="A317">
        <v>316</v>
      </c>
      <c r="B317" t="s">
        <v>669</v>
      </c>
      <c r="C317" t="s">
        <v>10049</v>
      </c>
      <c r="D317" t="s">
        <v>670</v>
      </c>
      <c r="E317" t="s">
        <v>666</v>
      </c>
      <c r="F317" t="s">
        <v>10885</v>
      </c>
      <c r="G317" t="s">
        <v>112</v>
      </c>
      <c r="I317" t="str">
        <f t="shared" si="16"/>
        <v>1276-1236</v>
      </c>
      <c r="J317" t="str">
        <f t="shared" si="17"/>
        <v>BC</v>
      </c>
      <c r="K317">
        <f t="shared" si="18"/>
        <v>-1276</v>
      </c>
      <c r="L317">
        <f t="shared" si="19"/>
        <v>-1236</v>
      </c>
    </row>
    <row r="318" spans="1:12" x14ac:dyDescent="0.35">
      <c r="A318">
        <v>317</v>
      </c>
      <c r="B318" t="s">
        <v>671</v>
      </c>
      <c r="C318" t="s">
        <v>11205</v>
      </c>
      <c r="D318" t="s">
        <v>672</v>
      </c>
      <c r="E318" t="s">
        <v>666</v>
      </c>
      <c r="F318" t="s">
        <v>10885</v>
      </c>
      <c r="G318" t="s">
        <v>112</v>
      </c>
      <c r="I318" t="str">
        <f t="shared" si="16"/>
        <v>1276-1236</v>
      </c>
      <c r="J318" t="str">
        <f t="shared" si="17"/>
        <v>BC</v>
      </c>
      <c r="K318">
        <f t="shared" si="18"/>
        <v>-1276</v>
      </c>
      <c r="L318">
        <f t="shared" si="19"/>
        <v>-1236</v>
      </c>
    </row>
    <row r="319" spans="1:12" x14ac:dyDescent="0.35">
      <c r="A319">
        <v>318</v>
      </c>
      <c r="B319" t="s">
        <v>673</v>
      </c>
      <c r="C319" t="s">
        <v>11139</v>
      </c>
      <c r="D319" t="s">
        <v>674</v>
      </c>
      <c r="E319" t="s">
        <v>666</v>
      </c>
      <c r="F319" t="s">
        <v>10885</v>
      </c>
      <c r="G319" t="s">
        <v>112</v>
      </c>
      <c r="I319" t="str">
        <f t="shared" si="16"/>
        <v>1276-1236</v>
      </c>
      <c r="J319" t="str">
        <f t="shared" si="17"/>
        <v>BC</v>
      </c>
      <c r="K319">
        <f t="shared" si="18"/>
        <v>-1276</v>
      </c>
      <c r="L319">
        <f t="shared" si="19"/>
        <v>-1236</v>
      </c>
    </row>
    <row r="320" spans="1:12" x14ac:dyDescent="0.35">
      <c r="A320">
        <v>319</v>
      </c>
      <c r="B320" t="s">
        <v>675</v>
      </c>
      <c r="C320" t="s">
        <v>11206</v>
      </c>
      <c r="D320" t="s">
        <v>676</v>
      </c>
      <c r="E320" t="s">
        <v>666</v>
      </c>
      <c r="F320" t="s">
        <v>10885</v>
      </c>
      <c r="G320" t="s">
        <v>112</v>
      </c>
      <c r="I320" t="str">
        <f t="shared" si="16"/>
        <v>1276-1236</v>
      </c>
      <c r="J320" t="str">
        <f t="shared" si="17"/>
        <v>BC</v>
      </c>
      <c r="K320">
        <f t="shared" si="18"/>
        <v>-1276</v>
      </c>
      <c r="L320">
        <f t="shared" si="19"/>
        <v>-1236</v>
      </c>
    </row>
    <row r="321" spans="1:12" x14ac:dyDescent="0.35">
      <c r="A321">
        <v>320</v>
      </c>
      <c r="B321" t="s">
        <v>11053</v>
      </c>
      <c r="C321" t="s">
        <v>11207</v>
      </c>
      <c r="D321" t="s">
        <v>11052</v>
      </c>
      <c r="E321" t="s">
        <v>666</v>
      </c>
      <c r="F321" t="s">
        <v>10885</v>
      </c>
      <c r="G321" t="s">
        <v>112</v>
      </c>
      <c r="I321" t="str">
        <f t="shared" si="16"/>
        <v>1276-1236</v>
      </c>
      <c r="J321" t="str">
        <f t="shared" si="17"/>
        <v>BC</v>
      </c>
      <c r="K321">
        <f t="shared" si="18"/>
        <v>-1276</v>
      </c>
      <c r="L321">
        <f t="shared" si="19"/>
        <v>-1236</v>
      </c>
    </row>
    <row r="322" spans="1:12" x14ac:dyDescent="0.35">
      <c r="A322">
        <v>321</v>
      </c>
      <c r="B322" t="s">
        <v>677</v>
      </c>
      <c r="C322" t="s">
        <v>11176</v>
      </c>
      <c r="D322" t="s">
        <v>678</v>
      </c>
      <c r="E322" t="s">
        <v>679</v>
      </c>
      <c r="F322" t="s">
        <v>10885</v>
      </c>
      <c r="G322" t="s">
        <v>112</v>
      </c>
      <c r="I322" t="str">
        <f t="shared" ref="I322:I385" si="20">SUBSTITUTE(SUBSTITUTE(SUBSTITUTE(F322,"c. ","")," BC","")," AD","")</f>
        <v>1276-1236</v>
      </c>
      <c r="J322" t="str">
        <f t="shared" ref="J322:J385" si="21">RIGHT(F322, 2)</f>
        <v>BC</v>
      </c>
      <c r="K322">
        <f t="shared" ref="K322:K385" si="22">IF(J322="BC", 0-IF(ISERROR(FIND("-",I322)),I322,LEFT(I322,FIND("-",I322)-1)), IF(ISERROR(FIND("-",I322)),I322,LEFT(I322,FIND("-",I322)-1)))</f>
        <v>-1276</v>
      </c>
      <c r="L322">
        <f t="shared" ref="L322:L385" si="23">IF(J322="BC", 0-IF(ISERROR(FIND("-",I322)),I322,RIGHT(I322,FIND("-",I322)-1)), IF(ISERROR(FIND("-",I322)),I322,RIGHT(I322,FIND("-",I322)-1)))</f>
        <v>-1236</v>
      </c>
    </row>
    <row r="323" spans="1:12" x14ac:dyDescent="0.35">
      <c r="A323">
        <v>322</v>
      </c>
      <c r="B323" t="s">
        <v>681</v>
      </c>
      <c r="C323" t="s">
        <v>11178</v>
      </c>
      <c r="D323" t="s">
        <v>682</v>
      </c>
      <c r="E323" t="s">
        <v>679</v>
      </c>
      <c r="F323" t="s">
        <v>10885</v>
      </c>
      <c r="G323" t="s">
        <v>112</v>
      </c>
      <c r="I323" t="str">
        <f t="shared" si="20"/>
        <v>1276-1236</v>
      </c>
      <c r="J323" t="str">
        <f t="shared" si="21"/>
        <v>BC</v>
      </c>
      <c r="K323">
        <f t="shared" si="22"/>
        <v>-1276</v>
      </c>
      <c r="L323">
        <f t="shared" si="23"/>
        <v>-1236</v>
      </c>
    </row>
    <row r="324" spans="1:12" x14ac:dyDescent="0.35">
      <c r="A324">
        <v>323</v>
      </c>
      <c r="B324" t="s">
        <v>683</v>
      </c>
      <c r="C324" t="s">
        <v>11107</v>
      </c>
      <c r="D324" t="s">
        <v>684</v>
      </c>
      <c r="E324" t="s">
        <v>679</v>
      </c>
      <c r="F324" t="s">
        <v>10885</v>
      </c>
      <c r="G324" t="s">
        <v>112</v>
      </c>
      <c r="I324" t="str">
        <f t="shared" si="20"/>
        <v>1276-1236</v>
      </c>
      <c r="J324" t="str">
        <f t="shared" si="21"/>
        <v>BC</v>
      </c>
      <c r="K324">
        <f t="shared" si="22"/>
        <v>-1276</v>
      </c>
      <c r="L324">
        <f t="shared" si="23"/>
        <v>-1236</v>
      </c>
    </row>
    <row r="325" spans="1:12" x14ac:dyDescent="0.35">
      <c r="A325">
        <v>324</v>
      </c>
      <c r="B325" t="s">
        <v>685</v>
      </c>
      <c r="C325" t="s">
        <v>11145</v>
      </c>
      <c r="D325" t="s">
        <v>686</v>
      </c>
      <c r="E325" t="s">
        <v>679</v>
      </c>
      <c r="F325" t="s">
        <v>10885</v>
      </c>
      <c r="G325" t="s">
        <v>112</v>
      </c>
      <c r="I325" t="str">
        <f t="shared" si="20"/>
        <v>1276-1236</v>
      </c>
      <c r="J325" t="str">
        <f t="shared" si="21"/>
        <v>BC</v>
      </c>
      <c r="K325">
        <f t="shared" si="22"/>
        <v>-1276</v>
      </c>
      <c r="L325">
        <f t="shared" si="23"/>
        <v>-1236</v>
      </c>
    </row>
    <row r="326" spans="1:12" x14ac:dyDescent="0.35">
      <c r="A326">
        <v>325</v>
      </c>
      <c r="B326" t="s">
        <v>687</v>
      </c>
      <c r="C326" t="s">
        <v>11164</v>
      </c>
      <c r="D326" t="s">
        <v>688</v>
      </c>
      <c r="E326" t="s">
        <v>679</v>
      </c>
      <c r="F326" t="s">
        <v>10885</v>
      </c>
      <c r="G326" t="s">
        <v>112</v>
      </c>
      <c r="I326" t="str">
        <f t="shared" si="20"/>
        <v>1276-1236</v>
      </c>
      <c r="J326" t="str">
        <f t="shared" si="21"/>
        <v>BC</v>
      </c>
      <c r="K326">
        <f t="shared" si="22"/>
        <v>-1276</v>
      </c>
      <c r="L326">
        <f t="shared" si="23"/>
        <v>-1236</v>
      </c>
    </row>
    <row r="327" spans="1:12" x14ac:dyDescent="0.35">
      <c r="A327">
        <v>326</v>
      </c>
      <c r="B327" t="s">
        <v>11054</v>
      </c>
      <c r="C327" t="s">
        <v>12711</v>
      </c>
      <c r="D327" t="s">
        <v>689</v>
      </c>
      <c r="E327" t="s">
        <v>679</v>
      </c>
      <c r="F327" t="s">
        <v>10885</v>
      </c>
      <c r="G327" t="s">
        <v>112</v>
      </c>
      <c r="I327" t="str">
        <f t="shared" si="20"/>
        <v>1276-1236</v>
      </c>
      <c r="J327" t="str">
        <f t="shared" si="21"/>
        <v>BC</v>
      </c>
      <c r="K327">
        <f t="shared" si="22"/>
        <v>-1276</v>
      </c>
      <c r="L327">
        <f t="shared" si="23"/>
        <v>-1236</v>
      </c>
    </row>
    <row r="328" spans="1:12" x14ac:dyDescent="0.35">
      <c r="A328">
        <v>327</v>
      </c>
      <c r="B328" t="s">
        <v>690</v>
      </c>
      <c r="C328" t="s">
        <v>12710</v>
      </c>
      <c r="D328" t="s">
        <v>691</v>
      </c>
      <c r="E328" t="s">
        <v>692</v>
      </c>
      <c r="F328" t="s">
        <v>10885</v>
      </c>
      <c r="G328" t="s">
        <v>2337</v>
      </c>
      <c r="I328" t="str">
        <f t="shared" si="20"/>
        <v>1276-1236</v>
      </c>
      <c r="J328" t="str">
        <f t="shared" si="21"/>
        <v>BC</v>
      </c>
      <c r="K328">
        <f t="shared" si="22"/>
        <v>-1276</v>
      </c>
      <c r="L328">
        <f t="shared" si="23"/>
        <v>-1236</v>
      </c>
    </row>
    <row r="329" spans="1:12" x14ac:dyDescent="0.35">
      <c r="A329">
        <v>328</v>
      </c>
      <c r="B329" t="s">
        <v>693</v>
      </c>
      <c r="C329" t="s">
        <v>11164</v>
      </c>
      <c r="D329" t="s">
        <v>694</v>
      </c>
      <c r="E329" t="s">
        <v>679</v>
      </c>
      <c r="F329" t="s">
        <v>10885</v>
      </c>
      <c r="G329" t="s">
        <v>112</v>
      </c>
      <c r="I329" t="str">
        <f t="shared" si="20"/>
        <v>1276-1236</v>
      </c>
      <c r="J329" t="str">
        <f t="shared" si="21"/>
        <v>BC</v>
      </c>
      <c r="K329">
        <f t="shared" si="22"/>
        <v>-1276</v>
      </c>
      <c r="L329">
        <f t="shared" si="23"/>
        <v>-1236</v>
      </c>
    </row>
    <row r="330" spans="1:12" x14ac:dyDescent="0.35">
      <c r="A330">
        <v>329</v>
      </c>
      <c r="B330" t="s">
        <v>11055</v>
      </c>
      <c r="C330" t="s">
        <v>11208</v>
      </c>
      <c r="D330" t="s">
        <v>695</v>
      </c>
      <c r="E330" t="s">
        <v>679</v>
      </c>
      <c r="F330" t="s">
        <v>10885</v>
      </c>
      <c r="G330" t="s">
        <v>8297</v>
      </c>
      <c r="I330" t="str">
        <f t="shared" si="20"/>
        <v>1276-1236</v>
      </c>
      <c r="J330" t="str">
        <f t="shared" si="21"/>
        <v>BC</v>
      </c>
      <c r="K330">
        <f t="shared" si="22"/>
        <v>-1276</v>
      </c>
      <c r="L330">
        <f t="shared" si="23"/>
        <v>-1236</v>
      </c>
    </row>
    <row r="331" spans="1:12" x14ac:dyDescent="0.35">
      <c r="A331">
        <v>330</v>
      </c>
      <c r="B331" t="s">
        <v>696</v>
      </c>
      <c r="C331" t="s">
        <v>12711</v>
      </c>
      <c r="D331" t="s">
        <v>697</v>
      </c>
      <c r="E331" t="s">
        <v>679</v>
      </c>
      <c r="F331" t="s">
        <v>10885</v>
      </c>
      <c r="G331" t="s">
        <v>112</v>
      </c>
      <c r="I331" t="str">
        <f t="shared" si="20"/>
        <v>1276-1236</v>
      </c>
      <c r="J331" t="str">
        <f t="shared" si="21"/>
        <v>BC</v>
      </c>
      <c r="K331">
        <f t="shared" si="22"/>
        <v>-1276</v>
      </c>
      <c r="L331">
        <f t="shared" si="23"/>
        <v>-1236</v>
      </c>
    </row>
    <row r="332" spans="1:12" x14ac:dyDescent="0.35">
      <c r="A332">
        <v>331</v>
      </c>
      <c r="B332" t="s">
        <v>698</v>
      </c>
      <c r="C332" t="s">
        <v>11209</v>
      </c>
      <c r="D332" t="s">
        <v>699</v>
      </c>
      <c r="E332" t="s">
        <v>679</v>
      </c>
      <c r="F332" t="s">
        <v>10885</v>
      </c>
      <c r="G332" t="s">
        <v>112</v>
      </c>
      <c r="I332" t="str">
        <f t="shared" si="20"/>
        <v>1276-1236</v>
      </c>
      <c r="J332" t="str">
        <f t="shared" si="21"/>
        <v>BC</v>
      </c>
      <c r="K332">
        <f t="shared" si="22"/>
        <v>-1276</v>
      </c>
      <c r="L332">
        <f t="shared" si="23"/>
        <v>-1236</v>
      </c>
    </row>
    <row r="333" spans="1:12" x14ac:dyDescent="0.35">
      <c r="A333">
        <v>332</v>
      </c>
      <c r="B333" t="s">
        <v>700</v>
      </c>
      <c r="C333" t="s">
        <v>11176</v>
      </c>
      <c r="D333" t="s">
        <v>701</v>
      </c>
      <c r="E333" t="s">
        <v>679</v>
      </c>
      <c r="F333" t="s">
        <v>10885</v>
      </c>
      <c r="G333" t="s">
        <v>112</v>
      </c>
      <c r="I333" t="str">
        <f t="shared" si="20"/>
        <v>1276-1236</v>
      </c>
      <c r="J333" t="str">
        <f t="shared" si="21"/>
        <v>BC</v>
      </c>
      <c r="K333">
        <f t="shared" si="22"/>
        <v>-1276</v>
      </c>
      <c r="L333">
        <f t="shared" si="23"/>
        <v>-1236</v>
      </c>
    </row>
    <row r="334" spans="1:12" x14ac:dyDescent="0.35">
      <c r="A334">
        <v>333</v>
      </c>
      <c r="B334" t="s">
        <v>702</v>
      </c>
      <c r="C334" t="s">
        <v>11210</v>
      </c>
      <c r="D334" t="s">
        <v>703</v>
      </c>
      <c r="E334" t="s">
        <v>679</v>
      </c>
      <c r="F334" t="s">
        <v>10885</v>
      </c>
      <c r="G334" t="s">
        <v>112</v>
      </c>
      <c r="I334" t="str">
        <f t="shared" si="20"/>
        <v>1276-1236</v>
      </c>
      <c r="J334" t="str">
        <f t="shared" si="21"/>
        <v>BC</v>
      </c>
      <c r="K334">
        <f t="shared" si="22"/>
        <v>-1276</v>
      </c>
      <c r="L334">
        <f t="shared" si="23"/>
        <v>-1236</v>
      </c>
    </row>
    <row r="335" spans="1:12" x14ac:dyDescent="0.35">
      <c r="A335">
        <v>334</v>
      </c>
      <c r="B335" t="s">
        <v>704</v>
      </c>
      <c r="C335" t="s">
        <v>11164</v>
      </c>
      <c r="D335" t="s">
        <v>705</v>
      </c>
      <c r="E335" t="s">
        <v>679</v>
      </c>
      <c r="F335" t="s">
        <v>10885</v>
      </c>
      <c r="G335" t="s">
        <v>112</v>
      </c>
      <c r="I335" t="str">
        <f t="shared" si="20"/>
        <v>1276-1236</v>
      </c>
      <c r="J335" t="str">
        <f t="shared" si="21"/>
        <v>BC</v>
      </c>
      <c r="K335">
        <f t="shared" si="22"/>
        <v>-1276</v>
      </c>
      <c r="L335">
        <f t="shared" si="23"/>
        <v>-1236</v>
      </c>
    </row>
    <row r="336" spans="1:12" x14ac:dyDescent="0.35">
      <c r="A336">
        <v>335</v>
      </c>
      <c r="B336" t="s">
        <v>11795</v>
      </c>
      <c r="C336" t="s">
        <v>10645</v>
      </c>
      <c r="D336" t="s">
        <v>11796</v>
      </c>
      <c r="E336" t="s">
        <v>11797</v>
      </c>
      <c r="F336" t="s">
        <v>10886</v>
      </c>
      <c r="G336" t="s">
        <v>8297</v>
      </c>
      <c r="H336" t="s">
        <v>11798</v>
      </c>
      <c r="I336" t="str">
        <f t="shared" si="20"/>
        <v>1236</v>
      </c>
      <c r="J336" t="str">
        <f t="shared" si="21"/>
        <v>BC</v>
      </c>
      <c r="K336">
        <f t="shared" si="22"/>
        <v>-1236</v>
      </c>
      <c r="L336">
        <f t="shared" si="23"/>
        <v>-1236</v>
      </c>
    </row>
    <row r="337" spans="1:12" x14ac:dyDescent="0.35">
      <c r="A337">
        <v>336</v>
      </c>
      <c r="B337" t="s">
        <v>11836</v>
      </c>
      <c r="C337" t="s">
        <v>9456</v>
      </c>
      <c r="D337" t="s">
        <v>11799</v>
      </c>
      <c r="E337" t="s">
        <v>11797</v>
      </c>
      <c r="F337" t="s">
        <v>10886</v>
      </c>
      <c r="G337" t="s">
        <v>8297</v>
      </c>
      <c r="H337" t="s">
        <v>11800</v>
      </c>
      <c r="I337" t="str">
        <f t="shared" si="20"/>
        <v>1236</v>
      </c>
      <c r="J337" t="str">
        <f t="shared" si="21"/>
        <v>BC</v>
      </c>
      <c r="K337">
        <f t="shared" si="22"/>
        <v>-1236</v>
      </c>
      <c r="L337">
        <f t="shared" si="23"/>
        <v>-1236</v>
      </c>
    </row>
    <row r="338" spans="1:12" x14ac:dyDescent="0.35">
      <c r="A338">
        <v>337</v>
      </c>
      <c r="B338" t="s">
        <v>11801</v>
      </c>
      <c r="C338" t="s">
        <v>10664</v>
      </c>
      <c r="D338" t="s">
        <v>11802</v>
      </c>
      <c r="E338" t="s">
        <v>11797</v>
      </c>
      <c r="F338" t="s">
        <v>10886</v>
      </c>
      <c r="G338" t="s">
        <v>8297</v>
      </c>
      <c r="H338" t="s">
        <v>11803</v>
      </c>
      <c r="I338" t="str">
        <f t="shared" si="20"/>
        <v>1236</v>
      </c>
      <c r="J338" t="str">
        <f t="shared" si="21"/>
        <v>BC</v>
      </c>
      <c r="K338">
        <f t="shared" si="22"/>
        <v>-1236</v>
      </c>
      <c r="L338">
        <f t="shared" si="23"/>
        <v>-1236</v>
      </c>
    </row>
    <row r="339" spans="1:12" x14ac:dyDescent="0.35">
      <c r="A339">
        <v>338</v>
      </c>
      <c r="B339" t="s">
        <v>11837</v>
      </c>
      <c r="C339" t="s">
        <v>10664</v>
      </c>
      <c r="D339" t="s">
        <v>11804</v>
      </c>
      <c r="E339" t="s">
        <v>11805</v>
      </c>
      <c r="F339" t="s">
        <v>10886</v>
      </c>
      <c r="G339" t="s">
        <v>8297</v>
      </c>
      <c r="H339" t="s">
        <v>11806</v>
      </c>
      <c r="I339" t="str">
        <f t="shared" si="20"/>
        <v>1236</v>
      </c>
      <c r="J339" t="str">
        <f t="shared" si="21"/>
        <v>BC</v>
      </c>
      <c r="K339">
        <f t="shared" si="22"/>
        <v>-1236</v>
      </c>
      <c r="L339">
        <f t="shared" si="23"/>
        <v>-1236</v>
      </c>
    </row>
    <row r="340" spans="1:12" x14ac:dyDescent="0.35">
      <c r="A340">
        <v>339</v>
      </c>
      <c r="B340" t="s">
        <v>11840</v>
      </c>
      <c r="C340" t="s">
        <v>9456</v>
      </c>
      <c r="D340" t="s">
        <v>11838</v>
      </c>
      <c r="E340" t="s">
        <v>11805</v>
      </c>
      <c r="F340" t="s">
        <v>10886</v>
      </c>
      <c r="G340" t="s">
        <v>8297</v>
      </c>
      <c r="H340" t="s">
        <v>11807</v>
      </c>
      <c r="I340" t="str">
        <f t="shared" si="20"/>
        <v>1236</v>
      </c>
      <c r="J340" t="str">
        <f t="shared" si="21"/>
        <v>BC</v>
      </c>
      <c r="K340">
        <f t="shared" si="22"/>
        <v>-1236</v>
      </c>
      <c r="L340">
        <f t="shared" si="23"/>
        <v>-1236</v>
      </c>
    </row>
    <row r="341" spans="1:12" x14ac:dyDescent="0.35">
      <c r="A341">
        <v>340</v>
      </c>
      <c r="B341" t="s">
        <v>11841</v>
      </c>
      <c r="C341" t="s">
        <v>11190</v>
      </c>
      <c r="D341" t="s">
        <v>11839</v>
      </c>
      <c r="E341" t="s">
        <v>11805</v>
      </c>
      <c r="F341" t="s">
        <v>10886</v>
      </c>
      <c r="G341" t="s">
        <v>8297</v>
      </c>
      <c r="H341" t="s">
        <v>11807</v>
      </c>
      <c r="I341" t="str">
        <f t="shared" si="20"/>
        <v>1236</v>
      </c>
      <c r="J341" t="str">
        <f t="shared" si="21"/>
        <v>BC</v>
      </c>
      <c r="K341">
        <f t="shared" si="22"/>
        <v>-1236</v>
      </c>
      <c r="L341">
        <f t="shared" si="23"/>
        <v>-1236</v>
      </c>
    </row>
    <row r="342" spans="1:12" x14ac:dyDescent="0.35">
      <c r="A342">
        <v>341</v>
      </c>
      <c r="B342" t="s">
        <v>11842</v>
      </c>
      <c r="C342" t="s">
        <v>10040</v>
      </c>
      <c r="D342" t="s">
        <v>11808</v>
      </c>
      <c r="E342" t="s">
        <v>11809</v>
      </c>
      <c r="F342" t="s">
        <v>10886</v>
      </c>
      <c r="G342" t="s">
        <v>8297</v>
      </c>
      <c r="H342" t="s">
        <v>11810</v>
      </c>
      <c r="I342" t="str">
        <f t="shared" si="20"/>
        <v>1236</v>
      </c>
      <c r="J342" t="str">
        <f t="shared" si="21"/>
        <v>BC</v>
      </c>
      <c r="K342">
        <f t="shared" si="22"/>
        <v>-1236</v>
      </c>
      <c r="L342">
        <f t="shared" si="23"/>
        <v>-1236</v>
      </c>
    </row>
    <row r="343" spans="1:12" x14ac:dyDescent="0.35">
      <c r="A343">
        <v>342</v>
      </c>
      <c r="B343" t="s">
        <v>11843</v>
      </c>
      <c r="C343" t="s">
        <v>10040</v>
      </c>
      <c r="D343" t="s">
        <v>11844</v>
      </c>
      <c r="E343" t="s">
        <v>11811</v>
      </c>
      <c r="F343" t="s">
        <v>10886</v>
      </c>
      <c r="G343" t="s">
        <v>8297</v>
      </c>
      <c r="H343" t="s">
        <v>11812</v>
      </c>
      <c r="I343" t="str">
        <f t="shared" si="20"/>
        <v>1236</v>
      </c>
      <c r="J343" t="str">
        <f t="shared" si="21"/>
        <v>BC</v>
      </c>
      <c r="K343">
        <f t="shared" si="22"/>
        <v>-1236</v>
      </c>
      <c r="L343">
        <f t="shared" si="23"/>
        <v>-1236</v>
      </c>
    </row>
    <row r="344" spans="1:12" x14ac:dyDescent="0.35">
      <c r="A344">
        <v>343</v>
      </c>
      <c r="B344" t="s">
        <v>11845</v>
      </c>
      <c r="C344" t="s">
        <v>10635</v>
      </c>
      <c r="D344" t="s">
        <v>11813</v>
      </c>
      <c r="E344" t="s">
        <v>2953</v>
      </c>
      <c r="F344" t="s">
        <v>10886</v>
      </c>
      <c r="G344" t="s">
        <v>53</v>
      </c>
      <c r="H344" t="s">
        <v>11814</v>
      </c>
      <c r="I344" t="str">
        <f t="shared" si="20"/>
        <v>1236</v>
      </c>
      <c r="J344" t="str">
        <f t="shared" si="21"/>
        <v>BC</v>
      </c>
      <c r="K344">
        <f t="shared" si="22"/>
        <v>-1236</v>
      </c>
      <c r="L344">
        <f t="shared" si="23"/>
        <v>-1236</v>
      </c>
    </row>
    <row r="345" spans="1:12" x14ac:dyDescent="0.35">
      <c r="A345">
        <v>344</v>
      </c>
      <c r="B345" t="s">
        <v>11846</v>
      </c>
      <c r="C345" t="s">
        <v>10664</v>
      </c>
      <c r="D345" t="s">
        <v>11815</v>
      </c>
      <c r="E345" t="s">
        <v>11816</v>
      </c>
      <c r="F345" t="s">
        <v>10886</v>
      </c>
      <c r="G345" t="s">
        <v>8297</v>
      </c>
      <c r="H345" t="s">
        <v>11817</v>
      </c>
      <c r="I345" t="str">
        <f t="shared" si="20"/>
        <v>1236</v>
      </c>
      <c r="J345" t="str">
        <f t="shared" si="21"/>
        <v>BC</v>
      </c>
      <c r="K345">
        <f t="shared" si="22"/>
        <v>-1236</v>
      </c>
      <c r="L345">
        <f t="shared" si="23"/>
        <v>-1236</v>
      </c>
    </row>
    <row r="346" spans="1:12" x14ac:dyDescent="0.35">
      <c r="A346">
        <v>345</v>
      </c>
      <c r="B346" t="s">
        <v>11818</v>
      </c>
      <c r="C346" t="s">
        <v>10635</v>
      </c>
      <c r="D346" t="s">
        <v>11819</v>
      </c>
      <c r="E346" t="s">
        <v>11820</v>
      </c>
      <c r="F346" t="s">
        <v>10886</v>
      </c>
      <c r="G346" t="s">
        <v>8297</v>
      </c>
      <c r="H346" t="s">
        <v>11821</v>
      </c>
      <c r="I346" t="str">
        <f t="shared" si="20"/>
        <v>1236</v>
      </c>
      <c r="J346" t="str">
        <f t="shared" si="21"/>
        <v>BC</v>
      </c>
      <c r="K346">
        <f t="shared" si="22"/>
        <v>-1236</v>
      </c>
      <c r="L346">
        <f t="shared" si="23"/>
        <v>-1236</v>
      </c>
    </row>
    <row r="347" spans="1:12" x14ac:dyDescent="0.35">
      <c r="A347">
        <v>346</v>
      </c>
      <c r="B347" t="s">
        <v>11822</v>
      </c>
      <c r="C347" t="s">
        <v>11834</v>
      </c>
      <c r="D347" t="s">
        <v>11823</v>
      </c>
      <c r="E347" t="s">
        <v>11824</v>
      </c>
      <c r="F347" t="s">
        <v>10886</v>
      </c>
      <c r="G347" t="s">
        <v>53</v>
      </c>
      <c r="H347" t="s">
        <v>11825</v>
      </c>
      <c r="I347" t="str">
        <f t="shared" si="20"/>
        <v>1236</v>
      </c>
      <c r="J347" t="str">
        <f t="shared" si="21"/>
        <v>BC</v>
      </c>
      <c r="K347">
        <f t="shared" si="22"/>
        <v>-1236</v>
      </c>
      <c r="L347">
        <f t="shared" si="23"/>
        <v>-1236</v>
      </c>
    </row>
    <row r="348" spans="1:12" x14ac:dyDescent="0.35">
      <c r="A348">
        <v>347</v>
      </c>
      <c r="B348" t="s">
        <v>11826</v>
      </c>
      <c r="C348" t="s">
        <v>10635</v>
      </c>
      <c r="D348" t="s">
        <v>11827</v>
      </c>
      <c r="E348" t="s">
        <v>11828</v>
      </c>
      <c r="F348" t="s">
        <v>10886</v>
      </c>
      <c r="G348" t="s">
        <v>8297</v>
      </c>
      <c r="H348" t="s">
        <v>11829</v>
      </c>
      <c r="I348" t="str">
        <f t="shared" si="20"/>
        <v>1236</v>
      </c>
      <c r="J348" t="str">
        <f t="shared" si="21"/>
        <v>BC</v>
      </c>
      <c r="K348">
        <f t="shared" si="22"/>
        <v>-1236</v>
      </c>
      <c r="L348">
        <f t="shared" si="23"/>
        <v>-1236</v>
      </c>
    </row>
    <row r="349" spans="1:12" x14ac:dyDescent="0.35">
      <c r="A349">
        <v>348</v>
      </c>
      <c r="B349" t="s">
        <v>11849</v>
      </c>
      <c r="C349" t="s">
        <v>11835</v>
      </c>
      <c r="D349" t="s">
        <v>11830</v>
      </c>
      <c r="E349" t="s">
        <v>2020</v>
      </c>
      <c r="F349" t="s">
        <v>10886</v>
      </c>
      <c r="G349" t="s">
        <v>8297</v>
      </c>
      <c r="H349" t="s">
        <v>11831</v>
      </c>
      <c r="I349" t="str">
        <f t="shared" si="20"/>
        <v>1236</v>
      </c>
      <c r="J349" t="str">
        <f t="shared" si="21"/>
        <v>BC</v>
      </c>
      <c r="K349">
        <f t="shared" si="22"/>
        <v>-1236</v>
      </c>
      <c r="L349">
        <f t="shared" si="23"/>
        <v>-1236</v>
      </c>
    </row>
    <row r="350" spans="1:12" x14ac:dyDescent="0.35">
      <c r="A350">
        <v>349</v>
      </c>
      <c r="B350" t="s">
        <v>11847</v>
      </c>
      <c r="C350" t="s">
        <v>10544</v>
      </c>
      <c r="D350" t="s">
        <v>11832</v>
      </c>
      <c r="E350" t="s">
        <v>2020</v>
      </c>
      <c r="F350" t="s">
        <v>10886</v>
      </c>
      <c r="G350" t="s">
        <v>8297</v>
      </c>
      <c r="H350" t="s">
        <v>11833</v>
      </c>
      <c r="I350" t="str">
        <f t="shared" si="20"/>
        <v>1236</v>
      </c>
      <c r="J350" t="str">
        <f t="shared" si="21"/>
        <v>BC</v>
      </c>
      <c r="K350">
        <f t="shared" si="22"/>
        <v>-1236</v>
      </c>
      <c r="L350">
        <f t="shared" si="23"/>
        <v>-1236</v>
      </c>
    </row>
    <row r="351" spans="1:12" x14ac:dyDescent="0.35">
      <c r="A351">
        <v>350</v>
      </c>
      <c r="B351" t="s">
        <v>11848</v>
      </c>
      <c r="C351" t="s">
        <v>11139</v>
      </c>
      <c r="D351" t="s">
        <v>11850</v>
      </c>
      <c r="E351" t="s">
        <v>679</v>
      </c>
      <c r="F351" t="s">
        <v>10886</v>
      </c>
      <c r="G351" t="s">
        <v>8297</v>
      </c>
      <c r="I351" t="str">
        <f t="shared" si="20"/>
        <v>1236</v>
      </c>
      <c r="J351" t="str">
        <f t="shared" si="21"/>
        <v>BC</v>
      </c>
      <c r="K351">
        <f t="shared" si="22"/>
        <v>-1236</v>
      </c>
      <c r="L351">
        <f t="shared" si="23"/>
        <v>-1236</v>
      </c>
    </row>
    <row r="352" spans="1:12" x14ac:dyDescent="0.35">
      <c r="A352">
        <v>351</v>
      </c>
      <c r="B352" t="s">
        <v>11851</v>
      </c>
      <c r="C352" t="s">
        <v>10751</v>
      </c>
      <c r="D352" t="s">
        <v>706</v>
      </c>
      <c r="E352" t="s">
        <v>679</v>
      </c>
      <c r="F352" t="s">
        <v>10886</v>
      </c>
      <c r="G352" t="s">
        <v>8297</v>
      </c>
      <c r="I352" t="str">
        <f t="shared" si="20"/>
        <v>1236</v>
      </c>
      <c r="J352" t="str">
        <f t="shared" si="21"/>
        <v>BC</v>
      </c>
      <c r="K352">
        <f t="shared" si="22"/>
        <v>-1236</v>
      </c>
      <c r="L352">
        <f t="shared" si="23"/>
        <v>-1236</v>
      </c>
    </row>
    <row r="353" spans="1:12" x14ac:dyDescent="0.35">
      <c r="A353">
        <v>352</v>
      </c>
      <c r="B353" t="s">
        <v>707</v>
      </c>
      <c r="C353" t="s">
        <v>10253</v>
      </c>
      <c r="D353" t="s">
        <v>708</v>
      </c>
      <c r="E353" t="s">
        <v>679</v>
      </c>
      <c r="F353" t="s">
        <v>10886</v>
      </c>
      <c r="G353" t="s">
        <v>8297</v>
      </c>
      <c r="I353" t="str">
        <f t="shared" si="20"/>
        <v>1236</v>
      </c>
      <c r="J353" t="str">
        <f t="shared" si="21"/>
        <v>BC</v>
      </c>
      <c r="K353">
        <f t="shared" si="22"/>
        <v>-1236</v>
      </c>
      <c r="L353">
        <f t="shared" si="23"/>
        <v>-1236</v>
      </c>
    </row>
    <row r="354" spans="1:12" x14ac:dyDescent="0.35">
      <c r="A354">
        <v>353</v>
      </c>
      <c r="B354" t="s">
        <v>709</v>
      </c>
      <c r="C354" t="s">
        <v>10068</v>
      </c>
      <c r="D354" t="s">
        <v>710</v>
      </c>
      <c r="E354" t="s">
        <v>679</v>
      </c>
      <c r="F354" t="s">
        <v>10886</v>
      </c>
      <c r="G354" t="s">
        <v>8297</v>
      </c>
      <c r="I354" t="str">
        <f t="shared" si="20"/>
        <v>1236</v>
      </c>
      <c r="J354" t="str">
        <f t="shared" si="21"/>
        <v>BC</v>
      </c>
      <c r="K354">
        <f t="shared" si="22"/>
        <v>-1236</v>
      </c>
      <c r="L354">
        <f t="shared" si="23"/>
        <v>-1236</v>
      </c>
    </row>
    <row r="355" spans="1:12" x14ac:dyDescent="0.35">
      <c r="A355">
        <v>354</v>
      </c>
      <c r="B355" t="s">
        <v>711</v>
      </c>
      <c r="C355" t="s">
        <v>10662</v>
      </c>
      <c r="D355" t="s">
        <v>712</v>
      </c>
      <c r="E355" t="s">
        <v>679</v>
      </c>
      <c r="F355" t="s">
        <v>10886</v>
      </c>
      <c r="G355" t="s">
        <v>8297</v>
      </c>
      <c r="I355" t="str">
        <f t="shared" si="20"/>
        <v>1236</v>
      </c>
      <c r="J355" t="str">
        <f t="shared" si="21"/>
        <v>BC</v>
      </c>
      <c r="K355">
        <f t="shared" si="22"/>
        <v>-1236</v>
      </c>
      <c r="L355">
        <f t="shared" si="23"/>
        <v>-1236</v>
      </c>
    </row>
    <row r="356" spans="1:12" x14ac:dyDescent="0.35">
      <c r="A356">
        <v>355</v>
      </c>
      <c r="B356" t="s">
        <v>713</v>
      </c>
      <c r="C356" t="s">
        <v>11866</v>
      </c>
      <c r="D356" t="s">
        <v>714</v>
      </c>
      <c r="E356" t="s">
        <v>679</v>
      </c>
      <c r="F356" t="s">
        <v>10886</v>
      </c>
      <c r="G356" t="s">
        <v>8297</v>
      </c>
      <c r="I356" t="str">
        <f t="shared" si="20"/>
        <v>1236</v>
      </c>
      <c r="J356" t="str">
        <f t="shared" si="21"/>
        <v>BC</v>
      </c>
      <c r="K356">
        <f t="shared" si="22"/>
        <v>-1236</v>
      </c>
      <c r="L356">
        <f t="shared" si="23"/>
        <v>-1236</v>
      </c>
    </row>
    <row r="357" spans="1:12" x14ac:dyDescent="0.35">
      <c r="A357">
        <v>356</v>
      </c>
      <c r="B357" t="s">
        <v>715</v>
      </c>
      <c r="C357" t="s">
        <v>11865</v>
      </c>
      <c r="D357" t="s">
        <v>716</v>
      </c>
      <c r="E357" t="s">
        <v>679</v>
      </c>
      <c r="F357" t="s">
        <v>10886</v>
      </c>
      <c r="G357" t="s">
        <v>8297</v>
      </c>
      <c r="I357" t="str">
        <f t="shared" si="20"/>
        <v>1236</v>
      </c>
      <c r="J357" t="str">
        <f t="shared" si="21"/>
        <v>BC</v>
      </c>
      <c r="K357">
        <f t="shared" si="22"/>
        <v>-1236</v>
      </c>
      <c r="L357">
        <f t="shared" si="23"/>
        <v>-1236</v>
      </c>
    </row>
    <row r="358" spans="1:12" x14ac:dyDescent="0.35">
      <c r="A358">
        <v>357</v>
      </c>
      <c r="B358" t="s">
        <v>717</v>
      </c>
      <c r="C358" t="s">
        <v>10752</v>
      </c>
      <c r="D358" t="s">
        <v>718</v>
      </c>
      <c r="E358" t="s">
        <v>679</v>
      </c>
      <c r="F358" t="s">
        <v>10886</v>
      </c>
      <c r="G358" t="s">
        <v>8297</v>
      </c>
      <c r="I358" t="str">
        <f t="shared" si="20"/>
        <v>1236</v>
      </c>
      <c r="J358" t="str">
        <f t="shared" si="21"/>
        <v>BC</v>
      </c>
      <c r="K358">
        <f t="shared" si="22"/>
        <v>-1236</v>
      </c>
      <c r="L358">
        <f t="shared" si="23"/>
        <v>-1236</v>
      </c>
    </row>
    <row r="359" spans="1:12" x14ac:dyDescent="0.35">
      <c r="A359">
        <v>358</v>
      </c>
      <c r="B359" t="s">
        <v>719</v>
      </c>
      <c r="C359" t="s">
        <v>10589</v>
      </c>
      <c r="D359" t="s">
        <v>720</v>
      </c>
      <c r="E359" t="s">
        <v>679</v>
      </c>
      <c r="F359" t="s">
        <v>10886</v>
      </c>
      <c r="G359" t="s">
        <v>8297</v>
      </c>
      <c r="I359" t="str">
        <f t="shared" si="20"/>
        <v>1236</v>
      </c>
      <c r="J359" t="str">
        <f t="shared" si="21"/>
        <v>BC</v>
      </c>
      <c r="K359">
        <f t="shared" si="22"/>
        <v>-1236</v>
      </c>
      <c r="L359">
        <f t="shared" si="23"/>
        <v>-1236</v>
      </c>
    </row>
    <row r="360" spans="1:12" x14ac:dyDescent="0.35">
      <c r="A360">
        <v>359</v>
      </c>
      <c r="B360" t="s">
        <v>721</v>
      </c>
      <c r="C360" t="s">
        <v>10546</v>
      </c>
      <c r="D360" t="s">
        <v>722</v>
      </c>
      <c r="E360" t="s">
        <v>679</v>
      </c>
      <c r="F360" t="s">
        <v>10886</v>
      </c>
      <c r="G360" t="s">
        <v>8297</v>
      </c>
      <c r="I360" t="str">
        <f t="shared" si="20"/>
        <v>1236</v>
      </c>
      <c r="J360" t="str">
        <f t="shared" si="21"/>
        <v>BC</v>
      </c>
      <c r="K360">
        <f t="shared" si="22"/>
        <v>-1236</v>
      </c>
      <c r="L360">
        <f t="shared" si="23"/>
        <v>-1236</v>
      </c>
    </row>
    <row r="361" spans="1:12" x14ac:dyDescent="0.35">
      <c r="A361">
        <v>360</v>
      </c>
      <c r="B361" t="s">
        <v>11852</v>
      </c>
      <c r="C361" t="s">
        <v>10546</v>
      </c>
      <c r="D361" t="s">
        <v>11853</v>
      </c>
      <c r="E361" t="s">
        <v>679</v>
      </c>
      <c r="F361" t="s">
        <v>10886</v>
      </c>
      <c r="G361" t="s">
        <v>8297</v>
      </c>
      <c r="I361" t="str">
        <f t="shared" si="20"/>
        <v>1236</v>
      </c>
      <c r="J361" t="str">
        <f t="shared" si="21"/>
        <v>BC</v>
      </c>
      <c r="K361">
        <f t="shared" si="22"/>
        <v>-1236</v>
      </c>
      <c r="L361">
        <f t="shared" si="23"/>
        <v>-1236</v>
      </c>
    </row>
    <row r="362" spans="1:12" x14ac:dyDescent="0.35">
      <c r="A362">
        <v>361</v>
      </c>
      <c r="B362" t="s">
        <v>723</v>
      </c>
      <c r="C362" t="s">
        <v>9456</v>
      </c>
      <c r="D362" t="s">
        <v>724</v>
      </c>
      <c r="E362" t="s">
        <v>679</v>
      </c>
      <c r="F362" t="s">
        <v>10886</v>
      </c>
      <c r="G362" t="s">
        <v>8297</v>
      </c>
      <c r="I362" t="str">
        <f t="shared" si="20"/>
        <v>1236</v>
      </c>
      <c r="J362" t="str">
        <f t="shared" si="21"/>
        <v>BC</v>
      </c>
      <c r="K362">
        <f t="shared" si="22"/>
        <v>-1236</v>
      </c>
      <c r="L362">
        <f t="shared" si="23"/>
        <v>-1236</v>
      </c>
    </row>
    <row r="363" spans="1:12" x14ac:dyDescent="0.35">
      <c r="A363">
        <v>362</v>
      </c>
      <c r="B363" t="s">
        <v>725</v>
      </c>
      <c r="C363" t="s">
        <v>10662</v>
      </c>
      <c r="D363" t="s">
        <v>726</v>
      </c>
      <c r="E363" t="s">
        <v>679</v>
      </c>
      <c r="F363" t="s">
        <v>10886</v>
      </c>
      <c r="G363" t="s">
        <v>8297</v>
      </c>
      <c r="I363" t="str">
        <f t="shared" si="20"/>
        <v>1236</v>
      </c>
      <c r="J363" t="str">
        <f t="shared" si="21"/>
        <v>BC</v>
      </c>
      <c r="K363">
        <f t="shared" si="22"/>
        <v>-1236</v>
      </c>
      <c r="L363">
        <f t="shared" si="23"/>
        <v>-1236</v>
      </c>
    </row>
    <row r="364" spans="1:12" x14ac:dyDescent="0.35">
      <c r="A364">
        <v>363</v>
      </c>
      <c r="B364" t="s">
        <v>464</v>
      </c>
      <c r="C364" t="s">
        <v>10139</v>
      </c>
      <c r="D364" t="s">
        <v>727</v>
      </c>
      <c r="E364" t="s">
        <v>679</v>
      </c>
      <c r="F364" t="s">
        <v>10886</v>
      </c>
      <c r="G364" t="s">
        <v>8297</v>
      </c>
      <c r="I364" t="str">
        <f t="shared" si="20"/>
        <v>1236</v>
      </c>
      <c r="J364" t="str">
        <f t="shared" si="21"/>
        <v>BC</v>
      </c>
      <c r="K364">
        <f t="shared" si="22"/>
        <v>-1236</v>
      </c>
      <c r="L364">
        <f t="shared" si="23"/>
        <v>-1236</v>
      </c>
    </row>
    <row r="365" spans="1:12" x14ac:dyDescent="0.35">
      <c r="A365">
        <v>364</v>
      </c>
      <c r="B365" t="s">
        <v>728</v>
      </c>
      <c r="C365" t="s">
        <v>12712</v>
      </c>
      <c r="D365" t="s">
        <v>729</v>
      </c>
      <c r="E365" t="s">
        <v>679</v>
      </c>
      <c r="F365" t="s">
        <v>10886</v>
      </c>
      <c r="G365" t="s">
        <v>8297</v>
      </c>
      <c r="I365" t="str">
        <f t="shared" si="20"/>
        <v>1236</v>
      </c>
      <c r="J365" t="str">
        <f t="shared" si="21"/>
        <v>BC</v>
      </c>
      <c r="K365">
        <f t="shared" si="22"/>
        <v>-1236</v>
      </c>
      <c r="L365">
        <f t="shared" si="23"/>
        <v>-1236</v>
      </c>
    </row>
    <row r="366" spans="1:12" x14ac:dyDescent="0.35">
      <c r="A366">
        <v>365</v>
      </c>
      <c r="B366" t="s">
        <v>730</v>
      </c>
      <c r="C366" t="s">
        <v>10038</v>
      </c>
      <c r="D366" t="s">
        <v>731</v>
      </c>
      <c r="E366" t="s">
        <v>679</v>
      </c>
      <c r="F366" t="s">
        <v>10886</v>
      </c>
      <c r="G366" t="s">
        <v>8297</v>
      </c>
      <c r="I366" t="str">
        <f t="shared" si="20"/>
        <v>1236</v>
      </c>
      <c r="J366" t="str">
        <f t="shared" si="21"/>
        <v>BC</v>
      </c>
      <c r="K366">
        <f t="shared" si="22"/>
        <v>-1236</v>
      </c>
      <c r="L366">
        <f t="shared" si="23"/>
        <v>-1236</v>
      </c>
    </row>
    <row r="367" spans="1:12" x14ac:dyDescent="0.35">
      <c r="A367">
        <v>366</v>
      </c>
      <c r="B367" t="s">
        <v>732</v>
      </c>
      <c r="C367" t="s">
        <v>9456</v>
      </c>
      <c r="D367" t="s">
        <v>733</v>
      </c>
      <c r="E367" t="s">
        <v>679</v>
      </c>
      <c r="F367" t="s">
        <v>10886</v>
      </c>
      <c r="G367" t="s">
        <v>8297</v>
      </c>
      <c r="I367" t="str">
        <f t="shared" si="20"/>
        <v>1236</v>
      </c>
      <c r="J367" t="str">
        <f t="shared" si="21"/>
        <v>BC</v>
      </c>
      <c r="K367">
        <f t="shared" si="22"/>
        <v>-1236</v>
      </c>
      <c r="L367">
        <f t="shared" si="23"/>
        <v>-1236</v>
      </c>
    </row>
    <row r="368" spans="1:12" x14ac:dyDescent="0.35">
      <c r="A368">
        <v>367</v>
      </c>
      <c r="B368" t="s">
        <v>734</v>
      </c>
      <c r="C368" t="s">
        <v>10546</v>
      </c>
      <c r="D368" t="s">
        <v>735</v>
      </c>
      <c r="E368" t="s">
        <v>679</v>
      </c>
      <c r="F368" t="s">
        <v>10886</v>
      </c>
      <c r="G368" t="s">
        <v>8297</v>
      </c>
      <c r="I368" t="str">
        <f t="shared" si="20"/>
        <v>1236</v>
      </c>
      <c r="J368" t="str">
        <f t="shared" si="21"/>
        <v>BC</v>
      </c>
      <c r="K368">
        <f t="shared" si="22"/>
        <v>-1236</v>
      </c>
      <c r="L368">
        <f t="shared" si="23"/>
        <v>-1236</v>
      </c>
    </row>
    <row r="369" spans="1:12" x14ac:dyDescent="0.35">
      <c r="A369">
        <v>368</v>
      </c>
      <c r="B369" t="s">
        <v>736</v>
      </c>
      <c r="C369" t="s">
        <v>12712</v>
      </c>
      <c r="D369" t="s">
        <v>737</v>
      </c>
      <c r="E369" t="s">
        <v>679</v>
      </c>
      <c r="F369" t="s">
        <v>10886</v>
      </c>
      <c r="G369" t="s">
        <v>8297</v>
      </c>
      <c r="I369" t="str">
        <f t="shared" si="20"/>
        <v>1236</v>
      </c>
      <c r="J369" t="str">
        <f t="shared" si="21"/>
        <v>BC</v>
      </c>
      <c r="K369">
        <f t="shared" si="22"/>
        <v>-1236</v>
      </c>
      <c r="L369">
        <f t="shared" si="23"/>
        <v>-1236</v>
      </c>
    </row>
    <row r="370" spans="1:12" x14ac:dyDescent="0.35">
      <c r="A370">
        <v>369</v>
      </c>
      <c r="B370" t="s">
        <v>11854</v>
      </c>
      <c r="C370" t="s">
        <v>11863</v>
      </c>
      <c r="D370" t="s">
        <v>738</v>
      </c>
      <c r="E370" t="s">
        <v>679</v>
      </c>
      <c r="F370" t="s">
        <v>10886</v>
      </c>
      <c r="G370" t="s">
        <v>8297</v>
      </c>
      <c r="I370" t="str">
        <f t="shared" si="20"/>
        <v>1236</v>
      </c>
      <c r="J370" t="str">
        <f t="shared" si="21"/>
        <v>BC</v>
      </c>
      <c r="K370">
        <f t="shared" si="22"/>
        <v>-1236</v>
      </c>
      <c r="L370">
        <f t="shared" si="23"/>
        <v>-1236</v>
      </c>
    </row>
    <row r="371" spans="1:12" x14ac:dyDescent="0.35">
      <c r="A371">
        <v>370</v>
      </c>
      <c r="B371" t="s">
        <v>739</v>
      </c>
      <c r="C371" t="s">
        <v>11864</v>
      </c>
      <c r="D371" t="s">
        <v>740</v>
      </c>
      <c r="E371" t="s">
        <v>679</v>
      </c>
      <c r="F371" t="s">
        <v>10886</v>
      </c>
      <c r="G371" t="s">
        <v>8297</v>
      </c>
      <c r="I371" t="str">
        <f t="shared" si="20"/>
        <v>1236</v>
      </c>
      <c r="J371" t="str">
        <f t="shared" si="21"/>
        <v>BC</v>
      </c>
      <c r="K371">
        <f t="shared" si="22"/>
        <v>-1236</v>
      </c>
      <c r="L371">
        <f t="shared" si="23"/>
        <v>-1236</v>
      </c>
    </row>
    <row r="372" spans="1:12" x14ac:dyDescent="0.35">
      <c r="A372">
        <v>371</v>
      </c>
      <c r="B372" t="s">
        <v>530</v>
      </c>
      <c r="C372" t="s">
        <v>10634</v>
      </c>
      <c r="D372" t="s">
        <v>741</v>
      </c>
      <c r="E372" t="s">
        <v>679</v>
      </c>
      <c r="F372" t="s">
        <v>10886</v>
      </c>
      <c r="G372" t="s">
        <v>8297</v>
      </c>
      <c r="I372" t="str">
        <f t="shared" si="20"/>
        <v>1236</v>
      </c>
      <c r="J372" t="str">
        <f t="shared" si="21"/>
        <v>BC</v>
      </c>
      <c r="K372">
        <f t="shared" si="22"/>
        <v>-1236</v>
      </c>
      <c r="L372">
        <f t="shared" si="23"/>
        <v>-1236</v>
      </c>
    </row>
    <row r="373" spans="1:12" x14ac:dyDescent="0.35">
      <c r="A373">
        <v>372</v>
      </c>
      <c r="B373" t="s">
        <v>742</v>
      </c>
      <c r="C373" t="s">
        <v>11867</v>
      </c>
      <c r="D373" t="s">
        <v>743</v>
      </c>
      <c r="E373" t="s">
        <v>679</v>
      </c>
      <c r="F373" t="s">
        <v>10886</v>
      </c>
      <c r="G373" t="s">
        <v>8297</v>
      </c>
      <c r="I373" t="str">
        <f t="shared" si="20"/>
        <v>1236</v>
      </c>
      <c r="J373" t="str">
        <f t="shared" si="21"/>
        <v>BC</v>
      </c>
      <c r="K373">
        <f t="shared" si="22"/>
        <v>-1236</v>
      </c>
      <c r="L373">
        <f t="shared" si="23"/>
        <v>-1236</v>
      </c>
    </row>
    <row r="374" spans="1:12" x14ac:dyDescent="0.35">
      <c r="A374">
        <v>373</v>
      </c>
      <c r="B374" t="s">
        <v>744</v>
      </c>
      <c r="C374" t="s">
        <v>10139</v>
      </c>
      <c r="D374" t="s">
        <v>11855</v>
      </c>
      <c r="E374" t="s">
        <v>679</v>
      </c>
      <c r="F374" t="s">
        <v>10886</v>
      </c>
      <c r="G374" t="s">
        <v>8297</v>
      </c>
      <c r="I374" t="str">
        <f t="shared" si="20"/>
        <v>1236</v>
      </c>
      <c r="J374" t="str">
        <f t="shared" si="21"/>
        <v>BC</v>
      </c>
      <c r="K374">
        <f t="shared" si="22"/>
        <v>-1236</v>
      </c>
      <c r="L374">
        <f t="shared" si="23"/>
        <v>-1236</v>
      </c>
    </row>
    <row r="375" spans="1:12" x14ac:dyDescent="0.35">
      <c r="A375">
        <v>374</v>
      </c>
      <c r="B375" t="s">
        <v>745</v>
      </c>
      <c r="C375" t="s">
        <v>11174</v>
      </c>
      <c r="D375" t="s">
        <v>746</v>
      </c>
      <c r="E375" t="s">
        <v>679</v>
      </c>
      <c r="F375" t="s">
        <v>10886</v>
      </c>
      <c r="G375" t="s">
        <v>8297</v>
      </c>
      <c r="I375" t="str">
        <f t="shared" si="20"/>
        <v>1236</v>
      </c>
      <c r="J375" t="str">
        <f t="shared" si="21"/>
        <v>BC</v>
      </c>
      <c r="K375">
        <f t="shared" si="22"/>
        <v>-1236</v>
      </c>
      <c r="L375">
        <f t="shared" si="23"/>
        <v>-1236</v>
      </c>
    </row>
    <row r="376" spans="1:12" x14ac:dyDescent="0.35">
      <c r="A376">
        <v>375</v>
      </c>
      <c r="B376" t="s">
        <v>747</v>
      </c>
      <c r="C376" t="s">
        <v>11211</v>
      </c>
      <c r="D376" t="s">
        <v>748</v>
      </c>
      <c r="E376" t="s">
        <v>679</v>
      </c>
      <c r="F376" t="s">
        <v>10886</v>
      </c>
      <c r="G376" t="s">
        <v>8297</v>
      </c>
      <c r="I376" t="str">
        <f t="shared" si="20"/>
        <v>1236</v>
      </c>
      <c r="J376" t="str">
        <f t="shared" si="21"/>
        <v>BC</v>
      </c>
      <c r="K376">
        <f t="shared" si="22"/>
        <v>-1236</v>
      </c>
      <c r="L376">
        <f t="shared" si="23"/>
        <v>-1236</v>
      </c>
    </row>
    <row r="377" spans="1:12" x14ac:dyDescent="0.35">
      <c r="A377">
        <v>376</v>
      </c>
      <c r="B377" t="s">
        <v>749</v>
      </c>
      <c r="C377" t="s">
        <v>11869</v>
      </c>
      <c r="D377" t="s">
        <v>750</v>
      </c>
      <c r="E377" t="s">
        <v>679</v>
      </c>
      <c r="F377" t="s">
        <v>10886</v>
      </c>
      <c r="G377" t="s">
        <v>8297</v>
      </c>
      <c r="I377" t="str">
        <f t="shared" si="20"/>
        <v>1236</v>
      </c>
      <c r="J377" t="str">
        <f t="shared" si="21"/>
        <v>BC</v>
      </c>
      <c r="K377">
        <f t="shared" si="22"/>
        <v>-1236</v>
      </c>
      <c r="L377">
        <f t="shared" si="23"/>
        <v>-1236</v>
      </c>
    </row>
    <row r="378" spans="1:12" x14ac:dyDescent="0.35">
      <c r="A378">
        <v>377</v>
      </c>
      <c r="B378" t="s">
        <v>751</v>
      </c>
      <c r="C378" t="s">
        <v>11868</v>
      </c>
      <c r="D378" t="s">
        <v>752</v>
      </c>
      <c r="E378" t="s">
        <v>679</v>
      </c>
      <c r="F378" t="s">
        <v>10886</v>
      </c>
      <c r="G378" t="s">
        <v>8297</v>
      </c>
      <c r="I378" t="str">
        <f t="shared" si="20"/>
        <v>1236</v>
      </c>
      <c r="J378" t="str">
        <f t="shared" si="21"/>
        <v>BC</v>
      </c>
      <c r="K378">
        <f t="shared" si="22"/>
        <v>-1236</v>
      </c>
      <c r="L378">
        <f t="shared" si="23"/>
        <v>-1236</v>
      </c>
    </row>
    <row r="379" spans="1:12" x14ac:dyDescent="0.35">
      <c r="A379">
        <v>378</v>
      </c>
      <c r="B379" t="s">
        <v>11056</v>
      </c>
      <c r="C379" t="s">
        <v>11875</v>
      </c>
      <c r="D379" t="s">
        <v>11057</v>
      </c>
      <c r="E379" t="s">
        <v>679</v>
      </c>
      <c r="F379" t="s">
        <v>10886</v>
      </c>
      <c r="G379" t="s">
        <v>8297</v>
      </c>
      <c r="I379" t="str">
        <f t="shared" si="20"/>
        <v>1236</v>
      </c>
      <c r="J379" t="str">
        <f t="shared" si="21"/>
        <v>BC</v>
      </c>
      <c r="K379">
        <f t="shared" si="22"/>
        <v>-1236</v>
      </c>
      <c r="L379">
        <f t="shared" si="23"/>
        <v>-1236</v>
      </c>
    </row>
    <row r="380" spans="1:12" x14ac:dyDescent="0.35">
      <c r="A380">
        <v>379</v>
      </c>
      <c r="B380" t="s">
        <v>11857</v>
      </c>
      <c r="C380" t="s">
        <v>11876</v>
      </c>
      <c r="D380" t="s">
        <v>11856</v>
      </c>
      <c r="E380" t="s">
        <v>679</v>
      </c>
      <c r="F380" t="s">
        <v>10886</v>
      </c>
      <c r="G380" t="s">
        <v>8297</v>
      </c>
      <c r="I380" t="str">
        <f t="shared" si="20"/>
        <v>1236</v>
      </c>
      <c r="J380" t="str">
        <f t="shared" si="21"/>
        <v>BC</v>
      </c>
      <c r="K380">
        <f t="shared" si="22"/>
        <v>-1236</v>
      </c>
      <c r="L380">
        <f t="shared" si="23"/>
        <v>-1236</v>
      </c>
    </row>
    <row r="381" spans="1:12" x14ac:dyDescent="0.35">
      <c r="A381">
        <v>380</v>
      </c>
      <c r="B381" t="s">
        <v>11859</v>
      </c>
      <c r="C381" t="s">
        <v>11874</v>
      </c>
      <c r="D381" t="s">
        <v>11858</v>
      </c>
      <c r="E381" t="s">
        <v>679</v>
      </c>
      <c r="F381" t="s">
        <v>10886</v>
      </c>
      <c r="G381" t="s">
        <v>8297</v>
      </c>
      <c r="I381" t="str">
        <f t="shared" si="20"/>
        <v>1236</v>
      </c>
      <c r="J381" t="str">
        <f t="shared" si="21"/>
        <v>BC</v>
      </c>
      <c r="K381">
        <f t="shared" si="22"/>
        <v>-1236</v>
      </c>
      <c r="L381">
        <f t="shared" si="23"/>
        <v>-1236</v>
      </c>
    </row>
    <row r="382" spans="1:12" x14ac:dyDescent="0.35">
      <c r="A382">
        <v>381</v>
      </c>
      <c r="B382" t="s">
        <v>753</v>
      </c>
      <c r="C382" t="s">
        <v>11873</v>
      </c>
      <c r="D382" t="s">
        <v>754</v>
      </c>
      <c r="E382" t="s">
        <v>679</v>
      </c>
      <c r="F382" t="s">
        <v>10886</v>
      </c>
      <c r="G382" t="s">
        <v>8297</v>
      </c>
      <c r="I382" t="str">
        <f t="shared" si="20"/>
        <v>1236</v>
      </c>
      <c r="J382" t="str">
        <f t="shared" si="21"/>
        <v>BC</v>
      </c>
      <c r="K382">
        <f t="shared" si="22"/>
        <v>-1236</v>
      </c>
      <c r="L382">
        <f t="shared" si="23"/>
        <v>-1236</v>
      </c>
    </row>
    <row r="383" spans="1:12" x14ac:dyDescent="0.35">
      <c r="A383">
        <v>382</v>
      </c>
      <c r="B383" t="s">
        <v>755</v>
      </c>
      <c r="C383" t="s">
        <v>11870</v>
      </c>
      <c r="D383" t="s">
        <v>756</v>
      </c>
      <c r="E383" t="s">
        <v>679</v>
      </c>
      <c r="F383" t="s">
        <v>10886</v>
      </c>
      <c r="G383" t="s">
        <v>8297</v>
      </c>
      <c r="I383" t="str">
        <f t="shared" si="20"/>
        <v>1236</v>
      </c>
      <c r="J383" t="str">
        <f t="shared" si="21"/>
        <v>BC</v>
      </c>
      <c r="K383">
        <f t="shared" si="22"/>
        <v>-1236</v>
      </c>
      <c r="L383">
        <f t="shared" si="23"/>
        <v>-1236</v>
      </c>
    </row>
    <row r="384" spans="1:12" x14ac:dyDescent="0.35">
      <c r="A384">
        <v>383</v>
      </c>
      <c r="B384" t="s">
        <v>757</v>
      </c>
      <c r="C384" t="s">
        <v>11871</v>
      </c>
      <c r="D384" t="s">
        <v>11860</v>
      </c>
      <c r="E384" t="s">
        <v>679</v>
      </c>
      <c r="F384" t="s">
        <v>10886</v>
      </c>
      <c r="G384" t="s">
        <v>8297</v>
      </c>
      <c r="I384" t="str">
        <f t="shared" si="20"/>
        <v>1236</v>
      </c>
      <c r="J384" t="str">
        <f t="shared" si="21"/>
        <v>BC</v>
      </c>
      <c r="K384">
        <f t="shared" si="22"/>
        <v>-1236</v>
      </c>
      <c r="L384">
        <f t="shared" si="23"/>
        <v>-1236</v>
      </c>
    </row>
    <row r="385" spans="1:12" x14ac:dyDescent="0.35">
      <c r="A385">
        <v>384</v>
      </c>
      <c r="B385" t="s">
        <v>11861</v>
      </c>
      <c r="C385" t="s">
        <v>11872</v>
      </c>
      <c r="D385" t="s">
        <v>11862</v>
      </c>
      <c r="E385" t="s">
        <v>679</v>
      </c>
      <c r="F385" t="s">
        <v>10886</v>
      </c>
      <c r="G385" t="s">
        <v>8297</v>
      </c>
      <c r="I385" t="str">
        <f t="shared" si="20"/>
        <v>1236</v>
      </c>
      <c r="J385" t="str">
        <f t="shared" si="21"/>
        <v>BC</v>
      </c>
      <c r="K385">
        <f t="shared" si="22"/>
        <v>-1236</v>
      </c>
      <c r="L385">
        <f t="shared" si="23"/>
        <v>-1236</v>
      </c>
    </row>
    <row r="386" spans="1:12" x14ac:dyDescent="0.35">
      <c r="A386">
        <v>385</v>
      </c>
      <c r="B386" t="s">
        <v>758</v>
      </c>
      <c r="C386" t="s">
        <v>10071</v>
      </c>
      <c r="D386" t="s">
        <v>759</v>
      </c>
      <c r="E386" t="s">
        <v>679</v>
      </c>
      <c r="F386" t="s">
        <v>10886</v>
      </c>
      <c r="G386" t="s">
        <v>8297</v>
      </c>
      <c r="I386" t="str">
        <f t="shared" ref="I386:I447" si="24">SUBSTITUTE(SUBSTITUTE(SUBSTITUTE(F386,"c. ","")," BC","")," AD","")</f>
        <v>1236</v>
      </c>
      <c r="J386" t="str">
        <f t="shared" ref="J386:J449" si="25">RIGHT(F386, 2)</f>
        <v>BC</v>
      </c>
      <c r="K386">
        <f t="shared" ref="K386:K449" si="26">IF(J386="BC", 0-IF(ISERROR(FIND("-",I386)),I386,LEFT(I386,FIND("-",I386)-1)), IF(ISERROR(FIND("-",I386)),I386,LEFT(I386,FIND("-",I386)-1)))</f>
        <v>-1236</v>
      </c>
      <c r="L386">
        <f t="shared" ref="L386:L449" si="27">IF(J386="BC", 0-IF(ISERROR(FIND("-",I386)),I386,RIGHT(I386,FIND("-",I386)-1)), IF(ISERROR(FIND("-",I386)),I386,RIGHT(I386,FIND("-",I386)-1)))</f>
        <v>-1236</v>
      </c>
    </row>
    <row r="387" spans="1:12" x14ac:dyDescent="0.35">
      <c r="A387">
        <v>386</v>
      </c>
      <c r="B387" t="s">
        <v>760</v>
      </c>
      <c r="C387" t="s">
        <v>11213</v>
      </c>
      <c r="D387" t="s">
        <v>761</v>
      </c>
      <c r="E387" t="s">
        <v>679</v>
      </c>
      <c r="F387" t="s">
        <v>10886</v>
      </c>
      <c r="G387" t="s">
        <v>8297</v>
      </c>
      <c r="I387" t="str">
        <f t="shared" si="24"/>
        <v>1236</v>
      </c>
      <c r="J387" t="str">
        <f t="shared" si="25"/>
        <v>BC</v>
      </c>
      <c r="K387">
        <f t="shared" si="26"/>
        <v>-1236</v>
      </c>
      <c r="L387">
        <f t="shared" si="27"/>
        <v>-1236</v>
      </c>
    </row>
    <row r="388" spans="1:12" x14ac:dyDescent="0.35">
      <c r="A388">
        <v>387</v>
      </c>
      <c r="B388" t="s">
        <v>11877</v>
      </c>
      <c r="C388" t="s">
        <v>11876</v>
      </c>
      <c r="D388" t="s">
        <v>11878</v>
      </c>
      <c r="E388" t="s">
        <v>679</v>
      </c>
      <c r="F388" t="s">
        <v>10886</v>
      </c>
      <c r="G388" t="s">
        <v>8297</v>
      </c>
      <c r="I388" t="str">
        <f t="shared" si="24"/>
        <v>1236</v>
      </c>
      <c r="J388" t="str">
        <f t="shared" si="25"/>
        <v>BC</v>
      </c>
      <c r="K388">
        <f t="shared" si="26"/>
        <v>-1236</v>
      </c>
      <c r="L388">
        <f t="shared" si="27"/>
        <v>-1236</v>
      </c>
    </row>
    <row r="389" spans="1:12" x14ac:dyDescent="0.35">
      <c r="A389">
        <v>388</v>
      </c>
      <c r="B389" t="s">
        <v>11879</v>
      </c>
      <c r="C389" t="s">
        <v>11213</v>
      </c>
      <c r="D389" t="s">
        <v>11880</v>
      </c>
      <c r="E389" t="s">
        <v>679</v>
      </c>
      <c r="F389" t="s">
        <v>10886</v>
      </c>
      <c r="G389" t="s">
        <v>8297</v>
      </c>
      <c r="I389" t="str">
        <f t="shared" si="24"/>
        <v>1236</v>
      </c>
      <c r="J389" t="str">
        <f t="shared" si="25"/>
        <v>BC</v>
      </c>
      <c r="K389">
        <f t="shared" si="26"/>
        <v>-1236</v>
      </c>
      <c r="L389">
        <f t="shared" si="27"/>
        <v>-1236</v>
      </c>
    </row>
    <row r="390" spans="1:12" x14ac:dyDescent="0.35">
      <c r="A390">
        <v>389</v>
      </c>
      <c r="B390" t="s">
        <v>762</v>
      </c>
      <c r="C390" t="s">
        <v>11214</v>
      </c>
      <c r="D390" t="s">
        <v>763</v>
      </c>
      <c r="E390" t="s">
        <v>679</v>
      </c>
      <c r="F390" t="s">
        <v>10886</v>
      </c>
      <c r="G390" t="s">
        <v>8297</v>
      </c>
      <c r="I390" t="str">
        <f t="shared" si="24"/>
        <v>1236</v>
      </c>
      <c r="J390" t="str">
        <f t="shared" si="25"/>
        <v>BC</v>
      </c>
      <c r="K390">
        <f t="shared" si="26"/>
        <v>-1236</v>
      </c>
      <c r="L390">
        <f t="shared" si="27"/>
        <v>-1236</v>
      </c>
    </row>
    <row r="391" spans="1:12" x14ac:dyDescent="0.35">
      <c r="A391">
        <v>390</v>
      </c>
      <c r="B391" t="s">
        <v>764</v>
      </c>
      <c r="C391" t="s">
        <v>10072</v>
      </c>
      <c r="D391" t="s">
        <v>765</v>
      </c>
      <c r="E391" t="s">
        <v>679</v>
      </c>
      <c r="F391" t="s">
        <v>10886</v>
      </c>
      <c r="G391" t="s">
        <v>8297</v>
      </c>
      <c r="I391" t="str">
        <f t="shared" si="24"/>
        <v>1236</v>
      </c>
      <c r="J391" t="str">
        <f t="shared" si="25"/>
        <v>BC</v>
      </c>
      <c r="K391">
        <f t="shared" si="26"/>
        <v>-1236</v>
      </c>
      <c r="L391">
        <f t="shared" si="27"/>
        <v>-1236</v>
      </c>
    </row>
    <row r="392" spans="1:12" x14ac:dyDescent="0.35">
      <c r="A392">
        <v>391</v>
      </c>
      <c r="B392" t="s">
        <v>11881</v>
      </c>
      <c r="C392" t="s">
        <v>11876</v>
      </c>
      <c r="D392" t="s">
        <v>11882</v>
      </c>
      <c r="E392" t="s">
        <v>679</v>
      </c>
      <c r="F392" t="s">
        <v>10886</v>
      </c>
      <c r="G392" t="s">
        <v>8297</v>
      </c>
      <c r="I392" t="str">
        <f t="shared" si="24"/>
        <v>1236</v>
      </c>
      <c r="J392" t="str">
        <f t="shared" si="25"/>
        <v>BC</v>
      </c>
      <c r="K392">
        <f t="shared" si="26"/>
        <v>-1236</v>
      </c>
      <c r="L392">
        <f t="shared" si="27"/>
        <v>-1236</v>
      </c>
    </row>
    <row r="393" spans="1:12" x14ac:dyDescent="0.35">
      <c r="A393">
        <v>392</v>
      </c>
      <c r="B393" t="s">
        <v>766</v>
      </c>
      <c r="C393" t="s">
        <v>10068</v>
      </c>
      <c r="D393" t="s">
        <v>767</v>
      </c>
      <c r="E393" t="s">
        <v>679</v>
      </c>
      <c r="F393" t="s">
        <v>10886</v>
      </c>
      <c r="G393" t="s">
        <v>8297</v>
      </c>
      <c r="I393" t="str">
        <f t="shared" si="24"/>
        <v>1236</v>
      </c>
      <c r="J393" t="str">
        <f t="shared" si="25"/>
        <v>BC</v>
      </c>
      <c r="K393">
        <f t="shared" si="26"/>
        <v>-1236</v>
      </c>
      <c r="L393">
        <f t="shared" si="27"/>
        <v>-1236</v>
      </c>
    </row>
    <row r="394" spans="1:12" x14ac:dyDescent="0.35">
      <c r="A394">
        <v>393</v>
      </c>
      <c r="B394" t="s">
        <v>11883</v>
      </c>
      <c r="C394" t="s">
        <v>11466</v>
      </c>
      <c r="D394" t="s">
        <v>11884</v>
      </c>
      <c r="E394" t="s">
        <v>679</v>
      </c>
      <c r="F394" t="s">
        <v>10886</v>
      </c>
      <c r="G394" t="s">
        <v>8297</v>
      </c>
      <c r="I394" t="str">
        <f t="shared" si="24"/>
        <v>1236</v>
      </c>
      <c r="J394" t="str">
        <f t="shared" si="25"/>
        <v>BC</v>
      </c>
      <c r="K394">
        <f t="shared" si="26"/>
        <v>-1236</v>
      </c>
      <c r="L394">
        <f t="shared" si="27"/>
        <v>-1236</v>
      </c>
    </row>
    <row r="395" spans="1:12" x14ac:dyDescent="0.35">
      <c r="A395">
        <v>394</v>
      </c>
      <c r="B395" t="s">
        <v>768</v>
      </c>
      <c r="C395" t="s">
        <v>11213</v>
      </c>
      <c r="D395" t="s">
        <v>769</v>
      </c>
      <c r="E395" t="s">
        <v>679</v>
      </c>
      <c r="F395" t="s">
        <v>10886</v>
      </c>
      <c r="G395" t="s">
        <v>8297</v>
      </c>
      <c r="I395" t="str">
        <f t="shared" si="24"/>
        <v>1236</v>
      </c>
      <c r="J395" t="str">
        <f t="shared" si="25"/>
        <v>BC</v>
      </c>
      <c r="K395">
        <f t="shared" si="26"/>
        <v>-1236</v>
      </c>
      <c r="L395">
        <f t="shared" si="27"/>
        <v>-1236</v>
      </c>
    </row>
    <row r="396" spans="1:12" x14ac:dyDescent="0.35">
      <c r="A396">
        <v>395</v>
      </c>
      <c r="B396" t="s">
        <v>770</v>
      </c>
      <c r="C396" t="s">
        <v>12713</v>
      </c>
      <c r="D396" t="s">
        <v>771</v>
      </c>
      <c r="E396" t="s">
        <v>679</v>
      </c>
      <c r="F396" t="s">
        <v>10886</v>
      </c>
      <c r="G396" t="s">
        <v>8297</v>
      </c>
      <c r="I396" t="str">
        <f t="shared" si="24"/>
        <v>1236</v>
      </c>
      <c r="J396" t="str">
        <f t="shared" si="25"/>
        <v>BC</v>
      </c>
      <c r="K396">
        <f t="shared" si="26"/>
        <v>-1236</v>
      </c>
      <c r="L396">
        <f t="shared" si="27"/>
        <v>-1236</v>
      </c>
    </row>
    <row r="397" spans="1:12" x14ac:dyDescent="0.35">
      <c r="A397">
        <v>396</v>
      </c>
      <c r="B397" t="s">
        <v>772</v>
      </c>
      <c r="C397" t="s">
        <v>12712</v>
      </c>
      <c r="D397" t="s">
        <v>773</v>
      </c>
      <c r="E397" t="s">
        <v>679</v>
      </c>
      <c r="F397" t="s">
        <v>10886</v>
      </c>
      <c r="G397" t="s">
        <v>8297</v>
      </c>
      <c r="I397" t="str">
        <f t="shared" si="24"/>
        <v>1236</v>
      </c>
      <c r="J397" t="str">
        <f t="shared" si="25"/>
        <v>BC</v>
      </c>
      <c r="K397">
        <f t="shared" si="26"/>
        <v>-1236</v>
      </c>
      <c r="L397">
        <f t="shared" si="27"/>
        <v>-1236</v>
      </c>
    </row>
    <row r="398" spans="1:12" x14ac:dyDescent="0.35">
      <c r="A398">
        <v>397</v>
      </c>
      <c r="B398" t="s">
        <v>11885</v>
      </c>
      <c r="C398" t="s">
        <v>11886</v>
      </c>
      <c r="D398" t="s">
        <v>774</v>
      </c>
      <c r="E398" t="s">
        <v>679</v>
      </c>
      <c r="F398" t="s">
        <v>10886</v>
      </c>
      <c r="G398" t="s">
        <v>8297</v>
      </c>
      <c r="I398" t="str">
        <f t="shared" si="24"/>
        <v>1236</v>
      </c>
      <c r="J398" t="str">
        <f t="shared" si="25"/>
        <v>BC</v>
      </c>
      <c r="K398">
        <f t="shared" si="26"/>
        <v>-1236</v>
      </c>
      <c r="L398">
        <f t="shared" si="27"/>
        <v>-1236</v>
      </c>
    </row>
    <row r="399" spans="1:12" x14ac:dyDescent="0.35">
      <c r="A399">
        <v>398</v>
      </c>
      <c r="B399" t="s">
        <v>775</v>
      </c>
      <c r="C399" t="s">
        <v>11870</v>
      </c>
      <c r="D399" t="s">
        <v>776</v>
      </c>
      <c r="E399" t="s">
        <v>679</v>
      </c>
      <c r="F399" t="s">
        <v>10886</v>
      </c>
      <c r="G399" t="s">
        <v>8297</v>
      </c>
      <c r="I399" t="str">
        <f t="shared" si="24"/>
        <v>1236</v>
      </c>
      <c r="J399" t="str">
        <f t="shared" si="25"/>
        <v>BC</v>
      </c>
      <c r="K399">
        <f t="shared" si="26"/>
        <v>-1236</v>
      </c>
      <c r="L399">
        <f t="shared" si="27"/>
        <v>-1236</v>
      </c>
    </row>
    <row r="400" spans="1:12" x14ac:dyDescent="0.35">
      <c r="A400">
        <v>399</v>
      </c>
      <c r="B400" t="s">
        <v>777</v>
      </c>
      <c r="C400" t="s">
        <v>11870</v>
      </c>
      <c r="D400" t="s">
        <v>778</v>
      </c>
      <c r="E400" t="s">
        <v>679</v>
      </c>
      <c r="F400" t="s">
        <v>10886</v>
      </c>
      <c r="G400" t="s">
        <v>8297</v>
      </c>
      <c r="I400" t="str">
        <f t="shared" si="24"/>
        <v>1236</v>
      </c>
      <c r="J400" t="str">
        <f t="shared" si="25"/>
        <v>BC</v>
      </c>
      <c r="K400">
        <f t="shared" si="26"/>
        <v>-1236</v>
      </c>
      <c r="L400">
        <f t="shared" si="27"/>
        <v>-1236</v>
      </c>
    </row>
    <row r="401" spans="1:12" x14ac:dyDescent="0.35">
      <c r="A401">
        <v>400</v>
      </c>
      <c r="B401" t="s">
        <v>779</v>
      </c>
      <c r="C401" t="s">
        <v>11869</v>
      </c>
      <c r="D401" t="s">
        <v>780</v>
      </c>
      <c r="E401" t="s">
        <v>679</v>
      </c>
      <c r="F401" t="s">
        <v>10886</v>
      </c>
      <c r="G401" t="s">
        <v>8297</v>
      </c>
      <c r="I401" t="str">
        <f t="shared" si="24"/>
        <v>1236</v>
      </c>
      <c r="J401" t="str">
        <f t="shared" si="25"/>
        <v>BC</v>
      </c>
      <c r="K401">
        <f t="shared" si="26"/>
        <v>-1236</v>
      </c>
      <c r="L401">
        <f t="shared" si="27"/>
        <v>-1236</v>
      </c>
    </row>
    <row r="402" spans="1:12" x14ac:dyDescent="0.35">
      <c r="A402">
        <v>401</v>
      </c>
      <c r="B402" t="s">
        <v>781</v>
      </c>
      <c r="C402" t="s">
        <v>11891</v>
      </c>
      <c r="D402" t="s">
        <v>782</v>
      </c>
      <c r="E402" t="s">
        <v>679</v>
      </c>
      <c r="F402" t="s">
        <v>10886</v>
      </c>
      <c r="G402" t="s">
        <v>8297</v>
      </c>
      <c r="I402" t="str">
        <f t="shared" si="24"/>
        <v>1236</v>
      </c>
      <c r="J402" t="str">
        <f t="shared" si="25"/>
        <v>BC</v>
      </c>
      <c r="K402">
        <f t="shared" si="26"/>
        <v>-1236</v>
      </c>
      <c r="L402">
        <f t="shared" si="27"/>
        <v>-1236</v>
      </c>
    </row>
    <row r="403" spans="1:12" x14ac:dyDescent="0.35">
      <c r="A403">
        <v>402</v>
      </c>
      <c r="B403" t="s">
        <v>783</v>
      </c>
      <c r="C403" t="s">
        <v>12714</v>
      </c>
      <c r="D403" t="s">
        <v>784</v>
      </c>
      <c r="E403" t="s">
        <v>679</v>
      </c>
      <c r="F403" t="s">
        <v>10886</v>
      </c>
      <c r="G403" t="s">
        <v>12505</v>
      </c>
      <c r="I403" t="str">
        <f t="shared" si="24"/>
        <v>1236</v>
      </c>
      <c r="J403" t="str">
        <f t="shared" si="25"/>
        <v>BC</v>
      </c>
      <c r="K403">
        <f t="shared" si="26"/>
        <v>-1236</v>
      </c>
      <c r="L403">
        <f t="shared" si="27"/>
        <v>-1236</v>
      </c>
    </row>
    <row r="404" spans="1:12" x14ac:dyDescent="0.35">
      <c r="A404">
        <v>403</v>
      </c>
      <c r="B404" t="s">
        <v>464</v>
      </c>
      <c r="C404" t="s">
        <v>12715</v>
      </c>
      <c r="D404" t="s">
        <v>785</v>
      </c>
      <c r="E404" t="s">
        <v>679</v>
      </c>
      <c r="F404" t="s">
        <v>10886</v>
      </c>
      <c r="G404" t="s">
        <v>8297</v>
      </c>
      <c r="I404" t="str">
        <f t="shared" si="24"/>
        <v>1236</v>
      </c>
      <c r="J404" t="str">
        <f t="shared" si="25"/>
        <v>BC</v>
      </c>
      <c r="K404">
        <f t="shared" si="26"/>
        <v>-1236</v>
      </c>
      <c r="L404">
        <f t="shared" si="27"/>
        <v>-1236</v>
      </c>
    </row>
    <row r="405" spans="1:12" x14ac:dyDescent="0.35">
      <c r="A405">
        <v>404</v>
      </c>
      <c r="B405" t="s">
        <v>467</v>
      </c>
      <c r="C405" t="s">
        <v>12714</v>
      </c>
      <c r="D405" t="s">
        <v>786</v>
      </c>
      <c r="E405" t="s">
        <v>679</v>
      </c>
      <c r="F405" t="s">
        <v>10886</v>
      </c>
      <c r="G405" t="s">
        <v>8297</v>
      </c>
      <c r="I405" t="str">
        <f t="shared" si="24"/>
        <v>1236</v>
      </c>
      <c r="J405" t="str">
        <f t="shared" si="25"/>
        <v>BC</v>
      </c>
      <c r="K405">
        <f t="shared" si="26"/>
        <v>-1236</v>
      </c>
      <c r="L405">
        <f t="shared" si="27"/>
        <v>-1236</v>
      </c>
    </row>
    <row r="406" spans="1:12" x14ac:dyDescent="0.35">
      <c r="A406">
        <v>405</v>
      </c>
      <c r="B406" t="s">
        <v>11887</v>
      </c>
      <c r="C406" t="s">
        <v>10038</v>
      </c>
      <c r="D406" t="s">
        <v>41</v>
      </c>
      <c r="E406" t="s">
        <v>679</v>
      </c>
      <c r="F406" t="s">
        <v>10886</v>
      </c>
      <c r="G406" t="s">
        <v>8297</v>
      </c>
      <c r="I406" t="str">
        <f t="shared" si="24"/>
        <v>1236</v>
      </c>
      <c r="J406" t="str">
        <f t="shared" si="25"/>
        <v>BC</v>
      </c>
      <c r="K406">
        <f t="shared" si="26"/>
        <v>-1236</v>
      </c>
      <c r="L406">
        <f t="shared" si="27"/>
        <v>-1236</v>
      </c>
    </row>
    <row r="407" spans="1:12" x14ac:dyDescent="0.35">
      <c r="A407">
        <v>406</v>
      </c>
      <c r="B407" t="s">
        <v>11892</v>
      </c>
      <c r="C407" t="s">
        <v>11869</v>
      </c>
      <c r="D407" t="s">
        <v>11888</v>
      </c>
      <c r="E407" t="s">
        <v>679</v>
      </c>
      <c r="F407" t="s">
        <v>10886</v>
      </c>
      <c r="G407" t="s">
        <v>8297</v>
      </c>
      <c r="I407" t="str">
        <f t="shared" si="24"/>
        <v>1236</v>
      </c>
      <c r="J407" t="str">
        <f t="shared" si="25"/>
        <v>BC</v>
      </c>
      <c r="K407">
        <f t="shared" si="26"/>
        <v>-1236</v>
      </c>
      <c r="L407">
        <f t="shared" si="27"/>
        <v>-1236</v>
      </c>
    </row>
    <row r="408" spans="1:12" x14ac:dyDescent="0.35">
      <c r="A408">
        <v>407</v>
      </c>
      <c r="B408" t="s">
        <v>787</v>
      </c>
      <c r="C408" t="s">
        <v>10073</v>
      </c>
      <c r="D408" t="s">
        <v>788</v>
      </c>
      <c r="E408" t="s">
        <v>679</v>
      </c>
      <c r="F408" t="s">
        <v>10886</v>
      </c>
      <c r="G408" t="s">
        <v>8297</v>
      </c>
      <c r="I408" t="str">
        <f t="shared" si="24"/>
        <v>1236</v>
      </c>
      <c r="J408" t="str">
        <f t="shared" si="25"/>
        <v>BC</v>
      </c>
      <c r="K408">
        <f t="shared" si="26"/>
        <v>-1236</v>
      </c>
      <c r="L408">
        <f t="shared" si="27"/>
        <v>-1236</v>
      </c>
    </row>
    <row r="409" spans="1:12" x14ac:dyDescent="0.35">
      <c r="A409">
        <v>408</v>
      </c>
      <c r="B409" t="s">
        <v>789</v>
      </c>
      <c r="C409" t="s">
        <v>10070</v>
      </c>
      <c r="D409" t="s">
        <v>790</v>
      </c>
      <c r="E409" t="s">
        <v>679</v>
      </c>
      <c r="F409" t="s">
        <v>10886</v>
      </c>
      <c r="G409" t="s">
        <v>8297</v>
      </c>
      <c r="I409" t="str">
        <f t="shared" si="24"/>
        <v>1236</v>
      </c>
      <c r="J409" t="str">
        <f t="shared" si="25"/>
        <v>BC</v>
      </c>
      <c r="K409">
        <f t="shared" si="26"/>
        <v>-1236</v>
      </c>
      <c r="L409">
        <f t="shared" si="27"/>
        <v>-1236</v>
      </c>
    </row>
    <row r="410" spans="1:12" x14ac:dyDescent="0.35">
      <c r="A410">
        <v>409</v>
      </c>
      <c r="B410" t="s">
        <v>791</v>
      </c>
      <c r="C410" t="s">
        <v>11889</v>
      </c>
      <c r="D410" t="s">
        <v>792</v>
      </c>
      <c r="E410" t="s">
        <v>679</v>
      </c>
      <c r="F410" t="s">
        <v>10886</v>
      </c>
      <c r="G410" t="s">
        <v>112</v>
      </c>
      <c r="I410" t="str">
        <f t="shared" si="24"/>
        <v>1236</v>
      </c>
      <c r="J410" t="str">
        <f t="shared" si="25"/>
        <v>BC</v>
      </c>
      <c r="K410">
        <f t="shared" si="26"/>
        <v>-1236</v>
      </c>
      <c r="L410">
        <f t="shared" si="27"/>
        <v>-1236</v>
      </c>
    </row>
    <row r="411" spans="1:12" x14ac:dyDescent="0.35">
      <c r="A411">
        <v>410</v>
      </c>
      <c r="B411" t="s">
        <v>793</v>
      </c>
      <c r="C411" t="s">
        <v>11893</v>
      </c>
      <c r="D411" t="s">
        <v>794</v>
      </c>
      <c r="E411" t="s">
        <v>795</v>
      </c>
      <c r="F411" t="s">
        <v>10886</v>
      </c>
      <c r="G411" t="s">
        <v>112</v>
      </c>
      <c r="I411" t="str">
        <f t="shared" si="24"/>
        <v>1236</v>
      </c>
      <c r="J411" t="str">
        <f t="shared" si="25"/>
        <v>BC</v>
      </c>
      <c r="K411">
        <f t="shared" si="26"/>
        <v>-1236</v>
      </c>
      <c r="L411">
        <f t="shared" si="27"/>
        <v>-1236</v>
      </c>
    </row>
    <row r="412" spans="1:12" x14ac:dyDescent="0.35">
      <c r="A412">
        <v>411</v>
      </c>
      <c r="B412" t="s">
        <v>796</v>
      </c>
      <c r="C412" t="s">
        <v>9484</v>
      </c>
      <c r="D412" t="s">
        <v>797</v>
      </c>
      <c r="E412" t="s">
        <v>411</v>
      </c>
      <c r="F412" t="s">
        <v>10886</v>
      </c>
      <c r="G412" t="s">
        <v>112</v>
      </c>
      <c r="I412" t="str">
        <f t="shared" si="24"/>
        <v>1236</v>
      </c>
      <c r="J412" t="str">
        <f t="shared" si="25"/>
        <v>BC</v>
      </c>
      <c r="K412">
        <f t="shared" si="26"/>
        <v>-1236</v>
      </c>
      <c r="L412">
        <f t="shared" si="27"/>
        <v>-1236</v>
      </c>
    </row>
    <row r="413" spans="1:12" x14ac:dyDescent="0.35">
      <c r="A413">
        <v>412</v>
      </c>
      <c r="B413" t="s">
        <v>798</v>
      </c>
      <c r="C413" t="s">
        <v>11894</v>
      </c>
      <c r="D413" t="s">
        <v>11890</v>
      </c>
      <c r="E413" t="s">
        <v>679</v>
      </c>
      <c r="F413" t="s">
        <v>10886</v>
      </c>
      <c r="G413" t="s">
        <v>112</v>
      </c>
      <c r="I413" t="str">
        <f t="shared" si="24"/>
        <v>1236</v>
      </c>
      <c r="J413" t="str">
        <f t="shared" si="25"/>
        <v>BC</v>
      </c>
      <c r="K413">
        <f t="shared" si="26"/>
        <v>-1236</v>
      </c>
      <c r="L413">
        <f t="shared" si="27"/>
        <v>-1236</v>
      </c>
    </row>
    <row r="414" spans="1:12" x14ac:dyDescent="0.35">
      <c r="A414">
        <v>413</v>
      </c>
      <c r="B414" t="s">
        <v>799</v>
      </c>
      <c r="C414" t="s">
        <v>9708</v>
      </c>
      <c r="D414" t="s">
        <v>800</v>
      </c>
      <c r="E414" t="s">
        <v>679</v>
      </c>
      <c r="F414" t="s">
        <v>10886</v>
      </c>
      <c r="G414" t="s">
        <v>112</v>
      </c>
      <c r="I414" t="str">
        <f t="shared" si="24"/>
        <v>1236</v>
      </c>
      <c r="J414" t="str">
        <f t="shared" si="25"/>
        <v>BC</v>
      </c>
      <c r="K414">
        <f t="shared" si="26"/>
        <v>-1236</v>
      </c>
      <c r="L414">
        <f t="shared" si="27"/>
        <v>-1236</v>
      </c>
    </row>
    <row r="415" spans="1:12" x14ac:dyDescent="0.35">
      <c r="A415">
        <v>414</v>
      </c>
      <c r="B415" t="s">
        <v>801</v>
      </c>
      <c r="C415" t="s">
        <v>10074</v>
      </c>
      <c r="D415" t="s">
        <v>802</v>
      </c>
      <c r="E415" t="s">
        <v>679</v>
      </c>
      <c r="F415" t="s">
        <v>10886</v>
      </c>
      <c r="G415" t="s">
        <v>8297</v>
      </c>
      <c r="I415" t="str">
        <f t="shared" si="24"/>
        <v>1236</v>
      </c>
      <c r="J415" t="str">
        <f t="shared" si="25"/>
        <v>BC</v>
      </c>
      <c r="K415">
        <f t="shared" si="26"/>
        <v>-1236</v>
      </c>
      <c r="L415">
        <f t="shared" si="27"/>
        <v>-1236</v>
      </c>
    </row>
    <row r="416" spans="1:12" x14ac:dyDescent="0.35">
      <c r="A416">
        <v>415</v>
      </c>
      <c r="B416" t="s">
        <v>803</v>
      </c>
      <c r="C416" t="s">
        <v>10589</v>
      </c>
      <c r="D416" t="s">
        <v>804</v>
      </c>
      <c r="E416" t="s">
        <v>679</v>
      </c>
      <c r="F416" t="s">
        <v>10886</v>
      </c>
      <c r="G416" t="s">
        <v>112</v>
      </c>
      <c r="I416" t="str">
        <f t="shared" si="24"/>
        <v>1236</v>
      </c>
      <c r="J416" t="str">
        <f t="shared" si="25"/>
        <v>BC</v>
      </c>
      <c r="K416">
        <f t="shared" si="26"/>
        <v>-1236</v>
      </c>
      <c r="L416">
        <f t="shared" si="27"/>
        <v>-1236</v>
      </c>
    </row>
    <row r="417" spans="1:13" x14ac:dyDescent="0.35">
      <c r="A417">
        <v>416</v>
      </c>
      <c r="B417" t="s">
        <v>805</v>
      </c>
      <c r="C417" t="s">
        <v>10066</v>
      </c>
      <c r="D417" t="s">
        <v>806</v>
      </c>
      <c r="E417" t="s">
        <v>679</v>
      </c>
      <c r="F417" t="s">
        <v>10886</v>
      </c>
      <c r="G417" t="s">
        <v>8297</v>
      </c>
      <c r="I417" t="str">
        <f t="shared" si="24"/>
        <v>1236</v>
      </c>
      <c r="J417" t="str">
        <f t="shared" si="25"/>
        <v>BC</v>
      </c>
      <c r="K417">
        <f t="shared" si="26"/>
        <v>-1236</v>
      </c>
      <c r="L417">
        <f t="shared" si="27"/>
        <v>-1236</v>
      </c>
    </row>
    <row r="418" spans="1:13" x14ac:dyDescent="0.35">
      <c r="A418">
        <v>417</v>
      </c>
      <c r="B418" t="s">
        <v>807</v>
      </c>
      <c r="C418" t="s">
        <v>11216</v>
      </c>
      <c r="D418" t="s">
        <v>808</v>
      </c>
      <c r="E418" t="s">
        <v>809</v>
      </c>
      <c r="F418" t="s">
        <v>10886</v>
      </c>
      <c r="G418" t="s">
        <v>112</v>
      </c>
      <c r="I418" t="str">
        <f t="shared" si="24"/>
        <v>1236</v>
      </c>
      <c r="J418" t="str">
        <f t="shared" si="25"/>
        <v>BC</v>
      </c>
      <c r="K418">
        <f t="shared" si="26"/>
        <v>-1236</v>
      </c>
      <c r="L418">
        <f t="shared" si="27"/>
        <v>-1236</v>
      </c>
    </row>
    <row r="419" spans="1:13" x14ac:dyDescent="0.35">
      <c r="A419">
        <v>418</v>
      </c>
      <c r="B419" t="s">
        <v>810</v>
      </c>
      <c r="C419" t="s">
        <v>9404</v>
      </c>
      <c r="D419" t="s">
        <v>811</v>
      </c>
      <c r="E419" t="s">
        <v>812</v>
      </c>
      <c r="F419" t="s">
        <v>10886</v>
      </c>
      <c r="G419" t="s">
        <v>112</v>
      </c>
      <c r="H419" t="s">
        <v>12186</v>
      </c>
      <c r="I419" t="str">
        <f t="shared" si="24"/>
        <v>1236</v>
      </c>
      <c r="J419" t="str">
        <f t="shared" si="25"/>
        <v>BC</v>
      </c>
      <c r="K419">
        <f t="shared" si="26"/>
        <v>-1236</v>
      </c>
      <c r="L419">
        <f t="shared" si="27"/>
        <v>-1236</v>
      </c>
    </row>
    <row r="420" spans="1:13" x14ac:dyDescent="0.35">
      <c r="A420">
        <v>419</v>
      </c>
      <c r="B420" t="s">
        <v>813</v>
      </c>
      <c r="C420" t="s">
        <v>10667</v>
      </c>
      <c r="D420" t="s">
        <v>814</v>
      </c>
      <c r="E420" t="s">
        <v>809</v>
      </c>
      <c r="F420" t="s">
        <v>10886</v>
      </c>
      <c r="G420" t="s">
        <v>112</v>
      </c>
      <c r="I420" t="str">
        <f t="shared" si="24"/>
        <v>1236</v>
      </c>
      <c r="J420" t="str">
        <f t="shared" si="25"/>
        <v>BC</v>
      </c>
      <c r="K420">
        <f t="shared" si="26"/>
        <v>-1236</v>
      </c>
      <c r="L420">
        <f t="shared" si="27"/>
        <v>-1236</v>
      </c>
    </row>
    <row r="421" spans="1:13" x14ac:dyDescent="0.35">
      <c r="A421">
        <v>420</v>
      </c>
      <c r="B421" t="s">
        <v>854</v>
      </c>
      <c r="C421" t="s">
        <v>11215</v>
      </c>
      <c r="D421" t="s">
        <v>855</v>
      </c>
      <c r="E421" t="s">
        <v>856</v>
      </c>
      <c r="F421" t="s">
        <v>10886</v>
      </c>
      <c r="G421" t="s">
        <v>112</v>
      </c>
      <c r="I421" t="str">
        <f t="shared" si="24"/>
        <v>1236</v>
      </c>
      <c r="J421" t="str">
        <f t="shared" si="25"/>
        <v>BC</v>
      </c>
      <c r="K421">
        <f t="shared" si="26"/>
        <v>-1236</v>
      </c>
      <c r="L421">
        <f t="shared" si="27"/>
        <v>-1236</v>
      </c>
    </row>
    <row r="422" spans="1:13" x14ac:dyDescent="0.35">
      <c r="A422">
        <v>421</v>
      </c>
      <c r="B422" t="s">
        <v>857</v>
      </c>
      <c r="C422" t="s">
        <v>11217</v>
      </c>
      <c r="D422" t="s">
        <v>858</v>
      </c>
      <c r="E422" t="s">
        <v>679</v>
      </c>
      <c r="F422" t="s">
        <v>10886</v>
      </c>
      <c r="G422" t="s">
        <v>112</v>
      </c>
      <c r="I422" t="str">
        <f t="shared" si="24"/>
        <v>1236</v>
      </c>
      <c r="J422" t="str">
        <f t="shared" si="25"/>
        <v>BC</v>
      </c>
      <c r="K422">
        <f t="shared" si="26"/>
        <v>-1236</v>
      </c>
      <c r="L422">
        <f t="shared" si="27"/>
        <v>-1236</v>
      </c>
    </row>
    <row r="423" spans="1:13" x14ac:dyDescent="0.35">
      <c r="A423">
        <v>422</v>
      </c>
      <c r="B423" t="s">
        <v>859</v>
      </c>
      <c r="C423" t="s">
        <v>11218</v>
      </c>
      <c r="D423" t="s">
        <v>860</v>
      </c>
      <c r="E423" t="s">
        <v>679</v>
      </c>
      <c r="F423" t="s">
        <v>10886</v>
      </c>
      <c r="G423" t="s">
        <v>112</v>
      </c>
      <c r="I423" t="str">
        <f t="shared" si="24"/>
        <v>1236</v>
      </c>
      <c r="J423" t="str">
        <f t="shared" si="25"/>
        <v>BC</v>
      </c>
      <c r="K423">
        <f t="shared" si="26"/>
        <v>-1236</v>
      </c>
      <c r="L423">
        <f t="shared" si="27"/>
        <v>-1236</v>
      </c>
    </row>
    <row r="424" spans="1:13" x14ac:dyDescent="0.35">
      <c r="A424">
        <v>423</v>
      </c>
      <c r="B424" t="s">
        <v>861</v>
      </c>
      <c r="C424" t="s">
        <v>11219</v>
      </c>
      <c r="D424" t="s">
        <v>862</v>
      </c>
      <c r="E424" t="s">
        <v>679</v>
      </c>
      <c r="F424" t="s">
        <v>10886</v>
      </c>
      <c r="G424" t="s">
        <v>112</v>
      </c>
      <c r="I424" t="str">
        <f t="shared" si="24"/>
        <v>1236</v>
      </c>
      <c r="J424" t="str">
        <f t="shared" si="25"/>
        <v>BC</v>
      </c>
      <c r="K424">
        <f t="shared" si="26"/>
        <v>-1236</v>
      </c>
      <c r="L424">
        <f t="shared" si="27"/>
        <v>-1236</v>
      </c>
    </row>
    <row r="425" spans="1:13" x14ac:dyDescent="0.35">
      <c r="A425">
        <v>424</v>
      </c>
      <c r="B425" t="s">
        <v>863</v>
      </c>
      <c r="C425" t="s">
        <v>10040</v>
      </c>
      <c r="D425" t="s">
        <v>864</v>
      </c>
      <c r="E425" t="s">
        <v>865</v>
      </c>
      <c r="F425" t="s">
        <v>10886</v>
      </c>
      <c r="G425" t="s">
        <v>866</v>
      </c>
      <c r="I425" t="str">
        <f t="shared" si="24"/>
        <v>1236</v>
      </c>
      <c r="J425" t="str">
        <f t="shared" si="25"/>
        <v>BC</v>
      </c>
      <c r="K425">
        <f t="shared" si="26"/>
        <v>-1236</v>
      </c>
      <c r="L425">
        <f t="shared" si="27"/>
        <v>-1236</v>
      </c>
    </row>
    <row r="426" spans="1:13" x14ac:dyDescent="0.35">
      <c r="A426">
        <v>425</v>
      </c>
      <c r="B426" t="s">
        <v>867</v>
      </c>
      <c r="C426" t="s">
        <v>10075</v>
      </c>
      <c r="D426" t="s">
        <v>868</v>
      </c>
      <c r="E426" t="s">
        <v>865</v>
      </c>
      <c r="F426" t="s">
        <v>10886</v>
      </c>
      <c r="G426" t="s">
        <v>866</v>
      </c>
      <c r="I426" t="str">
        <f t="shared" si="24"/>
        <v>1236</v>
      </c>
      <c r="J426" t="str">
        <f t="shared" si="25"/>
        <v>BC</v>
      </c>
      <c r="K426">
        <f t="shared" si="26"/>
        <v>-1236</v>
      </c>
      <c r="L426">
        <f t="shared" si="27"/>
        <v>-1236</v>
      </c>
    </row>
    <row r="427" spans="1:13" x14ac:dyDescent="0.35">
      <c r="A427">
        <v>426</v>
      </c>
      <c r="B427" t="s">
        <v>869</v>
      </c>
      <c r="C427" t="s">
        <v>10076</v>
      </c>
      <c r="D427" t="s">
        <v>870</v>
      </c>
      <c r="E427" t="s">
        <v>871</v>
      </c>
      <c r="F427" t="s">
        <v>10886</v>
      </c>
      <c r="G427" t="s">
        <v>112</v>
      </c>
      <c r="I427" t="str">
        <f t="shared" si="24"/>
        <v>1236</v>
      </c>
      <c r="J427" t="str">
        <f t="shared" si="25"/>
        <v>BC</v>
      </c>
      <c r="K427">
        <f t="shared" si="26"/>
        <v>-1236</v>
      </c>
      <c r="L427">
        <f t="shared" si="27"/>
        <v>-1236</v>
      </c>
    </row>
    <row r="428" spans="1:13" x14ac:dyDescent="0.35">
      <c r="A428">
        <v>427</v>
      </c>
      <c r="B428" t="s">
        <v>872</v>
      </c>
      <c r="C428" t="s">
        <v>11176</v>
      </c>
      <c r="D428" t="s">
        <v>873</v>
      </c>
      <c r="E428" t="s">
        <v>874</v>
      </c>
      <c r="F428" t="s">
        <v>10886</v>
      </c>
      <c r="G428" t="s">
        <v>112</v>
      </c>
      <c r="I428" t="str">
        <f t="shared" si="24"/>
        <v>1236</v>
      </c>
      <c r="J428" t="str">
        <f t="shared" si="25"/>
        <v>BC</v>
      </c>
      <c r="K428">
        <f t="shared" si="26"/>
        <v>-1236</v>
      </c>
      <c r="L428">
        <f t="shared" si="27"/>
        <v>-1236</v>
      </c>
    </row>
    <row r="429" spans="1:13" x14ac:dyDescent="0.35">
      <c r="A429">
        <v>428</v>
      </c>
      <c r="B429" t="s">
        <v>875</v>
      </c>
      <c r="C429" t="s">
        <v>11220</v>
      </c>
      <c r="D429" t="s">
        <v>876</v>
      </c>
      <c r="E429" t="s">
        <v>874</v>
      </c>
      <c r="F429" t="s">
        <v>10886</v>
      </c>
      <c r="G429" t="s">
        <v>112</v>
      </c>
      <c r="I429" t="str">
        <f t="shared" si="24"/>
        <v>1236</v>
      </c>
      <c r="J429" t="str">
        <f t="shared" si="25"/>
        <v>BC</v>
      </c>
      <c r="K429">
        <f t="shared" si="26"/>
        <v>-1236</v>
      </c>
      <c r="L429">
        <f t="shared" si="27"/>
        <v>-1236</v>
      </c>
    </row>
    <row r="430" spans="1:13" x14ac:dyDescent="0.35">
      <c r="A430">
        <v>429</v>
      </c>
      <c r="B430" t="s">
        <v>877</v>
      </c>
      <c r="C430" t="s">
        <v>11176</v>
      </c>
      <c r="D430" t="s">
        <v>878</v>
      </c>
      <c r="E430" t="s">
        <v>874</v>
      </c>
      <c r="F430" t="s">
        <v>10886</v>
      </c>
      <c r="G430" t="s">
        <v>112</v>
      </c>
      <c r="I430" t="str">
        <f t="shared" si="24"/>
        <v>1236</v>
      </c>
      <c r="J430" t="str">
        <f t="shared" si="25"/>
        <v>BC</v>
      </c>
      <c r="K430">
        <f t="shared" si="26"/>
        <v>-1236</v>
      </c>
      <c r="L430">
        <f t="shared" si="27"/>
        <v>-1236</v>
      </c>
    </row>
    <row r="431" spans="1:13" x14ac:dyDescent="0.35">
      <c r="A431">
        <v>430</v>
      </c>
      <c r="B431" t="s">
        <v>879</v>
      </c>
      <c r="C431" t="s">
        <v>10754</v>
      </c>
      <c r="D431" t="s">
        <v>880</v>
      </c>
      <c r="E431" t="s">
        <v>881</v>
      </c>
      <c r="F431" t="s">
        <v>10886</v>
      </c>
      <c r="G431" t="s">
        <v>112</v>
      </c>
      <c r="I431" t="str">
        <f t="shared" si="24"/>
        <v>1236</v>
      </c>
      <c r="J431" t="str">
        <f t="shared" si="25"/>
        <v>BC</v>
      </c>
      <c r="K431">
        <f t="shared" si="26"/>
        <v>-1236</v>
      </c>
      <c r="L431">
        <f t="shared" si="27"/>
        <v>-1236</v>
      </c>
    </row>
    <row r="432" spans="1:13" x14ac:dyDescent="0.35">
      <c r="A432">
        <v>431</v>
      </c>
      <c r="B432" t="s">
        <v>882</v>
      </c>
      <c r="C432" t="s">
        <v>10038</v>
      </c>
      <c r="D432" t="s">
        <v>883</v>
      </c>
      <c r="E432" t="s">
        <v>874</v>
      </c>
      <c r="F432" t="s">
        <v>10886</v>
      </c>
      <c r="G432" t="s">
        <v>112</v>
      </c>
      <c r="I432" t="str">
        <f t="shared" si="24"/>
        <v>1236</v>
      </c>
      <c r="J432" t="str">
        <f t="shared" si="25"/>
        <v>BC</v>
      </c>
      <c r="K432">
        <f t="shared" si="26"/>
        <v>-1236</v>
      </c>
      <c r="L432">
        <f t="shared" si="27"/>
        <v>-1236</v>
      </c>
      <c r="M432">
        <v>2488</v>
      </c>
    </row>
    <row r="433" spans="1:13" x14ac:dyDescent="0.35">
      <c r="A433">
        <v>432</v>
      </c>
      <c r="B433" t="s">
        <v>884</v>
      </c>
      <c r="C433" t="s">
        <v>11194</v>
      </c>
      <c r="D433" t="s">
        <v>885</v>
      </c>
      <c r="E433" t="s">
        <v>886</v>
      </c>
      <c r="F433" t="s">
        <v>10886</v>
      </c>
      <c r="G433" t="s">
        <v>112</v>
      </c>
      <c r="H433" t="s">
        <v>10887</v>
      </c>
      <c r="I433" t="str">
        <f t="shared" si="24"/>
        <v>1236</v>
      </c>
      <c r="J433" t="str">
        <f t="shared" si="25"/>
        <v>BC</v>
      </c>
      <c r="K433">
        <f t="shared" si="26"/>
        <v>-1236</v>
      </c>
      <c r="L433">
        <f t="shared" si="27"/>
        <v>-1236</v>
      </c>
      <c r="M433">
        <v>2488</v>
      </c>
    </row>
    <row r="434" spans="1:13" x14ac:dyDescent="0.35">
      <c r="A434">
        <v>433</v>
      </c>
      <c r="B434" t="s">
        <v>887</v>
      </c>
      <c r="C434" t="s">
        <v>9358</v>
      </c>
      <c r="D434" t="s">
        <v>888</v>
      </c>
      <c r="E434" t="s">
        <v>874</v>
      </c>
      <c r="F434" t="s">
        <v>10886</v>
      </c>
      <c r="G434" t="s">
        <v>112</v>
      </c>
      <c r="I434" t="str">
        <f t="shared" si="24"/>
        <v>1236</v>
      </c>
      <c r="J434" t="str">
        <f t="shared" si="25"/>
        <v>BC</v>
      </c>
      <c r="K434">
        <f t="shared" si="26"/>
        <v>-1236</v>
      </c>
      <c r="L434">
        <f t="shared" si="27"/>
        <v>-1236</v>
      </c>
    </row>
    <row r="435" spans="1:13" x14ac:dyDescent="0.35">
      <c r="A435">
        <v>434</v>
      </c>
      <c r="B435" t="s">
        <v>889</v>
      </c>
      <c r="C435" t="s">
        <v>10077</v>
      </c>
      <c r="D435" t="s">
        <v>890</v>
      </c>
      <c r="E435" t="s">
        <v>874</v>
      </c>
      <c r="F435" t="s">
        <v>10886</v>
      </c>
      <c r="G435" t="s">
        <v>112</v>
      </c>
      <c r="I435" t="str">
        <f t="shared" si="24"/>
        <v>1236</v>
      </c>
      <c r="J435" t="str">
        <f t="shared" si="25"/>
        <v>BC</v>
      </c>
      <c r="K435">
        <f t="shared" si="26"/>
        <v>-1236</v>
      </c>
      <c r="L435">
        <f t="shared" si="27"/>
        <v>-1236</v>
      </c>
    </row>
    <row r="436" spans="1:13" x14ac:dyDescent="0.35">
      <c r="A436">
        <v>435</v>
      </c>
      <c r="B436" t="s">
        <v>891</v>
      </c>
      <c r="C436" t="s">
        <v>11221</v>
      </c>
      <c r="D436" t="s">
        <v>892</v>
      </c>
      <c r="E436" t="s">
        <v>893</v>
      </c>
      <c r="F436" t="s">
        <v>10886</v>
      </c>
      <c r="G436" t="s">
        <v>112</v>
      </c>
      <c r="H436" t="s">
        <v>680</v>
      </c>
      <c r="I436" t="str">
        <f t="shared" si="24"/>
        <v>1236</v>
      </c>
      <c r="J436" t="str">
        <f t="shared" si="25"/>
        <v>BC</v>
      </c>
      <c r="K436">
        <f t="shared" si="26"/>
        <v>-1236</v>
      </c>
      <c r="L436">
        <f t="shared" si="27"/>
        <v>-1236</v>
      </c>
    </row>
    <row r="437" spans="1:13" x14ac:dyDescent="0.35">
      <c r="A437">
        <v>436</v>
      </c>
      <c r="B437" t="s">
        <v>894</v>
      </c>
      <c r="C437" t="s">
        <v>11222</v>
      </c>
      <c r="D437" t="s">
        <v>895</v>
      </c>
      <c r="E437" t="s">
        <v>893</v>
      </c>
      <c r="F437" t="s">
        <v>10886</v>
      </c>
      <c r="G437" t="s">
        <v>112</v>
      </c>
      <c r="H437" t="s">
        <v>680</v>
      </c>
      <c r="I437" t="str">
        <f t="shared" si="24"/>
        <v>1236</v>
      </c>
      <c r="J437" t="str">
        <f t="shared" si="25"/>
        <v>BC</v>
      </c>
      <c r="K437">
        <f t="shared" si="26"/>
        <v>-1236</v>
      </c>
      <c r="L437">
        <f t="shared" si="27"/>
        <v>-1236</v>
      </c>
    </row>
    <row r="438" spans="1:13" x14ac:dyDescent="0.35">
      <c r="A438">
        <v>437</v>
      </c>
      <c r="B438" t="s">
        <v>896</v>
      </c>
      <c r="C438" t="s">
        <v>10078</v>
      </c>
      <c r="D438" t="s">
        <v>897</v>
      </c>
      <c r="E438" t="s">
        <v>893</v>
      </c>
      <c r="F438" t="s">
        <v>12189</v>
      </c>
      <c r="G438" t="s">
        <v>112</v>
      </c>
      <c r="H438" t="s">
        <v>680</v>
      </c>
      <c r="I438" t="str">
        <f t="shared" si="24"/>
        <v>1235</v>
      </c>
      <c r="J438" t="str">
        <f t="shared" si="25"/>
        <v>BC</v>
      </c>
      <c r="K438">
        <f t="shared" si="26"/>
        <v>-1235</v>
      </c>
      <c r="L438">
        <f t="shared" si="27"/>
        <v>-1235</v>
      </c>
    </row>
    <row r="439" spans="1:13" x14ac:dyDescent="0.35">
      <c r="A439">
        <v>438</v>
      </c>
      <c r="B439" t="s">
        <v>898</v>
      </c>
      <c r="C439" t="s">
        <v>11187</v>
      </c>
      <c r="D439" t="s">
        <v>899</v>
      </c>
      <c r="E439" t="s">
        <v>900</v>
      </c>
      <c r="F439" t="s">
        <v>12189</v>
      </c>
      <c r="G439" t="s">
        <v>901</v>
      </c>
      <c r="H439" t="s">
        <v>680</v>
      </c>
      <c r="I439" t="str">
        <f t="shared" si="24"/>
        <v>1235</v>
      </c>
      <c r="J439" t="str">
        <f t="shared" si="25"/>
        <v>BC</v>
      </c>
      <c r="K439">
        <f t="shared" si="26"/>
        <v>-1235</v>
      </c>
      <c r="L439">
        <f t="shared" si="27"/>
        <v>-1235</v>
      </c>
    </row>
    <row r="440" spans="1:13" x14ac:dyDescent="0.35">
      <c r="A440">
        <v>440</v>
      </c>
      <c r="B440" t="s">
        <v>902</v>
      </c>
      <c r="C440" t="s">
        <v>10099</v>
      </c>
      <c r="D440" t="s">
        <v>903</v>
      </c>
      <c r="E440" t="s">
        <v>900</v>
      </c>
      <c r="F440" t="s">
        <v>12189</v>
      </c>
      <c r="G440" t="s">
        <v>112</v>
      </c>
      <c r="H440" t="s">
        <v>680</v>
      </c>
      <c r="I440" t="str">
        <f t="shared" si="24"/>
        <v>1235</v>
      </c>
      <c r="J440" t="str">
        <f t="shared" si="25"/>
        <v>BC</v>
      </c>
      <c r="K440">
        <f t="shared" si="26"/>
        <v>-1235</v>
      </c>
      <c r="L440">
        <f t="shared" si="27"/>
        <v>-1235</v>
      </c>
    </row>
    <row r="441" spans="1:13" x14ac:dyDescent="0.35">
      <c r="A441">
        <v>441</v>
      </c>
      <c r="B441" t="s">
        <v>904</v>
      </c>
      <c r="C441" t="s">
        <v>10755</v>
      </c>
      <c r="D441" t="s">
        <v>905</v>
      </c>
      <c r="E441" t="s">
        <v>865</v>
      </c>
      <c r="F441" t="s">
        <v>12189</v>
      </c>
      <c r="G441" t="s">
        <v>112</v>
      </c>
      <c r="H441" t="s">
        <v>680</v>
      </c>
      <c r="I441" t="str">
        <f t="shared" si="24"/>
        <v>1235</v>
      </c>
      <c r="J441" t="str">
        <f t="shared" si="25"/>
        <v>BC</v>
      </c>
      <c r="K441">
        <f t="shared" si="26"/>
        <v>-1235</v>
      </c>
      <c r="L441">
        <f t="shared" si="27"/>
        <v>-1235</v>
      </c>
    </row>
    <row r="442" spans="1:13" x14ac:dyDescent="0.35">
      <c r="A442">
        <v>442</v>
      </c>
      <c r="B442" t="s">
        <v>906</v>
      </c>
      <c r="C442" t="s">
        <v>10079</v>
      </c>
      <c r="D442" t="s">
        <v>907</v>
      </c>
      <c r="E442" t="s">
        <v>865</v>
      </c>
      <c r="F442" t="s">
        <v>12189</v>
      </c>
      <c r="G442" t="s">
        <v>83</v>
      </c>
      <c r="H442" t="s">
        <v>680</v>
      </c>
      <c r="I442" t="str">
        <f t="shared" si="24"/>
        <v>1235</v>
      </c>
      <c r="J442" t="str">
        <f t="shared" si="25"/>
        <v>BC</v>
      </c>
      <c r="K442">
        <f t="shared" si="26"/>
        <v>-1235</v>
      </c>
      <c r="L442">
        <f t="shared" si="27"/>
        <v>-1235</v>
      </c>
    </row>
    <row r="443" spans="1:13" x14ac:dyDescent="0.35">
      <c r="A443">
        <v>443</v>
      </c>
      <c r="B443" t="s">
        <v>908</v>
      </c>
      <c r="C443" t="s">
        <v>12716</v>
      </c>
      <c r="D443" t="s">
        <v>909</v>
      </c>
      <c r="E443" t="s">
        <v>865</v>
      </c>
      <c r="F443" t="s">
        <v>12189</v>
      </c>
      <c r="G443" t="s">
        <v>83</v>
      </c>
      <c r="H443" t="s">
        <v>680</v>
      </c>
      <c r="I443" t="str">
        <f t="shared" si="24"/>
        <v>1235</v>
      </c>
      <c r="J443" t="str">
        <f t="shared" si="25"/>
        <v>BC</v>
      </c>
      <c r="K443">
        <f t="shared" si="26"/>
        <v>-1235</v>
      </c>
      <c r="L443">
        <f t="shared" si="27"/>
        <v>-1235</v>
      </c>
    </row>
    <row r="444" spans="1:13" x14ac:dyDescent="0.35">
      <c r="A444">
        <v>444</v>
      </c>
      <c r="B444" t="s">
        <v>910</v>
      </c>
      <c r="C444" t="s">
        <v>10544</v>
      </c>
      <c r="D444" t="s">
        <v>911</v>
      </c>
      <c r="E444" t="s">
        <v>912</v>
      </c>
      <c r="F444" t="s">
        <v>12189</v>
      </c>
      <c r="G444" t="s">
        <v>112</v>
      </c>
      <c r="H444" t="s">
        <v>680</v>
      </c>
      <c r="I444" t="str">
        <f t="shared" si="24"/>
        <v>1235</v>
      </c>
      <c r="J444" t="str">
        <f t="shared" si="25"/>
        <v>BC</v>
      </c>
      <c r="K444">
        <f t="shared" si="26"/>
        <v>-1235</v>
      </c>
      <c r="L444">
        <f t="shared" si="27"/>
        <v>-1235</v>
      </c>
    </row>
    <row r="445" spans="1:13" x14ac:dyDescent="0.35">
      <c r="A445">
        <v>445</v>
      </c>
      <c r="B445" t="s">
        <v>913</v>
      </c>
      <c r="C445" t="s">
        <v>11190</v>
      </c>
      <c r="D445" t="s">
        <v>914</v>
      </c>
      <c r="E445" t="s">
        <v>915</v>
      </c>
      <c r="F445" t="s">
        <v>12189</v>
      </c>
      <c r="G445" t="s">
        <v>112</v>
      </c>
      <c r="H445" t="s">
        <v>680</v>
      </c>
      <c r="I445" t="str">
        <f t="shared" si="24"/>
        <v>1235</v>
      </c>
      <c r="J445" t="str">
        <f t="shared" si="25"/>
        <v>BC</v>
      </c>
      <c r="K445">
        <f t="shared" si="26"/>
        <v>-1235</v>
      </c>
      <c r="L445">
        <f t="shared" si="27"/>
        <v>-1235</v>
      </c>
    </row>
    <row r="446" spans="1:13" x14ac:dyDescent="0.35">
      <c r="A446">
        <v>447</v>
      </c>
      <c r="B446" t="s">
        <v>916</v>
      </c>
      <c r="C446" t="s">
        <v>11125</v>
      </c>
      <c r="D446" t="s">
        <v>917</v>
      </c>
      <c r="E446" t="s">
        <v>893</v>
      </c>
      <c r="F446" t="s">
        <v>12189</v>
      </c>
      <c r="G446" t="s">
        <v>112</v>
      </c>
      <c r="H446" t="s">
        <v>680</v>
      </c>
      <c r="I446" t="str">
        <f t="shared" si="24"/>
        <v>1235</v>
      </c>
      <c r="J446" t="str">
        <f t="shared" si="25"/>
        <v>BC</v>
      </c>
      <c r="K446">
        <f t="shared" si="26"/>
        <v>-1235</v>
      </c>
      <c r="L446">
        <f t="shared" si="27"/>
        <v>-1235</v>
      </c>
    </row>
    <row r="447" spans="1:13" x14ac:dyDescent="0.35">
      <c r="A447">
        <v>448</v>
      </c>
      <c r="B447" t="s">
        <v>918</v>
      </c>
      <c r="C447" t="s">
        <v>11223</v>
      </c>
      <c r="D447" t="s">
        <v>919</v>
      </c>
      <c r="E447" t="s">
        <v>893</v>
      </c>
      <c r="F447" t="s">
        <v>12189</v>
      </c>
      <c r="G447" t="s">
        <v>112</v>
      </c>
      <c r="H447" t="s">
        <v>680</v>
      </c>
      <c r="I447" t="str">
        <f t="shared" si="24"/>
        <v>1235</v>
      </c>
      <c r="J447" t="str">
        <f t="shared" si="25"/>
        <v>BC</v>
      </c>
      <c r="K447">
        <f t="shared" si="26"/>
        <v>-1235</v>
      </c>
      <c r="L447">
        <f t="shared" si="27"/>
        <v>-1235</v>
      </c>
    </row>
    <row r="448" spans="1:13" x14ac:dyDescent="0.35">
      <c r="A448">
        <v>450</v>
      </c>
      <c r="B448" t="s">
        <v>920</v>
      </c>
      <c r="C448" t="s">
        <v>11224</v>
      </c>
      <c r="D448" t="s">
        <v>921</v>
      </c>
      <c r="E448" t="s">
        <v>922</v>
      </c>
      <c r="F448" t="s">
        <v>12189</v>
      </c>
      <c r="G448" t="s">
        <v>2337</v>
      </c>
      <c r="H448" t="s">
        <v>680</v>
      </c>
      <c r="I448" t="str">
        <f t="shared" ref="I448:I499" si="28">SUBSTITUTE(SUBSTITUTE(SUBSTITUTE(F448,"c. ","")," BC","")," AD","")</f>
        <v>1235</v>
      </c>
      <c r="J448" t="str">
        <f t="shared" si="25"/>
        <v>BC</v>
      </c>
      <c r="K448">
        <f t="shared" si="26"/>
        <v>-1235</v>
      </c>
      <c r="L448">
        <f t="shared" si="27"/>
        <v>-1235</v>
      </c>
    </row>
    <row r="449" spans="1:12" x14ac:dyDescent="0.35">
      <c r="A449">
        <v>451</v>
      </c>
      <c r="B449" t="s">
        <v>923</v>
      </c>
      <c r="C449" t="s">
        <v>11225</v>
      </c>
      <c r="D449" t="s">
        <v>924</v>
      </c>
      <c r="E449" t="s">
        <v>893</v>
      </c>
      <c r="F449" t="s">
        <v>12189</v>
      </c>
      <c r="G449" t="s">
        <v>112</v>
      </c>
      <c r="H449" t="s">
        <v>680</v>
      </c>
      <c r="I449" t="str">
        <f t="shared" si="28"/>
        <v>1235</v>
      </c>
      <c r="J449" t="str">
        <f t="shared" si="25"/>
        <v>BC</v>
      </c>
      <c r="K449">
        <f t="shared" si="26"/>
        <v>-1235</v>
      </c>
      <c r="L449">
        <f t="shared" si="27"/>
        <v>-1235</v>
      </c>
    </row>
    <row r="450" spans="1:12" x14ac:dyDescent="0.35">
      <c r="A450">
        <v>452</v>
      </c>
      <c r="B450" t="s">
        <v>925</v>
      </c>
      <c r="C450" t="s">
        <v>10099</v>
      </c>
      <c r="D450" t="s">
        <v>926</v>
      </c>
      <c r="E450" t="s">
        <v>893</v>
      </c>
      <c r="F450" t="s">
        <v>12189</v>
      </c>
      <c r="G450" t="s">
        <v>112</v>
      </c>
      <c r="H450" t="s">
        <v>680</v>
      </c>
      <c r="I450" t="str">
        <f t="shared" si="28"/>
        <v>1235</v>
      </c>
      <c r="J450" t="str">
        <f t="shared" ref="J450:J513" si="29">RIGHT(F450, 2)</f>
        <v>BC</v>
      </c>
      <c r="K450">
        <f t="shared" ref="K450:K513" si="30">IF(J450="BC", 0-IF(ISERROR(FIND("-",I450)),I450,LEFT(I450,FIND("-",I450)-1)), IF(ISERROR(FIND("-",I450)),I450,LEFT(I450,FIND("-",I450)-1)))</f>
        <v>-1235</v>
      </c>
      <c r="L450">
        <f t="shared" ref="L450:L513" si="31">IF(J450="BC", 0-IF(ISERROR(FIND("-",I450)),I450,RIGHT(I450,FIND("-",I450)-1)), IF(ISERROR(FIND("-",I450)),I450,RIGHT(I450,FIND("-",I450)-1)))</f>
        <v>-1235</v>
      </c>
    </row>
    <row r="451" spans="1:12" x14ac:dyDescent="0.35">
      <c r="A451">
        <v>453</v>
      </c>
      <c r="B451" t="s">
        <v>927</v>
      </c>
      <c r="C451" t="s">
        <v>10091</v>
      </c>
      <c r="D451" t="s">
        <v>928</v>
      </c>
      <c r="E451" t="s">
        <v>915</v>
      </c>
      <c r="F451" t="s">
        <v>12189</v>
      </c>
      <c r="G451" t="s">
        <v>112</v>
      </c>
      <c r="H451" t="s">
        <v>680</v>
      </c>
      <c r="I451" t="str">
        <f t="shared" si="28"/>
        <v>1235</v>
      </c>
      <c r="J451" t="str">
        <f t="shared" si="29"/>
        <v>BC</v>
      </c>
      <c r="K451">
        <f t="shared" si="30"/>
        <v>-1235</v>
      </c>
      <c r="L451">
        <f t="shared" si="31"/>
        <v>-1235</v>
      </c>
    </row>
    <row r="452" spans="1:12" x14ac:dyDescent="0.35">
      <c r="A452">
        <v>454</v>
      </c>
      <c r="B452" t="s">
        <v>929</v>
      </c>
      <c r="C452" t="s">
        <v>12717</v>
      </c>
      <c r="D452" t="s">
        <v>930</v>
      </c>
      <c r="E452" t="s">
        <v>915</v>
      </c>
      <c r="F452" t="s">
        <v>12189</v>
      </c>
      <c r="G452" t="s">
        <v>83</v>
      </c>
      <c r="H452" t="s">
        <v>680</v>
      </c>
      <c r="I452" t="str">
        <f t="shared" si="28"/>
        <v>1235</v>
      </c>
      <c r="J452" t="str">
        <f t="shared" si="29"/>
        <v>BC</v>
      </c>
      <c r="K452">
        <f t="shared" si="30"/>
        <v>-1235</v>
      </c>
      <c r="L452">
        <f t="shared" si="31"/>
        <v>-1235</v>
      </c>
    </row>
    <row r="453" spans="1:12" x14ac:dyDescent="0.35">
      <c r="A453">
        <v>455</v>
      </c>
      <c r="B453" t="s">
        <v>931</v>
      </c>
      <c r="C453" t="s">
        <v>11126</v>
      </c>
      <c r="D453" t="s">
        <v>932</v>
      </c>
      <c r="E453" t="s">
        <v>915</v>
      </c>
      <c r="F453" t="s">
        <v>12189</v>
      </c>
      <c r="G453" t="s">
        <v>83</v>
      </c>
      <c r="H453" t="s">
        <v>680</v>
      </c>
      <c r="I453" t="str">
        <f t="shared" si="28"/>
        <v>1235</v>
      </c>
      <c r="J453" t="str">
        <f t="shared" si="29"/>
        <v>BC</v>
      </c>
      <c r="K453">
        <f t="shared" si="30"/>
        <v>-1235</v>
      </c>
      <c r="L453">
        <f t="shared" si="31"/>
        <v>-1235</v>
      </c>
    </row>
    <row r="454" spans="1:12" x14ac:dyDescent="0.35">
      <c r="A454">
        <v>459</v>
      </c>
      <c r="B454" t="s">
        <v>934</v>
      </c>
      <c r="C454" t="s">
        <v>12681</v>
      </c>
      <c r="D454" t="s">
        <v>26</v>
      </c>
      <c r="E454" t="s">
        <v>935</v>
      </c>
      <c r="F454" t="s">
        <v>12190</v>
      </c>
      <c r="G454" t="s">
        <v>83</v>
      </c>
      <c r="H454" t="s">
        <v>933</v>
      </c>
      <c r="I454" t="str">
        <f t="shared" si="28"/>
        <v>1234</v>
      </c>
      <c r="J454" t="str">
        <f t="shared" si="29"/>
        <v>BC</v>
      </c>
      <c r="K454">
        <f t="shared" si="30"/>
        <v>-1234</v>
      </c>
      <c r="L454">
        <f t="shared" si="31"/>
        <v>-1234</v>
      </c>
    </row>
    <row r="455" spans="1:12" x14ac:dyDescent="0.35">
      <c r="A455">
        <v>460</v>
      </c>
      <c r="B455" t="s">
        <v>936</v>
      </c>
      <c r="C455" t="s">
        <v>12718</v>
      </c>
      <c r="D455" t="s">
        <v>937</v>
      </c>
      <c r="E455" t="s">
        <v>938</v>
      </c>
      <c r="F455" t="s">
        <v>12190</v>
      </c>
      <c r="G455" t="s">
        <v>112</v>
      </c>
      <c r="H455" t="s">
        <v>933</v>
      </c>
      <c r="I455" t="str">
        <f t="shared" si="28"/>
        <v>1234</v>
      </c>
      <c r="J455" t="str">
        <f t="shared" si="29"/>
        <v>BC</v>
      </c>
      <c r="K455">
        <f t="shared" si="30"/>
        <v>-1234</v>
      </c>
      <c r="L455">
        <f t="shared" si="31"/>
        <v>-1234</v>
      </c>
    </row>
    <row r="456" spans="1:12" x14ac:dyDescent="0.35">
      <c r="A456">
        <v>461</v>
      </c>
      <c r="B456" t="s">
        <v>939</v>
      </c>
      <c r="C456" t="s">
        <v>12719</v>
      </c>
      <c r="D456" t="s">
        <v>940</v>
      </c>
      <c r="E456" t="s">
        <v>941</v>
      </c>
      <c r="F456" t="s">
        <v>12190</v>
      </c>
      <c r="G456" t="s">
        <v>112</v>
      </c>
      <c r="H456" t="s">
        <v>933</v>
      </c>
      <c r="I456" t="str">
        <f t="shared" si="28"/>
        <v>1234</v>
      </c>
      <c r="J456" t="str">
        <f t="shared" si="29"/>
        <v>BC</v>
      </c>
      <c r="K456">
        <f t="shared" si="30"/>
        <v>-1234</v>
      </c>
      <c r="L456">
        <f t="shared" si="31"/>
        <v>-1234</v>
      </c>
    </row>
    <row r="457" spans="1:12" x14ac:dyDescent="0.35">
      <c r="A457">
        <v>462</v>
      </c>
      <c r="B457" t="s">
        <v>942</v>
      </c>
      <c r="C457" t="s">
        <v>10755</v>
      </c>
      <c r="D457" t="s">
        <v>940</v>
      </c>
      <c r="E457" t="s">
        <v>941</v>
      </c>
      <c r="F457" t="s">
        <v>12190</v>
      </c>
      <c r="G457" t="s">
        <v>112</v>
      </c>
      <c r="H457" t="s">
        <v>933</v>
      </c>
      <c r="I457" t="str">
        <f t="shared" si="28"/>
        <v>1234</v>
      </c>
      <c r="J457" t="str">
        <f t="shared" si="29"/>
        <v>BC</v>
      </c>
      <c r="K457">
        <f t="shared" si="30"/>
        <v>-1234</v>
      </c>
      <c r="L457">
        <f t="shared" si="31"/>
        <v>-1234</v>
      </c>
    </row>
    <row r="458" spans="1:12" x14ac:dyDescent="0.35">
      <c r="A458">
        <v>465</v>
      </c>
      <c r="B458" t="s">
        <v>944</v>
      </c>
      <c r="C458" t="s">
        <v>10091</v>
      </c>
      <c r="D458" t="s">
        <v>945</v>
      </c>
      <c r="E458" t="s">
        <v>943</v>
      </c>
      <c r="F458" t="s">
        <v>12190</v>
      </c>
      <c r="G458" t="s">
        <v>112</v>
      </c>
      <c r="H458" t="s">
        <v>933</v>
      </c>
      <c r="I458" t="str">
        <f t="shared" si="28"/>
        <v>1234</v>
      </c>
      <c r="J458" t="str">
        <f t="shared" si="29"/>
        <v>BC</v>
      </c>
      <c r="K458">
        <f t="shared" si="30"/>
        <v>-1234</v>
      </c>
      <c r="L458">
        <f t="shared" si="31"/>
        <v>-1234</v>
      </c>
    </row>
    <row r="459" spans="1:12" x14ac:dyDescent="0.35">
      <c r="A459">
        <v>466</v>
      </c>
      <c r="B459" t="s">
        <v>946</v>
      </c>
      <c r="C459" t="s">
        <v>11226</v>
      </c>
      <c r="D459" t="s">
        <v>947</v>
      </c>
      <c r="E459" t="s">
        <v>948</v>
      </c>
      <c r="F459" t="s">
        <v>12191</v>
      </c>
      <c r="G459" t="s">
        <v>112</v>
      </c>
      <c r="H459" t="s">
        <v>933</v>
      </c>
      <c r="I459" t="str">
        <f t="shared" si="28"/>
        <v>1234-1233</v>
      </c>
      <c r="J459" t="str">
        <f t="shared" si="29"/>
        <v>BC</v>
      </c>
      <c r="K459">
        <f t="shared" si="30"/>
        <v>-1234</v>
      </c>
      <c r="L459">
        <f t="shared" si="31"/>
        <v>-1233</v>
      </c>
    </row>
    <row r="460" spans="1:12" x14ac:dyDescent="0.35">
      <c r="A460">
        <v>468</v>
      </c>
      <c r="B460" t="s">
        <v>951</v>
      </c>
      <c r="C460" t="s">
        <v>11225</v>
      </c>
      <c r="D460" t="s">
        <v>952</v>
      </c>
      <c r="E460" t="s">
        <v>953</v>
      </c>
      <c r="F460" t="s">
        <v>12192</v>
      </c>
      <c r="G460" t="s">
        <v>112</v>
      </c>
      <c r="H460" t="s">
        <v>950</v>
      </c>
      <c r="I460" t="str">
        <f t="shared" si="28"/>
        <v>1233</v>
      </c>
      <c r="J460" t="str">
        <f t="shared" si="29"/>
        <v>BC</v>
      </c>
      <c r="K460">
        <f t="shared" si="30"/>
        <v>-1233</v>
      </c>
      <c r="L460">
        <f t="shared" si="31"/>
        <v>-1233</v>
      </c>
    </row>
    <row r="461" spans="1:12" x14ac:dyDescent="0.35">
      <c r="A461">
        <v>469</v>
      </c>
      <c r="B461" t="s">
        <v>954</v>
      </c>
      <c r="C461" t="s">
        <v>12712</v>
      </c>
      <c r="D461" t="s">
        <v>952</v>
      </c>
      <c r="E461" t="s">
        <v>953</v>
      </c>
      <c r="F461" t="s">
        <v>12192</v>
      </c>
      <c r="G461" t="s">
        <v>112</v>
      </c>
      <c r="H461" t="s">
        <v>950</v>
      </c>
      <c r="I461" t="str">
        <f t="shared" si="28"/>
        <v>1233</v>
      </c>
      <c r="J461" t="str">
        <f t="shared" si="29"/>
        <v>BC</v>
      </c>
      <c r="K461">
        <f t="shared" si="30"/>
        <v>-1233</v>
      </c>
      <c r="L461">
        <f t="shared" si="31"/>
        <v>-1233</v>
      </c>
    </row>
    <row r="462" spans="1:12" x14ac:dyDescent="0.35">
      <c r="A462">
        <v>470</v>
      </c>
      <c r="B462" t="s">
        <v>955</v>
      </c>
      <c r="C462" t="s">
        <v>10091</v>
      </c>
      <c r="D462" t="s">
        <v>956</v>
      </c>
      <c r="E462" t="s">
        <v>949</v>
      </c>
      <c r="F462" t="s">
        <v>12192</v>
      </c>
      <c r="G462" t="s">
        <v>112</v>
      </c>
      <c r="H462" t="s">
        <v>950</v>
      </c>
      <c r="I462" t="str">
        <f t="shared" si="28"/>
        <v>1233</v>
      </c>
      <c r="J462" t="str">
        <f t="shared" si="29"/>
        <v>BC</v>
      </c>
      <c r="K462">
        <f t="shared" si="30"/>
        <v>-1233</v>
      </c>
      <c r="L462">
        <f t="shared" si="31"/>
        <v>-1233</v>
      </c>
    </row>
    <row r="463" spans="1:12" x14ac:dyDescent="0.35">
      <c r="A463">
        <v>471</v>
      </c>
      <c r="B463" t="s">
        <v>957</v>
      </c>
      <c r="C463" t="s">
        <v>11227</v>
      </c>
      <c r="D463" t="s">
        <v>958</v>
      </c>
      <c r="E463" t="s">
        <v>959</v>
      </c>
      <c r="F463" t="s">
        <v>12192</v>
      </c>
      <c r="G463" t="s">
        <v>83</v>
      </c>
      <c r="H463" t="s">
        <v>950</v>
      </c>
      <c r="I463" t="str">
        <f t="shared" si="28"/>
        <v>1233</v>
      </c>
      <c r="J463" t="str">
        <f t="shared" si="29"/>
        <v>BC</v>
      </c>
      <c r="K463">
        <f t="shared" si="30"/>
        <v>-1233</v>
      </c>
      <c r="L463">
        <f t="shared" si="31"/>
        <v>-1233</v>
      </c>
    </row>
    <row r="464" spans="1:12" x14ac:dyDescent="0.35">
      <c r="A464">
        <v>472</v>
      </c>
      <c r="B464" t="s">
        <v>960</v>
      </c>
      <c r="C464" t="s">
        <v>10047</v>
      </c>
      <c r="D464" t="s">
        <v>961</v>
      </c>
      <c r="E464" t="s">
        <v>962</v>
      </c>
      <c r="F464" t="s">
        <v>12193</v>
      </c>
      <c r="G464" t="s">
        <v>112</v>
      </c>
      <c r="H464" t="s">
        <v>963</v>
      </c>
      <c r="I464" t="str">
        <f t="shared" si="28"/>
        <v>1233-1230</v>
      </c>
      <c r="J464" t="str">
        <f t="shared" si="29"/>
        <v>BC</v>
      </c>
      <c r="K464">
        <f t="shared" si="30"/>
        <v>-1233</v>
      </c>
      <c r="L464">
        <f t="shared" si="31"/>
        <v>-1230</v>
      </c>
    </row>
    <row r="465" spans="1:12" x14ac:dyDescent="0.35">
      <c r="A465">
        <v>473</v>
      </c>
      <c r="B465" t="s">
        <v>964</v>
      </c>
      <c r="C465" t="s">
        <v>11228</v>
      </c>
      <c r="D465" t="s">
        <v>965</v>
      </c>
      <c r="E465" t="s">
        <v>255</v>
      </c>
      <c r="F465" t="s">
        <v>12194</v>
      </c>
      <c r="G465" t="s">
        <v>112</v>
      </c>
      <c r="H465" t="s">
        <v>966</v>
      </c>
      <c r="I465" t="str">
        <f t="shared" si="28"/>
        <v>1230</v>
      </c>
      <c r="J465" t="str">
        <f t="shared" si="29"/>
        <v>BC</v>
      </c>
      <c r="K465">
        <f t="shared" si="30"/>
        <v>-1230</v>
      </c>
      <c r="L465">
        <f t="shared" si="31"/>
        <v>-1230</v>
      </c>
    </row>
    <row r="466" spans="1:12" x14ac:dyDescent="0.35">
      <c r="A466">
        <v>474</v>
      </c>
      <c r="B466" t="s">
        <v>967</v>
      </c>
      <c r="C466" t="s">
        <v>11176</v>
      </c>
      <c r="D466" t="s">
        <v>968</v>
      </c>
      <c r="E466" t="s">
        <v>893</v>
      </c>
      <c r="F466" t="s">
        <v>12194</v>
      </c>
      <c r="G466" t="s">
        <v>112</v>
      </c>
      <c r="H466" t="s">
        <v>966</v>
      </c>
      <c r="I466" t="str">
        <f t="shared" si="28"/>
        <v>1230</v>
      </c>
      <c r="J466" t="str">
        <f t="shared" si="29"/>
        <v>BC</v>
      </c>
      <c r="K466">
        <f t="shared" si="30"/>
        <v>-1230</v>
      </c>
      <c r="L466">
        <f t="shared" si="31"/>
        <v>-1230</v>
      </c>
    </row>
    <row r="467" spans="1:12" x14ac:dyDescent="0.35">
      <c r="A467">
        <v>475</v>
      </c>
      <c r="B467" t="s">
        <v>969</v>
      </c>
      <c r="C467" t="s">
        <v>11125</v>
      </c>
      <c r="D467" t="s">
        <v>970</v>
      </c>
      <c r="E467" t="s">
        <v>893</v>
      </c>
      <c r="F467" t="s">
        <v>12194</v>
      </c>
      <c r="G467" t="s">
        <v>112</v>
      </c>
      <c r="H467" t="s">
        <v>966</v>
      </c>
      <c r="I467" t="str">
        <f t="shared" si="28"/>
        <v>1230</v>
      </c>
      <c r="J467" t="str">
        <f t="shared" si="29"/>
        <v>BC</v>
      </c>
      <c r="K467">
        <f t="shared" si="30"/>
        <v>-1230</v>
      </c>
      <c r="L467">
        <f t="shared" si="31"/>
        <v>-1230</v>
      </c>
    </row>
    <row r="468" spans="1:12" x14ac:dyDescent="0.35">
      <c r="A468">
        <v>476</v>
      </c>
      <c r="B468" t="s">
        <v>971</v>
      </c>
      <c r="C468" t="s">
        <v>11229</v>
      </c>
      <c r="D468" t="s">
        <v>972</v>
      </c>
      <c r="E468" t="s">
        <v>893</v>
      </c>
      <c r="F468" t="s">
        <v>12195</v>
      </c>
      <c r="G468" t="s">
        <v>12506</v>
      </c>
      <c r="H468" t="s">
        <v>966</v>
      </c>
      <c r="I468" t="str">
        <f t="shared" si="28"/>
        <v>1229</v>
      </c>
      <c r="J468" t="str">
        <f t="shared" si="29"/>
        <v>BC</v>
      </c>
      <c r="K468">
        <f t="shared" si="30"/>
        <v>-1229</v>
      </c>
      <c r="L468">
        <f t="shared" si="31"/>
        <v>-1229</v>
      </c>
    </row>
    <row r="469" spans="1:12" x14ac:dyDescent="0.35">
      <c r="A469">
        <v>477</v>
      </c>
      <c r="B469" t="s">
        <v>973</v>
      </c>
      <c r="C469" t="s">
        <v>10667</v>
      </c>
      <c r="D469" t="s">
        <v>974</v>
      </c>
      <c r="E469" t="s">
        <v>893</v>
      </c>
      <c r="F469" t="s">
        <v>12195</v>
      </c>
      <c r="G469" t="s">
        <v>112</v>
      </c>
      <c r="H469" t="s">
        <v>966</v>
      </c>
      <c r="I469" t="str">
        <f t="shared" si="28"/>
        <v>1229</v>
      </c>
      <c r="J469" t="str">
        <f t="shared" si="29"/>
        <v>BC</v>
      </c>
      <c r="K469">
        <f t="shared" si="30"/>
        <v>-1229</v>
      </c>
      <c r="L469">
        <f t="shared" si="31"/>
        <v>-1229</v>
      </c>
    </row>
    <row r="470" spans="1:12" x14ac:dyDescent="0.35">
      <c r="A470">
        <v>478</v>
      </c>
      <c r="B470" t="s">
        <v>975</v>
      </c>
      <c r="C470" t="s">
        <v>10081</v>
      </c>
      <c r="D470" t="s">
        <v>976</v>
      </c>
      <c r="E470" t="s">
        <v>255</v>
      </c>
      <c r="F470" t="s">
        <v>12195</v>
      </c>
      <c r="G470" t="s">
        <v>112</v>
      </c>
      <c r="H470" t="s">
        <v>966</v>
      </c>
      <c r="I470" t="str">
        <f t="shared" si="28"/>
        <v>1229</v>
      </c>
      <c r="J470" t="str">
        <f t="shared" si="29"/>
        <v>BC</v>
      </c>
      <c r="K470">
        <f t="shared" si="30"/>
        <v>-1229</v>
      </c>
      <c r="L470">
        <f t="shared" si="31"/>
        <v>-1229</v>
      </c>
    </row>
    <row r="471" spans="1:12" x14ac:dyDescent="0.35">
      <c r="A471">
        <v>479</v>
      </c>
      <c r="B471" t="s">
        <v>977</v>
      </c>
      <c r="C471" t="s">
        <v>10082</v>
      </c>
      <c r="D471" t="s">
        <v>978</v>
      </c>
      <c r="E471" t="s">
        <v>979</v>
      </c>
      <c r="F471" t="s">
        <v>2851</v>
      </c>
      <c r="G471" t="s">
        <v>112</v>
      </c>
      <c r="H471" t="s">
        <v>966</v>
      </c>
      <c r="I471" t="str">
        <f t="shared" si="28"/>
        <v>1228</v>
      </c>
      <c r="J471" t="str">
        <f t="shared" si="29"/>
        <v>BC</v>
      </c>
      <c r="K471">
        <f t="shared" si="30"/>
        <v>-1228</v>
      </c>
      <c r="L471">
        <f t="shared" si="31"/>
        <v>-1228</v>
      </c>
    </row>
    <row r="472" spans="1:12" x14ac:dyDescent="0.35">
      <c r="A472">
        <v>480</v>
      </c>
      <c r="B472" t="s">
        <v>980</v>
      </c>
      <c r="C472" t="s">
        <v>11230</v>
      </c>
      <c r="D472" t="s">
        <v>981</v>
      </c>
      <c r="E472" t="s">
        <v>962</v>
      </c>
      <c r="F472" t="s">
        <v>2851</v>
      </c>
      <c r="G472" t="s">
        <v>112</v>
      </c>
      <c r="H472" t="s">
        <v>966</v>
      </c>
      <c r="I472" t="str">
        <f t="shared" si="28"/>
        <v>1228</v>
      </c>
      <c r="J472" t="str">
        <f t="shared" si="29"/>
        <v>BC</v>
      </c>
      <c r="K472">
        <f t="shared" si="30"/>
        <v>-1228</v>
      </c>
      <c r="L472">
        <f t="shared" si="31"/>
        <v>-1228</v>
      </c>
    </row>
    <row r="473" spans="1:12" x14ac:dyDescent="0.35">
      <c r="A473">
        <v>481</v>
      </c>
      <c r="B473" t="s">
        <v>982</v>
      </c>
      <c r="C473" t="s">
        <v>10083</v>
      </c>
      <c r="D473" t="s">
        <v>983</v>
      </c>
      <c r="E473" t="s">
        <v>255</v>
      </c>
      <c r="F473" t="s">
        <v>2851</v>
      </c>
      <c r="G473" t="s">
        <v>112</v>
      </c>
      <c r="H473" t="s">
        <v>966</v>
      </c>
      <c r="I473" t="str">
        <f t="shared" si="28"/>
        <v>1228</v>
      </c>
      <c r="J473" t="str">
        <f t="shared" si="29"/>
        <v>BC</v>
      </c>
      <c r="K473">
        <f t="shared" si="30"/>
        <v>-1228</v>
      </c>
      <c r="L473">
        <f t="shared" si="31"/>
        <v>-1228</v>
      </c>
    </row>
    <row r="474" spans="1:12" x14ac:dyDescent="0.35">
      <c r="A474">
        <v>482</v>
      </c>
      <c r="B474" t="s">
        <v>984</v>
      </c>
      <c r="C474" t="s">
        <v>11228</v>
      </c>
      <c r="D474" t="s">
        <v>985</v>
      </c>
      <c r="E474" t="s">
        <v>255</v>
      </c>
      <c r="F474" t="s">
        <v>2851</v>
      </c>
      <c r="G474" t="s">
        <v>112</v>
      </c>
      <c r="H474" t="s">
        <v>966</v>
      </c>
      <c r="I474" t="str">
        <f t="shared" si="28"/>
        <v>1228</v>
      </c>
      <c r="J474" t="str">
        <f t="shared" si="29"/>
        <v>BC</v>
      </c>
      <c r="K474">
        <f t="shared" si="30"/>
        <v>-1228</v>
      </c>
      <c r="L474">
        <f t="shared" si="31"/>
        <v>-1228</v>
      </c>
    </row>
    <row r="475" spans="1:12" x14ac:dyDescent="0.35">
      <c r="A475">
        <v>483</v>
      </c>
      <c r="B475" t="s">
        <v>986</v>
      </c>
      <c r="C475" t="s">
        <v>10084</v>
      </c>
      <c r="D475" t="s">
        <v>987</v>
      </c>
      <c r="E475" t="s">
        <v>255</v>
      </c>
      <c r="F475" t="s">
        <v>2851</v>
      </c>
      <c r="G475" t="s">
        <v>112</v>
      </c>
      <c r="H475" t="s">
        <v>966</v>
      </c>
      <c r="I475" t="str">
        <f t="shared" si="28"/>
        <v>1228</v>
      </c>
      <c r="J475" t="str">
        <f t="shared" si="29"/>
        <v>BC</v>
      </c>
      <c r="K475">
        <f t="shared" si="30"/>
        <v>-1228</v>
      </c>
      <c r="L475">
        <f t="shared" si="31"/>
        <v>-1228</v>
      </c>
    </row>
    <row r="476" spans="1:12" x14ac:dyDescent="0.35">
      <c r="A476">
        <v>487</v>
      </c>
      <c r="B476" t="s">
        <v>991</v>
      </c>
      <c r="C476" t="s">
        <v>10085</v>
      </c>
      <c r="D476" t="s">
        <v>992</v>
      </c>
      <c r="E476" t="s">
        <v>988</v>
      </c>
      <c r="F476" t="s">
        <v>12196</v>
      </c>
      <c r="G476" t="s">
        <v>112</v>
      </c>
      <c r="H476" t="s">
        <v>989</v>
      </c>
      <c r="I476" t="str">
        <f t="shared" si="28"/>
        <v>1227</v>
      </c>
      <c r="J476" t="str">
        <f t="shared" si="29"/>
        <v>BC</v>
      </c>
      <c r="K476">
        <f t="shared" si="30"/>
        <v>-1227</v>
      </c>
      <c r="L476">
        <f t="shared" si="31"/>
        <v>-1227</v>
      </c>
    </row>
    <row r="477" spans="1:12" x14ac:dyDescent="0.35">
      <c r="A477">
        <v>489</v>
      </c>
      <c r="B477" t="s">
        <v>995</v>
      </c>
      <c r="C477" t="s">
        <v>10086</v>
      </c>
      <c r="D477" t="s">
        <v>996</v>
      </c>
      <c r="E477" t="s">
        <v>993</v>
      </c>
      <c r="F477" t="s">
        <v>12197</v>
      </c>
      <c r="G477" t="s">
        <v>83</v>
      </c>
      <c r="H477" t="s">
        <v>994</v>
      </c>
      <c r="I477" t="str">
        <f t="shared" si="28"/>
        <v>1220</v>
      </c>
      <c r="J477" t="str">
        <f t="shared" si="29"/>
        <v>BC</v>
      </c>
      <c r="K477">
        <f t="shared" si="30"/>
        <v>-1220</v>
      </c>
      <c r="L477">
        <f t="shared" si="31"/>
        <v>-1220</v>
      </c>
    </row>
    <row r="478" spans="1:12" x14ac:dyDescent="0.35">
      <c r="A478">
        <v>490</v>
      </c>
      <c r="B478" t="s">
        <v>997</v>
      </c>
      <c r="C478" t="s">
        <v>10253</v>
      </c>
      <c r="D478" t="s">
        <v>998</v>
      </c>
      <c r="E478" t="s">
        <v>993</v>
      </c>
      <c r="F478" t="s">
        <v>12197</v>
      </c>
      <c r="G478" t="s">
        <v>83</v>
      </c>
      <c r="H478" t="s">
        <v>994</v>
      </c>
      <c r="I478" t="str">
        <f t="shared" si="28"/>
        <v>1220</v>
      </c>
      <c r="J478" t="str">
        <f t="shared" si="29"/>
        <v>BC</v>
      </c>
      <c r="K478">
        <f t="shared" si="30"/>
        <v>-1220</v>
      </c>
      <c r="L478">
        <f t="shared" si="31"/>
        <v>-1220</v>
      </c>
    </row>
    <row r="479" spans="1:12" x14ac:dyDescent="0.35">
      <c r="A479">
        <v>492</v>
      </c>
      <c r="B479" t="s">
        <v>999</v>
      </c>
      <c r="C479" t="s">
        <v>12718</v>
      </c>
      <c r="D479" t="s">
        <v>1000</v>
      </c>
      <c r="E479" t="s">
        <v>1001</v>
      </c>
      <c r="F479" t="s">
        <v>12197</v>
      </c>
      <c r="G479" t="s">
        <v>112</v>
      </c>
      <c r="H479" t="s">
        <v>994</v>
      </c>
      <c r="I479" t="str">
        <f t="shared" si="28"/>
        <v>1220</v>
      </c>
      <c r="J479" t="str">
        <f t="shared" si="29"/>
        <v>BC</v>
      </c>
      <c r="K479">
        <f t="shared" si="30"/>
        <v>-1220</v>
      </c>
      <c r="L479">
        <f t="shared" si="31"/>
        <v>-1220</v>
      </c>
    </row>
    <row r="480" spans="1:12" x14ac:dyDescent="0.35">
      <c r="A480">
        <v>493</v>
      </c>
      <c r="B480" t="s">
        <v>1002</v>
      </c>
      <c r="C480" t="s">
        <v>10087</v>
      </c>
      <c r="D480" t="s">
        <v>1003</v>
      </c>
      <c r="E480" t="s">
        <v>183</v>
      </c>
      <c r="F480" t="s">
        <v>12197</v>
      </c>
      <c r="G480" t="s">
        <v>83</v>
      </c>
      <c r="H480" t="s">
        <v>994</v>
      </c>
      <c r="I480" t="str">
        <f t="shared" si="28"/>
        <v>1220</v>
      </c>
      <c r="J480" t="str">
        <f t="shared" si="29"/>
        <v>BC</v>
      </c>
      <c r="K480">
        <f t="shared" si="30"/>
        <v>-1220</v>
      </c>
      <c r="L480">
        <f t="shared" si="31"/>
        <v>-1220</v>
      </c>
    </row>
    <row r="481" spans="1:12" x14ac:dyDescent="0.35">
      <c r="A481">
        <v>494</v>
      </c>
      <c r="B481" t="s">
        <v>12199</v>
      </c>
      <c r="C481" t="s">
        <v>12201</v>
      </c>
      <c r="D481" t="s">
        <v>12200</v>
      </c>
      <c r="E481" t="s">
        <v>255</v>
      </c>
      <c r="F481" t="s">
        <v>12202</v>
      </c>
      <c r="G481" t="s">
        <v>112</v>
      </c>
      <c r="H481" t="s">
        <v>994</v>
      </c>
      <c r="I481" t="str">
        <f t="shared" si="28"/>
        <v>1218</v>
      </c>
      <c r="J481" t="str">
        <f t="shared" si="29"/>
        <v>BC</v>
      </c>
      <c r="K481">
        <f t="shared" si="30"/>
        <v>-1218</v>
      </c>
      <c r="L481">
        <f t="shared" si="31"/>
        <v>-1218</v>
      </c>
    </row>
    <row r="482" spans="1:12" x14ac:dyDescent="0.35">
      <c r="A482">
        <v>495</v>
      </c>
      <c r="B482" t="s">
        <v>2812</v>
      </c>
      <c r="C482" t="s">
        <v>10751</v>
      </c>
      <c r="D482" t="s">
        <v>12220</v>
      </c>
      <c r="E482" t="s">
        <v>2813</v>
      </c>
      <c r="F482" t="s">
        <v>12203</v>
      </c>
      <c r="G482" t="s">
        <v>63</v>
      </c>
      <c r="H482" t="s">
        <v>994</v>
      </c>
      <c r="I482" t="str">
        <f t="shared" si="28"/>
        <v>1215</v>
      </c>
      <c r="J482" t="str">
        <f t="shared" si="29"/>
        <v>BC</v>
      </c>
      <c r="K482">
        <f t="shared" si="30"/>
        <v>-1215</v>
      </c>
      <c r="L482">
        <f t="shared" si="31"/>
        <v>-1215</v>
      </c>
    </row>
    <row r="483" spans="1:12" x14ac:dyDescent="0.35">
      <c r="A483">
        <v>496</v>
      </c>
      <c r="B483" t="s">
        <v>12222</v>
      </c>
      <c r="C483" t="s">
        <v>12221</v>
      </c>
      <c r="D483" t="s">
        <v>2814</v>
      </c>
      <c r="E483" t="s">
        <v>2813</v>
      </c>
      <c r="F483" t="s">
        <v>12203</v>
      </c>
      <c r="G483" t="s">
        <v>63</v>
      </c>
      <c r="H483" t="s">
        <v>994</v>
      </c>
      <c r="I483" t="str">
        <f t="shared" si="28"/>
        <v>1215</v>
      </c>
      <c r="J483" t="str">
        <f t="shared" si="29"/>
        <v>BC</v>
      </c>
      <c r="K483">
        <f t="shared" si="30"/>
        <v>-1215</v>
      </c>
      <c r="L483">
        <f t="shared" si="31"/>
        <v>-1215</v>
      </c>
    </row>
    <row r="484" spans="1:12" x14ac:dyDescent="0.35">
      <c r="A484">
        <v>497</v>
      </c>
      <c r="B484" t="s">
        <v>12223</v>
      </c>
      <c r="C484" t="s">
        <v>12224</v>
      </c>
      <c r="D484" t="s">
        <v>12225</v>
      </c>
      <c r="E484" t="s">
        <v>1052</v>
      </c>
      <c r="F484" t="s">
        <v>12242</v>
      </c>
      <c r="G484" t="s">
        <v>112</v>
      </c>
      <c r="H484" t="s">
        <v>994</v>
      </c>
      <c r="I484" t="str">
        <f t="shared" si="28"/>
        <v>1212</v>
      </c>
      <c r="J484" t="str">
        <f t="shared" si="29"/>
        <v>BC</v>
      </c>
      <c r="K484">
        <f t="shared" si="30"/>
        <v>-1212</v>
      </c>
      <c r="L484">
        <f t="shared" si="31"/>
        <v>-1212</v>
      </c>
    </row>
    <row r="485" spans="1:12" x14ac:dyDescent="0.35">
      <c r="A485">
        <v>498</v>
      </c>
      <c r="B485" t="s">
        <v>2815</v>
      </c>
      <c r="C485" t="s">
        <v>11232</v>
      </c>
      <c r="D485" t="s">
        <v>2816</v>
      </c>
      <c r="E485" t="s">
        <v>1052</v>
      </c>
      <c r="F485" t="s">
        <v>12204</v>
      </c>
      <c r="G485" t="s">
        <v>112</v>
      </c>
      <c r="H485" t="s">
        <v>2817</v>
      </c>
      <c r="I485" t="str">
        <f t="shared" si="28"/>
        <v>1210</v>
      </c>
      <c r="J485" t="str">
        <f t="shared" si="29"/>
        <v>BC</v>
      </c>
      <c r="K485">
        <f t="shared" si="30"/>
        <v>-1210</v>
      </c>
      <c r="L485">
        <f t="shared" si="31"/>
        <v>-1210</v>
      </c>
    </row>
    <row r="486" spans="1:12" x14ac:dyDescent="0.35">
      <c r="A486">
        <v>499</v>
      </c>
      <c r="B486" t="s">
        <v>2818</v>
      </c>
      <c r="C486" t="s">
        <v>11233</v>
      </c>
      <c r="D486" t="s">
        <v>2819</v>
      </c>
      <c r="E486" t="s">
        <v>1052</v>
      </c>
      <c r="F486" t="s">
        <v>12243</v>
      </c>
      <c r="G486" t="s">
        <v>112</v>
      </c>
      <c r="H486" t="s">
        <v>2817</v>
      </c>
      <c r="I486" t="str">
        <f t="shared" si="28"/>
        <v>1210-1050</v>
      </c>
      <c r="J486" t="str">
        <f t="shared" si="29"/>
        <v>BC</v>
      </c>
      <c r="K486">
        <f t="shared" si="30"/>
        <v>-1210</v>
      </c>
      <c r="L486">
        <f t="shared" si="31"/>
        <v>-1050</v>
      </c>
    </row>
    <row r="487" spans="1:12" x14ac:dyDescent="0.35">
      <c r="A487">
        <v>500</v>
      </c>
      <c r="B487" t="s">
        <v>12229</v>
      </c>
      <c r="C487" t="s">
        <v>12226</v>
      </c>
      <c r="D487" t="s">
        <v>12228</v>
      </c>
      <c r="E487" t="s">
        <v>1052</v>
      </c>
      <c r="F487" t="s">
        <v>12204</v>
      </c>
      <c r="G487" t="s">
        <v>112</v>
      </c>
      <c r="H487" t="s">
        <v>994</v>
      </c>
      <c r="I487" t="str">
        <f t="shared" si="28"/>
        <v>1210</v>
      </c>
      <c r="J487" t="str">
        <f t="shared" si="29"/>
        <v>BC</v>
      </c>
      <c r="K487">
        <f t="shared" si="30"/>
        <v>-1210</v>
      </c>
      <c r="L487">
        <f t="shared" si="31"/>
        <v>-1210</v>
      </c>
    </row>
    <row r="488" spans="1:12" x14ac:dyDescent="0.35">
      <c r="A488">
        <v>501</v>
      </c>
      <c r="B488" t="s">
        <v>2820</v>
      </c>
      <c r="C488" t="s">
        <v>12720</v>
      </c>
      <c r="D488" t="s">
        <v>12227</v>
      </c>
      <c r="E488" t="s">
        <v>255</v>
      </c>
      <c r="F488" t="s">
        <v>12204</v>
      </c>
      <c r="G488" t="s">
        <v>112</v>
      </c>
      <c r="H488" t="s">
        <v>2817</v>
      </c>
      <c r="I488" t="str">
        <f t="shared" si="28"/>
        <v>1210</v>
      </c>
      <c r="J488" t="str">
        <f t="shared" si="29"/>
        <v>BC</v>
      </c>
      <c r="K488">
        <f t="shared" si="30"/>
        <v>-1210</v>
      </c>
      <c r="L488">
        <f t="shared" si="31"/>
        <v>-1210</v>
      </c>
    </row>
    <row r="489" spans="1:12" x14ac:dyDescent="0.35">
      <c r="A489">
        <v>502</v>
      </c>
      <c r="B489" t="s">
        <v>2821</v>
      </c>
      <c r="C489" t="s">
        <v>10088</v>
      </c>
      <c r="D489" t="s">
        <v>2822</v>
      </c>
      <c r="E489" t="s">
        <v>2337</v>
      </c>
      <c r="F489" t="s">
        <v>12204</v>
      </c>
      <c r="G489" t="s">
        <v>112</v>
      </c>
      <c r="H489" t="s">
        <v>2823</v>
      </c>
      <c r="I489" t="str">
        <f t="shared" si="28"/>
        <v>1210</v>
      </c>
      <c r="J489" t="str">
        <f t="shared" si="29"/>
        <v>BC</v>
      </c>
      <c r="K489">
        <f t="shared" si="30"/>
        <v>-1210</v>
      </c>
      <c r="L489">
        <f t="shared" si="31"/>
        <v>-1210</v>
      </c>
    </row>
    <row r="490" spans="1:12" x14ac:dyDescent="0.35">
      <c r="A490">
        <v>503</v>
      </c>
      <c r="B490" t="s">
        <v>2826</v>
      </c>
      <c r="C490" t="s">
        <v>10505</v>
      </c>
      <c r="D490" t="s">
        <v>2824</v>
      </c>
      <c r="E490" t="s">
        <v>2337</v>
      </c>
      <c r="F490" t="s">
        <v>12205</v>
      </c>
      <c r="G490" t="s">
        <v>112</v>
      </c>
      <c r="H490" t="s">
        <v>2825</v>
      </c>
      <c r="I490" t="str">
        <f t="shared" si="28"/>
        <v>1202</v>
      </c>
      <c r="J490" t="str">
        <f t="shared" si="29"/>
        <v>BC</v>
      </c>
      <c r="K490">
        <f t="shared" si="30"/>
        <v>-1202</v>
      </c>
      <c r="L490">
        <f t="shared" si="31"/>
        <v>-1202</v>
      </c>
    </row>
    <row r="491" spans="1:12" x14ac:dyDescent="0.35">
      <c r="A491">
        <v>504</v>
      </c>
      <c r="B491" t="s">
        <v>2827</v>
      </c>
      <c r="C491" t="s">
        <v>10089</v>
      </c>
      <c r="D491" t="s">
        <v>2828</v>
      </c>
      <c r="E491" t="s">
        <v>2337</v>
      </c>
      <c r="F491" t="s">
        <v>12205</v>
      </c>
      <c r="G491" t="s">
        <v>112</v>
      </c>
      <c r="H491" t="s">
        <v>2825</v>
      </c>
      <c r="I491" t="str">
        <f t="shared" si="28"/>
        <v>1202</v>
      </c>
      <c r="J491" t="str">
        <f t="shared" si="29"/>
        <v>BC</v>
      </c>
      <c r="K491">
        <f t="shared" si="30"/>
        <v>-1202</v>
      </c>
      <c r="L491">
        <f t="shared" si="31"/>
        <v>-1202</v>
      </c>
    </row>
    <row r="492" spans="1:12" x14ac:dyDescent="0.35">
      <c r="A492">
        <v>505</v>
      </c>
      <c r="B492" t="s">
        <v>2829</v>
      </c>
      <c r="C492" t="s">
        <v>12721</v>
      </c>
      <c r="D492" t="s">
        <v>2828</v>
      </c>
      <c r="E492" t="s">
        <v>2830</v>
      </c>
      <c r="F492" t="s">
        <v>12206</v>
      </c>
      <c r="G492" t="s">
        <v>12507</v>
      </c>
      <c r="H492" t="s">
        <v>2825</v>
      </c>
      <c r="I492" t="str">
        <f t="shared" si="28"/>
        <v>1202-1162</v>
      </c>
      <c r="J492" t="str">
        <f t="shared" si="29"/>
        <v>BC</v>
      </c>
      <c r="K492">
        <f t="shared" si="30"/>
        <v>-1202</v>
      </c>
      <c r="L492">
        <f t="shared" si="31"/>
        <v>-1162</v>
      </c>
    </row>
    <row r="493" spans="1:12" x14ac:dyDescent="0.35">
      <c r="A493">
        <v>506</v>
      </c>
      <c r="B493" t="s">
        <v>2831</v>
      </c>
      <c r="C493" t="s">
        <v>10091</v>
      </c>
      <c r="D493" t="s">
        <v>2828</v>
      </c>
      <c r="E493" t="s">
        <v>2832</v>
      </c>
      <c r="F493" t="s">
        <v>12205</v>
      </c>
      <c r="G493" t="s">
        <v>112</v>
      </c>
      <c r="H493" t="s">
        <v>2825</v>
      </c>
      <c r="I493" t="str">
        <f t="shared" si="28"/>
        <v>1202</v>
      </c>
      <c r="J493" t="str">
        <f t="shared" si="29"/>
        <v>BC</v>
      </c>
      <c r="K493">
        <f t="shared" si="30"/>
        <v>-1202</v>
      </c>
      <c r="L493">
        <f t="shared" si="31"/>
        <v>-1202</v>
      </c>
    </row>
    <row r="494" spans="1:12" x14ac:dyDescent="0.35">
      <c r="A494">
        <v>507</v>
      </c>
      <c r="B494" t="s">
        <v>12230</v>
      </c>
      <c r="C494" t="s">
        <v>11234</v>
      </c>
      <c r="D494" t="s">
        <v>2834</v>
      </c>
      <c r="E494" t="s">
        <v>2337</v>
      </c>
      <c r="F494" t="s">
        <v>12206</v>
      </c>
      <c r="G494" t="s">
        <v>112</v>
      </c>
      <c r="H494" t="s">
        <v>2835</v>
      </c>
      <c r="I494" t="str">
        <f t="shared" si="28"/>
        <v>1202-1162</v>
      </c>
      <c r="J494" t="str">
        <f t="shared" si="29"/>
        <v>BC</v>
      </c>
      <c r="K494">
        <f t="shared" si="30"/>
        <v>-1202</v>
      </c>
      <c r="L494">
        <f t="shared" si="31"/>
        <v>-1162</v>
      </c>
    </row>
    <row r="495" spans="1:12" x14ac:dyDescent="0.35">
      <c r="A495">
        <v>508</v>
      </c>
      <c r="B495" t="s">
        <v>2836</v>
      </c>
      <c r="C495" t="s">
        <v>10090</v>
      </c>
      <c r="D495" t="s">
        <v>2837</v>
      </c>
      <c r="E495" t="s">
        <v>2838</v>
      </c>
      <c r="F495" t="s">
        <v>12207</v>
      </c>
      <c r="G495" t="s">
        <v>112</v>
      </c>
      <c r="H495" t="s">
        <v>2839</v>
      </c>
      <c r="I495" t="str">
        <f t="shared" si="28"/>
        <v>1162</v>
      </c>
      <c r="J495" t="str">
        <f t="shared" si="29"/>
        <v>BC</v>
      </c>
      <c r="K495">
        <f t="shared" si="30"/>
        <v>-1162</v>
      </c>
      <c r="L495">
        <f t="shared" si="31"/>
        <v>-1162</v>
      </c>
    </row>
    <row r="496" spans="1:12" x14ac:dyDescent="0.35">
      <c r="A496">
        <v>509</v>
      </c>
      <c r="B496" t="s">
        <v>2842</v>
      </c>
      <c r="C496" t="s">
        <v>10505</v>
      </c>
      <c r="D496" t="s">
        <v>2840</v>
      </c>
      <c r="E496" t="s">
        <v>2337</v>
      </c>
      <c r="F496" t="s">
        <v>12208</v>
      </c>
      <c r="G496" t="s">
        <v>112</v>
      </c>
      <c r="H496" t="s">
        <v>2841</v>
      </c>
      <c r="I496" t="str">
        <f t="shared" si="28"/>
        <v>1144</v>
      </c>
      <c r="J496" t="str">
        <f t="shared" si="29"/>
        <v>BC</v>
      </c>
      <c r="K496">
        <f t="shared" si="30"/>
        <v>-1144</v>
      </c>
      <c r="L496">
        <f t="shared" si="31"/>
        <v>-1144</v>
      </c>
    </row>
    <row r="497" spans="1:12" x14ac:dyDescent="0.35">
      <c r="A497">
        <v>510</v>
      </c>
      <c r="B497" t="s">
        <v>2843</v>
      </c>
      <c r="C497" t="s">
        <v>11235</v>
      </c>
      <c r="D497" t="s">
        <v>2844</v>
      </c>
      <c r="E497" t="s">
        <v>647</v>
      </c>
      <c r="F497" t="s">
        <v>12208</v>
      </c>
      <c r="G497" t="s">
        <v>12508</v>
      </c>
      <c r="H497" t="s">
        <v>2841</v>
      </c>
      <c r="I497" t="str">
        <f t="shared" si="28"/>
        <v>1144</v>
      </c>
      <c r="J497" t="str">
        <f t="shared" si="29"/>
        <v>BC</v>
      </c>
      <c r="K497">
        <f t="shared" si="30"/>
        <v>-1144</v>
      </c>
      <c r="L497">
        <f t="shared" si="31"/>
        <v>-1144</v>
      </c>
    </row>
    <row r="498" spans="1:12" x14ac:dyDescent="0.35">
      <c r="A498">
        <v>511</v>
      </c>
      <c r="B498" t="s">
        <v>2845</v>
      </c>
      <c r="C498" t="s">
        <v>12710</v>
      </c>
      <c r="D498" t="s">
        <v>2846</v>
      </c>
      <c r="E498" t="s">
        <v>2847</v>
      </c>
      <c r="F498" t="s">
        <v>12208</v>
      </c>
      <c r="G498" t="s">
        <v>12508</v>
      </c>
      <c r="H498" t="s">
        <v>2841</v>
      </c>
      <c r="I498" t="str">
        <f t="shared" si="28"/>
        <v>1144</v>
      </c>
      <c r="J498" t="str">
        <f t="shared" si="29"/>
        <v>BC</v>
      </c>
      <c r="K498">
        <f t="shared" si="30"/>
        <v>-1144</v>
      </c>
      <c r="L498">
        <f t="shared" si="31"/>
        <v>-1144</v>
      </c>
    </row>
    <row r="499" spans="1:12" x14ac:dyDescent="0.35">
      <c r="A499">
        <v>512</v>
      </c>
      <c r="B499" t="s">
        <v>12231</v>
      </c>
      <c r="C499" t="s">
        <v>11234</v>
      </c>
      <c r="D499" t="s">
        <v>2848</v>
      </c>
      <c r="E499" t="s">
        <v>2337</v>
      </c>
      <c r="F499" t="s">
        <v>12209</v>
      </c>
      <c r="G499" t="s">
        <v>112</v>
      </c>
      <c r="H499" t="s">
        <v>2849</v>
      </c>
      <c r="I499" t="str">
        <f t="shared" si="28"/>
        <v>1144-1064</v>
      </c>
      <c r="J499" t="str">
        <f t="shared" si="29"/>
        <v>BC</v>
      </c>
      <c r="K499">
        <f t="shared" si="30"/>
        <v>-1144</v>
      </c>
      <c r="L499">
        <f t="shared" si="31"/>
        <v>-1064</v>
      </c>
    </row>
    <row r="500" spans="1:12" x14ac:dyDescent="0.35">
      <c r="A500">
        <v>513</v>
      </c>
      <c r="B500" t="s">
        <v>12232</v>
      </c>
      <c r="C500" t="s">
        <v>12233</v>
      </c>
      <c r="D500" t="s">
        <v>2850</v>
      </c>
      <c r="E500" t="s">
        <v>2238</v>
      </c>
      <c r="F500" t="s">
        <v>12244</v>
      </c>
      <c r="G500" t="s">
        <v>12509</v>
      </c>
      <c r="H500" t="s">
        <v>2851</v>
      </c>
      <c r="I500" t="str">
        <f t="shared" ref="I500:I563" si="32">SUBSTITUTE(SUBSTITUTE(SUBSTITUTE(F500,"c. ","")," BC","")," AD","")</f>
        <v>1135</v>
      </c>
      <c r="J500" t="str">
        <f t="shared" si="29"/>
        <v>BC</v>
      </c>
      <c r="K500">
        <f t="shared" si="30"/>
        <v>-1135</v>
      </c>
      <c r="L500">
        <f t="shared" si="31"/>
        <v>-1135</v>
      </c>
    </row>
    <row r="501" spans="1:12" x14ac:dyDescent="0.35">
      <c r="A501">
        <v>514</v>
      </c>
      <c r="B501" t="s">
        <v>2852</v>
      </c>
      <c r="C501" t="s">
        <v>10088</v>
      </c>
      <c r="D501" t="s">
        <v>2853</v>
      </c>
      <c r="E501" t="s">
        <v>2854</v>
      </c>
      <c r="F501" t="s">
        <v>12245</v>
      </c>
      <c r="G501" t="s">
        <v>112</v>
      </c>
      <c r="H501" t="s">
        <v>2855</v>
      </c>
      <c r="I501" t="str">
        <f t="shared" si="32"/>
        <v>1124-1104</v>
      </c>
      <c r="J501" t="str">
        <f t="shared" si="29"/>
        <v>BC</v>
      </c>
      <c r="K501">
        <f t="shared" si="30"/>
        <v>-1124</v>
      </c>
      <c r="L501">
        <f t="shared" si="31"/>
        <v>-1104</v>
      </c>
    </row>
    <row r="502" spans="1:12" x14ac:dyDescent="0.35">
      <c r="A502">
        <v>515</v>
      </c>
      <c r="B502" t="s">
        <v>2857</v>
      </c>
      <c r="C502" t="s">
        <v>12722</v>
      </c>
      <c r="D502" t="s">
        <v>2858</v>
      </c>
      <c r="E502" t="s">
        <v>12234</v>
      </c>
      <c r="F502" t="s">
        <v>12246</v>
      </c>
      <c r="G502" t="s">
        <v>112</v>
      </c>
      <c r="H502" t="s">
        <v>2856</v>
      </c>
      <c r="I502" t="str">
        <f t="shared" si="32"/>
        <v>1124-1084</v>
      </c>
      <c r="J502" t="str">
        <f t="shared" si="29"/>
        <v>BC</v>
      </c>
      <c r="K502">
        <f t="shared" si="30"/>
        <v>-1124</v>
      </c>
      <c r="L502">
        <f t="shared" si="31"/>
        <v>-1084</v>
      </c>
    </row>
    <row r="503" spans="1:12" x14ac:dyDescent="0.35">
      <c r="A503">
        <v>516</v>
      </c>
      <c r="B503" t="s">
        <v>2859</v>
      </c>
      <c r="C503" t="s">
        <v>12711</v>
      </c>
      <c r="D503" t="s">
        <v>12235</v>
      </c>
      <c r="E503" t="s">
        <v>2860</v>
      </c>
      <c r="F503" t="s">
        <v>12247</v>
      </c>
      <c r="G503" t="s">
        <v>12510</v>
      </c>
      <c r="H503" t="s">
        <v>2856</v>
      </c>
      <c r="I503" t="str">
        <f t="shared" si="32"/>
        <v>1104</v>
      </c>
      <c r="J503" t="str">
        <f t="shared" si="29"/>
        <v>BC</v>
      </c>
      <c r="K503">
        <f t="shared" si="30"/>
        <v>-1104</v>
      </c>
      <c r="L503">
        <f t="shared" si="31"/>
        <v>-1104</v>
      </c>
    </row>
    <row r="504" spans="1:12" x14ac:dyDescent="0.35">
      <c r="A504">
        <v>517</v>
      </c>
      <c r="B504" t="s">
        <v>2861</v>
      </c>
      <c r="C504" t="s">
        <v>10094</v>
      </c>
      <c r="D504" t="s">
        <v>2862</v>
      </c>
      <c r="E504" t="s">
        <v>2860</v>
      </c>
      <c r="F504" t="s">
        <v>12247</v>
      </c>
      <c r="G504" t="s">
        <v>12510</v>
      </c>
      <c r="H504" t="s">
        <v>2856</v>
      </c>
      <c r="I504" t="str">
        <f t="shared" si="32"/>
        <v>1104</v>
      </c>
      <c r="J504" t="str">
        <f t="shared" si="29"/>
        <v>BC</v>
      </c>
      <c r="K504">
        <f t="shared" si="30"/>
        <v>-1104</v>
      </c>
      <c r="L504">
        <f t="shared" si="31"/>
        <v>-1104</v>
      </c>
    </row>
    <row r="505" spans="1:12" x14ac:dyDescent="0.35">
      <c r="A505">
        <v>518</v>
      </c>
      <c r="B505" t="s">
        <v>2863</v>
      </c>
      <c r="C505" t="s">
        <v>12723</v>
      </c>
      <c r="D505" t="s">
        <v>2864</v>
      </c>
      <c r="E505" t="s">
        <v>2865</v>
      </c>
      <c r="F505" t="s">
        <v>12247</v>
      </c>
      <c r="G505" t="s">
        <v>112</v>
      </c>
      <c r="H505" t="s">
        <v>2856</v>
      </c>
      <c r="I505" t="str">
        <f t="shared" si="32"/>
        <v>1104</v>
      </c>
      <c r="J505" t="str">
        <f t="shared" si="29"/>
        <v>BC</v>
      </c>
      <c r="K505">
        <f t="shared" si="30"/>
        <v>-1104</v>
      </c>
      <c r="L505">
        <f t="shared" si="31"/>
        <v>-1104</v>
      </c>
    </row>
    <row r="506" spans="1:12" x14ac:dyDescent="0.35">
      <c r="A506">
        <v>519</v>
      </c>
      <c r="B506" t="s">
        <v>2866</v>
      </c>
      <c r="C506" t="s">
        <v>10091</v>
      </c>
      <c r="D506" t="s">
        <v>12236</v>
      </c>
      <c r="E506" t="s">
        <v>2865</v>
      </c>
      <c r="F506" t="s">
        <v>12247</v>
      </c>
      <c r="G506" t="s">
        <v>112</v>
      </c>
      <c r="H506" t="s">
        <v>2856</v>
      </c>
      <c r="I506" t="str">
        <f t="shared" si="32"/>
        <v>1104</v>
      </c>
      <c r="J506" t="str">
        <f t="shared" si="29"/>
        <v>BC</v>
      </c>
      <c r="K506">
        <f t="shared" si="30"/>
        <v>-1104</v>
      </c>
      <c r="L506">
        <f t="shared" si="31"/>
        <v>-1104</v>
      </c>
    </row>
    <row r="507" spans="1:12" x14ac:dyDescent="0.35">
      <c r="A507">
        <v>520</v>
      </c>
      <c r="B507" t="s">
        <v>2872</v>
      </c>
      <c r="C507" t="s">
        <v>10096</v>
      </c>
      <c r="D507" t="s">
        <v>2873</v>
      </c>
      <c r="E507" t="s">
        <v>2874</v>
      </c>
      <c r="F507" t="s">
        <v>12247</v>
      </c>
      <c r="G507" t="s">
        <v>12511</v>
      </c>
      <c r="H507" t="s">
        <v>2856</v>
      </c>
      <c r="I507" t="str">
        <f t="shared" si="32"/>
        <v>1104</v>
      </c>
      <c r="J507" t="str">
        <f t="shared" si="29"/>
        <v>BC</v>
      </c>
      <c r="K507">
        <f t="shared" si="30"/>
        <v>-1104</v>
      </c>
      <c r="L507">
        <f t="shared" si="31"/>
        <v>-1104</v>
      </c>
    </row>
    <row r="508" spans="1:12" x14ac:dyDescent="0.35">
      <c r="A508">
        <v>521</v>
      </c>
      <c r="B508" t="s">
        <v>12237</v>
      </c>
      <c r="C508" t="s">
        <v>12710</v>
      </c>
      <c r="D508" t="s">
        <v>12238</v>
      </c>
      <c r="E508" t="s">
        <v>12239</v>
      </c>
      <c r="F508" t="s">
        <v>12247</v>
      </c>
      <c r="G508" t="s">
        <v>12511</v>
      </c>
      <c r="H508" t="s">
        <v>2856</v>
      </c>
      <c r="I508" t="str">
        <f t="shared" si="32"/>
        <v>1104</v>
      </c>
      <c r="J508" t="str">
        <f t="shared" si="29"/>
        <v>BC</v>
      </c>
      <c r="K508">
        <f t="shared" si="30"/>
        <v>-1104</v>
      </c>
      <c r="L508">
        <f t="shared" si="31"/>
        <v>-1104</v>
      </c>
    </row>
    <row r="509" spans="1:12" x14ac:dyDescent="0.35">
      <c r="A509">
        <v>522</v>
      </c>
      <c r="B509" t="s">
        <v>2868</v>
      </c>
      <c r="C509" t="s">
        <v>12724</v>
      </c>
      <c r="D509" t="s">
        <v>2869</v>
      </c>
      <c r="E509" t="s">
        <v>2867</v>
      </c>
      <c r="F509" t="s">
        <v>12247</v>
      </c>
      <c r="G509" t="s">
        <v>112</v>
      </c>
      <c r="H509" t="s">
        <v>2856</v>
      </c>
      <c r="I509" t="str">
        <f t="shared" si="32"/>
        <v>1104</v>
      </c>
      <c r="J509" t="str">
        <f t="shared" si="29"/>
        <v>BC</v>
      </c>
      <c r="K509">
        <f t="shared" si="30"/>
        <v>-1104</v>
      </c>
      <c r="L509">
        <f t="shared" si="31"/>
        <v>-1104</v>
      </c>
    </row>
    <row r="510" spans="1:12" x14ac:dyDescent="0.35">
      <c r="A510">
        <v>523</v>
      </c>
      <c r="B510" t="s">
        <v>2870</v>
      </c>
      <c r="C510" t="s">
        <v>12725</v>
      </c>
      <c r="D510" t="s">
        <v>2871</v>
      </c>
      <c r="E510" t="s">
        <v>2865</v>
      </c>
      <c r="F510" t="s">
        <v>12247</v>
      </c>
      <c r="G510" t="s">
        <v>112</v>
      </c>
      <c r="H510" t="s">
        <v>2856</v>
      </c>
      <c r="I510" t="str">
        <f t="shared" si="32"/>
        <v>1104</v>
      </c>
      <c r="J510" t="str">
        <f t="shared" si="29"/>
        <v>BC</v>
      </c>
      <c r="K510">
        <f t="shared" si="30"/>
        <v>-1104</v>
      </c>
      <c r="L510">
        <f t="shared" si="31"/>
        <v>-1104</v>
      </c>
    </row>
    <row r="511" spans="1:12" x14ac:dyDescent="0.35">
      <c r="A511">
        <v>524</v>
      </c>
      <c r="B511" t="s">
        <v>12240</v>
      </c>
      <c r="C511" t="s">
        <v>10097</v>
      </c>
      <c r="D511" t="s">
        <v>12241</v>
      </c>
      <c r="E511" t="s">
        <v>2337</v>
      </c>
      <c r="F511" t="s">
        <v>12247</v>
      </c>
      <c r="G511" t="s">
        <v>63</v>
      </c>
      <c r="H511" t="s">
        <v>2856</v>
      </c>
      <c r="I511" t="str">
        <f t="shared" si="32"/>
        <v>1104</v>
      </c>
      <c r="J511" t="str">
        <f t="shared" si="29"/>
        <v>BC</v>
      </c>
      <c r="K511">
        <f t="shared" si="30"/>
        <v>-1104</v>
      </c>
      <c r="L511">
        <f t="shared" si="31"/>
        <v>-1104</v>
      </c>
    </row>
    <row r="512" spans="1:12" x14ac:dyDescent="0.35">
      <c r="A512">
        <v>525</v>
      </c>
      <c r="B512" t="s">
        <v>12230</v>
      </c>
      <c r="C512" t="s">
        <v>11234</v>
      </c>
      <c r="D512" t="s">
        <v>2875</v>
      </c>
      <c r="E512" t="s">
        <v>2337</v>
      </c>
      <c r="F512" t="s">
        <v>12248</v>
      </c>
      <c r="G512" t="s">
        <v>112</v>
      </c>
      <c r="H512" t="s">
        <v>2876</v>
      </c>
      <c r="I512" t="str">
        <f t="shared" si="32"/>
        <v>1104-1064</v>
      </c>
      <c r="J512" t="str">
        <f t="shared" si="29"/>
        <v>BC</v>
      </c>
      <c r="K512">
        <f t="shared" si="30"/>
        <v>-1104</v>
      </c>
      <c r="L512">
        <f t="shared" si="31"/>
        <v>-1064</v>
      </c>
    </row>
    <row r="513" spans="1:12" x14ac:dyDescent="0.35">
      <c r="A513">
        <v>526</v>
      </c>
      <c r="B513" t="s">
        <v>2877</v>
      </c>
      <c r="C513" t="s">
        <v>10088</v>
      </c>
      <c r="D513" t="s">
        <v>2878</v>
      </c>
      <c r="E513" t="s">
        <v>2337</v>
      </c>
      <c r="F513" t="s">
        <v>12249</v>
      </c>
      <c r="G513" t="s">
        <v>112</v>
      </c>
      <c r="H513" t="s">
        <v>2879</v>
      </c>
      <c r="I513" t="str">
        <f t="shared" si="32"/>
        <v>1064-1057</v>
      </c>
      <c r="J513" t="str">
        <f t="shared" si="29"/>
        <v>BC</v>
      </c>
      <c r="K513">
        <f t="shared" si="30"/>
        <v>-1064</v>
      </c>
      <c r="L513">
        <f t="shared" si="31"/>
        <v>-1057</v>
      </c>
    </row>
    <row r="514" spans="1:12" x14ac:dyDescent="0.35">
      <c r="A514">
        <v>527</v>
      </c>
      <c r="B514" t="s">
        <v>2880</v>
      </c>
      <c r="C514" t="s">
        <v>11236</v>
      </c>
      <c r="D514" t="s">
        <v>2881</v>
      </c>
      <c r="E514" t="s">
        <v>2337</v>
      </c>
      <c r="F514" t="s">
        <v>12249</v>
      </c>
      <c r="G514" t="s">
        <v>311</v>
      </c>
      <c r="H514" t="s">
        <v>2879</v>
      </c>
      <c r="I514" t="str">
        <f t="shared" si="32"/>
        <v>1064-1057</v>
      </c>
      <c r="J514" t="str">
        <f t="shared" ref="J514:J577" si="33">RIGHT(F514, 2)</f>
        <v>BC</v>
      </c>
      <c r="K514">
        <f t="shared" ref="K514:K577" si="34">IF(J514="BC", 0-IF(ISERROR(FIND("-",I514)),I514,LEFT(I514,FIND("-",I514)-1)), IF(ISERROR(FIND("-",I514)),I514,LEFT(I514,FIND("-",I514)-1)))</f>
        <v>-1064</v>
      </c>
      <c r="L514">
        <f t="shared" ref="L514:L577" si="35">IF(J514="BC", 0-IF(ISERROR(FIND("-",I514)),I514,RIGHT(I514,FIND("-",I514)-1)), IF(ISERROR(FIND("-",I514)),I514,RIGHT(I514,FIND("-",I514)-1)))</f>
        <v>-1057</v>
      </c>
    </row>
    <row r="515" spans="1:12" x14ac:dyDescent="0.35">
      <c r="A515">
        <v>528</v>
      </c>
      <c r="B515" t="s">
        <v>2883</v>
      </c>
      <c r="C515" t="s">
        <v>12261</v>
      </c>
      <c r="D515" t="s">
        <v>2884</v>
      </c>
      <c r="E515" t="s">
        <v>2337</v>
      </c>
      <c r="F515" t="s">
        <v>12250</v>
      </c>
      <c r="G515" t="s">
        <v>12659</v>
      </c>
      <c r="H515" t="s">
        <v>2882</v>
      </c>
      <c r="I515" t="str">
        <f t="shared" si="32"/>
        <v>1057</v>
      </c>
      <c r="J515" t="str">
        <f t="shared" si="33"/>
        <v>BC</v>
      </c>
      <c r="K515">
        <f t="shared" si="34"/>
        <v>-1057</v>
      </c>
      <c r="L515">
        <f t="shared" si="35"/>
        <v>-1057</v>
      </c>
    </row>
    <row r="516" spans="1:12" x14ac:dyDescent="0.35">
      <c r="A516">
        <v>529</v>
      </c>
      <c r="B516" t="s">
        <v>2885</v>
      </c>
      <c r="C516" t="s">
        <v>11237</v>
      </c>
      <c r="D516" t="s">
        <v>2886</v>
      </c>
      <c r="E516" t="s">
        <v>2337</v>
      </c>
      <c r="F516" t="s">
        <v>12250</v>
      </c>
      <c r="G516" t="s">
        <v>12659</v>
      </c>
      <c r="H516" t="s">
        <v>2882</v>
      </c>
      <c r="I516" t="str">
        <f t="shared" si="32"/>
        <v>1057</v>
      </c>
      <c r="J516" t="str">
        <f t="shared" si="33"/>
        <v>BC</v>
      </c>
      <c r="K516">
        <f t="shared" si="34"/>
        <v>-1057</v>
      </c>
      <c r="L516">
        <f t="shared" si="35"/>
        <v>-1057</v>
      </c>
    </row>
    <row r="517" spans="1:12" x14ac:dyDescent="0.35">
      <c r="A517">
        <v>530</v>
      </c>
      <c r="B517" t="s">
        <v>2887</v>
      </c>
      <c r="C517" t="s">
        <v>10751</v>
      </c>
      <c r="D517" t="s">
        <v>2888</v>
      </c>
      <c r="E517" t="s">
        <v>2889</v>
      </c>
      <c r="F517" t="s">
        <v>12250</v>
      </c>
      <c r="G517" t="s">
        <v>63</v>
      </c>
      <c r="H517" t="s">
        <v>2882</v>
      </c>
      <c r="I517" t="str">
        <f t="shared" si="32"/>
        <v>1057</v>
      </c>
      <c r="J517" t="str">
        <f t="shared" si="33"/>
        <v>BC</v>
      </c>
      <c r="K517">
        <f t="shared" si="34"/>
        <v>-1057</v>
      </c>
      <c r="L517">
        <f t="shared" si="35"/>
        <v>-1057</v>
      </c>
    </row>
    <row r="518" spans="1:12" x14ac:dyDescent="0.35">
      <c r="A518">
        <v>531</v>
      </c>
      <c r="B518" t="s">
        <v>12262</v>
      </c>
      <c r="C518" t="s">
        <v>12263</v>
      </c>
      <c r="D518" t="s">
        <v>2890</v>
      </c>
      <c r="E518" t="s">
        <v>2889</v>
      </c>
      <c r="F518" t="s">
        <v>12250</v>
      </c>
      <c r="G518" t="s">
        <v>63</v>
      </c>
      <c r="H518" t="s">
        <v>2882</v>
      </c>
      <c r="I518" t="str">
        <f t="shared" si="32"/>
        <v>1057</v>
      </c>
      <c r="J518" t="str">
        <f t="shared" si="33"/>
        <v>BC</v>
      </c>
      <c r="K518">
        <f t="shared" si="34"/>
        <v>-1057</v>
      </c>
      <c r="L518">
        <f t="shared" si="35"/>
        <v>-1057</v>
      </c>
    </row>
    <row r="519" spans="1:12" x14ac:dyDescent="0.35">
      <c r="A519">
        <v>532</v>
      </c>
      <c r="B519" t="s">
        <v>2891</v>
      </c>
      <c r="C519" t="s">
        <v>12264</v>
      </c>
      <c r="D519" t="s">
        <v>2890</v>
      </c>
      <c r="E519" t="s">
        <v>2889</v>
      </c>
      <c r="F519" t="s">
        <v>12250</v>
      </c>
      <c r="G519" t="s">
        <v>63</v>
      </c>
      <c r="H519" t="s">
        <v>2882</v>
      </c>
      <c r="I519" t="str">
        <f t="shared" si="32"/>
        <v>1057</v>
      </c>
      <c r="J519" t="str">
        <f t="shared" si="33"/>
        <v>BC</v>
      </c>
      <c r="K519">
        <f t="shared" si="34"/>
        <v>-1057</v>
      </c>
      <c r="L519">
        <f t="shared" si="35"/>
        <v>-1057</v>
      </c>
    </row>
    <row r="520" spans="1:12" x14ac:dyDescent="0.35">
      <c r="A520">
        <v>533</v>
      </c>
      <c r="B520" t="s">
        <v>2892</v>
      </c>
      <c r="C520" t="s">
        <v>12265</v>
      </c>
      <c r="D520" t="s">
        <v>2893</v>
      </c>
      <c r="E520" t="s">
        <v>2889</v>
      </c>
      <c r="F520" t="s">
        <v>12250</v>
      </c>
      <c r="G520" t="s">
        <v>112</v>
      </c>
      <c r="H520" t="s">
        <v>2882</v>
      </c>
      <c r="I520" t="str">
        <f t="shared" si="32"/>
        <v>1057</v>
      </c>
      <c r="J520" t="str">
        <f t="shared" si="33"/>
        <v>BC</v>
      </c>
      <c r="K520">
        <f t="shared" si="34"/>
        <v>-1057</v>
      </c>
      <c r="L520">
        <f t="shared" si="35"/>
        <v>-1057</v>
      </c>
    </row>
    <row r="521" spans="1:12" x14ac:dyDescent="0.35">
      <c r="A521">
        <v>534</v>
      </c>
      <c r="B521" t="s">
        <v>2894</v>
      </c>
      <c r="C521" t="s">
        <v>12266</v>
      </c>
      <c r="D521" t="s">
        <v>2895</v>
      </c>
      <c r="E521" t="s">
        <v>2889</v>
      </c>
      <c r="F521" t="s">
        <v>12250</v>
      </c>
      <c r="G521" t="s">
        <v>112</v>
      </c>
      <c r="H521" t="s">
        <v>2882</v>
      </c>
      <c r="I521" t="str">
        <f t="shared" si="32"/>
        <v>1057</v>
      </c>
      <c r="J521" t="str">
        <f t="shared" si="33"/>
        <v>BC</v>
      </c>
      <c r="K521">
        <f t="shared" si="34"/>
        <v>-1057</v>
      </c>
      <c r="L521">
        <f t="shared" si="35"/>
        <v>-1057</v>
      </c>
    </row>
    <row r="522" spans="1:12" x14ac:dyDescent="0.35">
      <c r="A522">
        <v>535</v>
      </c>
      <c r="B522" t="s">
        <v>12267</v>
      </c>
      <c r="C522" t="s">
        <v>12268</v>
      </c>
      <c r="D522" t="s">
        <v>12269</v>
      </c>
      <c r="E522" t="s">
        <v>2889</v>
      </c>
      <c r="F522" t="s">
        <v>12250</v>
      </c>
      <c r="G522" t="s">
        <v>63</v>
      </c>
      <c r="H522" t="s">
        <v>2882</v>
      </c>
      <c r="I522" t="str">
        <f t="shared" si="32"/>
        <v>1057</v>
      </c>
      <c r="J522" t="str">
        <f t="shared" si="33"/>
        <v>BC</v>
      </c>
      <c r="K522">
        <f t="shared" si="34"/>
        <v>-1057</v>
      </c>
      <c r="L522">
        <f t="shared" si="35"/>
        <v>-1057</v>
      </c>
    </row>
    <row r="523" spans="1:12" x14ac:dyDescent="0.35">
      <c r="A523">
        <v>536</v>
      </c>
      <c r="B523" t="s">
        <v>12270</v>
      </c>
      <c r="C523" t="s">
        <v>12268</v>
      </c>
      <c r="D523" t="s">
        <v>12271</v>
      </c>
      <c r="E523" t="s">
        <v>2889</v>
      </c>
      <c r="F523" t="s">
        <v>12250</v>
      </c>
      <c r="G523" t="s">
        <v>63</v>
      </c>
      <c r="H523" t="s">
        <v>2882</v>
      </c>
      <c r="I523" t="str">
        <f t="shared" si="32"/>
        <v>1057</v>
      </c>
      <c r="J523" t="str">
        <f t="shared" si="33"/>
        <v>BC</v>
      </c>
      <c r="K523">
        <f t="shared" si="34"/>
        <v>-1057</v>
      </c>
      <c r="L523">
        <f t="shared" si="35"/>
        <v>-1057</v>
      </c>
    </row>
    <row r="524" spans="1:12" x14ac:dyDescent="0.35">
      <c r="A524">
        <v>537</v>
      </c>
      <c r="B524" t="s">
        <v>2896</v>
      </c>
      <c r="C524" t="s">
        <v>11172</v>
      </c>
      <c r="D524" t="s">
        <v>2898</v>
      </c>
      <c r="E524" t="s">
        <v>2889</v>
      </c>
      <c r="F524" t="s">
        <v>12250</v>
      </c>
      <c r="G524" t="s">
        <v>63</v>
      </c>
      <c r="H524" t="s">
        <v>2882</v>
      </c>
      <c r="I524" t="str">
        <f t="shared" si="32"/>
        <v>1057</v>
      </c>
      <c r="J524" t="str">
        <f t="shared" si="33"/>
        <v>BC</v>
      </c>
      <c r="K524">
        <f t="shared" si="34"/>
        <v>-1057</v>
      </c>
      <c r="L524">
        <f t="shared" si="35"/>
        <v>-1057</v>
      </c>
    </row>
    <row r="525" spans="1:12" x14ac:dyDescent="0.35">
      <c r="A525">
        <v>538</v>
      </c>
      <c r="B525" t="s">
        <v>2897</v>
      </c>
      <c r="C525" t="s">
        <v>10098</v>
      </c>
      <c r="D525" t="s">
        <v>2898</v>
      </c>
      <c r="E525" t="s">
        <v>2889</v>
      </c>
      <c r="F525" t="s">
        <v>12250</v>
      </c>
      <c r="G525" t="s">
        <v>63</v>
      </c>
      <c r="H525" t="s">
        <v>2882</v>
      </c>
      <c r="I525" t="str">
        <f t="shared" si="32"/>
        <v>1057</v>
      </c>
      <c r="J525" t="str">
        <f t="shared" si="33"/>
        <v>BC</v>
      </c>
      <c r="K525">
        <f t="shared" si="34"/>
        <v>-1057</v>
      </c>
      <c r="L525">
        <f t="shared" si="35"/>
        <v>-1057</v>
      </c>
    </row>
    <row r="526" spans="1:12" x14ac:dyDescent="0.35">
      <c r="A526">
        <v>539</v>
      </c>
      <c r="B526" t="s">
        <v>2899</v>
      </c>
      <c r="C526" t="s">
        <v>12272</v>
      </c>
      <c r="D526" t="s">
        <v>2900</v>
      </c>
      <c r="E526" t="s">
        <v>2889</v>
      </c>
      <c r="F526" t="s">
        <v>12250</v>
      </c>
      <c r="G526" t="s">
        <v>112</v>
      </c>
      <c r="H526" t="s">
        <v>2882</v>
      </c>
      <c r="I526" t="str">
        <f t="shared" si="32"/>
        <v>1057</v>
      </c>
      <c r="J526" t="str">
        <f t="shared" si="33"/>
        <v>BC</v>
      </c>
      <c r="K526">
        <f t="shared" si="34"/>
        <v>-1057</v>
      </c>
      <c r="L526">
        <f t="shared" si="35"/>
        <v>-1057</v>
      </c>
    </row>
    <row r="527" spans="1:12" x14ac:dyDescent="0.35">
      <c r="A527">
        <v>540</v>
      </c>
      <c r="B527" t="s">
        <v>2901</v>
      </c>
      <c r="C527" t="s">
        <v>11112</v>
      </c>
      <c r="D527" t="s">
        <v>2902</v>
      </c>
      <c r="E527" t="s">
        <v>2889</v>
      </c>
      <c r="F527" t="s">
        <v>12250</v>
      </c>
      <c r="G527" t="s">
        <v>112</v>
      </c>
      <c r="H527" t="s">
        <v>2882</v>
      </c>
      <c r="I527" t="str">
        <f t="shared" si="32"/>
        <v>1057</v>
      </c>
      <c r="J527" t="str">
        <f t="shared" si="33"/>
        <v>BC</v>
      </c>
      <c r="K527">
        <f t="shared" si="34"/>
        <v>-1057</v>
      </c>
      <c r="L527">
        <f t="shared" si="35"/>
        <v>-1057</v>
      </c>
    </row>
    <row r="528" spans="1:12" x14ac:dyDescent="0.35">
      <c r="A528">
        <v>541</v>
      </c>
      <c r="B528" t="s">
        <v>2903</v>
      </c>
      <c r="C528" t="s">
        <v>10089</v>
      </c>
      <c r="D528" t="s">
        <v>2904</v>
      </c>
      <c r="E528" t="s">
        <v>2889</v>
      </c>
      <c r="F528" t="s">
        <v>12250</v>
      </c>
      <c r="G528" t="s">
        <v>112</v>
      </c>
      <c r="H528" t="s">
        <v>2882</v>
      </c>
      <c r="I528" t="str">
        <f t="shared" si="32"/>
        <v>1057</v>
      </c>
      <c r="J528" t="str">
        <f t="shared" si="33"/>
        <v>BC</v>
      </c>
      <c r="K528">
        <f t="shared" si="34"/>
        <v>-1057</v>
      </c>
      <c r="L528">
        <f t="shared" si="35"/>
        <v>-1057</v>
      </c>
    </row>
    <row r="529" spans="1:12" x14ac:dyDescent="0.35">
      <c r="A529">
        <v>542</v>
      </c>
      <c r="B529" t="s">
        <v>12339</v>
      </c>
      <c r="C529" t="s">
        <v>12340</v>
      </c>
      <c r="D529" t="s">
        <v>2905</v>
      </c>
      <c r="E529" t="s">
        <v>2906</v>
      </c>
      <c r="F529" t="s">
        <v>12250</v>
      </c>
      <c r="G529" t="s">
        <v>12554</v>
      </c>
      <c r="H529" t="s">
        <v>2882</v>
      </c>
      <c r="I529" t="str">
        <f t="shared" si="32"/>
        <v>1057</v>
      </c>
      <c r="J529" t="str">
        <f t="shared" si="33"/>
        <v>BC</v>
      </c>
      <c r="K529">
        <f t="shared" si="34"/>
        <v>-1057</v>
      </c>
      <c r="L529">
        <f t="shared" si="35"/>
        <v>-1057</v>
      </c>
    </row>
    <row r="530" spans="1:12" x14ac:dyDescent="0.35">
      <c r="A530">
        <v>543</v>
      </c>
      <c r="B530" t="s">
        <v>12273</v>
      </c>
      <c r="C530" t="s">
        <v>12726</v>
      </c>
      <c r="D530" t="s">
        <v>2907</v>
      </c>
      <c r="E530" t="s">
        <v>2889</v>
      </c>
      <c r="F530" t="s">
        <v>12250</v>
      </c>
      <c r="G530" t="s">
        <v>112</v>
      </c>
      <c r="H530" t="s">
        <v>2882</v>
      </c>
      <c r="I530" t="str">
        <f t="shared" si="32"/>
        <v>1057</v>
      </c>
      <c r="J530" t="str">
        <f t="shared" si="33"/>
        <v>BC</v>
      </c>
      <c r="K530">
        <f t="shared" si="34"/>
        <v>-1057</v>
      </c>
      <c r="L530">
        <f t="shared" si="35"/>
        <v>-1057</v>
      </c>
    </row>
    <row r="531" spans="1:12" x14ac:dyDescent="0.35">
      <c r="A531">
        <v>544</v>
      </c>
      <c r="B531" t="s">
        <v>12341</v>
      </c>
      <c r="C531" t="s">
        <v>12726</v>
      </c>
      <c r="D531" t="s">
        <v>2908</v>
      </c>
      <c r="E531" t="s">
        <v>2889</v>
      </c>
      <c r="F531" t="s">
        <v>12250</v>
      </c>
      <c r="G531" t="s">
        <v>112</v>
      </c>
      <c r="H531" t="s">
        <v>2882</v>
      </c>
      <c r="I531" t="str">
        <f t="shared" si="32"/>
        <v>1057</v>
      </c>
      <c r="J531" t="str">
        <f t="shared" si="33"/>
        <v>BC</v>
      </c>
      <c r="K531">
        <f t="shared" si="34"/>
        <v>-1057</v>
      </c>
      <c r="L531">
        <f t="shared" si="35"/>
        <v>-1057</v>
      </c>
    </row>
    <row r="532" spans="1:12" x14ac:dyDescent="0.35">
      <c r="A532">
        <v>545</v>
      </c>
      <c r="B532" t="s">
        <v>2909</v>
      </c>
      <c r="C532" t="s">
        <v>12274</v>
      </c>
      <c r="D532" t="s">
        <v>12275</v>
      </c>
      <c r="E532" t="s">
        <v>2910</v>
      </c>
      <c r="F532" t="s">
        <v>12250</v>
      </c>
      <c r="G532" t="s">
        <v>112</v>
      </c>
      <c r="H532" t="s">
        <v>2882</v>
      </c>
      <c r="I532" t="str">
        <f t="shared" si="32"/>
        <v>1057</v>
      </c>
      <c r="J532" t="str">
        <f t="shared" si="33"/>
        <v>BC</v>
      </c>
      <c r="K532">
        <f t="shared" si="34"/>
        <v>-1057</v>
      </c>
      <c r="L532">
        <f t="shared" si="35"/>
        <v>-1057</v>
      </c>
    </row>
    <row r="533" spans="1:12" x14ac:dyDescent="0.35">
      <c r="A533">
        <v>546</v>
      </c>
      <c r="B533" t="s">
        <v>2911</v>
      </c>
      <c r="C533" t="s">
        <v>11239</v>
      </c>
      <c r="D533" t="s">
        <v>12276</v>
      </c>
      <c r="E533" t="s">
        <v>2910</v>
      </c>
      <c r="F533" t="s">
        <v>12250</v>
      </c>
      <c r="G533" t="s">
        <v>112</v>
      </c>
      <c r="H533" t="s">
        <v>2882</v>
      </c>
      <c r="I533" t="str">
        <f t="shared" si="32"/>
        <v>1057</v>
      </c>
      <c r="J533" t="str">
        <f t="shared" si="33"/>
        <v>BC</v>
      </c>
      <c r="K533">
        <f t="shared" si="34"/>
        <v>-1057</v>
      </c>
      <c r="L533">
        <f t="shared" si="35"/>
        <v>-1057</v>
      </c>
    </row>
    <row r="534" spans="1:12" x14ac:dyDescent="0.35">
      <c r="A534">
        <v>547</v>
      </c>
      <c r="B534" t="s">
        <v>12277</v>
      </c>
      <c r="C534" t="s">
        <v>12274</v>
      </c>
      <c r="D534" t="s">
        <v>2912</v>
      </c>
      <c r="E534" t="s">
        <v>2910</v>
      </c>
      <c r="F534" t="s">
        <v>12250</v>
      </c>
      <c r="G534" t="s">
        <v>112</v>
      </c>
      <c r="H534" t="s">
        <v>2882</v>
      </c>
      <c r="I534" t="str">
        <f t="shared" si="32"/>
        <v>1057</v>
      </c>
      <c r="J534" t="str">
        <f t="shared" si="33"/>
        <v>BC</v>
      </c>
      <c r="K534">
        <f t="shared" si="34"/>
        <v>-1057</v>
      </c>
      <c r="L534">
        <f t="shared" si="35"/>
        <v>-1057</v>
      </c>
    </row>
    <row r="535" spans="1:12" x14ac:dyDescent="0.35">
      <c r="A535">
        <v>548</v>
      </c>
      <c r="B535" t="s">
        <v>2913</v>
      </c>
      <c r="C535" t="s">
        <v>12278</v>
      </c>
      <c r="D535" t="s">
        <v>2914</v>
      </c>
      <c r="E535" t="s">
        <v>2910</v>
      </c>
      <c r="F535" t="s">
        <v>12250</v>
      </c>
      <c r="G535" t="s">
        <v>112</v>
      </c>
      <c r="H535" t="s">
        <v>2882</v>
      </c>
      <c r="I535" t="str">
        <f t="shared" si="32"/>
        <v>1057</v>
      </c>
      <c r="J535" t="str">
        <f t="shared" si="33"/>
        <v>BC</v>
      </c>
      <c r="K535">
        <f t="shared" si="34"/>
        <v>-1057</v>
      </c>
      <c r="L535">
        <f t="shared" si="35"/>
        <v>-1057</v>
      </c>
    </row>
    <row r="536" spans="1:12" x14ac:dyDescent="0.35">
      <c r="A536">
        <v>549</v>
      </c>
      <c r="B536" t="s">
        <v>2915</v>
      </c>
      <c r="C536" t="s">
        <v>10094</v>
      </c>
      <c r="D536" t="s">
        <v>2914</v>
      </c>
      <c r="E536" t="s">
        <v>2910</v>
      </c>
      <c r="F536" t="s">
        <v>12250</v>
      </c>
      <c r="G536" t="s">
        <v>112</v>
      </c>
      <c r="H536" t="s">
        <v>2882</v>
      </c>
      <c r="I536" t="str">
        <f t="shared" si="32"/>
        <v>1057</v>
      </c>
      <c r="J536" t="str">
        <f t="shared" si="33"/>
        <v>BC</v>
      </c>
      <c r="K536">
        <f t="shared" si="34"/>
        <v>-1057</v>
      </c>
      <c r="L536">
        <f t="shared" si="35"/>
        <v>-1057</v>
      </c>
    </row>
    <row r="537" spans="1:12" x14ac:dyDescent="0.35">
      <c r="A537">
        <v>550</v>
      </c>
      <c r="B537" t="s">
        <v>2916</v>
      </c>
      <c r="C537" t="s">
        <v>11112</v>
      </c>
      <c r="D537" t="s">
        <v>2917</v>
      </c>
      <c r="E537" t="s">
        <v>2918</v>
      </c>
      <c r="F537" t="s">
        <v>12250</v>
      </c>
      <c r="G537" t="s">
        <v>112</v>
      </c>
      <c r="H537" t="s">
        <v>2882</v>
      </c>
      <c r="I537" t="str">
        <f t="shared" si="32"/>
        <v>1057</v>
      </c>
      <c r="J537" t="str">
        <f t="shared" si="33"/>
        <v>BC</v>
      </c>
      <c r="K537">
        <f t="shared" si="34"/>
        <v>-1057</v>
      </c>
      <c r="L537">
        <f t="shared" si="35"/>
        <v>-1057</v>
      </c>
    </row>
    <row r="538" spans="1:12" x14ac:dyDescent="0.35">
      <c r="A538">
        <v>551</v>
      </c>
      <c r="B538" t="s">
        <v>12279</v>
      </c>
      <c r="C538" t="s">
        <v>12280</v>
      </c>
      <c r="D538" t="s">
        <v>12281</v>
      </c>
      <c r="E538" t="s">
        <v>2918</v>
      </c>
      <c r="F538" t="s">
        <v>12250</v>
      </c>
      <c r="G538" t="s">
        <v>112</v>
      </c>
      <c r="H538" t="s">
        <v>2882</v>
      </c>
      <c r="I538" t="str">
        <f t="shared" si="32"/>
        <v>1057</v>
      </c>
      <c r="J538" t="str">
        <f t="shared" si="33"/>
        <v>BC</v>
      </c>
      <c r="K538">
        <f t="shared" si="34"/>
        <v>-1057</v>
      </c>
      <c r="L538">
        <f t="shared" si="35"/>
        <v>-1057</v>
      </c>
    </row>
    <row r="539" spans="1:12" x14ac:dyDescent="0.35">
      <c r="A539">
        <v>552</v>
      </c>
      <c r="B539" t="s">
        <v>12282</v>
      </c>
      <c r="C539" t="s">
        <v>12283</v>
      </c>
      <c r="D539" t="s">
        <v>2919</v>
      </c>
      <c r="E539" t="s">
        <v>2918</v>
      </c>
      <c r="F539" t="s">
        <v>12250</v>
      </c>
      <c r="G539" t="s">
        <v>12553</v>
      </c>
      <c r="H539" t="s">
        <v>2882</v>
      </c>
      <c r="I539" t="str">
        <f t="shared" si="32"/>
        <v>1057</v>
      </c>
      <c r="J539" t="str">
        <f t="shared" si="33"/>
        <v>BC</v>
      </c>
      <c r="K539">
        <f t="shared" si="34"/>
        <v>-1057</v>
      </c>
      <c r="L539">
        <f t="shared" si="35"/>
        <v>-1057</v>
      </c>
    </row>
    <row r="540" spans="1:12" x14ac:dyDescent="0.35">
      <c r="A540">
        <v>553</v>
      </c>
      <c r="B540" t="s">
        <v>2920</v>
      </c>
      <c r="C540" t="s">
        <v>12723</v>
      </c>
      <c r="D540" t="s">
        <v>2921</v>
      </c>
      <c r="E540" t="s">
        <v>2867</v>
      </c>
      <c r="F540" t="s">
        <v>12250</v>
      </c>
      <c r="G540" t="s">
        <v>112</v>
      </c>
      <c r="H540" t="s">
        <v>2882</v>
      </c>
      <c r="I540" t="str">
        <f t="shared" si="32"/>
        <v>1057</v>
      </c>
      <c r="J540" t="str">
        <f t="shared" si="33"/>
        <v>BC</v>
      </c>
      <c r="K540">
        <f t="shared" si="34"/>
        <v>-1057</v>
      </c>
      <c r="L540">
        <f t="shared" si="35"/>
        <v>-1057</v>
      </c>
    </row>
    <row r="541" spans="1:12" x14ac:dyDescent="0.35">
      <c r="A541">
        <v>554</v>
      </c>
      <c r="B541" t="s">
        <v>2922</v>
      </c>
      <c r="C541" t="s">
        <v>12727</v>
      </c>
      <c r="D541" t="s">
        <v>2923</v>
      </c>
      <c r="E541" t="s">
        <v>1112</v>
      </c>
      <c r="F541" t="s">
        <v>12250</v>
      </c>
      <c r="G541" t="s">
        <v>112</v>
      </c>
      <c r="H541" t="s">
        <v>2882</v>
      </c>
      <c r="I541" t="str">
        <f t="shared" si="32"/>
        <v>1057</v>
      </c>
      <c r="J541" t="str">
        <f t="shared" si="33"/>
        <v>BC</v>
      </c>
      <c r="K541">
        <f t="shared" si="34"/>
        <v>-1057</v>
      </c>
      <c r="L541">
        <f t="shared" si="35"/>
        <v>-1057</v>
      </c>
    </row>
    <row r="542" spans="1:12" x14ac:dyDescent="0.35">
      <c r="A542">
        <v>555</v>
      </c>
      <c r="B542" t="s">
        <v>2833</v>
      </c>
      <c r="C542" t="s">
        <v>11234</v>
      </c>
      <c r="D542" t="s">
        <v>2924</v>
      </c>
      <c r="E542" t="s">
        <v>2337</v>
      </c>
      <c r="F542" t="s">
        <v>12251</v>
      </c>
      <c r="G542" t="s">
        <v>112</v>
      </c>
      <c r="H542" t="s">
        <v>2925</v>
      </c>
      <c r="I542" t="str">
        <f t="shared" si="32"/>
        <v>1057-1017</v>
      </c>
      <c r="J542" t="str">
        <f t="shared" si="33"/>
        <v>BC</v>
      </c>
      <c r="K542">
        <f t="shared" si="34"/>
        <v>-1057</v>
      </c>
      <c r="L542">
        <f t="shared" si="35"/>
        <v>-1017</v>
      </c>
    </row>
    <row r="543" spans="1:12" x14ac:dyDescent="0.35">
      <c r="A543">
        <v>556</v>
      </c>
      <c r="B543" t="s">
        <v>12286</v>
      </c>
      <c r="C543" t="s">
        <v>12284</v>
      </c>
      <c r="D543" t="s">
        <v>12285</v>
      </c>
      <c r="E543" t="s">
        <v>183</v>
      </c>
      <c r="F543" t="s">
        <v>105</v>
      </c>
      <c r="G543" t="s">
        <v>112</v>
      </c>
      <c r="H543" t="s">
        <v>2926</v>
      </c>
      <c r="I543" t="str">
        <f t="shared" si="32"/>
        <v>1020</v>
      </c>
      <c r="J543" t="str">
        <f t="shared" si="33"/>
        <v>BC</v>
      </c>
      <c r="K543">
        <f t="shared" si="34"/>
        <v>-1020</v>
      </c>
      <c r="L543">
        <f t="shared" si="35"/>
        <v>-1020</v>
      </c>
    </row>
    <row r="544" spans="1:12" x14ac:dyDescent="0.35">
      <c r="A544">
        <v>557</v>
      </c>
      <c r="B544" t="s">
        <v>2927</v>
      </c>
      <c r="C544" t="s">
        <v>11241</v>
      </c>
      <c r="D544" t="s">
        <v>12287</v>
      </c>
      <c r="E544" t="s">
        <v>183</v>
      </c>
      <c r="F544" t="s">
        <v>105</v>
      </c>
      <c r="G544" t="s">
        <v>112</v>
      </c>
      <c r="H544" t="s">
        <v>2926</v>
      </c>
      <c r="I544" t="str">
        <f t="shared" si="32"/>
        <v>1020</v>
      </c>
      <c r="J544" t="str">
        <f t="shared" si="33"/>
        <v>BC</v>
      </c>
      <c r="K544">
        <f t="shared" si="34"/>
        <v>-1020</v>
      </c>
      <c r="L544">
        <f t="shared" si="35"/>
        <v>-1020</v>
      </c>
    </row>
    <row r="545" spans="1:12" x14ac:dyDescent="0.35">
      <c r="A545">
        <v>558</v>
      </c>
      <c r="B545" t="s">
        <v>2928</v>
      </c>
      <c r="C545" t="s">
        <v>11139</v>
      </c>
      <c r="D545" t="s">
        <v>2929</v>
      </c>
      <c r="E545" t="s">
        <v>2930</v>
      </c>
      <c r="F545" t="s">
        <v>106</v>
      </c>
      <c r="G545" t="s">
        <v>112</v>
      </c>
      <c r="H545" t="s">
        <v>2931</v>
      </c>
      <c r="I545" t="str">
        <f t="shared" si="32"/>
        <v>1017</v>
      </c>
      <c r="J545" t="str">
        <f t="shared" si="33"/>
        <v>BC</v>
      </c>
      <c r="K545">
        <f t="shared" si="34"/>
        <v>-1017</v>
      </c>
      <c r="L545">
        <f t="shared" si="35"/>
        <v>-1017</v>
      </c>
    </row>
    <row r="546" spans="1:12" x14ac:dyDescent="0.35">
      <c r="A546">
        <v>559</v>
      </c>
      <c r="B546" t="s">
        <v>2932</v>
      </c>
      <c r="C546" t="s">
        <v>10505</v>
      </c>
      <c r="D546" t="s">
        <v>2933</v>
      </c>
      <c r="E546" t="s">
        <v>2934</v>
      </c>
      <c r="F546" t="s">
        <v>12252</v>
      </c>
      <c r="G546" t="s">
        <v>112</v>
      </c>
      <c r="H546" t="s">
        <v>2935</v>
      </c>
      <c r="I546" t="str">
        <f t="shared" si="32"/>
        <v>1017-994</v>
      </c>
      <c r="J546" t="str">
        <f t="shared" si="33"/>
        <v>BC</v>
      </c>
      <c r="K546">
        <f t="shared" si="34"/>
        <v>-1017</v>
      </c>
      <c r="L546">
        <f t="shared" si="35"/>
        <v>994</v>
      </c>
    </row>
    <row r="547" spans="1:12" x14ac:dyDescent="0.35">
      <c r="A547">
        <v>560</v>
      </c>
      <c r="B547" t="s">
        <v>2936</v>
      </c>
      <c r="C547" t="s">
        <v>12722</v>
      </c>
      <c r="D547" t="s">
        <v>2937</v>
      </c>
      <c r="E547" t="s">
        <v>2938</v>
      </c>
      <c r="F547" t="s">
        <v>12253</v>
      </c>
      <c r="G547" t="s">
        <v>112</v>
      </c>
      <c r="H547" t="s">
        <v>1045</v>
      </c>
      <c r="I547" t="str">
        <f t="shared" si="32"/>
        <v>994-972</v>
      </c>
      <c r="J547" t="str">
        <f t="shared" si="33"/>
        <v>BC</v>
      </c>
      <c r="K547">
        <f t="shared" si="34"/>
        <v>-994</v>
      </c>
      <c r="L547">
        <f t="shared" si="35"/>
        <v>-972</v>
      </c>
    </row>
    <row r="548" spans="1:12" x14ac:dyDescent="0.35">
      <c r="A548">
        <v>561</v>
      </c>
      <c r="B548" t="s">
        <v>2939</v>
      </c>
      <c r="C548" t="s">
        <v>10088</v>
      </c>
      <c r="D548" t="s">
        <v>2940</v>
      </c>
      <c r="E548" t="s">
        <v>2337</v>
      </c>
      <c r="F548" t="s">
        <v>12254</v>
      </c>
      <c r="G548" t="s">
        <v>112</v>
      </c>
      <c r="H548" t="s">
        <v>2941</v>
      </c>
      <c r="I548" t="str">
        <f t="shared" si="32"/>
        <v>972</v>
      </c>
      <c r="J548" t="str">
        <f t="shared" si="33"/>
        <v>BC</v>
      </c>
      <c r="K548">
        <f t="shared" si="34"/>
        <v>-972</v>
      </c>
      <c r="L548">
        <f t="shared" si="35"/>
        <v>-972</v>
      </c>
    </row>
    <row r="549" spans="1:12" x14ac:dyDescent="0.35">
      <c r="A549">
        <v>562</v>
      </c>
      <c r="B549" t="s">
        <v>2942</v>
      </c>
      <c r="C549" t="s">
        <v>10088</v>
      </c>
      <c r="D549" t="s">
        <v>2943</v>
      </c>
      <c r="E549" t="s">
        <v>2337</v>
      </c>
      <c r="F549" t="s">
        <v>12255</v>
      </c>
      <c r="G549" t="s">
        <v>12552</v>
      </c>
      <c r="H549" t="s">
        <v>2944</v>
      </c>
      <c r="I549" t="str">
        <f t="shared" si="32"/>
        <v>972-954</v>
      </c>
      <c r="J549" t="str">
        <f t="shared" si="33"/>
        <v>BC</v>
      </c>
      <c r="K549">
        <f t="shared" si="34"/>
        <v>-972</v>
      </c>
      <c r="L549">
        <f t="shared" si="35"/>
        <v>-954</v>
      </c>
    </row>
    <row r="550" spans="1:12" x14ac:dyDescent="0.35">
      <c r="A550">
        <v>563</v>
      </c>
      <c r="B550" t="s">
        <v>12289</v>
      </c>
      <c r="C550" t="s">
        <v>12288</v>
      </c>
      <c r="D550" t="s">
        <v>2946</v>
      </c>
      <c r="E550" t="s">
        <v>2337</v>
      </c>
      <c r="F550" t="s">
        <v>12256</v>
      </c>
      <c r="G550" t="s">
        <v>112</v>
      </c>
      <c r="H550" t="s">
        <v>2945</v>
      </c>
      <c r="I550" t="str">
        <f t="shared" si="32"/>
        <v>954</v>
      </c>
      <c r="J550" t="str">
        <f t="shared" si="33"/>
        <v>BC</v>
      </c>
      <c r="K550">
        <f t="shared" si="34"/>
        <v>-954</v>
      </c>
      <c r="L550">
        <f t="shared" si="35"/>
        <v>-954</v>
      </c>
    </row>
    <row r="551" spans="1:12" x14ac:dyDescent="0.35">
      <c r="A551">
        <v>564</v>
      </c>
      <c r="B551" t="s">
        <v>2948</v>
      </c>
      <c r="C551" t="s">
        <v>10102</v>
      </c>
      <c r="D551" t="s">
        <v>2947</v>
      </c>
      <c r="E551" t="s">
        <v>2337</v>
      </c>
      <c r="F551" t="s">
        <v>12256</v>
      </c>
      <c r="G551" t="s">
        <v>112</v>
      </c>
      <c r="H551" t="s">
        <v>2945</v>
      </c>
      <c r="I551" t="str">
        <f t="shared" si="32"/>
        <v>954</v>
      </c>
      <c r="J551" t="str">
        <f t="shared" si="33"/>
        <v>BC</v>
      </c>
      <c r="K551">
        <f t="shared" si="34"/>
        <v>-954</v>
      </c>
      <c r="L551">
        <f t="shared" si="35"/>
        <v>-954</v>
      </c>
    </row>
    <row r="552" spans="1:12" x14ac:dyDescent="0.35">
      <c r="A552">
        <v>565</v>
      </c>
      <c r="B552" t="s">
        <v>2949</v>
      </c>
      <c r="C552" t="s">
        <v>10089</v>
      </c>
      <c r="D552" t="s">
        <v>2950</v>
      </c>
      <c r="E552" t="s">
        <v>2938</v>
      </c>
      <c r="F552" t="s">
        <v>12256</v>
      </c>
      <c r="G552" t="s">
        <v>112</v>
      </c>
      <c r="H552" t="s">
        <v>2945</v>
      </c>
      <c r="I552" t="str">
        <f t="shared" si="32"/>
        <v>954</v>
      </c>
      <c r="J552" t="str">
        <f t="shared" si="33"/>
        <v>BC</v>
      </c>
      <c r="K552">
        <f t="shared" si="34"/>
        <v>-954</v>
      </c>
      <c r="L552">
        <f t="shared" si="35"/>
        <v>-954</v>
      </c>
    </row>
    <row r="553" spans="1:12" x14ac:dyDescent="0.35">
      <c r="A553">
        <v>566</v>
      </c>
      <c r="B553" t="s">
        <v>2951</v>
      </c>
      <c r="C553" t="s">
        <v>12728</v>
      </c>
      <c r="D553" t="s">
        <v>2952</v>
      </c>
      <c r="E553" t="s">
        <v>2953</v>
      </c>
      <c r="F553" t="s">
        <v>12256</v>
      </c>
      <c r="G553" t="s">
        <v>112</v>
      </c>
      <c r="H553" t="s">
        <v>2945</v>
      </c>
      <c r="I553" t="str">
        <f t="shared" si="32"/>
        <v>954</v>
      </c>
      <c r="J553" t="str">
        <f t="shared" si="33"/>
        <v>BC</v>
      </c>
      <c r="K553">
        <f t="shared" si="34"/>
        <v>-954</v>
      </c>
      <c r="L553">
        <f t="shared" si="35"/>
        <v>-954</v>
      </c>
    </row>
    <row r="554" spans="1:12" x14ac:dyDescent="0.35">
      <c r="A554">
        <v>567</v>
      </c>
      <c r="B554" t="s">
        <v>12292</v>
      </c>
      <c r="C554" t="s">
        <v>10088</v>
      </c>
      <c r="D554" t="s">
        <v>12290</v>
      </c>
      <c r="E554" t="s">
        <v>2337</v>
      </c>
      <c r="F554" t="s">
        <v>12291</v>
      </c>
      <c r="G554" t="s">
        <v>63</v>
      </c>
      <c r="H554" t="s">
        <v>101</v>
      </c>
      <c r="I554" t="str">
        <f t="shared" si="32"/>
        <v>1095-1055</v>
      </c>
      <c r="J554" t="str">
        <f t="shared" si="33"/>
        <v>BC</v>
      </c>
      <c r="K554">
        <f t="shared" si="34"/>
        <v>-1095</v>
      </c>
      <c r="L554">
        <f t="shared" si="35"/>
        <v>-1055</v>
      </c>
    </row>
    <row r="555" spans="1:12" x14ac:dyDescent="0.35">
      <c r="A555">
        <v>568</v>
      </c>
      <c r="B555" t="s">
        <v>2954</v>
      </c>
      <c r="C555" t="s">
        <v>10751</v>
      </c>
      <c r="D555" t="s">
        <v>2955</v>
      </c>
      <c r="E555" t="s">
        <v>2956</v>
      </c>
      <c r="F555" t="s">
        <v>100</v>
      </c>
      <c r="G555" t="s">
        <v>63</v>
      </c>
      <c r="H555" t="s">
        <v>101</v>
      </c>
      <c r="I555" t="str">
        <f t="shared" si="32"/>
        <v>1095</v>
      </c>
      <c r="J555" t="str">
        <f t="shared" si="33"/>
        <v>BC</v>
      </c>
      <c r="K555">
        <f t="shared" si="34"/>
        <v>-1095</v>
      </c>
      <c r="L555">
        <f t="shared" si="35"/>
        <v>-1095</v>
      </c>
    </row>
    <row r="556" spans="1:12" x14ac:dyDescent="0.35">
      <c r="A556">
        <v>569</v>
      </c>
      <c r="B556" t="s">
        <v>2957</v>
      </c>
      <c r="C556" t="s">
        <v>12294</v>
      </c>
      <c r="D556" t="s">
        <v>2958</v>
      </c>
      <c r="E556" t="s">
        <v>2956</v>
      </c>
      <c r="F556" t="s">
        <v>100</v>
      </c>
      <c r="G556" t="s">
        <v>63</v>
      </c>
      <c r="H556" t="s">
        <v>101</v>
      </c>
      <c r="I556" t="str">
        <f t="shared" si="32"/>
        <v>1095</v>
      </c>
      <c r="J556" t="str">
        <f t="shared" si="33"/>
        <v>BC</v>
      </c>
      <c r="K556">
        <f t="shared" si="34"/>
        <v>-1095</v>
      </c>
      <c r="L556">
        <f t="shared" si="35"/>
        <v>-1095</v>
      </c>
    </row>
    <row r="557" spans="1:12" x14ac:dyDescent="0.35">
      <c r="A557">
        <v>570</v>
      </c>
      <c r="B557" t="s">
        <v>12293</v>
      </c>
      <c r="C557" t="s">
        <v>11162</v>
      </c>
      <c r="D557" t="s">
        <v>2959</v>
      </c>
      <c r="E557" t="s">
        <v>2956</v>
      </c>
      <c r="F557" t="s">
        <v>100</v>
      </c>
      <c r="G557" t="s">
        <v>63</v>
      </c>
      <c r="H557" t="s">
        <v>101</v>
      </c>
      <c r="I557" t="str">
        <f t="shared" si="32"/>
        <v>1095</v>
      </c>
      <c r="J557" t="str">
        <f t="shared" si="33"/>
        <v>BC</v>
      </c>
      <c r="K557">
        <f t="shared" si="34"/>
        <v>-1095</v>
      </c>
      <c r="L557">
        <f t="shared" si="35"/>
        <v>-1095</v>
      </c>
    </row>
    <row r="558" spans="1:12" x14ac:dyDescent="0.35">
      <c r="A558">
        <v>571</v>
      </c>
      <c r="B558" t="s">
        <v>2960</v>
      </c>
      <c r="C558" t="s">
        <v>12297</v>
      </c>
      <c r="D558" t="s">
        <v>2961</v>
      </c>
      <c r="E558" t="s">
        <v>2956</v>
      </c>
      <c r="F558" t="s">
        <v>100</v>
      </c>
      <c r="G558" t="s">
        <v>63</v>
      </c>
      <c r="H558" t="s">
        <v>101</v>
      </c>
      <c r="I558" t="str">
        <f t="shared" si="32"/>
        <v>1095</v>
      </c>
      <c r="J558" t="str">
        <f t="shared" si="33"/>
        <v>BC</v>
      </c>
      <c r="K558">
        <f t="shared" si="34"/>
        <v>-1095</v>
      </c>
      <c r="L558">
        <f t="shared" si="35"/>
        <v>-1095</v>
      </c>
    </row>
    <row r="559" spans="1:12" x14ac:dyDescent="0.35">
      <c r="A559">
        <v>572</v>
      </c>
      <c r="B559" t="s">
        <v>12295</v>
      </c>
      <c r="C559" t="s">
        <v>12296</v>
      </c>
      <c r="D559" t="s">
        <v>2962</v>
      </c>
      <c r="E559" t="s">
        <v>2956</v>
      </c>
      <c r="F559" t="s">
        <v>100</v>
      </c>
      <c r="G559" t="s">
        <v>112</v>
      </c>
      <c r="H559" t="s">
        <v>101</v>
      </c>
      <c r="I559" t="str">
        <f t="shared" si="32"/>
        <v>1095</v>
      </c>
      <c r="J559" t="str">
        <f t="shared" si="33"/>
        <v>BC</v>
      </c>
      <c r="K559">
        <f t="shared" si="34"/>
        <v>-1095</v>
      </c>
      <c r="L559">
        <f t="shared" si="35"/>
        <v>-1095</v>
      </c>
    </row>
    <row r="560" spans="1:12" x14ac:dyDescent="0.35">
      <c r="A560">
        <v>573</v>
      </c>
      <c r="B560" t="s">
        <v>2963</v>
      </c>
      <c r="C560" t="s">
        <v>12298</v>
      </c>
      <c r="D560" t="s">
        <v>2964</v>
      </c>
      <c r="E560" t="s">
        <v>2956</v>
      </c>
      <c r="F560" t="s">
        <v>100</v>
      </c>
      <c r="G560" t="s">
        <v>63</v>
      </c>
      <c r="H560" t="s">
        <v>101</v>
      </c>
      <c r="I560" t="str">
        <f t="shared" si="32"/>
        <v>1095</v>
      </c>
      <c r="J560" t="str">
        <f t="shared" si="33"/>
        <v>BC</v>
      </c>
      <c r="K560">
        <f t="shared" si="34"/>
        <v>-1095</v>
      </c>
      <c r="L560">
        <f t="shared" si="35"/>
        <v>-1095</v>
      </c>
    </row>
    <row r="561" spans="1:12" x14ac:dyDescent="0.35">
      <c r="A561">
        <v>574</v>
      </c>
      <c r="B561" t="s">
        <v>12299</v>
      </c>
      <c r="C561" t="s">
        <v>12300</v>
      </c>
      <c r="D561" t="s">
        <v>12301</v>
      </c>
      <c r="E561" t="s">
        <v>2956</v>
      </c>
      <c r="F561" t="s">
        <v>100</v>
      </c>
      <c r="G561" t="s">
        <v>63</v>
      </c>
      <c r="H561" t="s">
        <v>101</v>
      </c>
      <c r="I561" t="str">
        <f t="shared" si="32"/>
        <v>1095</v>
      </c>
      <c r="J561" t="str">
        <f t="shared" si="33"/>
        <v>BC</v>
      </c>
      <c r="K561">
        <f t="shared" si="34"/>
        <v>-1095</v>
      </c>
      <c r="L561">
        <f t="shared" si="35"/>
        <v>-1095</v>
      </c>
    </row>
    <row r="562" spans="1:12" x14ac:dyDescent="0.35">
      <c r="A562">
        <v>575</v>
      </c>
      <c r="B562" t="s">
        <v>2965</v>
      </c>
      <c r="C562" t="s">
        <v>12302</v>
      </c>
      <c r="D562" t="s">
        <v>2966</v>
      </c>
      <c r="E562" t="s">
        <v>2956</v>
      </c>
      <c r="F562" t="s">
        <v>100</v>
      </c>
      <c r="G562" t="s">
        <v>63</v>
      </c>
      <c r="H562" t="s">
        <v>101</v>
      </c>
      <c r="I562" t="str">
        <f t="shared" si="32"/>
        <v>1095</v>
      </c>
      <c r="J562" t="str">
        <f t="shared" si="33"/>
        <v>BC</v>
      </c>
      <c r="K562">
        <f t="shared" si="34"/>
        <v>-1095</v>
      </c>
      <c r="L562">
        <f t="shared" si="35"/>
        <v>-1095</v>
      </c>
    </row>
    <row r="563" spans="1:12" x14ac:dyDescent="0.35">
      <c r="A563">
        <v>576</v>
      </c>
      <c r="B563" t="s">
        <v>12303</v>
      </c>
      <c r="C563" t="s">
        <v>11243</v>
      </c>
      <c r="D563" t="s">
        <v>2967</v>
      </c>
      <c r="E563" t="s">
        <v>2956</v>
      </c>
      <c r="F563" t="s">
        <v>12210</v>
      </c>
      <c r="G563" t="s">
        <v>12551</v>
      </c>
      <c r="H563" t="s">
        <v>101</v>
      </c>
      <c r="I563" t="str">
        <f t="shared" si="32"/>
        <v>1094</v>
      </c>
      <c r="J563" t="str">
        <f t="shared" si="33"/>
        <v>BC</v>
      </c>
      <c r="K563">
        <f t="shared" si="34"/>
        <v>-1094</v>
      </c>
      <c r="L563">
        <f t="shared" si="35"/>
        <v>-1094</v>
      </c>
    </row>
    <row r="564" spans="1:12" x14ac:dyDescent="0.35">
      <c r="A564">
        <v>577</v>
      </c>
      <c r="B564" t="s">
        <v>2968</v>
      </c>
      <c r="C564" t="s">
        <v>10103</v>
      </c>
      <c r="D564" t="s">
        <v>2967</v>
      </c>
      <c r="E564" t="s">
        <v>2956</v>
      </c>
      <c r="F564" t="s">
        <v>12211</v>
      </c>
      <c r="G564" t="s">
        <v>112</v>
      </c>
      <c r="H564" t="s">
        <v>1073</v>
      </c>
      <c r="I564" t="str">
        <f t="shared" ref="I564:I627" si="36">SUBSTITUTE(SUBSTITUTE(SUBSTITUTE(F564,"c. ","")," BC","")," AD","")</f>
        <v>1094-1074</v>
      </c>
      <c r="J564" t="str">
        <f t="shared" si="33"/>
        <v>BC</v>
      </c>
      <c r="K564">
        <f t="shared" si="34"/>
        <v>-1094</v>
      </c>
      <c r="L564">
        <f t="shared" si="35"/>
        <v>-1074</v>
      </c>
    </row>
    <row r="565" spans="1:12" x14ac:dyDescent="0.35">
      <c r="A565">
        <v>578</v>
      </c>
      <c r="B565" t="s">
        <v>2969</v>
      </c>
      <c r="C565" t="s">
        <v>10089</v>
      </c>
      <c r="D565" t="s">
        <v>2970</v>
      </c>
      <c r="E565" t="s">
        <v>2971</v>
      </c>
      <c r="F565" t="s">
        <v>12212</v>
      </c>
      <c r="G565" t="s">
        <v>112</v>
      </c>
      <c r="H565" t="s">
        <v>102</v>
      </c>
      <c r="I565" t="str">
        <f t="shared" si="36"/>
        <v>1074</v>
      </c>
      <c r="J565" t="str">
        <f t="shared" si="33"/>
        <v>BC</v>
      </c>
      <c r="K565">
        <f t="shared" si="34"/>
        <v>-1074</v>
      </c>
      <c r="L565">
        <f t="shared" si="35"/>
        <v>-1074</v>
      </c>
    </row>
    <row r="566" spans="1:12" x14ac:dyDescent="0.35">
      <c r="A566">
        <v>579</v>
      </c>
      <c r="B566" t="s">
        <v>12305</v>
      </c>
      <c r="C566" t="s">
        <v>10645</v>
      </c>
      <c r="D566" t="s">
        <v>12306</v>
      </c>
      <c r="E566" t="s">
        <v>12307</v>
      </c>
      <c r="F566" t="s">
        <v>12257</v>
      </c>
      <c r="G566" t="s">
        <v>112</v>
      </c>
      <c r="H566" t="s">
        <v>2972</v>
      </c>
      <c r="I566" t="str">
        <f t="shared" si="36"/>
        <v>1072</v>
      </c>
      <c r="J566" t="str">
        <f t="shared" si="33"/>
        <v>BC</v>
      </c>
      <c r="K566">
        <f t="shared" si="34"/>
        <v>-1072</v>
      </c>
      <c r="L566">
        <f t="shared" si="35"/>
        <v>-1072</v>
      </c>
    </row>
    <row r="567" spans="1:12" x14ac:dyDescent="0.35">
      <c r="A567">
        <v>580</v>
      </c>
      <c r="B567" t="s">
        <v>12304</v>
      </c>
      <c r="C567" t="s">
        <v>10104</v>
      </c>
      <c r="D567" t="s">
        <v>2974</v>
      </c>
      <c r="E567" t="s">
        <v>1112</v>
      </c>
      <c r="F567" t="s">
        <v>12257</v>
      </c>
      <c r="G567" t="s">
        <v>112</v>
      </c>
      <c r="H567" t="s">
        <v>2972</v>
      </c>
      <c r="I567" t="str">
        <f t="shared" si="36"/>
        <v>1072</v>
      </c>
      <c r="J567" t="str">
        <f t="shared" si="33"/>
        <v>BC</v>
      </c>
      <c r="K567">
        <f t="shared" si="34"/>
        <v>-1072</v>
      </c>
      <c r="L567">
        <f t="shared" si="35"/>
        <v>-1072</v>
      </c>
    </row>
    <row r="568" spans="1:12" x14ac:dyDescent="0.35">
      <c r="A568">
        <v>581</v>
      </c>
      <c r="B568" t="s">
        <v>2973</v>
      </c>
      <c r="C568" t="s">
        <v>10092</v>
      </c>
      <c r="D568" t="s">
        <v>2974</v>
      </c>
      <c r="E568" t="s">
        <v>2975</v>
      </c>
      <c r="F568" t="s">
        <v>12257</v>
      </c>
      <c r="G568" t="s">
        <v>12512</v>
      </c>
      <c r="H568" t="s">
        <v>102</v>
      </c>
      <c r="I568" t="str">
        <f t="shared" si="36"/>
        <v>1072</v>
      </c>
      <c r="J568" t="str">
        <f t="shared" si="33"/>
        <v>BC</v>
      </c>
      <c r="K568">
        <f t="shared" si="34"/>
        <v>-1072</v>
      </c>
      <c r="L568">
        <f t="shared" si="35"/>
        <v>-1072</v>
      </c>
    </row>
    <row r="569" spans="1:12" x14ac:dyDescent="0.35">
      <c r="A569">
        <v>582</v>
      </c>
      <c r="B569" t="s">
        <v>2979</v>
      </c>
      <c r="C569" t="s">
        <v>10038</v>
      </c>
      <c r="D569" t="s">
        <v>2980</v>
      </c>
      <c r="E569" t="s">
        <v>2981</v>
      </c>
      <c r="F569" t="s">
        <v>12258</v>
      </c>
      <c r="G569" t="s">
        <v>112</v>
      </c>
      <c r="H569" t="s">
        <v>102</v>
      </c>
      <c r="I569" t="str">
        <f t="shared" si="36"/>
        <v>1071</v>
      </c>
      <c r="J569" t="str">
        <f t="shared" si="33"/>
        <v>BC</v>
      </c>
      <c r="K569">
        <f t="shared" si="34"/>
        <v>-1071</v>
      </c>
      <c r="L569">
        <f t="shared" si="35"/>
        <v>-1071</v>
      </c>
    </row>
    <row r="570" spans="1:12" x14ac:dyDescent="0.35">
      <c r="A570">
        <v>583</v>
      </c>
      <c r="B570" t="s">
        <v>12304</v>
      </c>
      <c r="C570" t="s">
        <v>10104</v>
      </c>
      <c r="D570" t="s">
        <v>2977</v>
      </c>
      <c r="E570" t="s">
        <v>2978</v>
      </c>
      <c r="F570" t="s">
        <v>12257</v>
      </c>
      <c r="G570" t="s">
        <v>112</v>
      </c>
      <c r="H570" t="s">
        <v>2972</v>
      </c>
      <c r="I570" t="str">
        <f t="shared" si="36"/>
        <v>1072</v>
      </c>
      <c r="J570" t="str">
        <f t="shared" si="33"/>
        <v>BC</v>
      </c>
      <c r="K570">
        <f t="shared" si="34"/>
        <v>-1072</v>
      </c>
      <c r="L570">
        <f t="shared" si="35"/>
        <v>-1072</v>
      </c>
    </row>
    <row r="571" spans="1:12" x14ac:dyDescent="0.35">
      <c r="A571">
        <v>584</v>
      </c>
      <c r="B571" t="s">
        <v>2976</v>
      </c>
      <c r="C571" t="s">
        <v>10092</v>
      </c>
      <c r="D571" t="s">
        <v>2977</v>
      </c>
      <c r="E571" t="s">
        <v>2978</v>
      </c>
      <c r="F571" t="s">
        <v>12257</v>
      </c>
      <c r="G571" t="s">
        <v>12512</v>
      </c>
      <c r="H571" t="s">
        <v>102</v>
      </c>
      <c r="I571" t="str">
        <f t="shared" si="36"/>
        <v>1072</v>
      </c>
      <c r="J571" t="str">
        <f t="shared" si="33"/>
        <v>BC</v>
      </c>
      <c r="K571">
        <f t="shared" si="34"/>
        <v>-1072</v>
      </c>
      <c r="L571">
        <f t="shared" si="35"/>
        <v>-1072</v>
      </c>
    </row>
    <row r="572" spans="1:12" x14ac:dyDescent="0.35">
      <c r="A572">
        <v>585</v>
      </c>
      <c r="B572" t="s">
        <v>12304</v>
      </c>
      <c r="C572" t="s">
        <v>10104</v>
      </c>
      <c r="D572" t="s">
        <v>12308</v>
      </c>
      <c r="E572" t="s">
        <v>2978</v>
      </c>
      <c r="F572" t="s">
        <v>12257</v>
      </c>
      <c r="G572" t="s">
        <v>112</v>
      </c>
      <c r="H572" t="s">
        <v>2972</v>
      </c>
      <c r="I572" t="str">
        <f t="shared" si="36"/>
        <v>1072</v>
      </c>
      <c r="J572" t="str">
        <f t="shared" si="33"/>
        <v>BC</v>
      </c>
      <c r="K572">
        <f t="shared" si="34"/>
        <v>-1072</v>
      </c>
      <c r="L572">
        <f t="shared" si="35"/>
        <v>-1072</v>
      </c>
    </row>
    <row r="573" spans="1:12" x14ac:dyDescent="0.35">
      <c r="A573">
        <v>586</v>
      </c>
      <c r="B573" t="s">
        <v>12309</v>
      </c>
      <c r="C573" t="s">
        <v>10042</v>
      </c>
      <c r="D573" t="s">
        <v>12308</v>
      </c>
      <c r="E573" t="s">
        <v>2978</v>
      </c>
      <c r="F573" t="s">
        <v>12257</v>
      </c>
      <c r="G573" t="s">
        <v>112</v>
      </c>
      <c r="H573" t="s">
        <v>2972</v>
      </c>
      <c r="I573" t="str">
        <f t="shared" si="36"/>
        <v>1072</v>
      </c>
      <c r="J573" t="str">
        <f t="shared" si="33"/>
        <v>BC</v>
      </c>
      <c r="K573">
        <f t="shared" si="34"/>
        <v>-1072</v>
      </c>
      <c r="L573">
        <f t="shared" si="35"/>
        <v>-1072</v>
      </c>
    </row>
    <row r="574" spans="1:12" x14ac:dyDescent="0.35">
      <c r="A574">
        <v>587</v>
      </c>
      <c r="B574" t="s">
        <v>12310</v>
      </c>
      <c r="C574" t="s">
        <v>10092</v>
      </c>
      <c r="D574" t="s">
        <v>2982</v>
      </c>
      <c r="E574" t="s">
        <v>2983</v>
      </c>
      <c r="F574" t="s">
        <v>12259</v>
      </c>
      <c r="G574" t="s">
        <v>12512</v>
      </c>
      <c r="H574" t="s">
        <v>103</v>
      </c>
      <c r="I574" t="str">
        <f t="shared" si="36"/>
        <v>1066</v>
      </c>
      <c r="J574" t="str">
        <f t="shared" si="33"/>
        <v>BC</v>
      </c>
      <c r="K574">
        <f t="shared" si="34"/>
        <v>-1066</v>
      </c>
      <c r="L574">
        <f t="shared" si="35"/>
        <v>-1066</v>
      </c>
    </row>
    <row r="575" spans="1:12" x14ac:dyDescent="0.35">
      <c r="A575">
        <v>588</v>
      </c>
      <c r="B575" t="s">
        <v>12311</v>
      </c>
      <c r="C575" t="s">
        <v>10986</v>
      </c>
      <c r="D575" t="s">
        <v>2984</v>
      </c>
      <c r="E575" t="s">
        <v>2985</v>
      </c>
      <c r="F575" t="s">
        <v>12259</v>
      </c>
      <c r="G575" t="s">
        <v>112</v>
      </c>
      <c r="H575" t="s">
        <v>103</v>
      </c>
      <c r="I575" t="str">
        <f t="shared" si="36"/>
        <v>1066</v>
      </c>
      <c r="J575" t="str">
        <f t="shared" si="33"/>
        <v>BC</v>
      </c>
      <c r="K575">
        <f t="shared" si="34"/>
        <v>-1066</v>
      </c>
      <c r="L575">
        <f t="shared" si="35"/>
        <v>-1066</v>
      </c>
    </row>
    <row r="576" spans="1:12" x14ac:dyDescent="0.35">
      <c r="A576">
        <v>589</v>
      </c>
      <c r="B576" t="s">
        <v>2986</v>
      </c>
      <c r="C576" t="s">
        <v>10756</v>
      </c>
      <c r="D576" t="s">
        <v>2987</v>
      </c>
      <c r="E576" t="s">
        <v>2988</v>
      </c>
      <c r="F576" t="s">
        <v>12260</v>
      </c>
      <c r="G576" t="s">
        <v>12512</v>
      </c>
      <c r="H576" t="s">
        <v>2989</v>
      </c>
      <c r="I576" t="str">
        <f t="shared" si="36"/>
        <v>1058</v>
      </c>
      <c r="J576" t="str">
        <f t="shared" si="33"/>
        <v>BC</v>
      </c>
      <c r="K576">
        <f t="shared" si="34"/>
        <v>-1058</v>
      </c>
      <c r="L576">
        <f t="shared" si="35"/>
        <v>-1058</v>
      </c>
    </row>
    <row r="577" spans="1:12" x14ac:dyDescent="0.35">
      <c r="A577">
        <v>590</v>
      </c>
      <c r="B577" t="s">
        <v>12312</v>
      </c>
      <c r="C577" t="s">
        <v>11244</v>
      </c>
      <c r="D577" t="s">
        <v>2990</v>
      </c>
      <c r="E577" t="s">
        <v>2991</v>
      </c>
      <c r="F577" t="s">
        <v>12213</v>
      </c>
      <c r="G577" t="s">
        <v>112</v>
      </c>
      <c r="H577" t="s">
        <v>2992</v>
      </c>
      <c r="I577" t="str">
        <f t="shared" si="36"/>
        <v>1054</v>
      </c>
      <c r="J577" t="str">
        <f t="shared" si="33"/>
        <v>BC</v>
      </c>
      <c r="K577">
        <f t="shared" si="34"/>
        <v>-1054</v>
      </c>
      <c r="L577">
        <f t="shared" si="35"/>
        <v>-1054</v>
      </c>
    </row>
    <row r="578" spans="1:12" x14ac:dyDescent="0.35">
      <c r="A578">
        <v>591</v>
      </c>
      <c r="B578" t="s">
        <v>2993</v>
      </c>
      <c r="C578" t="s">
        <v>11245</v>
      </c>
      <c r="D578" t="s">
        <v>2994</v>
      </c>
      <c r="E578" t="s">
        <v>2995</v>
      </c>
      <c r="F578" t="s">
        <v>12213</v>
      </c>
      <c r="G578" t="s">
        <v>112</v>
      </c>
      <c r="H578" t="s">
        <v>2992</v>
      </c>
      <c r="I578" t="str">
        <f t="shared" si="36"/>
        <v>1054</v>
      </c>
      <c r="J578" t="str">
        <f t="shared" ref="J578:J641" si="37">RIGHT(F578, 2)</f>
        <v>BC</v>
      </c>
      <c r="K578">
        <f t="shared" ref="K578:K641" si="38">IF(J578="BC", 0-IF(ISERROR(FIND("-",I578)),I578,LEFT(I578,FIND("-",I578)-1)), IF(ISERROR(FIND("-",I578)),I578,LEFT(I578,FIND("-",I578)-1)))</f>
        <v>-1054</v>
      </c>
      <c r="L578">
        <f t="shared" ref="L578:L641" si="39">IF(J578="BC", 0-IF(ISERROR(FIND("-",I578)),I578,RIGHT(I578,FIND("-",I578)-1)), IF(ISERROR(FIND("-",I578)),I578,RIGHT(I578,FIND("-",I578)-1)))</f>
        <v>-1054</v>
      </c>
    </row>
    <row r="579" spans="1:12" x14ac:dyDescent="0.35">
      <c r="A579">
        <v>592</v>
      </c>
      <c r="B579" t="s">
        <v>12313</v>
      </c>
      <c r="C579" t="s">
        <v>10104</v>
      </c>
      <c r="D579" t="s">
        <v>2997</v>
      </c>
      <c r="E579" t="s">
        <v>2996</v>
      </c>
      <c r="F579" t="s">
        <v>12213</v>
      </c>
      <c r="G579" t="s">
        <v>112</v>
      </c>
      <c r="H579" t="s">
        <v>2992</v>
      </c>
      <c r="I579" t="str">
        <f t="shared" si="36"/>
        <v>1054</v>
      </c>
      <c r="J579" t="str">
        <f t="shared" si="37"/>
        <v>BC</v>
      </c>
      <c r="K579">
        <f t="shared" si="38"/>
        <v>-1054</v>
      </c>
      <c r="L579">
        <f t="shared" si="39"/>
        <v>-1054</v>
      </c>
    </row>
    <row r="580" spans="1:12" x14ac:dyDescent="0.35">
      <c r="A580">
        <v>593</v>
      </c>
      <c r="B580" t="s">
        <v>12314</v>
      </c>
      <c r="C580" t="s">
        <v>12315</v>
      </c>
      <c r="D580" t="s">
        <v>2998</v>
      </c>
      <c r="E580" t="s">
        <v>2996</v>
      </c>
      <c r="F580" t="s">
        <v>12213</v>
      </c>
      <c r="G580" t="s">
        <v>12512</v>
      </c>
      <c r="H580" t="s">
        <v>2992</v>
      </c>
      <c r="I580" t="str">
        <f t="shared" si="36"/>
        <v>1054</v>
      </c>
      <c r="J580" t="str">
        <f t="shared" si="37"/>
        <v>BC</v>
      </c>
      <c r="K580">
        <f t="shared" si="38"/>
        <v>-1054</v>
      </c>
      <c r="L580">
        <f t="shared" si="39"/>
        <v>-1054</v>
      </c>
    </row>
    <row r="581" spans="1:12" x14ac:dyDescent="0.35">
      <c r="A581">
        <v>594</v>
      </c>
      <c r="B581" t="s">
        <v>12318</v>
      </c>
      <c r="C581" t="s">
        <v>12274</v>
      </c>
      <c r="D581" t="s">
        <v>3000</v>
      </c>
      <c r="E581" t="s">
        <v>237</v>
      </c>
      <c r="F581" t="s">
        <v>12204</v>
      </c>
      <c r="G581" t="s">
        <v>112</v>
      </c>
      <c r="H581" t="s">
        <v>103</v>
      </c>
      <c r="I581" t="str">
        <f t="shared" si="36"/>
        <v>1210</v>
      </c>
      <c r="J581" t="str">
        <f t="shared" si="37"/>
        <v>BC</v>
      </c>
      <c r="K581">
        <f t="shared" si="38"/>
        <v>-1210</v>
      </c>
      <c r="L581">
        <f t="shared" si="39"/>
        <v>-1210</v>
      </c>
    </row>
    <row r="582" spans="1:12" x14ac:dyDescent="0.35">
      <c r="A582">
        <v>595</v>
      </c>
      <c r="B582" t="s">
        <v>12319</v>
      </c>
      <c r="C582" t="s">
        <v>12729</v>
      </c>
      <c r="D582" t="s">
        <v>12320</v>
      </c>
      <c r="E582" t="s">
        <v>1099</v>
      </c>
      <c r="F582" t="s">
        <v>12204</v>
      </c>
      <c r="G582" t="s">
        <v>112</v>
      </c>
      <c r="H582" t="s">
        <v>103</v>
      </c>
      <c r="I582" t="str">
        <f t="shared" si="36"/>
        <v>1210</v>
      </c>
      <c r="J582" t="str">
        <f t="shared" si="37"/>
        <v>BC</v>
      </c>
      <c r="K582">
        <f t="shared" si="38"/>
        <v>-1210</v>
      </c>
      <c r="L582">
        <f t="shared" si="39"/>
        <v>-1210</v>
      </c>
    </row>
    <row r="583" spans="1:12" x14ac:dyDescent="0.35">
      <c r="A583">
        <v>596</v>
      </c>
      <c r="B583" t="s">
        <v>12316</v>
      </c>
      <c r="C583" t="s">
        <v>12274</v>
      </c>
      <c r="D583" t="s">
        <v>12317</v>
      </c>
      <c r="E583" t="s">
        <v>237</v>
      </c>
      <c r="F583" t="s">
        <v>12204</v>
      </c>
      <c r="G583" t="s">
        <v>112</v>
      </c>
      <c r="H583" t="s">
        <v>103</v>
      </c>
      <c r="I583" t="str">
        <f t="shared" si="36"/>
        <v>1210</v>
      </c>
      <c r="J583" t="str">
        <f t="shared" si="37"/>
        <v>BC</v>
      </c>
      <c r="K583">
        <f t="shared" si="38"/>
        <v>-1210</v>
      </c>
      <c r="L583">
        <f t="shared" si="39"/>
        <v>-1210</v>
      </c>
    </row>
    <row r="584" spans="1:12" x14ac:dyDescent="0.35">
      <c r="A584">
        <v>597</v>
      </c>
      <c r="B584" t="s">
        <v>12319</v>
      </c>
      <c r="C584" t="s">
        <v>12729</v>
      </c>
      <c r="D584" t="s">
        <v>3001</v>
      </c>
      <c r="E584" t="s">
        <v>1099</v>
      </c>
      <c r="F584" t="s">
        <v>12204</v>
      </c>
      <c r="G584" t="s">
        <v>112</v>
      </c>
      <c r="H584" t="s">
        <v>103</v>
      </c>
      <c r="I584" t="str">
        <f t="shared" si="36"/>
        <v>1210</v>
      </c>
      <c r="J584" t="str">
        <f t="shared" si="37"/>
        <v>BC</v>
      </c>
      <c r="K584">
        <f t="shared" si="38"/>
        <v>-1210</v>
      </c>
      <c r="L584">
        <f t="shared" si="39"/>
        <v>-1210</v>
      </c>
    </row>
    <row r="585" spans="1:12" x14ac:dyDescent="0.35">
      <c r="A585">
        <v>598</v>
      </c>
      <c r="B585" t="s">
        <v>3002</v>
      </c>
      <c r="C585" t="s">
        <v>10094</v>
      </c>
      <c r="D585" t="s">
        <v>3003</v>
      </c>
      <c r="E585" t="s">
        <v>237</v>
      </c>
      <c r="F585" t="s">
        <v>12204</v>
      </c>
      <c r="G585" t="s">
        <v>112</v>
      </c>
      <c r="H585" t="s">
        <v>103</v>
      </c>
      <c r="I585" t="str">
        <f t="shared" si="36"/>
        <v>1210</v>
      </c>
      <c r="J585" t="str">
        <f t="shared" si="37"/>
        <v>BC</v>
      </c>
      <c r="K585">
        <f t="shared" si="38"/>
        <v>-1210</v>
      </c>
      <c r="L585">
        <f t="shared" si="39"/>
        <v>-1210</v>
      </c>
    </row>
    <row r="586" spans="1:12" x14ac:dyDescent="0.35">
      <c r="A586">
        <v>599</v>
      </c>
      <c r="B586" t="s">
        <v>12321</v>
      </c>
      <c r="C586" t="s">
        <v>11246</v>
      </c>
      <c r="D586" t="s">
        <v>3004</v>
      </c>
      <c r="E586" t="s">
        <v>3005</v>
      </c>
      <c r="F586" t="s">
        <v>12204</v>
      </c>
      <c r="G586" t="s">
        <v>112</v>
      </c>
      <c r="H586" t="s">
        <v>103</v>
      </c>
      <c r="I586" t="str">
        <f t="shared" si="36"/>
        <v>1210</v>
      </c>
      <c r="J586" t="str">
        <f t="shared" si="37"/>
        <v>BC</v>
      </c>
      <c r="K586">
        <f t="shared" si="38"/>
        <v>-1210</v>
      </c>
      <c r="L586">
        <f t="shared" si="39"/>
        <v>-1210</v>
      </c>
    </row>
    <row r="587" spans="1:12" x14ac:dyDescent="0.35">
      <c r="A587">
        <v>600</v>
      </c>
      <c r="B587" t="s">
        <v>3044</v>
      </c>
      <c r="C587" t="s">
        <v>11248</v>
      </c>
      <c r="D587" t="s">
        <v>3045</v>
      </c>
      <c r="E587" t="s">
        <v>3046</v>
      </c>
      <c r="F587" t="s">
        <v>3047</v>
      </c>
      <c r="G587" t="s">
        <v>112</v>
      </c>
      <c r="I587" t="str">
        <f t="shared" si="36"/>
        <v>1150</v>
      </c>
      <c r="J587" t="str">
        <f t="shared" si="37"/>
        <v>BC</v>
      </c>
      <c r="K587">
        <f t="shared" si="38"/>
        <v>-1150</v>
      </c>
      <c r="L587">
        <f t="shared" si="39"/>
        <v>-1150</v>
      </c>
    </row>
    <row r="588" spans="1:12" x14ac:dyDescent="0.35">
      <c r="A588">
        <v>601</v>
      </c>
      <c r="B588" t="s">
        <v>3048</v>
      </c>
      <c r="C588" t="s">
        <v>11249</v>
      </c>
      <c r="D588" t="s">
        <v>3049</v>
      </c>
      <c r="E588" t="s">
        <v>647</v>
      </c>
      <c r="F588" t="s">
        <v>3050</v>
      </c>
      <c r="G588" t="s">
        <v>112</v>
      </c>
      <c r="I588" t="str">
        <f t="shared" si="36"/>
        <v>1150-1140</v>
      </c>
      <c r="J588" t="str">
        <f t="shared" si="37"/>
        <v>BC</v>
      </c>
      <c r="K588">
        <f t="shared" si="38"/>
        <v>-1150</v>
      </c>
      <c r="L588">
        <f t="shared" si="39"/>
        <v>-1140</v>
      </c>
    </row>
    <row r="589" spans="1:12" x14ac:dyDescent="0.35">
      <c r="A589">
        <v>602</v>
      </c>
      <c r="B589" t="s">
        <v>3051</v>
      </c>
      <c r="C589" t="s">
        <v>10107</v>
      </c>
      <c r="D589" t="s">
        <v>3052</v>
      </c>
      <c r="E589" t="s">
        <v>1750</v>
      </c>
      <c r="F589" t="s">
        <v>3053</v>
      </c>
      <c r="G589" t="s">
        <v>112</v>
      </c>
      <c r="I589" t="str">
        <f t="shared" si="36"/>
        <v>1140</v>
      </c>
      <c r="J589" t="str">
        <f t="shared" si="37"/>
        <v>BC</v>
      </c>
      <c r="K589">
        <f t="shared" si="38"/>
        <v>-1140</v>
      </c>
      <c r="L589">
        <f t="shared" si="39"/>
        <v>-1140</v>
      </c>
    </row>
    <row r="590" spans="1:12" x14ac:dyDescent="0.35">
      <c r="A590">
        <v>603</v>
      </c>
      <c r="B590" t="s">
        <v>12326</v>
      </c>
      <c r="C590" t="s">
        <v>10108</v>
      </c>
      <c r="D590" t="s">
        <v>3052</v>
      </c>
      <c r="E590" t="s">
        <v>647</v>
      </c>
      <c r="F590" t="s">
        <v>3053</v>
      </c>
      <c r="G590" t="s">
        <v>112</v>
      </c>
      <c r="I590" t="str">
        <f t="shared" si="36"/>
        <v>1140</v>
      </c>
      <c r="J590" t="str">
        <f t="shared" si="37"/>
        <v>BC</v>
      </c>
      <c r="K590">
        <f t="shared" si="38"/>
        <v>-1140</v>
      </c>
      <c r="L590">
        <f t="shared" si="39"/>
        <v>-1140</v>
      </c>
    </row>
    <row r="591" spans="1:12" x14ac:dyDescent="0.35">
      <c r="A591">
        <v>604</v>
      </c>
      <c r="B591" t="s">
        <v>3055</v>
      </c>
      <c r="C591" t="s">
        <v>10238</v>
      </c>
      <c r="D591" t="s">
        <v>3056</v>
      </c>
      <c r="E591" t="s">
        <v>1102</v>
      </c>
      <c r="F591" t="s">
        <v>3053</v>
      </c>
      <c r="G591" t="s">
        <v>112</v>
      </c>
      <c r="I591" t="str">
        <f t="shared" si="36"/>
        <v>1140</v>
      </c>
      <c r="J591" t="str">
        <f t="shared" si="37"/>
        <v>BC</v>
      </c>
      <c r="K591">
        <f t="shared" si="38"/>
        <v>-1140</v>
      </c>
      <c r="L591">
        <f t="shared" si="39"/>
        <v>-1140</v>
      </c>
    </row>
    <row r="592" spans="1:12" x14ac:dyDescent="0.35">
      <c r="A592">
        <v>605</v>
      </c>
      <c r="B592" t="s">
        <v>3057</v>
      </c>
      <c r="C592" t="s">
        <v>11250</v>
      </c>
      <c r="D592" t="s">
        <v>3058</v>
      </c>
      <c r="E592" t="s">
        <v>3059</v>
      </c>
      <c r="F592" t="s">
        <v>3053</v>
      </c>
      <c r="G592" t="s">
        <v>112</v>
      </c>
      <c r="I592" t="str">
        <f t="shared" si="36"/>
        <v>1140</v>
      </c>
      <c r="J592" t="str">
        <f t="shared" si="37"/>
        <v>BC</v>
      </c>
      <c r="K592">
        <f t="shared" si="38"/>
        <v>-1140</v>
      </c>
      <c r="L592">
        <f t="shared" si="39"/>
        <v>-1140</v>
      </c>
    </row>
    <row r="593" spans="1:12" x14ac:dyDescent="0.35">
      <c r="A593">
        <v>606</v>
      </c>
      <c r="B593" t="s">
        <v>3066</v>
      </c>
      <c r="C593" t="s">
        <v>10109</v>
      </c>
      <c r="D593" t="s">
        <v>12327</v>
      </c>
      <c r="E593" t="s">
        <v>3067</v>
      </c>
      <c r="F593" t="s">
        <v>3053</v>
      </c>
      <c r="G593" t="s">
        <v>12549</v>
      </c>
      <c r="I593" t="str">
        <f t="shared" si="36"/>
        <v>1140</v>
      </c>
      <c r="J593" t="str">
        <f t="shared" si="37"/>
        <v>BC</v>
      </c>
      <c r="K593">
        <f t="shared" si="38"/>
        <v>-1140</v>
      </c>
      <c r="L593">
        <f t="shared" si="39"/>
        <v>-1140</v>
      </c>
    </row>
    <row r="594" spans="1:12" x14ac:dyDescent="0.35">
      <c r="A594">
        <v>607</v>
      </c>
      <c r="B594" t="s">
        <v>3061</v>
      </c>
      <c r="C594" t="s">
        <v>11252</v>
      </c>
      <c r="D594" t="s">
        <v>3062</v>
      </c>
      <c r="E594" t="s">
        <v>3060</v>
      </c>
      <c r="F594" t="s">
        <v>3053</v>
      </c>
      <c r="G594" t="s">
        <v>112</v>
      </c>
      <c r="I594" t="str">
        <f t="shared" si="36"/>
        <v>1140</v>
      </c>
      <c r="J594" t="str">
        <f t="shared" si="37"/>
        <v>BC</v>
      </c>
      <c r="K594">
        <f t="shared" si="38"/>
        <v>-1140</v>
      </c>
      <c r="L594">
        <f t="shared" si="39"/>
        <v>-1140</v>
      </c>
    </row>
    <row r="595" spans="1:12" x14ac:dyDescent="0.35">
      <c r="A595">
        <v>608</v>
      </c>
      <c r="B595" t="s">
        <v>3065</v>
      </c>
      <c r="C595" t="s">
        <v>11253</v>
      </c>
      <c r="D595" t="s">
        <v>3064</v>
      </c>
      <c r="E595" t="s">
        <v>3063</v>
      </c>
      <c r="F595" t="s">
        <v>3053</v>
      </c>
      <c r="G595" t="s">
        <v>12550</v>
      </c>
      <c r="I595" t="str">
        <f t="shared" si="36"/>
        <v>1140</v>
      </c>
      <c r="J595" t="str">
        <f t="shared" si="37"/>
        <v>BC</v>
      </c>
      <c r="K595">
        <f t="shared" si="38"/>
        <v>-1140</v>
      </c>
      <c r="L595">
        <f t="shared" si="39"/>
        <v>-1140</v>
      </c>
    </row>
    <row r="596" spans="1:12" x14ac:dyDescent="0.35">
      <c r="A596">
        <v>609</v>
      </c>
      <c r="B596" t="s">
        <v>3068</v>
      </c>
      <c r="C596" t="s">
        <v>11254</v>
      </c>
      <c r="D596" t="s">
        <v>3069</v>
      </c>
      <c r="E596" t="s">
        <v>3070</v>
      </c>
      <c r="F596" t="s">
        <v>3053</v>
      </c>
      <c r="G596" t="s">
        <v>112</v>
      </c>
      <c r="I596" t="str">
        <f t="shared" si="36"/>
        <v>1140</v>
      </c>
      <c r="J596" t="str">
        <f t="shared" si="37"/>
        <v>BC</v>
      </c>
      <c r="K596">
        <f t="shared" si="38"/>
        <v>-1140</v>
      </c>
      <c r="L596">
        <f t="shared" si="39"/>
        <v>-1140</v>
      </c>
    </row>
    <row r="597" spans="1:12" x14ac:dyDescent="0.35">
      <c r="A597">
        <v>610</v>
      </c>
      <c r="B597" t="s">
        <v>3071</v>
      </c>
      <c r="C597" t="s">
        <v>10111</v>
      </c>
      <c r="D597" t="s">
        <v>3072</v>
      </c>
      <c r="E597" t="s">
        <v>3070</v>
      </c>
      <c r="F597" t="s">
        <v>3053</v>
      </c>
      <c r="G597" t="s">
        <v>112</v>
      </c>
      <c r="I597" t="str">
        <f t="shared" si="36"/>
        <v>1140</v>
      </c>
      <c r="J597" t="str">
        <f t="shared" si="37"/>
        <v>BC</v>
      </c>
      <c r="K597">
        <f t="shared" si="38"/>
        <v>-1140</v>
      </c>
      <c r="L597">
        <f t="shared" si="39"/>
        <v>-1140</v>
      </c>
    </row>
    <row r="598" spans="1:12" x14ac:dyDescent="0.35">
      <c r="A598">
        <v>611</v>
      </c>
      <c r="B598" t="s">
        <v>3074</v>
      </c>
      <c r="C598" t="s">
        <v>10112</v>
      </c>
      <c r="D598" t="s">
        <v>3075</v>
      </c>
      <c r="E598" t="s">
        <v>3073</v>
      </c>
      <c r="F598" t="s">
        <v>3053</v>
      </c>
      <c r="G598" t="s">
        <v>12549</v>
      </c>
      <c r="I598" t="str">
        <f t="shared" si="36"/>
        <v>1140</v>
      </c>
      <c r="J598" t="str">
        <f t="shared" si="37"/>
        <v>BC</v>
      </c>
      <c r="K598">
        <f t="shared" si="38"/>
        <v>-1140</v>
      </c>
      <c r="L598">
        <f t="shared" si="39"/>
        <v>-1140</v>
      </c>
    </row>
    <row r="599" spans="1:12" x14ac:dyDescent="0.35">
      <c r="A599">
        <v>612</v>
      </c>
      <c r="B599" t="s">
        <v>3076</v>
      </c>
      <c r="C599" t="s">
        <v>11255</v>
      </c>
      <c r="D599" t="s">
        <v>3077</v>
      </c>
      <c r="E599" t="s">
        <v>1102</v>
      </c>
      <c r="F599" t="s">
        <v>3053</v>
      </c>
      <c r="G599" t="s">
        <v>12549</v>
      </c>
      <c r="I599" t="str">
        <f t="shared" si="36"/>
        <v>1140</v>
      </c>
      <c r="J599" t="str">
        <f t="shared" si="37"/>
        <v>BC</v>
      </c>
      <c r="K599">
        <f t="shared" si="38"/>
        <v>-1140</v>
      </c>
      <c r="L599">
        <f t="shared" si="39"/>
        <v>-1140</v>
      </c>
    </row>
    <row r="600" spans="1:12" x14ac:dyDescent="0.35">
      <c r="A600">
        <v>613</v>
      </c>
      <c r="B600" t="s">
        <v>12328</v>
      </c>
      <c r="C600" t="s">
        <v>10757</v>
      </c>
      <c r="D600" t="s">
        <v>3077</v>
      </c>
      <c r="E600" t="s">
        <v>1102</v>
      </c>
      <c r="F600" t="s">
        <v>3053</v>
      </c>
      <c r="G600" t="s">
        <v>112</v>
      </c>
      <c r="I600" t="str">
        <f t="shared" si="36"/>
        <v>1140</v>
      </c>
      <c r="J600" t="str">
        <f t="shared" si="37"/>
        <v>BC</v>
      </c>
      <c r="K600">
        <f t="shared" si="38"/>
        <v>-1140</v>
      </c>
      <c r="L600">
        <f t="shared" si="39"/>
        <v>-1140</v>
      </c>
    </row>
    <row r="601" spans="1:12" x14ac:dyDescent="0.35">
      <c r="A601">
        <v>614</v>
      </c>
      <c r="B601" t="s">
        <v>3079</v>
      </c>
      <c r="C601" t="s">
        <v>11256</v>
      </c>
      <c r="D601" t="s">
        <v>3078</v>
      </c>
      <c r="E601" t="s">
        <v>1102</v>
      </c>
      <c r="F601" t="s">
        <v>3053</v>
      </c>
      <c r="G601" t="s">
        <v>12548</v>
      </c>
      <c r="I601" t="str">
        <f t="shared" si="36"/>
        <v>1140</v>
      </c>
      <c r="J601" t="str">
        <f t="shared" si="37"/>
        <v>BC</v>
      </c>
      <c r="K601">
        <f t="shared" si="38"/>
        <v>-1140</v>
      </c>
      <c r="L601">
        <f t="shared" si="39"/>
        <v>-1140</v>
      </c>
    </row>
    <row r="602" spans="1:12" x14ac:dyDescent="0.35">
      <c r="A602">
        <v>615</v>
      </c>
      <c r="B602" t="s">
        <v>3080</v>
      </c>
      <c r="C602" t="s">
        <v>10113</v>
      </c>
      <c r="D602" t="s">
        <v>3081</v>
      </c>
      <c r="E602" t="s">
        <v>1102</v>
      </c>
      <c r="F602" t="s">
        <v>3053</v>
      </c>
      <c r="G602" t="s">
        <v>12548</v>
      </c>
      <c r="I602" t="str">
        <f t="shared" si="36"/>
        <v>1140</v>
      </c>
      <c r="J602" t="str">
        <f t="shared" si="37"/>
        <v>BC</v>
      </c>
      <c r="K602">
        <f t="shared" si="38"/>
        <v>-1140</v>
      </c>
      <c r="L602">
        <f t="shared" si="39"/>
        <v>-1140</v>
      </c>
    </row>
    <row r="603" spans="1:12" x14ac:dyDescent="0.35">
      <c r="A603">
        <v>616</v>
      </c>
      <c r="B603" t="s">
        <v>3082</v>
      </c>
      <c r="C603" t="s">
        <v>10114</v>
      </c>
      <c r="D603" t="s">
        <v>3083</v>
      </c>
      <c r="E603" t="s">
        <v>1102</v>
      </c>
      <c r="F603" t="s">
        <v>3053</v>
      </c>
      <c r="G603" t="s">
        <v>112</v>
      </c>
      <c r="I603" t="str">
        <f t="shared" si="36"/>
        <v>1140</v>
      </c>
      <c r="J603" t="str">
        <f t="shared" si="37"/>
        <v>BC</v>
      </c>
      <c r="K603">
        <f t="shared" si="38"/>
        <v>-1140</v>
      </c>
      <c r="L603">
        <f t="shared" si="39"/>
        <v>-1140</v>
      </c>
    </row>
    <row r="604" spans="1:12" x14ac:dyDescent="0.35">
      <c r="A604">
        <v>617</v>
      </c>
      <c r="B604" t="s">
        <v>12329</v>
      </c>
      <c r="C604" t="s">
        <v>11128</v>
      </c>
      <c r="D604" t="s">
        <v>12330</v>
      </c>
      <c r="E604" t="s">
        <v>990</v>
      </c>
      <c r="F604" t="s">
        <v>12421</v>
      </c>
      <c r="G604" t="s">
        <v>112</v>
      </c>
      <c r="I604" t="str">
        <f t="shared" si="36"/>
        <v>1115-1112</v>
      </c>
      <c r="J604" t="str">
        <f t="shared" si="37"/>
        <v>BC</v>
      </c>
      <c r="K604">
        <f t="shared" si="38"/>
        <v>-1115</v>
      </c>
      <c r="L604">
        <f t="shared" si="39"/>
        <v>-1112</v>
      </c>
    </row>
    <row r="605" spans="1:12" x14ac:dyDescent="0.35">
      <c r="A605">
        <v>618</v>
      </c>
      <c r="B605" t="s">
        <v>1037</v>
      </c>
      <c r="C605" t="s">
        <v>12730</v>
      </c>
      <c r="D605" t="s">
        <v>12331</v>
      </c>
      <c r="E605" t="s">
        <v>990</v>
      </c>
      <c r="F605" t="s">
        <v>12422</v>
      </c>
      <c r="G605" t="s">
        <v>112</v>
      </c>
      <c r="I605" t="str">
        <f t="shared" si="36"/>
        <v>1112-1110</v>
      </c>
      <c r="J605" t="str">
        <f t="shared" si="37"/>
        <v>BC</v>
      </c>
      <c r="K605">
        <f t="shared" si="38"/>
        <v>-1112</v>
      </c>
      <c r="L605">
        <f t="shared" si="39"/>
        <v>-1110</v>
      </c>
    </row>
    <row r="606" spans="1:12" x14ac:dyDescent="0.35">
      <c r="A606">
        <v>619</v>
      </c>
      <c r="B606" t="s">
        <v>1038</v>
      </c>
      <c r="C606" t="s">
        <v>10722</v>
      </c>
      <c r="D606" t="s">
        <v>12332</v>
      </c>
      <c r="E606" t="s">
        <v>84</v>
      </c>
      <c r="F606" t="s">
        <v>12423</v>
      </c>
      <c r="G606" t="s">
        <v>112</v>
      </c>
      <c r="I606" t="str">
        <f t="shared" si="36"/>
        <v>1110</v>
      </c>
      <c r="J606" t="str">
        <f t="shared" si="37"/>
        <v>BC</v>
      </c>
      <c r="K606">
        <f t="shared" si="38"/>
        <v>-1110</v>
      </c>
      <c r="L606">
        <f t="shared" si="39"/>
        <v>-1110</v>
      </c>
    </row>
    <row r="607" spans="1:12" x14ac:dyDescent="0.35">
      <c r="A607">
        <v>620</v>
      </c>
      <c r="B607" t="s">
        <v>1039</v>
      </c>
      <c r="C607" t="s">
        <v>10103</v>
      </c>
      <c r="D607" t="s">
        <v>1040</v>
      </c>
      <c r="E607" t="s">
        <v>1041</v>
      </c>
      <c r="F607" t="s">
        <v>12424</v>
      </c>
      <c r="G607" t="s">
        <v>112</v>
      </c>
      <c r="I607" t="str">
        <f t="shared" si="36"/>
        <v>1105-1100</v>
      </c>
      <c r="J607" t="str">
        <f t="shared" si="37"/>
        <v>BC</v>
      </c>
      <c r="K607">
        <f t="shared" si="38"/>
        <v>-1105</v>
      </c>
      <c r="L607">
        <f t="shared" si="39"/>
        <v>-1100</v>
      </c>
    </row>
    <row r="608" spans="1:12" x14ac:dyDescent="0.35">
      <c r="A608">
        <v>621</v>
      </c>
      <c r="B608" t="s">
        <v>1043</v>
      </c>
      <c r="C608" t="s">
        <v>10037</v>
      </c>
      <c r="D608" t="s">
        <v>1044</v>
      </c>
      <c r="E608" t="s">
        <v>990</v>
      </c>
      <c r="F608" t="s">
        <v>1042</v>
      </c>
      <c r="G608" t="s">
        <v>1046</v>
      </c>
      <c r="I608" t="str">
        <f t="shared" si="36"/>
        <v>1100-1095</v>
      </c>
      <c r="J608" t="str">
        <f t="shared" si="37"/>
        <v>BC</v>
      </c>
      <c r="K608">
        <f t="shared" si="38"/>
        <v>-1100</v>
      </c>
      <c r="L608">
        <f t="shared" si="39"/>
        <v>-1095</v>
      </c>
    </row>
    <row r="609" spans="1:12" x14ac:dyDescent="0.35">
      <c r="A609">
        <v>622</v>
      </c>
      <c r="B609" t="s">
        <v>1047</v>
      </c>
      <c r="C609" t="s">
        <v>11118</v>
      </c>
      <c r="D609" t="s">
        <v>1048</v>
      </c>
      <c r="E609" t="s">
        <v>990</v>
      </c>
      <c r="F609" t="s">
        <v>100</v>
      </c>
      <c r="G609" t="s">
        <v>112</v>
      </c>
      <c r="I609" t="str">
        <f t="shared" si="36"/>
        <v>1095</v>
      </c>
      <c r="J609" t="str">
        <f t="shared" si="37"/>
        <v>BC</v>
      </c>
      <c r="K609">
        <f t="shared" si="38"/>
        <v>-1095</v>
      </c>
      <c r="L609">
        <f t="shared" si="39"/>
        <v>-1095</v>
      </c>
    </row>
    <row r="610" spans="1:12" x14ac:dyDescent="0.35">
      <c r="A610">
        <v>623</v>
      </c>
      <c r="B610" t="s">
        <v>1049</v>
      </c>
      <c r="C610" t="s">
        <v>10093</v>
      </c>
      <c r="D610" t="s">
        <v>12333</v>
      </c>
      <c r="E610" t="s">
        <v>990</v>
      </c>
      <c r="F610" t="s">
        <v>100</v>
      </c>
      <c r="G610" t="s">
        <v>112</v>
      </c>
      <c r="I610" t="str">
        <f t="shared" si="36"/>
        <v>1095</v>
      </c>
      <c r="J610" t="str">
        <f t="shared" si="37"/>
        <v>BC</v>
      </c>
      <c r="K610">
        <f t="shared" si="38"/>
        <v>-1095</v>
      </c>
      <c r="L610">
        <f t="shared" si="39"/>
        <v>-1095</v>
      </c>
    </row>
    <row r="611" spans="1:12" x14ac:dyDescent="0.35">
      <c r="A611">
        <v>624</v>
      </c>
      <c r="B611" t="s">
        <v>1050</v>
      </c>
      <c r="C611" t="s">
        <v>10115</v>
      </c>
      <c r="D611" t="s">
        <v>1051</v>
      </c>
      <c r="E611" t="s">
        <v>990</v>
      </c>
      <c r="F611" t="s">
        <v>12425</v>
      </c>
      <c r="G611" t="s">
        <v>112</v>
      </c>
      <c r="I611" t="str">
        <f t="shared" si="36"/>
        <v>1095-1090</v>
      </c>
      <c r="J611" t="str">
        <f t="shared" si="37"/>
        <v>BC</v>
      </c>
      <c r="K611">
        <f t="shared" si="38"/>
        <v>-1095</v>
      </c>
      <c r="L611">
        <f t="shared" si="39"/>
        <v>-1090</v>
      </c>
    </row>
    <row r="612" spans="1:12" x14ac:dyDescent="0.35">
      <c r="A612">
        <v>625</v>
      </c>
      <c r="B612" t="s">
        <v>1054</v>
      </c>
      <c r="C612" t="s">
        <v>10751</v>
      </c>
      <c r="D612" t="s">
        <v>1055</v>
      </c>
      <c r="E612" t="s">
        <v>990</v>
      </c>
      <c r="F612" t="s">
        <v>12426</v>
      </c>
      <c r="G612" t="s">
        <v>112</v>
      </c>
      <c r="I612" t="str">
        <f t="shared" si="36"/>
        <v>1090</v>
      </c>
      <c r="J612" t="str">
        <f t="shared" si="37"/>
        <v>BC</v>
      </c>
      <c r="K612">
        <f t="shared" si="38"/>
        <v>-1090</v>
      </c>
      <c r="L612">
        <f t="shared" si="39"/>
        <v>-1090</v>
      </c>
    </row>
    <row r="613" spans="1:12" x14ac:dyDescent="0.35">
      <c r="A613">
        <v>626</v>
      </c>
      <c r="B613" t="s">
        <v>1056</v>
      </c>
      <c r="C613" t="s">
        <v>11190</v>
      </c>
      <c r="D613" t="s">
        <v>1057</v>
      </c>
      <c r="E613" t="s">
        <v>12427</v>
      </c>
      <c r="F613" t="s">
        <v>12426</v>
      </c>
      <c r="G613" t="s">
        <v>12547</v>
      </c>
      <c r="I613" t="str">
        <f t="shared" si="36"/>
        <v>1090</v>
      </c>
      <c r="J613" t="str">
        <f t="shared" si="37"/>
        <v>BC</v>
      </c>
      <c r="K613">
        <f t="shared" si="38"/>
        <v>-1090</v>
      </c>
      <c r="L613">
        <f t="shared" si="39"/>
        <v>-1090</v>
      </c>
    </row>
    <row r="614" spans="1:12" x14ac:dyDescent="0.35">
      <c r="A614">
        <v>627</v>
      </c>
      <c r="B614" t="s">
        <v>1058</v>
      </c>
      <c r="C614" t="s">
        <v>11257</v>
      </c>
      <c r="D614" t="s">
        <v>1059</v>
      </c>
      <c r="E614" t="s">
        <v>990</v>
      </c>
      <c r="F614" t="s">
        <v>12426</v>
      </c>
      <c r="G614" t="s">
        <v>112</v>
      </c>
      <c r="I614" t="str">
        <f t="shared" si="36"/>
        <v>1090</v>
      </c>
      <c r="J614" t="str">
        <f t="shared" si="37"/>
        <v>BC</v>
      </c>
      <c r="K614">
        <f t="shared" si="38"/>
        <v>-1090</v>
      </c>
      <c r="L614">
        <f t="shared" si="39"/>
        <v>-1090</v>
      </c>
    </row>
    <row r="615" spans="1:12" x14ac:dyDescent="0.35">
      <c r="A615">
        <v>628</v>
      </c>
      <c r="B615" t="s">
        <v>12334</v>
      </c>
      <c r="C615" t="s">
        <v>11257</v>
      </c>
      <c r="D615" t="s">
        <v>12335</v>
      </c>
      <c r="E615" t="s">
        <v>990</v>
      </c>
      <c r="F615" t="s">
        <v>12426</v>
      </c>
      <c r="G615" t="s">
        <v>112</v>
      </c>
      <c r="I615" t="str">
        <f t="shared" si="36"/>
        <v>1090</v>
      </c>
      <c r="J615" t="str">
        <f t="shared" si="37"/>
        <v>BC</v>
      </c>
      <c r="K615">
        <f t="shared" si="38"/>
        <v>-1090</v>
      </c>
      <c r="L615">
        <f t="shared" si="39"/>
        <v>-1090</v>
      </c>
    </row>
    <row r="616" spans="1:12" x14ac:dyDescent="0.35">
      <c r="A616">
        <v>629</v>
      </c>
      <c r="B616" t="s">
        <v>1060</v>
      </c>
      <c r="C616" t="s">
        <v>10116</v>
      </c>
      <c r="D616" t="s">
        <v>1061</v>
      </c>
      <c r="E616" t="s">
        <v>990</v>
      </c>
      <c r="F616" t="s">
        <v>12426</v>
      </c>
      <c r="G616" t="s">
        <v>112</v>
      </c>
      <c r="I616" t="str">
        <f t="shared" si="36"/>
        <v>1090</v>
      </c>
      <c r="J616" t="str">
        <f t="shared" si="37"/>
        <v>BC</v>
      </c>
      <c r="K616">
        <f t="shared" si="38"/>
        <v>-1090</v>
      </c>
      <c r="L616">
        <f t="shared" si="39"/>
        <v>-1090</v>
      </c>
    </row>
    <row r="617" spans="1:12" x14ac:dyDescent="0.35">
      <c r="A617">
        <v>630</v>
      </c>
      <c r="B617" t="s">
        <v>1063</v>
      </c>
      <c r="C617" t="s">
        <v>10758</v>
      </c>
      <c r="D617" t="s">
        <v>85</v>
      </c>
      <c r="E617" t="s">
        <v>1062</v>
      </c>
      <c r="F617" t="s">
        <v>12428</v>
      </c>
      <c r="G617" t="s">
        <v>112</v>
      </c>
      <c r="I617" t="str">
        <f t="shared" si="36"/>
        <v>1090-1089</v>
      </c>
      <c r="J617" t="str">
        <f t="shared" si="37"/>
        <v>BC</v>
      </c>
      <c r="K617">
        <f t="shared" si="38"/>
        <v>-1090</v>
      </c>
      <c r="L617">
        <f t="shared" si="39"/>
        <v>-1089</v>
      </c>
    </row>
    <row r="618" spans="1:12" x14ac:dyDescent="0.35">
      <c r="A618">
        <v>631</v>
      </c>
      <c r="B618" t="s">
        <v>12343</v>
      </c>
      <c r="C618" t="s">
        <v>12336</v>
      </c>
      <c r="D618" t="s">
        <v>1064</v>
      </c>
      <c r="E618" t="s">
        <v>1062</v>
      </c>
      <c r="F618" t="s">
        <v>12429</v>
      </c>
      <c r="G618" t="s">
        <v>112</v>
      </c>
      <c r="I618" t="str">
        <f t="shared" si="36"/>
        <v>1089</v>
      </c>
      <c r="J618" t="str">
        <f t="shared" si="37"/>
        <v>BC</v>
      </c>
      <c r="K618">
        <f t="shared" si="38"/>
        <v>-1089</v>
      </c>
      <c r="L618">
        <f t="shared" si="39"/>
        <v>-1089</v>
      </c>
    </row>
    <row r="619" spans="1:12" x14ac:dyDescent="0.35">
      <c r="A619">
        <v>632</v>
      </c>
      <c r="B619" t="s">
        <v>12344</v>
      </c>
      <c r="C619" t="s">
        <v>10049</v>
      </c>
      <c r="D619" t="s">
        <v>1065</v>
      </c>
      <c r="E619" t="s">
        <v>1066</v>
      </c>
      <c r="F619" t="s">
        <v>12429</v>
      </c>
      <c r="G619" t="s">
        <v>112</v>
      </c>
      <c r="I619" t="str">
        <f t="shared" si="36"/>
        <v>1089</v>
      </c>
      <c r="J619" t="str">
        <f t="shared" si="37"/>
        <v>BC</v>
      </c>
      <c r="K619">
        <f t="shared" si="38"/>
        <v>-1089</v>
      </c>
      <c r="L619">
        <f t="shared" si="39"/>
        <v>-1089</v>
      </c>
    </row>
    <row r="620" spans="1:12" x14ac:dyDescent="0.35">
      <c r="A620">
        <v>633</v>
      </c>
      <c r="B620" t="s">
        <v>12345</v>
      </c>
      <c r="C620" t="s">
        <v>10049</v>
      </c>
      <c r="D620" t="s">
        <v>1067</v>
      </c>
      <c r="E620" t="s">
        <v>1068</v>
      </c>
      <c r="F620" t="s">
        <v>12429</v>
      </c>
      <c r="G620" t="s">
        <v>112</v>
      </c>
      <c r="I620" t="str">
        <f t="shared" si="36"/>
        <v>1089</v>
      </c>
      <c r="J620" t="str">
        <f t="shared" si="37"/>
        <v>BC</v>
      </c>
      <c r="K620">
        <f t="shared" si="38"/>
        <v>-1089</v>
      </c>
      <c r="L620">
        <f t="shared" si="39"/>
        <v>-1089</v>
      </c>
    </row>
    <row r="621" spans="1:12" x14ac:dyDescent="0.35">
      <c r="A621">
        <v>634</v>
      </c>
      <c r="B621" t="s">
        <v>12346</v>
      </c>
      <c r="C621" t="s">
        <v>11259</v>
      </c>
      <c r="D621" t="s">
        <v>86</v>
      </c>
      <c r="E621" t="s">
        <v>87</v>
      </c>
      <c r="F621" t="s">
        <v>12429</v>
      </c>
      <c r="G621" t="s">
        <v>112</v>
      </c>
      <c r="I621" t="str">
        <f t="shared" si="36"/>
        <v>1089</v>
      </c>
      <c r="J621" t="str">
        <f t="shared" si="37"/>
        <v>BC</v>
      </c>
      <c r="K621">
        <f t="shared" si="38"/>
        <v>-1089</v>
      </c>
      <c r="L621">
        <f t="shared" si="39"/>
        <v>-1089</v>
      </c>
    </row>
    <row r="622" spans="1:12" x14ac:dyDescent="0.35">
      <c r="A622">
        <v>635</v>
      </c>
      <c r="B622" t="s">
        <v>1070</v>
      </c>
      <c r="C622" t="s">
        <v>10117</v>
      </c>
      <c r="D622" t="s">
        <v>1071</v>
      </c>
      <c r="E622" t="s">
        <v>1072</v>
      </c>
      <c r="F622" t="s">
        <v>12430</v>
      </c>
      <c r="G622" t="s">
        <v>112</v>
      </c>
      <c r="I622" t="str">
        <f t="shared" si="36"/>
        <v>1089-1070</v>
      </c>
      <c r="J622" t="str">
        <f t="shared" si="37"/>
        <v>BC</v>
      </c>
      <c r="K622">
        <f t="shared" si="38"/>
        <v>-1089</v>
      </c>
      <c r="L622">
        <f t="shared" si="39"/>
        <v>-1070</v>
      </c>
    </row>
    <row r="623" spans="1:12" x14ac:dyDescent="0.35">
      <c r="A623">
        <v>636</v>
      </c>
      <c r="B623" t="s">
        <v>1074</v>
      </c>
      <c r="C623" t="s">
        <v>12337</v>
      </c>
      <c r="D623" t="s">
        <v>1075</v>
      </c>
      <c r="E623" t="s">
        <v>1052</v>
      </c>
      <c r="F623" t="s">
        <v>12431</v>
      </c>
      <c r="G623" t="s">
        <v>12513</v>
      </c>
      <c r="I623" t="str">
        <f t="shared" si="36"/>
        <v>1070</v>
      </c>
      <c r="J623" t="str">
        <f t="shared" si="37"/>
        <v>BC</v>
      </c>
      <c r="K623">
        <f t="shared" si="38"/>
        <v>-1070</v>
      </c>
      <c r="L623">
        <f t="shared" si="39"/>
        <v>-1070</v>
      </c>
    </row>
    <row r="624" spans="1:12" x14ac:dyDescent="0.35">
      <c r="A624">
        <v>637</v>
      </c>
      <c r="B624" t="s">
        <v>1076</v>
      </c>
      <c r="C624" t="s">
        <v>12731</v>
      </c>
      <c r="D624" t="s">
        <v>1077</v>
      </c>
      <c r="E624" t="s">
        <v>12433</v>
      </c>
      <c r="F624" t="s">
        <v>12431</v>
      </c>
      <c r="G624" t="s">
        <v>112</v>
      </c>
      <c r="I624" t="str">
        <f t="shared" si="36"/>
        <v>1070</v>
      </c>
      <c r="J624" t="str">
        <f t="shared" si="37"/>
        <v>BC</v>
      </c>
      <c r="K624">
        <f t="shared" si="38"/>
        <v>-1070</v>
      </c>
      <c r="L624">
        <f t="shared" si="39"/>
        <v>-1070</v>
      </c>
    </row>
    <row r="625" spans="1:12" x14ac:dyDescent="0.35">
      <c r="A625">
        <v>638</v>
      </c>
      <c r="B625" t="s">
        <v>1079</v>
      </c>
      <c r="C625" t="s">
        <v>11260</v>
      </c>
      <c r="D625" t="s">
        <v>88</v>
      </c>
      <c r="E625" t="s">
        <v>12453</v>
      </c>
      <c r="F625" t="s">
        <v>12431</v>
      </c>
      <c r="G625" t="s">
        <v>112</v>
      </c>
      <c r="I625" t="str">
        <f t="shared" si="36"/>
        <v>1070</v>
      </c>
      <c r="J625" t="str">
        <f t="shared" si="37"/>
        <v>BC</v>
      </c>
      <c r="K625">
        <f t="shared" si="38"/>
        <v>-1070</v>
      </c>
      <c r="L625">
        <f t="shared" si="39"/>
        <v>-1070</v>
      </c>
    </row>
    <row r="626" spans="1:12" x14ac:dyDescent="0.35">
      <c r="A626">
        <v>639</v>
      </c>
      <c r="B626" t="s">
        <v>1080</v>
      </c>
      <c r="C626" t="s">
        <v>11261</v>
      </c>
      <c r="D626" t="s">
        <v>1081</v>
      </c>
      <c r="E626" t="s">
        <v>1052</v>
      </c>
      <c r="F626" t="s">
        <v>12434</v>
      </c>
      <c r="G626" t="s">
        <v>112</v>
      </c>
      <c r="I626" t="str">
        <f t="shared" si="36"/>
        <v>1070-1050</v>
      </c>
      <c r="J626" t="str">
        <f t="shared" si="37"/>
        <v>BC</v>
      </c>
      <c r="K626">
        <f t="shared" si="38"/>
        <v>-1070</v>
      </c>
      <c r="L626">
        <f t="shared" si="39"/>
        <v>-1050</v>
      </c>
    </row>
    <row r="627" spans="1:12" x14ac:dyDescent="0.35">
      <c r="A627">
        <v>640</v>
      </c>
      <c r="B627" s="23" t="s">
        <v>12348</v>
      </c>
      <c r="C627" t="s">
        <v>12349</v>
      </c>
      <c r="D627" t="s">
        <v>12350</v>
      </c>
      <c r="E627" t="s">
        <v>84</v>
      </c>
      <c r="F627" t="s">
        <v>103</v>
      </c>
      <c r="G627" t="s">
        <v>112</v>
      </c>
      <c r="I627" t="str">
        <f t="shared" si="36"/>
        <v>1050</v>
      </c>
      <c r="J627" t="str">
        <f t="shared" si="37"/>
        <v>BC</v>
      </c>
      <c r="K627">
        <f t="shared" si="38"/>
        <v>-1050</v>
      </c>
      <c r="L627">
        <f t="shared" si="39"/>
        <v>-1050</v>
      </c>
    </row>
    <row r="628" spans="1:12" x14ac:dyDescent="0.35">
      <c r="A628">
        <v>641</v>
      </c>
      <c r="B628" s="23" t="s">
        <v>12352</v>
      </c>
      <c r="C628" t="s">
        <v>12342</v>
      </c>
      <c r="D628" t="s">
        <v>12351</v>
      </c>
      <c r="E628" t="s">
        <v>84</v>
      </c>
      <c r="F628" t="s">
        <v>103</v>
      </c>
      <c r="G628" t="s">
        <v>112</v>
      </c>
      <c r="I628" t="str">
        <f t="shared" ref="I628:I691" si="40">SUBSTITUTE(SUBSTITUTE(SUBSTITUTE(F628,"c. ","")," BC","")," AD","")</f>
        <v>1050</v>
      </c>
      <c r="J628" t="str">
        <f t="shared" si="37"/>
        <v>BC</v>
      </c>
      <c r="K628">
        <f t="shared" si="38"/>
        <v>-1050</v>
      </c>
      <c r="L628">
        <f t="shared" si="39"/>
        <v>-1050</v>
      </c>
    </row>
    <row r="629" spans="1:12" x14ac:dyDescent="0.35">
      <c r="A629">
        <v>642</v>
      </c>
      <c r="B629" s="23" t="s">
        <v>12353</v>
      </c>
      <c r="C629" t="s">
        <v>12342</v>
      </c>
      <c r="D629" t="s">
        <v>12354</v>
      </c>
      <c r="E629" t="s">
        <v>84</v>
      </c>
      <c r="F629" t="s">
        <v>103</v>
      </c>
      <c r="G629" t="s">
        <v>112</v>
      </c>
      <c r="I629" t="str">
        <f t="shared" si="40"/>
        <v>1050</v>
      </c>
      <c r="J629" t="str">
        <f t="shared" si="37"/>
        <v>BC</v>
      </c>
      <c r="K629">
        <f t="shared" si="38"/>
        <v>-1050</v>
      </c>
      <c r="L629">
        <f t="shared" si="39"/>
        <v>-1050</v>
      </c>
    </row>
    <row r="630" spans="1:12" s="23" customFormat="1" x14ac:dyDescent="0.35">
      <c r="A630">
        <v>643</v>
      </c>
      <c r="B630" s="23" t="s">
        <v>1082</v>
      </c>
      <c r="C630" t="s">
        <v>12342</v>
      </c>
      <c r="D630" s="23" t="s">
        <v>1083</v>
      </c>
      <c r="E630" t="s">
        <v>84</v>
      </c>
      <c r="F630" s="23" t="s">
        <v>103</v>
      </c>
      <c r="G630" s="23" t="s">
        <v>112</v>
      </c>
      <c r="I630" t="str">
        <f t="shared" si="40"/>
        <v>1050</v>
      </c>
      <c r="J630" t="str">
        <f t="shared" si="37"/>
        <v>BC</v>
      </c>
      <c r="K630">
        <f t="shared" si="38"/>
        <v>-1050</v>
      </c>
      <c r="L630">
        <f t="shared" si="39"/>
        <v>-1050</v>
      </c>
    </row>
    <row r="631" spans="1:12" x14ac:dyDescent="0.35">
      <c r="A631">
        <v>644</v>
      </c>
      <c r="B631" t="s">
        <v>1084</v>
      </c>
      <c r="C631" t="s">
        <v>12356</v>
      </c>
      <c r="D631" t="s">
        <v>12355</v>
      </c>
      <c r="E631" t="s">
        <v>84</v>
      </c>
      <c r="F631" t="s">
        <v>103</v>
      </c>
      <c r="G631" t="s">
        <v>112</v>
      </c>
      <c r="I631" t="str">
        <f t="shared" si="40"/>
        <v>1050</v>
      </c>
      <c r="J631" t="str">
        <f t="shared" si="37"/>
        <v>BC</v>
      </c>
      <c r="K631">
        <f t="shared" si="38"/>
        <v>-1050</v>
      </c>
      <c r="L631">
        <f t="shared" si="39"/>
        <v>-1050</v>
      </c>
    </row>
    <row r="632" spans="1:12" x14ac:dyDescent="0.35">
      <c r="A632">
        <v>645</v>
      </c>
      <c r="B632" t="s">
        <v>1085</v>
      </c>
      <c r="C632" t="s">
        <v>10118</v>
      </c>
      <c r="D632" t="s">
        <v>1086</v>
      </c>
      <c r="E632" t="s">
        <v>84</v>
      </c>
      <c r="F632" t="s">
        <v>103</v>
      </c>
      <c r="G632" t="s">
        <v>12513</v>
      </c>
      <c r="I632" t="str">
        <f t="shared" si="40"/>
        <v>1050</v>
      </c>
      <c r="J632" t="str">
        <f t="shared" si="37"/>
        <v>BC</v>
      </c>
      <c r="K632">
        <f t="shared" si="38"/>
        <v>-1050</v>
      </c>
      <c r="L632">
        <f t="shared" si="39"/>
        <v>-1050</v>
      </c>
    </row>
    <row r="633" spans="1:12" x14ac:dyDescent="0.35">
      <c r="A633">
        <v>646</v>
      </c>
      <c r="B633" t="s">
        <v>1087</v>
      </c>
      <c r="C633" t="s">
        <v>12708</v>
      </c>
      <c r="D633" t="s">
        <v>12357</v>
      </c>
      <c r="E633" t="s">
        <v>12435</v>
      </c>
      <c r="F633" t="s">
        <v>103</v>
      </c>
      <c r="G633" t="s">
        <v>112</v>
      </c>
      <c r="I633" t="str">
        <f t="shared" si="40"/>
        <v>1050</v>
      </c>
      <c r="J633" t="str">
        <f t="shared" si="37"/>
        <v>BC</v>
      </c>
      <c r="K633">
        <f t="shared" si="38"/>
        <v>-1050</v>
      </c>
      <c r="L633">
        <f t="shared" si="39"/>
        <v>-1050</v>
      </c>
    </row>
    <row r="634" spans="1:12" x14ac:dyDescent="0.35">
      <c r="A634">
        <v>647</v>
      </c>
      <c r="B634" t="s">
        <v>1092</v>
      </c>
      <c r="C634" t="s">
        <v>11262</v>
      </c>
      <c r="D634" t="s">
        <v>1093</v>
      </c>
      <c r="E634" t="s">
        <v>12435</v>
      </c>
      <c r="F634" t="s">
        <v>103</v>
      </c>
      <c r="G634" t="s">
        <v>112</v>
      </c>
      <c r="I634" t="str">
        <f t="shared" si="40"/>
        <v>1050</v>
      </c>
      <c r="J634" t="str">
        <f t="shared" si="37"/>
        <v>BC</v>
      </c>
      <c r="K634">
        <f t="shared" si="38"/>
        <v>-1050</v>
      </c>
      <c r="L634">
        <f t="shared" si="39"/>
        <v>-1050</v>
      </c>
    </row>
    <row r="635" spans="1:12" x14ac:dyDescent="0.35">
      <c r="A635">
        <v>648</v>
      </c>
      <c r="B635" t="s">
        <v>1088</v>
      </c>
      <c r="C635" t="s">
        <v>10119</v>
      </c>
      <c r="D635" t="s">
        <v>1089</v>
      </c>
      <c r="E635" t="s">
        <v>1099</v>
      </c>
      <c r="F635" t="s">
        <v>103</v>
      </c>
      <c r="G635" t="s">
        <v>112</v>
      </c>
      <c r="I635" t="str">
        <f t="shared" si="40"/>
        <v>1050</v>
      </c>
      <c r="J635" t="str">
        <f t="shared" si="37"/>
        <v>BC</v>
      </c>
      <c r="K635">
        <f t="shared" si="38"/>
        <v>-1050</v>
      </c>
      <c r="L635">
        <f t="shared" si="39"/>
        <v>-1050</v>
      </c>
    </row>
    <row r="636" spans="1:12" x14ac:dyDescent="0.35">
      <c r="A636">
        <v>649</v>
      </c>
      <c r="B636" t="s">
        <v>1090</v>
      </c>
      <c r="C636" t="s">
        <v>10059</v>
      </c>
      <c r="D636" t="s">
        <v>1091</v>
      </c>
      <c r="E636" t="s">
        <v>1099</v>
      </c>
      <c r="F636" t="s">
        <v>103</v>
      </c>
      <c r="G636" t="s">
        <v>12514</v>
      </c>
      <c r="I636" t="str">
        <f t="shared" si="40"/>
        <v>1050</v>
      </c>
      <c r="J636" t="str">
        <f t="shared" si="37"/>
        <v>BC</v>
      </c>
      <c r="K636">
        <f t="shared" si="38"/>
        <v>-1050</v>
      </c>
      <c r="L636">
        <f t="shared" si="39"/>
        <v>-1050</v>
      </c>
    </row>
    <row r="637" spans="1:12" x14ac:dyDescent="0.35">
      <c r="A637">
        <v>650</v>
      </c>
      <c r="B637" s="23" t="s">
        <v>12359</v>
      </c>
      <c r="C637" t="s">
        <v>11110</v>
      </c>
      <c r="D637" t="s">
        <v>12358</v>
      </c>
      <c r="E637" t="s">
        <v>12433</v>
      </c>
      <c r="F637" t="s">
        <v>103</v>
      </c>
      <c r="G637" t="s">
        <v>112</v>
      </c>
      <c r="I637" t="str">
        <f t="shared" si="40"/>
        <v>1050</v>
      </c>
      <c r="J637" t="str">
        <f t="shared" si="37"/>
        <v>BC</v>
      </c>
      <c r="K637">
        <f t="shared" si="38"/>
        <v>-1050</v>
      </c>
      <c r="L637">
        <f t="shared" si="39"/>
        <v>-1050</v>
      </c>
    </row>
    <row r="638" spans="1:12" x14ac:dyDescent="0.35">
      <c r="A638">
        <v>651</v>
      </c>
      <c r="B638" t="s">
        <v>1094</v>
      </c>
      <c r="C638" t="s">
        <v>12732</v>
      </c>
      <c r="D638" t="s">
        <v>1095</v>
      </c>
      <c r="E638" t="s">
        <v>12433</v>
      </c>
      <c r="F638" t="s">
        <v>103</v>
      </c>
      <c r="G638" t="s">
        <v>112</v>
      </c>
      <c r="I638" t="str">
        <f t="shared" si="40"/>
        <v>1050</v>
      </c>
      <c r="J638" t="str">
        <f t="shared" si="37"/>
        <v>BC</v>
      </c>
      <c r="K638">
        <f t="shared" si="38"/>
        <v>-1050</v>
      </c>
      <c r="L638">
        <f t="shared" si="39"/>
        <v>-1050</v>
      </c>
    </row>
    <row r="639" spans="1:12" x14ac:dyDescent="0.35">
      <c r="A639">
        <v>652</v>
      </c>
      <c r="B639" t="s">
        <v>1096</v>
      </c>
      <c r="C639" t="s">
        <v>12360</v>
      </c>
      <c r="D639" t="s">
        <v>1097</v>
      </c>
      <c r="E639" t="s">
        <v>12433</v>
      </c>
      <c r="F639" t="s">
        <v>103</v>
      </c>
      <c r="G639" t="s">
        <v>112</v>
      </c>
      <c r="I639" t="str">
        <f t="shared" si="40"/>
        <v>1050</v>
      </c>
      <c r="J639" t="str">
        <f t="shared" si="37"/>
        <v>BC</v>
      </c>
      <c r="K639">
        <f t="shared" si="38"/>
        <v>-1050</v>
      </c>
      <c r="L639">
        <f t="shared" si="39"/>
        <v>-1050</v>
      </c>
    </row>
    <row r="640" spans="1:12" x14ac:dyDescent="0.35">
      <c r="A640">
        <v>653</v>
      </c>
      <c r="B640" t="s">
        <v>12361</v>
      </c>
      <c r="C640" t="s">
        <v>12362</v>
      </c>
      <c r="D640" t="s">
        <v>12363</v>
      </c>
      <c r="E640" t="s">
        <v>1099</v>
      </c>
      <c r="F640" t="s">
        <v>12436</v>
      </c>
      <c r="G640" t="s">
        <v>4704</v>
      </c>
      <c r="I640" t="str">
        <f t="shared" si="40"/>
        <v>1049</v>
      </c>
      <c r="J640" t="str">
        <f t="shared" si="37"/>
        <v>BC</v>
      </c>
      <c r="K640">
        <f t="shared" si="38"/>
        <v>-1049</v>
      </c>
      <c r="L640">
        <f t="shared" si="39"/>
        <v>-1049</v>
      </c>
    </row>
    <row r="641" spans="1:12" x14ac:dyDescent="0.35">
      <c r="A641">
        <v>654</v>
      </c>
      <c r="B641" t="s">
        <v>12383</v>
      </c>
      <c r="C641" t="s">
        <v>12391</v>
      </c>
      <c r="D641" t="s">
        <v>12384</v>
      </c>
      <c r="E641" t="s">
        <v>893</v>
      </c>
      <c r="F641" t="s">
        <v>12436</v>
      </c>
      <c r="G641" t="s">
        <v>12513</v>
      </c>
      <c r="I641" t="str">
        <f t="shared" si="40"/>
        <v>1049</v>
      </c>
      <c r="J641" t="str">
        <f t="shared" si="37"/>
        <v>BC</v>
      </c>
      <c r="K641">
        <f t="shared" si="38"/>
        <v>-1049</v>
      </c>
      <c r="L641">
        <f t="shared" si="39"/>
        <v>-1049</v>
      </c>
    </row>
    <row r="642" spans="1:12" x14ac:dyDescent="0.35">
      <c r="A642">
        <v>655</v>
      </c>
      <c r="B642" t="s">
        <v>12364</v>
      </c>
      <c r="C642" t="s">
        <v>12365</v>
      </c>
      <c r="D642" t="s">
        <v>1098</v>
      </c>
      <c r="E642" t="s">
        <v>893</v>
      </c>
      <c r="F642" t="s">
        <v>12436</v>
      </c>
      <c r="G642" t="s">
        <v>12513</v>
      </c>
      <c r="I642" t="str">
        <f t="shared" si="40"/>
        <v>1049</v>
      </c>
      <c r="J642" t="str">
        <f t="shared" ref="J642:J705" si="41">RIGHT(F642, 2)</f>
        <v>BC</v>
      </c>
      <c r="K642">
        <f t="shared" ref="K642:K705" si="42">IF(J642="BC", 0-IF(ISERROR(FIND("-",I642)),I642,LEFT(I642,FIND("-",I642)-1)), IF(ISERROR(FIND("-",I642)),I642,LEFT(I642,FIND("-",I642)-1)))</f>
        <v>-1049</v>
      </c>
      <c r="L642">
        <f t="shared" ref="L642:L705" si="43">IF(J642="BC", 0-IF(ISERROR(FIND("-",I642)),I642,RIGHT(I642,FIND("-",I642)-1)), IF(ISERROR(FIND("-",I642)),I642,RIGHT(I642,FIND("-",I642)-1)))</f>
        <v>-1049</v>
      </c>
    </row>
    <row r="643" spans="1:12" x14ac:dyDescent="0.35">
      <c r="A643">
        <v>656</v>
      </c>
      <c r="B643" t="s">
        <v>12367</v>
      </c>
      <c r="C643" t="s">
        <v>12368</v>
      </c>
      <c r="D643" t="s">
        <v>12366</v>
      </c>
      <c r="E643" t="s">
        <v>893</v>
      </c>
      <c r="F643" t="s">
        <v>12437</v>
      </c>
      <c r="G643" t="s">
        <v>112</v>
      </c>
      <c r="I643" t="str">
        <f t="shared" si="40"/>
        <v>1048</v>
      </c>
      <c r="J643" t="str">
        <f t="shared" si="41"/>
        <v>BC</v>
      </c>
      <c r="K643">
        <f t="shared" si="42"/>
        <v>-1048</v>
      </c>
      <c r="L643">
        <f t="shared" si="43"/>
        <v>-1048</v>
      </c>
    </row>
    <row r="644" spans="1:12" x14ac:dyDescent="0.35">
      <c r="A644">
        <v>657</v>
      </c>
      <c r="B644" t="s">
        <v>12369</v>
      </c>
      <c r="C644" t="s">
        <v>12370</v>
      </c>
      <c r="D644" t="s">
        <v>12385</v>
      </c>
      <c r="E644" t="s">
        <v>12439</v>
      </c>
      <c r="F644" t="s">
        <v>12438</v>
      </c>
      <c r="G644" t="s">
        <v>112</v>
      </c>
      <c r="I644" t="str">
        <f t="shared" si="40"/>
        <v>1047-1045</v>
      </c>
      <c r="J644" t="str">
        <f t="shared" si="41"/>
        <v>BC</v>
      </c>
      <c r="K644">
        <f t="shared" si="42"/>
        <v>-1047</v>
      </c>
      <c r="L644">
        <f t="shared" si="43"/>
        <v>-1045</v>
      </c>
    </row>
    <row r="645" spans="1:12" s="15" customFormat="1" x14ac:dyDescent="0.35">
      <c r="A645">
        <v>658</v>
      </c>
      <c r="B645" s="23" t="s">
        <v>12389</v>
      </c>
      <c r="C645" t="s">
        <v>12392</v>
      </c>
      <c r="D645" s="23" t="s">
        <v>12386</v>
      </c>
      <c r="E645" s="15" t="s">
        <v>893</v>
      </c>
      <c r="F645" s="15" t="s">
        <v>12440</v>
      </c>
      <c r="G645" s="15" t="s">
        <v>112</v>
      </c>
      <c r="I645" t="str">
        <f t="shared" si="40"/>
        <v>1030-1025</v>
      </c>
      <c r="J645" t="str">
        <f t="shared" si="41"/>
        <v>BC</v>
      </c>
      <c r="K645">
        <f t="shared" si="42"/>
        <v>-1030</v>
      </c>
      <c r="L645">
        <f t="shared" si="43"/>
        <v>-1025</v>
      </c>
    </row>
    <row r="646" spans="1:12" s="15" customFormat="1" x14ac:dyDescent="0.35">
      <c r="A646">
        <v>659</v>
      </c>
      <c r="B646" s="23" t="s">
        <v>12373</v>
      </c>
      <c r="C646" t="s">
        <v>12393</v>
      </c>
      <c r="D646" s="23" t="s">
        <v>12374</v>
      </c>
      <c r="E646" s="15" t="s">
        <v>893</v>
      </c>
      <c r="F646" s="15" t="s">
        <v>12440</v>
      </c>
      <c r="G646" s="15" t="s">
        <v>112</v>
      </c>
      <c r="I646" t="str">
        <f t="shared" si="40"/>
        <v>1030-1025</v>
      </c>
      <c r="J646" t="str">
        <f t="shared" si="41"/>
        <v>BC</v>
      </c>
      <c r="K646">
        <f t="shared" si="42"/>
        <v>-1030</v>
      </c>
      <c r="L646">
        <f t="shared" si="43"/>
        <v>-1025</v>
      </c>
    </row>
    <row r="647" spans="1:12" s="15" customFormat="1" x14ac:dyDescent="0.35">
      <c r="A647">
        <v>660</v>
      </c>
      <c r="B647" s="23" t="s">
        <v>12375</v>
      </c>
      <c r="C647" t="s">
        <v>12376</v>
      </c>
      <c r="D647" s="23" t="s">
        <v>12377</v>
      </c>
      <c r="E647" s="15" t="s">
        <v>893</v>
      </c>
      <c r="F647" s="15" t="s">
        <v>12440</v>
      </c>
      <c r="G647" s="15" t="s">
        <v>112</v>
      </c>
      <c r="I647" t="str">
        <f t="shared" si="40"/>
        <v>1030-1025</v>
      </c>
      <c r="J647" t="str">
        <f t="shared" si="41"/>
        <v>BC</v>
      </c>
      <c r="K647">
        <f t="shared" si="42"/>
        <v>-1030</v>
      </c>
      <c r="L647">
        <f t="shared" si="43"/>
        <v>-1025</v>
      </c>
    </row>
    <row r="648" spans="1:12" s="15" customFormat="1" x14ac:dyDescent="0.35">
      <c r="A648">
        <v>661</v>
      </c>
      <c r="B648" s="23" t="s">
        <v>12387</v>
      </c>
      <c r="C648" t="s">
        <v>12381</v>
      </c>
      <c r="D648" s="23" t="s">
        <v>12378</v>
      </c>
      <c r="E648" s="15" t="s">
        <v>893</v>
      </c>
      <c r="F648" s="15" t="s">
        <v>12440</v>
      </c>
      <c r="G648" s="15" t="s">
        <v>112</v>
      </c>
      <c r="I648" t="str">
        <f t="shared" si="40"/>
        <v>1030-1025</v>
      </c>
      <c r="J648" t="str">
        <f t="shared" si="41"/>
        <v>BC</v>
      </c>
      <c r="K648">
        <f t="shared" si="42"/>
        <v>-1030</v>
      </c>
      <c r="L648">
        <f t="shared" si="43"/>
        <v>-1025</v>
      </c>
    </row>
    <row r="649" spans="1:12" s="15" customFormat="1" x14ac:dyDescent="0.35">
      <c r="A649">
        <v>662</v>
      </c>
      <c r="B649" s="23" t="s">
        <v>12379</v>
      </c>
      <c r="C649" t="s">
        <v>12380</v>
      </c>
      <c r="D649" s="23" t="s">
        <v>12382</v>
      </c>
      <c r="E649" s="15" t="s">
        <v>893</v>
      </c>
      <c r="F649" s="15" t="s">
        <v>12440</v>
      </c>
      <c r="G649" s="15" t="s">
        <v>112</v>
      </c>
      <c r="I649" t="str">
        <f t="shared" si="40"/>
        <v>1030-1025</v>
      </c>
      <c r="J649" t="str">
        <f t="shared" si="41"/>
        <v>BC</v>
      </c>
      <c r="K649">
        <f t="shared" si="42"/>
        <v>-1030</v>
      </c>
      <c r="L649">
        <f t="shared" si="43"/>
        <v>-1025</v>
      </c>
    </row>
    <row r="650" spans="1:12" s="15" customFormat="1" x14ac:dyDescent="0.35">
      <c r="A650">
        <v>663</v>
      </c>
      <c r="B650" s="23" t="s">
        <v>12373</v>
      </c>
      <c r="C650" t="s">
        <v>10120</v>
      </c>
      <c r="D650" s="23" t="s">
        <v>12388</v>
      </c>
      <c r="E650" s="15" t="s">
        <v>84</v>
      </c>
      <c r="F650" s="15" t="s">
        <v>12440</v>
      </c>
      <c r="G650" s="15" t="s">
        <v>112</v>
      </c>
      <c r="I650" t="str">
        <f t="shared" si="40"/>
        <v>1030-1025</v>
      </c>
      <c r="J650" t="str">
        <f t="shared" si="41"/>
        <v>BC</v>
      </c>
      <c r="K650">
        <f t="shared" si="42"/>
        <v>-1030</v>
      </c>
      <c r="L650">
        <f t="shared" si="43"/>
        <v>-1025</v>
      </c>
    </row>
    <row r="651" spans="1:12" x14ac:dyDescent="0.35">
      <c r="A651">
        <v>664</v>
      </c>
      <c r="B651" s="23" t="s">
        <v>1100</v>
      </c>
      <c r="C651" t="s">
        <v>12390</v>
      </c>
      <c r="D651" s="23" t="s">
        <v>1101</v>
      </c>
      <c r="E651" t="s">
        <v>84</v>
      </c>
      <c r="F651" t="s">
        <v>104</v>
      </c>
      <c r="G651" t="s">
        <v>112</v>
      </c>
      <c r="I651" t="str">
        <f t="shared" si="40"/>
        <v>1025</v>
      </c>
      <c r="J651" t="str">
        <f t="shared" si="41"/>
        <v>BC</v>
      </c>
      <c r="K651">
        <f t="shared" si="42"/>
        <v>-1025</v>
      </c>
      <c r="L651">
        <f t="shared" si="43"/>
        <v>-1025</v>
      </c>
    </row>
    <row r="652" spans="1:12" x14ac:dyDescent="0.35">
      <c r="A652">
        <v>665</v>
      </c>
      <c r="B652" t="s">
        <v>1103</v>
      </c>
      <c r="C652" t="s">
        <v>11264</v>
      </c>
      <c r="D652" t="s">
        <v>1104</v>
      </c>
      <c r="E652" t="s">
        <v>1102</v>
      </c>
      <c r="F652" t="s">
        <v>104</v>
      </c>
      <c r="G652" t="s">
        <v>112</v>
      </c>
      <c r="I652" t="str">
        <f t="shared" si="40"/>
        <v>1025</v>
      </c>
      <c r="J652" t="str">
        <f t="shared" si="41"/>
        <v>BC</v>
      </c>
      <c r="K652">
        <f t="shared" si="42"/>
        <v>-1025</v>
      </c>
      <c r="L652">
        <f t="shared" si="43"/>
        <v>-1025</v>
      </c>
    </row>
    <row r="653" spans="1:12" x14ac:dyDescent="0.35">
      <c r="A653">
        <v>666</v>
      </c>
      <c r="B653" t="s">
        <v>1105</v>
      </c>
      <c r="C653" t="s">
        <v>12733</v>
      </c>
      <c r="D653" t="s">
        <v>1106</v>
      </c>
      <c r="E653" t="s">
        <v>1102</v>
      </c>
      <c r="F653" t="s">
        <v>104</v>
      </c>
      <c r="G653" t="s">
        <v>112</v>
      </c>
      <c r="I653" t="str">
        <f t="shared" si="40"/>
        <v>1025</v>
      </c>
      <c r="J653" t="str">
        <f t="shared" si="41"/>
        <v>BC</v>
      </c>
      <c r="K653">
        <f t="shared" si="42"/>
        <v>-1025</v>
      </c>
      <c r="L653">
        <f t="shared" si="43"/>
        <v>-1025</v>
      </c>
    </row>
    <row r="654" spans="1:12" x14ac:dyDescent="0.35">
      <c r="A654">
        <v>667</v>
      </c>
      <c r="B654" t="s">
        <v>1107</v>
      </c>
      <c r="C654" t="s">
        <v>10121</v>
      </c>
      <c r="D654" t="s">
        <v>1108</v>
      </c>
      <c r="E654" t="s">
        <v>1102</v>
      </c>
      <c r="F654" t="s">
        <v>104</v>
      </c>
      <c r="G654" t="s">
        <v>12513</v>
      </c>
      <c r="I654" t="str">
        <f t="shared" si="40"/>
        <v>1025</v>
      </c>
      <c r="J654" t="str">
        <f t="shared" si="41"/>
        <v>BC</v>
      </c>
      <c r="K654">
        <f t="shared" si="42"/>
        <v>-1025</v>
      </c>
      <c r="L654">
        <f t="shared" si="43"/>
        <v>-1025</v>
      </c>
    </row>
    <row r="655" spans="1:12" s="15" customFormat="1" x14ac:dyDescent="0.35">
      <c r="A655">
        <v>668</v>
      </c>
      <c r="B655" s="23" t="s">
        <v>12394</v>
      </c>
      <c r="C655" t="s">
        <v>12380</v>
      </c>
      <c r="D655" s="23" t="s">
        <v>89</v>
      </c>
      <c r="E655" t="s">
        <v>1099</v>
      </c>
      <c r="F655" s="15" t="s">
        <v>104</v>
      </c>
      <c r="G655" s="15" t="s">
        <v>112</v>
      </c>
      <c r="I655" t="str">
        <f t="shared" si="40"/>
        <v>1025</v>
      </c>
      <c r="J655" t="str">
        <f t="shared" si="41"/>
        <v>BC</v>
      </c>
      <c r="K655">
        <f t="shared" si="42"/>
        <v>-1025</v>
      </c>
      <c r="L655">
        <f t="shared" si="43"/>
        <v>-1025</v>
      </c>
    </row>
    <row r="656" spans="1:12" x14ac:dyDescent="0.35">
      <c r="A656">
        <v>669</v>
      </c>
      <c r="B656" t="s">
        <v>12395</v>
      </c>
      <c r="C656" t="s">
        <v>12396</v>
      </c>
      <c r="D656" t="s">
        <v>12397</v>
      </c>
      <c r="E656" t="s">
        <v>1099</v>
      </c>
      <c r="F656" t="s">
        <v>12442</v>
      </c>
      <c r="G656" t="s">
        <v>1292</v>
      </c>
      <c r="I656" t="str">
        <f t="shared" si="40"/>
        <v>1025-1024</v>
      </c>
      <c r="J656" t="str">
        <f t="shared" si="41"/>
        <v>BC</v>
      </c>
      <c r="K656">
        <f t="shared" si="42"/>
        <v>-1025</v>
      </c>
      <c r="L656">
        <f t="shared" si="43"/>
        <v>-1024</v>
      </c>
    </row>
    <row r="657" spans="1:12" x14ac:dyDescent="0.35">
      <c r="A657">
        <v>670</v>
      </c>
      <c r="B657" t="s">
        <v>1109</v>
      </c>
      <c r="C657" t="s">
        <v>10091</v>
      </c>
      <c r="D657" t="s">
        <v>90</v>
      </c>
      <c r="E657" t="s">
        <v>91</v>
      </c>
      <c r="F657" t="s">
        <v>12443</v>
      </c>
      <c r="G657" t="s">
        <v>1292</v>
      </c>
      <c r="I657" t="str">
        <f t="shared" si="40"/>
        <v>1024</v>
      </c>
      <c r="J657" t="str">
        <f t="shared" si="41"/>
        <v>BC</v>
      </c>
      <c r="K657">
        <f t="shared" si="42"/>
        <v>-1024</v>
      </c>
      <c r="L657">
        <f t="shared" si="43"/>
        <v>-1024</v>
      </c>
    </row>
    <row r="658" spans="1:12" x14ac:dyDescent="0.35">
      <c r="A658">
        <v>671</v>
      </c>
      <c r="B658" t="s">
        <v>1110</v>
      </c>
      <c r="C658" t="s">
        <v>12405</v>
      </c>
      <c r="D658" t="s">
        <v>1111</v>
      </c>
      <c r="E658" t="s">
        <v>1099</v>
      </c>
      <c r="F658" t="s">
        <v>12444</v>
      </c>
      <c r="G658" t="s">
        <v>112</v>
      </c>
      <c r="I658" t="str">
        <f t="shared" si="40"/>
        <v>1023-1020</v>
      </c>
      <c r="J658" t="str">
        <f t="shared" si="41"/>
        <v>BC</v>
      </c>
      <c r="K658">
        <f t="shared" si="42"/>
        <v>-1023</v>
      </c>
      <c r="L658">
        <f t="shared" si="43"/>
        <v>-1020</v>
      </c>
    </row>
    <row r="659" spans="1:12" x14ac:dyDescent="0.35">
      <c r="A659">
        <v>672</v>
      </c>
      <c r="B659" t="s">
        <v>12398</v>
      </c>
      <c r="C659" t="s">
        <v>12399</v>
      </c>
      <c r="D659" t="s">
        <v>12400</v>
      </c>
      <c r="E659" t="s">
        <v>1099</v>
      </c>
      <c r="F659" t="s">
        <v>12444</v>
      </c>
      <c r="G659" t="s">
        <v>112</v>
      </c>
      <c r="I659" t="str">
        <f t="shared" si="40"/>
        <v>1023-1020</v>
      </c>
      <c r="J659" t="str">
        <f t="shared" si="41"/>
        <v>BC</v>
      </c>
      <c r="K659">
        <f t="shared" si="42"/>
        <v>-1023</v>
      </c>
      <c r="L659">
        <f t="shared" si="43"/>
        <v>-1020</v>
      </c>
    </row>
    <row r="660" spans="1:12" x14ac:dyDescent="0.35">
      <c r="A660">
        <v>673</v>
      </c>
      <c r="B660" t="s">
        <v>1114</v>
      </c>
      <c r="C660" t="s">
        <v>10166</v>
      </c>
      <c r="D660" t="s">
        <v>12401</v>
      </c>
      <c r="E660" t="s">
        <v>1099</v>
      </c>
      <c r="F660" t="s">
        <v>12444</v>
      </c>
      <c r="G660" t="s">
        <v>112</v>
      </c>
      <c r="I660" t="str">
        <f t="shared" si="40"/>
        <v>1023-1020</v>
      </c>
      <c r="J660" t="str">
        <f t="shared" si="41"/>
        <v>BC</v>
      </c>
      <c r="K660">
        <f t="shared" si="42"/>
        <v>-1023</v>
      </c>
      <c r="L660">
        <f t="shared" si="43"/>
        <v>-1020</v>
      </c>
    </row>
    <row r="661" spans="1:12" x14ac:dyDescent="0.35">
      <c r="A661">
        <v>674</v>
      </c>
      <c r="B661" t="s">
        <v>1110</v>
      </c>
      <c r="C661" t="s">
        <v>12405</v>
      </c>
      <c r="D661" t="s">
        <v>12403</v>
      </c>
      <c r="E661" t="s">
        <v>12432</v>
      </c>
      <c r="F661" t="s">
        <v>12444</v>
      </c>
      <c r="G661" t="s">
        <v>112</v>
      </c>
      <c r="I661" t="str">
        <f t="shared" si="40"/>
        <v>1023-1020</v>
      </c>
      <c r="J661" t="str">
        <f t="shared" si="41"/>
        <v>BC</v>
      </c>
      <c r="K661">
        <f t="shared" si="42"/>
        <v>-1023</v>
      </c>
      <c r="L661">
        <f t="shared" si="43"/>
        <v>-1020</v>
      </c>
    </row>
    <row r="662" spans="1:12" x14ac:dyDescent="0.35">
      <c r="A662">
        <v>675</v>
      </c>
      <c r="B662" t="s">
        <v>12398</v>
      </c>
      <c r="C662" t="s">
        <v>12399</v>
      </c>
      <c r="D662" t="s">
        <v>12402</v>
      </c>
      <c r="E662" t="s">
        <v>1099</v>
      </c>
      <c r="F662" t="s">
        <v>12445</v>
      </c>
      <c r="G662" t="s">
        <v>112</v>
      </c>
      <c r="I662" t="str">
        <f t="shared" si="40"/>
        <v>1022-1020</v>
      </c>
      <c r="J662" t="str">
        <f t="shared" si="41"/>
        <v>BC</v>
      </c>
      <c r="K662">
        <f t="shared" si="42"/>
        <v>-1022</v>
      </c>
      <c r="L662">
        <f t="shared" si="43"/>
        <v>-1020</v>
      </c>
    </row>
    <row r="663" spans="1:12" x14ac:dyDescent="0.35">
      <c r="A663">
        <v>676</v>
      </c>
      <c r="B663" t="s">
        <v>1114</v>
      </c>
      <c r="C663" t="s">
        <v>10166</v>
      </c>
      <c r="D663" t="s">
        <v>12404</v>
      </c>
      <c r="E663" t="s">
        <v>1099</v>
      </c>
      <c r="F663" t="s">
        <v>12445</v>
      </c>
      <c r="G663" t="s">
        <v>112</v>
      </c>
      <c r="I663" t="str">
        <f t="shared" si="40"/>
        <v>1022-1020</v>
      </c>
      <c r="J663" t="str">
        <f t="shared" si="41"/>
        <v>BC</v>
      </c>
      <c r="K663">
        <f t="shared" si="42"/>
        <v>-1022</v>
      </c>
      <c r="L663">
        <f t="shared" si="43"/>
        <v>-1020</v>
      </c>
    </row>
    <row r="664" spans="1:12" x14ac:dyDescent="0.35">
      <c r="A664">
        <v>677</v>
      </c>
      <c r="B664" t="s">
        <v>12408</v>
      </c>
      <c r="C664" t="s">
        <v>12406</v>
      </c>
      <c r="D664" t="s">
        <v>12409</v>
      </c>
      <c r="E664" t="s">
        <v>12407</v>
      </c>
      <c r="F664" t="s">
        <v>12445</v>
      </c>
      <c r="G664" t="s">
        <v>112</v>
      </c>
      <c r="I664" t="str">
        <f t="shared" si="40"/>
        <v>1022-1020</v>
      </c>
      <c r="J664" t="str">
        <f t="shared" si="41"/>
        <v>BC</v>
      </c>
      <c r="K664">
        <f t="shared" si="42"/>
        <v>-1022</v>
      </c>
      <c r="L664">
        <f t="shared" si="43"/>
        <v>-1020</v>
      </c>
    </row>
    <row r="665" spans="1:12" x14ac:dyDescent="0.35">
      <c r="A665">
        <v>678</v>
      </c>
      <c r="B665" t="s">
        <v>12411</v>
      </c>
      <c r="C665" t="s">
        <v>12410</v>
      </c>
      <c r="D665" t="s">
        <v>12412</v>
      </c>
      <c r="E665" t="s">
        <v>92</v>
      </c>
      <c r="F665" t="s">
        <v>12446</v>
      </c>
      <c r="G665" t="s">
        <v>12542</v>
      </c>
      <c r="I665" t="str">
        <f t="shared" si="40"/>
        <v>1018-1016</v>
      </c>
      <c r="J665" t="str">
        <f t="shared" si="41"/>
        <v>BC</v>
      </c>
      <c r="K665">
        <f t="shared" si="42"/>
        <v>-1018</v>
      </c>
      <c r="L665">
        <f t="shared" si="43"/>
        <v>-1016</v>
      </c>
    </row>
    <row r="666" spans="1:12" x14ac:dyDescent="0.35">
      <c r="A666">
        <v>679</v>
      </c>
      <c r="B666" t="s">
        <v>1117</v>
      </c>
      <c r="C666" t="s">
        <v>10504</v>
      </c>
      <c r="D666" t="s">
        <v>1118</v>
      </c>
      <c r="E666" t="s">
        <v>1119</v>
      </c>
      <c r="F666" t="s">
        <v>12446</v>
      </c>
      <c r="G666" t="s">
        <v>12542</v>
      </c>
      <c r="I666" t="str">
        <f t="shared" si="40"/>
        <v>1018-1016</v>
      </c>
      <c r="J666" t="str">
        <f t="shared" si="41"/>
        <v>BC</v>
      </c>
      <c r="K666">
        <f t="shared" si="42"/>
        <v>-1018</v>
      </c>
      <c r="L666">
        <f t="shared" si="43"/>
        <v>-1016</v>
      </c>
    </row>
    <row r="667" spans="1:12" x14ac:dyDescent="0.35">
      <c r="A667">
        <v>680</v>
      </c>
      <c r="B667" t="s">
        <v>12413</v>
      </c>
      <c r="C667" t="s">
        <v>10350</v>
      </c>
      <c r="D667" t="s">
        <v>1120</v>
      </c>
      <c r="E667" t="s">
        <v>1121</v>
      </c>
      <c r="F667" t="s">
        <v>12447</v>
      </c>
      <c r="G667" t="s">
        <v>112</v>
      </c>
      <c r="I667" t="str">
        <f t="shared" si="40"/>
        <v>1018-1015</v>
      </c>
      <c r="J667" t="str">
        <f t="shared" si="41"/>
        <v>BC</v>
      </c>
      <c r="K667">
        <f t="shared" si="42"/>
        <v>-1018</v>
      </c>
      <c r="L667">
        <f t="shared" si="43"/>
        <v>-1015</v>
      </c>
    </row>
    <row r="668" spans="1:12" x14ac:dyDescent="0.35">
      <c r="A668">
        <v>681</v>
      </c>
      <c r="B668" t="s">
        <v>1124</v>
      </c>
      <c r="C668" t="s">
        <v>10042</v>
      </c>
      <c r="D668" t="s">
        <v>12414</v>
      </c>
      <c r="E668" t="s">
        <v>1125</v>
      </c>
      <c r="F668" t="s">
        <v>12448</v>
      </c>
      <c r="G668" t="s">
        <v>112</v>
      </c>
      <c r="I668" t="str">
        <f t="shared" si="40"/>
        <v>1016-1015</v>
      </c>
      <c r="J668" t="str">
        <f t="shared" si="41"/>
        <v>BC</v>
      </c>
      <c r="K668">
        <f t="shared" si="42"/>
        <v>-1016</v>
      </c>
      <c r="L668">
        <f t="shared" si="43"/>
        <v>-1015</v>
      </c>
    </row>
    <row r="669" spans="1:12" x14ac:dyDescent="0.35">
      <c r="A669">
        <v>682</v>
      </c>
      <c r="B669" t="s">
        <v>12415</v>
      </c>
      <c r="C669" t="s">
        <v>10125</v>
      </c>
      <c r="D669" t="s">
        <v>93</v>
      </c>
      <c r="E669" t="s">
        <v>1128</v>
      </c>
      <c r="F669" t="s">
        <v>12449</v>
      </c>
      <c r="G669" t="s">
        <v>112</v>
      </c>
      <c r="I669" t="str">
        <f t="shared" si="40"/>
        <v>1015-1014</v>
      </c>
      <c r="J669" t="str">
        <f t="shared" si="41"/>
        <v>BC</v>
      </c>
      <c r="K669">
        <f t="shared" si="42"/>
        <v>-1015</v>
      </c>
      <c r="L669">
        <f t="shared" si="43"/>
        <v>-1014</v>
      </c>
    </row>
    <row r="670" spans="1:12" x14ac:dyDescent="0.35">
      <c r="A670">
        <v>683</v>
      </c>
      <c r="B670" t="s">
        <v>1126</v>
      </c>
      <c r="C670" t="s">
        <v>10123</v>
      </c>
      <c r="D670" t="s">
        <v>1127</v>
      </c>
      <c r="E670" t="s">
        <v>1128</v>
      </c>
      <c r="F670" t="s">
        <v>12449</v>
      </c>
      <c r="G670" t="s">
        <v>112</v>
      </c>
      <c r="I670" t="str">
        <f t="shared" si="40"/>
        <v>1015-1014</v>
      </c>
      <c r="J670" t="str">
        <f t="shared" si="41"/>
        <v>BC</v>
      </c>
      <c r="K670">
        <f t="shared" si="42"/>
        <v>-1015</v>
      </c>
      <c r="L670">
        <f t="shared" si="43"/>
        <v>-1014</v>
      </c>
    </row>
    <row r="671" spans="1:12" x14ac:dyDescent="0.35">
      <c r="A671">
        <v>684</v>
      </c>
      <c r="B671" t="s">
        <v>1130</v>
      </c>
      <c r="C671" t="s">
        <v>11139</v>
      </c>
      <c r="D671" t="s">
        <v>1131</v>
      </c>
      <c r="E671" t="s">
        <v>1132</v>
      </c>
      <c r="F671" t="s">
        <v>12450</v>
      </c>
      <c r="G671" t="s">
        <v>112</v>
      </c>
      <c r="I671" t="str">
        <f t="shared" si="40"/>
        <v>1014</v>
      </c>
      <c r="J671" t="str">
        <f t="shared" si="41"/>
        <v>BC</v>
      </c>
      <c r="K671">
        <f t="shared" si="42"/>
        <v>-1014</v>
      </c>
      <c r="L671">
        <f t="shared" si="43"/>
        <v>-1014</v>
      </c>
    </row>
    <row r="672" spans="1:12" x14ac:dyDescent="0.35">
      <c r="A672">
        <v>685</v>
      </c>
      <c r="B672" t="s">
        <v>1133</v>
      </c>
      <c r="C672" t="s">
        <v>10124</v>
      </c>
      <c r="D672" t="s">
        <v>1134</v>
      </c>
      <c r="E672" t="s">
        <v>1135</v>
      </c>
      <c r="F672" t="s">
        <v>12450</v>
      </c>
      <c r="G672" t="s">
        <v>112</v>
      </c>
      <c r="I672" t="str">
        <f t="shared" si="40"/>
        <v>1014</v>
      </c>
      <c r="J672" t="str">
        <f t="shared" si="41"/>
        <v>BC</v>
      </c>
      <c r="K672">
        <f t="shared" si="42"/>
        <v>-1014</v>
      </c>
      <c r="L672">
        <f t="shared" si="43"/>
        <v>-1014</v>
      </c>
    </row>
    <row r="673" spans="1:13" x14ac:dyDescent="0.35">
      <c r="A673">
        <v>686</v>
      </c>
      <c r="B673" t="s">
        <v>12544</v>
      </c>
      <c r="C673" t="s">
        <v>10125</v>
      </c>
      <c r="D673" t="s">
        <v>1136</v>
      </c>
      <c r="E673" t="s">
        <v>12545</v>
      </c>
      <c r="F673" t="s">
        <v>12451</v>
      </c>
      <c r="G673" t="s">
        <v>112</v>
      </c>
      <c r="I673" t="str">
        <f t="shared" si="40"/>
        <v>1013-1012</v>
      </c>
      <c r="J673" t="str">
        <f t="shared" si="41"/>
        <v>BC</v>
      </c>
      <c r="K673">
        <f t="shared" si="42"/>
        <v>-1013</v>
      </c>
      <c r="L673">
        <f t="shared" si="43"/>
        <v>-1012</v>
      </c>
    </row>
    <row r="674" spans="1:13" x14ac:dyDescent="0.35">
      <c r="A674">
        <v>687</v>
      </c>
      <c r="B674" t="s">
        <v>1137</v>
      </c>
      <c r="C674" t="s">
        <v>10126</v>
      </c>
      <c r="D674" t="s">
        <v>1138</v>
      </c>
      <c r="E674" t="s">
        <v>12545</v>
      </c>
      <c r="F674" t="s">
        <v>12451</v>
      </c>
      <c r="G674" t="s">
        <v>112</v>
      </c>
      <c r="I674" t="str">
        <f t="shared" si="40"/>
        <v>1013-1012</v>
      </c>
      <c r="J674" t="str">
        <f t="shared" si="41"/>
        <v>BC</v>
      </c>
      <c r="K674">
        <f t="shared" si="42"/>
        <v>-1013</v>
      </c>
      <c r="L674">
        <f t="shared" si="43"/>
        <v>-1012</v>
      </c>
    </row>
    <row r="675" spans="1:13" x14ac:dyDescent="0.35">
      <c r="A675">
        <v>688</v>
      </c>
      <c r="B675" t="s">
        <v>12416</v>
      </c>
      <c r="C675" t="s">
        <v>12734</v>
      </c>
      <c r="D675" t="s">
        <v>94</v>
      </c>
      <c r="E675" t="s">
        <v>95</v>
      </c>
      <c r="F675" t="s">
        <v>12452</v>
      </c>
      <c r="G675" t="s">
        <v>12513</v>
      </c>
      <c r="I675" t="str">
        <f t="shared" si="40"/>
        <v>1011</v>
      </c>
      <c r="J675" t="str">
        <f t="shared" si="41"/>
        <v>BC</v>
      </c>
      <c r="K675">
        <f t="shared" si="42"/>
        <v>-1011</v>
      </c>
      <c r="L675">
        <f t="shared" si="43"/>
        <v>-1011</v>
      </c>
    </row>
    <row r="676" spans="1:13" x14ac:dyDescent="0.35">
      <c r="A676">
        <v>689</v>
      </c>
      <c r="B676" t="s">
        <v>12417</v>
      </c>
      <c r="C676" t="s">
        <v>12418</v>
      </c>
      <c r="D676" t="s">
        <v>1139</v>
      </c>
      <c r="E676" t="s">
        <v>95</v>
      </c>
      <c r="F676" t="s">
        <v>12452</v>
      </c>
      <c r="G676" t="s">
        <v>12513</v>
      </c>
      <c r="I676" t="str">
        <f t="shared" si="40"/>
        <v>1011</v>
      </c>
      <c r="J676" t="str">
        <f t="shared" si="41"/>
        <v>BC</v>
      </c>
      <c r="K676">
        <f t="shared" si="42"/>
        <v>-1011</v>
      </c>
      <c r="L676">
        <f t="shared" si="43"/>
        <v>-1011</v>
      </c>
      <c r="M676">
        <v>2920</v>
      </c>
    </row>
    <row r="677" spans="1:13" x14ac:dyDescent="0.35">
      <c r="A677">
        <v>690</v>
      </c>
      <c r="B677" t="s">
        <v>1140</v>
      </c>
      <c r="C677" t="s">
        <v>11238</v>
      </c>
      <c r="D677" t="s">
        <v>96</v>
      </c>
      <c r="E677" t="s">
        <v>97</v>
      </c>
      <c r="F677" t="s">
        <v>108</v>
      </c>
      <c r="G677" t="s">
        <v>12542</v>
      </c>
      <c r="I677" t="str">
        <f t="shared" si="40"/>
        <v>1010</v>
      </c>
      <c r="J677" t="str">
        <f t="shared" si="41"/>
        <v>BC</v>
      </c>
      <c r="K677">
        <f t="shared" si="42"/>
        <v>-1010</v>
      </c>
      <c r="L677">
        <f t="shared" si="43"/>
        <v>-1010</v>
      </c>
    </row>
    <row r="678" spans="1:13" x14ac:dyDescent="0.35">
      <c r="A678">
        <v>691</v>
      </c>
      <c r="B678" t="s">
        <v>1141</v>
      </c>
      <c r="C678" t="s">
        <v>12735</v>
      </c>
      <c r="D678" t="s">
        <v>1142</v>
      </c>
      <c r="E678" t="s">
        <v>1143</v>
      </c>
      <c r="F678" t="s">
        <v>108</v>
      </c>
      <c r="G678" t="s">
        <v>112</v>
      </c>
      <c r="I678" t="str">
        <f t="shared" si="40"/>
        <v>1010</v>
      </c>
      <c r="J678" t="str">
        <f t="shared" si="41"/>
        <v>BC</v>
      </c>
      <c r="K678">
        <f t="shared" si="42"/>
        <v>-1010</v>
      </c>
      <c r="L678">
        <f t="shared" si="43"/>
        <v>-1010</v>
      </c>
    </row>
    <row r="679" spans="1:13" x14ac:dyDescent="0.35">
      <c r="A679">
        <v>692</v>
      </c>
      <c r="B679" t="s">
        <v>12419</v>
      </c>
      <c r="C679" t="s">
        <v>10510</v>
      </c>
      <c r="D679" t="s">
        <v>1144</v>
      </c>
      <c r="E679" t="s">
        <v>98</v>
      </c>
      <c r="F679" t="s">
        <v>108</v>
      </c>
      <c r="G679" t="s">
        <v>112</v>
      </c>
      <c r="I679" t="str">
        <f t="shared" si="40"/>
        <v>1010</v>
      </c>
      <c r="J679" t="str">
        <f t="shared" si="41"/>
        <v>BC</v>
      </c>
      <c r="K679">
        <f t="shared" si="42"/>
        <v>-1010</v>
      </c>
      <c r="L679">
        <f t="shared" si="43"/>
        <v>-1010</v>
      </c>
    </row>
    <row r="680" spans="1:13" x14ac:dyDescent="0.35">
      <c r="A680">
        <v>693</v>
      </c>
      <c r="B680" t="s">
        <v>1181</v>
      </c>
      <c r="C680" t="s">
        <v>11263</v>
      </c>
      <c r="D680" t="s">
        <v>1180</v>
      </c>
      <c r="E680" t="s">
        <v>97</v>
      </c>
      <c r="F680" t="s">
        <v>108</v>
      </c>
      <c r="G680" t="s">
        <v>112</v>
      </c>
      <c r="I680" t="str">
        <f t="shared" si="40"/>
        <v>1010</v>
      </c>
      <c r="J680" t="str">
        <f t="shared" si="41"/>
        <v>BC</v>
      </c>
      <c r="K680">
        <f t="shared" si="42"/>
        <v>-1010</v>
      </c>
      <c r="L680">
        <f t="shared" si="43"/>
        <v>-1010</v>
      </c>
    </row>
    <row r="681" spans="1:13" x14ac:dyDescent="0.35">
      <c r="A681">
        <v>694</v>
      </c>
      <c r="B681" t="s">
        <v>1182</v>
      </c>
      <c r="C681" t="s">
        <v>10118</v>
      </c>
      <c r="D681" t="s">
        <v>1183</v>
      </c>
      <c r="E681" t="s">
        <v>1184</v>
      </c>
      <c r="F681" t="s">
        <v>108</v>
      </c>
      <c r="G681" t="s">
        <v>12546</v>
      </c>
      <c r="I681" t="str">
        <f t="shared" si="40"/>
        <v>1010</v>
      </c>
      <c r="J681" t="str">
        <f t="shared" si="41"/>
        <v>BC</v>
      </c>
      <c r="K681">
        <f t="shared" si="42"/>
        <v>-1010</v>
      </c>
      <c r="L681">
        <f t="shared" si="43"/>
        <v>-1010</v>
      </c>
    </row>
    <row r="682" spans="1:13" x14ac:dyDescent="0.35">
      <c r="A682">
        <v>695</v>
      </c>
      <c r="B682" t="s">
        <v>1185</v>
      </c>
      <c r="C682" t="s">
        <v>10128</v>
      </c>
      <c r="D682" t="s">
        <v>1186</v>
      </c>
      <c r="E682" t="s">
        <v>1184</v>
      </c>
      <c r="F682" t="s">
        <v>1187</v>
      </c>
      <c r="G682" t="s">
        <v>112</v>
      </c>
      <c r="I682" t="str">
        <f t="shared" si="40"/>
        <v>1010-1003</v>
      </c>
      <c r="J682" t="str">
        <f t="shared" si="41"/>
        <v>BC</v>
      </c>
      <c r="K682">
        <f t="shared" si="42"/>
        <v>-1010</v>
      </c>
      <c r="L682">
        <f t="shared" si="43"/>
        <v>-1003</v>
      </c>
    </row>
    <row r="683" spans="1:13" x14ac:dyDescent="0.35">
      <c r="A683">
        <v>696</v>
      </c>
      <c r="B683" t="s">
        <v>1188</v>
      </c>
      <c r="C683" t="s">
        <v>10159</v>
      </c>
      <c r="D683" t="s">
        <v>1189</v>
      </c>
      <c r="E683" t="s">
        <v>1112</v>
      </c>
      <c r="F683" t="s">
        <v>1187</v>
      </c>
      <c r="G683" t="s">
        <v>1190</v>
      </c>
      <c r="I683" t="str">
        <f t="shared" si="40"/>
        <v>1010-1003</v>
      </c>
      <c r="J683" t="str">
        <f t="shared" si="41"/>
        <v>BC</v>
      </c>
      <c r="K683">
        <f t="shared" si="42"/>
        <v>-1010</v>
      </c>
      <c r="L683">
        <f t="shared" si="43"/>
        <v>-1003</v>
      </c>
    </row>
    <row r="684" spans="1:13" x14ac:dyDescent="0.35">
      <c r="A684">
        <v>697</v>
      </c>
      <c r="B684" t="s">
        <v>1191</v>
      </c>
      <c r="C684" t="s">
        <v>10129</v>
      </c>
      <c r="D684" t="s">
        <v>1189</v>
      </c>
      <c r="E684" t="s">
        <v>1112</v>
      </c>
      <c r="F684" t="s">
        <v>1187</v>
      </c>
      <c r="G684" t="s">
        <v>112</v>
      </c>
      <c r="I684" t="str">
        <f t="shared" si="40"/>
        <v>1010-1003</v>
      </c>
      <c r="J684" t="str">
        <f t="shared" si="41"/>
        <v>BC</v>
      </c>
      <c r="K684">
        <f t="shared" si="42"/>
        <v>-1010</v>
      </c>
      <c r="L684">
        <f t="shared" si="43"/>
        <v>-1003</v>
      </c>
    </row>
    <row r="685" spans="1:13" x14ac:dyDescent="0.35">
      <c r="A685">
        <v>698</v>
      </c>
      <c r="B685" t="s">
        <v>1192</v>
      </c>
      <c r="C685" t="s">
        <v>10130</v>
      </c>
      <c r="D685" t="s">
        <v>1193</v>
      </c>
      <c r="E685" t="s">
        <v>1184</v>
      </c>
      <c r="F685" t="s">
        <v>1194</v>
      </c>
      <c r="G685" t="s">
        <v>1195</v>
      </c>
      <c r="I685" t="str">
        <f t="shared" si="40"/>
        <v>1005</v>
      </c>
      <c r="J685" t="str">
        <f t="shared" si="41"/>
        <v>BC</v>
      </c>
      <c r="K685">
        <f t="shared" si="42"/>
        <v>-1005</v>
      </c>
      <c r="L685">
        <f t="shared" si="43"/>
        <v>-1005</v>
      </c>
    </row>
    <row r="686" spans="1:13" x14ac:dyDescent="0.35">
      <c r="A686">
        <v>699</v>
      </c>
      <c r="B686" t="s">
        <v>1196</v>
      </c>
      <c r="C686" t="s">
        <v>10131</v>
      </c>
      <c r="D686" t="s">
        <v>1197</v>
      </c>
      <c r="E686" t="s">
        <v>1184</v>
      </c>
      <c r="F686" t="s">
        <v>1194</v>
      </c>
      <c r="G686" t="s">
        <v>1198</v>
      </c>
      <c r="I686" t="str">
        <f t="shared" si="40"/>
        <v>1005</v>
      </c>
      <c r="J686" t="str">
        <f t="shared" si="41"/>
        <v>BC</v>
      </c>
      <c r="K686">
        <f t="shared" si="42"/>
        <v>-1005</v>
      </c>
      <c r="L686">
        <f t="shared" si="43"/>
        <v>-1005</v>
      </c>
    </row>
    <row r="687" spans="1:13" x14ac:dyDescent="0.35">
      <c r="A687">
        <v>700</v>
      </c>
      <c r="B687" t="s">
        <v>1199</v>
      </c>
      <c r="C687" t="s">
        <v>10132</v>
      </c>
      <c r="D687" t="s">
        <v>1200</v>
      </c>
      <c r="E687" t="s">
        <v>251</v>
      </c>
      <c r="F687" t="s">
        <v>1201</v>
      </c>
      <c r="G687" t="s">
        <v>1202</v>
      </c>
      <c r="I687" t="str">
        <f t="shared" si="40"/>
        <v>1003</v>
      </c>
      <c r="J687" t="str">
        <f t="shared" si="41"/>
        <v>BC</v>
      </c>
      <c r="K687">
        <f t="shared" si="42"/>
        <v>-1003</v>
      </c>
      <c r="L687">
        <f t="shared" si="43"/>
        <v>-1003</v>
      </c>
    </row>
    <row r="688" spans="1:13" x14ac:dyDescent="0.35">
      <c r="A688">
        <v>701</v>
      </c>
      <c r="B688" t="s">
        <v>1203</v>
      </c>
      <c r="C688" t="s">
        <v>11266</v>
      </c>
      <c r="D688" t="s">
        <v>1204</v>
      </c>
      <c r="E688" t="s">
        <v>1184</v>
      </c>
      <c r="F688" t="s">
        <v>1201</v>
      </c>
      <c r="G688" t="s">
        <v>1205</v>
      </c>
      <c r="I688" t="str">
        <f t="shared" si="40"/>
        <v>1003</v>
      </c>
      <c r="J688" t="str">
        <f t="shared" si="41"/>
        <v>BC</v>
      </c>
      <c r="K688">
        <f t="shared" si="42"/>
        <v>-1003</v>
      </c>
      <c r="L688">
        <f t="shared" si="43"/>
        <v>-1003</v>
      </c>
    </row>
    <row r="689" spans="1:12" x14ac:dyDescent="0.35">
      <c r="A689">
        <v>702</v>
      </c>
      <c r="B689" t="s">
        <v>1206</v>
      </c>
      <c r="C689" t="s">
        <v>10133</v>
      </c>
      <c r="D689" t="s">
        <v>1207</v>
      </c>
      <c r="E689" t="s">
        <v>1184</v>
      </c>
      <c r="F689" t="s">
        <v>1201</v>
      </c>
      <c r="G689" t="s">
        <v>1208</v>
      </c>
      <c r="I689" t="str">
        <f t="shared" si="40"/>
        <v>1003</v>
      </c>
      <c r="J689" t="str">
        <f t="shared" si="41"/>
        <v>BC</v>
      </c>
      <c r="K689">
        <f t="shared" si="42"/>
        <v>-1003</v>
      </c>
      <c r="L689">
        <f t="shared" si="43"/>
        <v>-1003</v>
      </c>
    </row>
    <row r="690" spans="1:12" x14ac:dyDescent="0.35">
      <c r="A690">
        <v>703</v>
      </c>
      <c r="B690" t="s">
        <v>1209</v>
      </c>
      <c r="C690" t="s">
        <v>11226</v>
      </c>
      <c r="D690" t="s">
        <v>1210</v>
      </c>
      <c r="E690" t="s">
        <v>1211</v>
      </c>
      <c r="F690" t="s">
        <v>1201</v>
      </c>
      <c r="G690" t="s">
        <v>1292</v>
      </c>
      <c r="I690" t="str">
        <f t="shared" si="40"/>
        <v>1003</v>
      </c>
      <c r="J690" t="str">
        <f t="shared" si="41"/>
        <v>BC</v>
      </c>
      <c r="K690">
        <f t="shared" si="42"/>
        <v>-1003</v>
      </c>
      <c r="L690">
        <f t="shared" si="43"/>
        <v>-1003</v>
      </c>
    </row>
    <row r="691" spans="1:12" x14ac:dyDescent="0.35">
      <c r="A691">
        <v>704</v>
      </c>
      <c r="B691" t="s">
        <v>1212</v>
      </c>
      <c r="C691" t="s">
        <v>10117</v>
      </c>
      <c r="D691" t="s">
        <v>1213</v>
      </c>
      <c r="E691" t="s">
        <v>1211</v>
      </c>
      <c r="F691" t="s">
        <v>1201</v>
      </c>
      <c r="G691" t="s">
        <v>112</v>
      </c>
      <c r="I691" t="str">
        <f t="shared" si="40"/>
        <v>1003</v>
      </c>
      <c r="J691" t="str">
        <f t="shared" si="41"/>
        <v>BC</v>
      </c>
      <c r="K691">
        <f t="shared" si="42"/>
        <v>-1003</v>
      </c>
      <c r="L691">
        <f t="shared" si="43"/>
        <v>-1003</v>
      </c>
    </row>
    <row r="692" spans="1:12" x14ac:dyDescent="0.35">
      <c r="A692">
        <v>705</v>
      </c>
      <c r="B692" t="s">
        <v>1214</v>
      </c>
      <c r="C692" t="s">
        <v>10323</v>
      </c>
      <c r="D692" t="s">
        <v>1215</v>
      </c>
      <c r="E692" t="s">
        <v>1211</v>
      </c>
      <c r="F692" t="s">
        <v>1216</v>
      </c>
      <c r="G692" t="s">
        <v>1217</v>
      </c>
      <c r="I692" t="str">
        <f t="shared" ref="I692:I755" si="44">SUBSTITUTE(SUBSTITUTE(SUBSTITUTE(F692,"c. ","")," BC","")," AD","")</f>
        <v>1002</v>
      </c>
      <c r="J692" t="str">
        <f t="shared" si="41"/>
        <v>BC</v>
      </c>
      <c r="K692">
        <f t="shared" si="42"/>
        <v>-1002</v>
      </c>
      <c r="L692">
        <f t="shared" si="43"/>
        <v>-1002</v>
      </c>
    </row>
    <row r="693" spans="1:12" x14ac:dyDescent="0.35">
      <c r="A693">
        <v>706</v>
      </c>
      <c r="B693" t="s">
        <v>1218</v>
      </c>
      <c r="C693" t="s">
        <v>11267</v>
      </c>
      <c r="D693" t="s">
        <v>1219</v>
      </c>
      <c r="E693" t="s">
        <v>1211</v>
      </c>
      <c r="F693" t="s">
        <v>1216</v>
      </c>
      <c r="G693" t="s">
        <v>112</v>
      </c>
      <c r="I693" t="str">
        <f t="shared" si="44"/>
        <v>1002</v>
      </c>
      <c r="J693" t="str">
        <f t="shared" si="41"/>
        <v>BC</v>
      </c>
      <c r="K693">
        <f t="shared" si="42"/>
        <v>-1002</v>
      </c>
      <c r="L693">
        <f t="shared" si="43"/>
        <v>-1002</v>
      </c>
    </row>
    <row r="694" spans="1:12" x14ac:dyDescent="0.35">
      <c r="A694">
        <v>707</v>
      </c>
      <c r="B694" t="s">
        <v>1220</v>
      </c>
      <c r="C694" t="s">
        <v>10134</v>
      </c>
      <c r="D694" t="s">
        <v>1221</v>
      </c>
      <c r="E694" t="s">
        <v>1211</v>
      </c>
      <c r="F694" t="s">
        <v>1222</v>
      </c>
      <c r="G694" t="s">
        <v>112</v>
      </c>
      <c r="I694" t="str">
        <f t="shared" si="44"/>
        <v>1002-995</v>
      </c>
      <c r="J694" t="str">
        <f t="shared" si="41"/>
        <v>BC</v>
      </c>
      <c r="K694">
        <f t="shared" si="42"/>
        <v>-1002</v>
      </c>
      <c r="L694">
        <f t="shared" si="43"/>
        <v>995</v>
      </c>
    </row>
    <row r="695" spans="1:12" x14ac:dyDescent="0.35">
      <c r="A695">
        <v>708</v>
      </c>
      <c r="B695" t="s">
        <v>1223</v>
      </c>
      <c r="C695" t="s">
        <v>10122</v>
      </c>
      <c r="D695" t="s">
        <v>1224</v>
      </c>
      <c r="E695" t="s">
        <v>1211</v>
      </c>
      <c r="F695" t="s">
        <v>1216</v>
      </c>
      <c r="G695" t="s">
        <v>112</v>
      </c>
      <c r="I695" t="str">
        <f t="shared" si="44"/>
        <v>1002</v>
      </c>
      <c r="J695" t="str">
        <f t="shared" si="41"/>
        <v>BC</v>
      </c>
      <c r="K695">
        <f t="shared" si="42"/>
        <v>-1002</v>
      </c>
      <c r="L695">
        <f t="shared" si="43"/>
        <v>-1002</v>
      </c>
    </row>
    <row r="696" spans="1:12" x14ac:dyDescent="0.35">
      <c r="A696">
        <v>709</v>
      </c>
      <c r="B696" t="s">
        <v>1225</v>
      </c>
      <c r="C696" t="s">
        <v>10069</v>
      </c>
      <c r="D696" t="s">
        <v>1224</v>
      </c>
      <c r="E696" t="s">
        <v>1211</v>
      </c>
      <c r="F696" t="s">
        <v>1216</v>
      </c>
      <c r="G696" t="s">
        <v>112</v>
      </c>
      <c r="I696" t="str">
        <f t="shared" si="44"/>
        <v>1002</v>
      </c>
      <c r="J696" t="str">
        <f t="shared" si="41"/>
        <v>BC</v>
      </c>
      <c r="K696">
        <f t="shared" si="42"/>
        <v>-1002</v>
      </c>
      <c r="L696">
        <f t="shared" si="43"/>
        <v>-1002</v>
      </c>
    </row>
    <row r="697" spans="1:12" x14ac:dyDescent="0.35">
      <c r="A697">
        <v>710</v>
      </c>
      <c r="B697" t="s">
        <v>1226</v>
      </c>
      <c r="C697" t="s">
        <v>11268</v>
      </c>
      <c r="D697" t="s">
        <v>1227</v>
      </c>
      <c r="E697" t="s">
        <v>1228</v>
      </c>
      <c r="F697" t="s">
        <v>1216</v>
      </c>
      <c r="G697" t="s">
        <v>1292</v>
      </c>
      <c r="I697" t="str">
        <f t="shared" si="44"/>
        <v>1002</v>
      </c>
      <c r="J697" t="str">
        <f t="shared" si="41"/>
        <v>BC</v>
      </c>
      <c r="K697">
        <f t="shared" si="42"/>
        <v>-1002</v>
      </c>
      <c r="L697">
        <f t="shared" si="43"/>
        <v>-1002</v>
      </c>
    </row>
    <row r="698" spans="1:12" x14ac:dyDescent="0.35">
      <c r="A698">
        <v>711</v>
      </c>
      <c r="B698" t="s">
        <v>1229</v>
      </c>
      <c r="C698" t="s">
        <v>10122</v>
      </c>
      <c r="D698" t="s">
        <v>1230</v>
      </c>
      <c r="E698" t="s">
        <v>1211</v>
      </c>
      <c r="F698" t="s">
        <v>1216</v>
      </c>
      <c r="G698" t="s">
        <v>112</v>
      </c>
      <c r="I698" t="str">
        <f t="shared" si="44"/>
        <v>1002</v>
      </c>
      <c r="J698" t="str">
        <f t="shared" si="41"/>
        <v>BC</v>
      </c>
      <c r="K698">
        <f t="shared" si="42"/>
        <v>-1002</v>
      </c>
      <c r="L698">
        <f t="shared" si="43"/>
        <v>-1002</v>
      </c>
    </row>
    <row r="699" spans="1:12" x14ac:dyDescent="0.35">
      <c r="A699">
        <v>712</v>
      </c>
      <c r="B699" t="s">
        <v>1231</v>
      </c>
      <c r="C699" t="s">
        <v>10099</v>
      </c>
      <c r="D699" t="s">
        <v>1232</v>
      </c>
      <c r="E699" t="s">
        <v>1211</v>
      </c>
      <c r="F699" t="s">
        <v>1216</v>
      </c>
      <c r="G699" t="s">
        <v>112</v>
      </c>
      <c r="I699" t="str">
        <f t="shared" si="44"/>
        <v>1002</v>
      </c>
      <c r="J699" t="str">
        <f t="shared" si="41"/>
        <v>BC</v>
      </c>
      <c r="K699">
        <f t="shared" si="42"/>
        <v>-1002</v>
      </c>
      <c r="L699">
        <f t="shared" si="43"/>
        <v>-1002</v>
      </c>
    </row>
    <row r="700" spans="1:12" x14ac:dyDescent="0.35">
      <c r="A700">
        <v>713</v>
      </c>
      <c r="B700" t="s">
        <v>1233</v>
      </c>
      <c r="C700" t="s">
        <v>10135</v>
      </c>
      <c r="D700" t="s">
        <v>1234</v>
      </c>
      <c r="E700" t="s">
        <v>1235</v>
      </c>
      <c r="F700" t="s">
        <v>1216</v>
      </c>
      <c r="G700" t="s">
        <v>112</v>
      </c>
      <c r="I700" t="str">
        <f t="shared" si="44"/>
        <v>1002</v>
      </c>
      <c r="J700" t="str">
        <f t="shared" si="41"/>
        <v>BC</v>
      </c>
      <c r="K700">
        <f t="shared" si="42"/>
        <v>-1002</v>
      </c>
      <c r="L700">
        <f t="shared" si="43"/>
        <v>-1002</v>
      </c>
    </row>
    <row r="701" spans="1:12" x14ac:dyDescent="0.35">
      <c r="A701">
        <v>714</v>
      </c>
      <c r="B701" t="s">
        <v>1236</v>
      </c>
      <c r="C701" t="s">
        <v>10064</v>
      </c>
      <c r="D701" t="s">
        <v>1237</v>
      </c>
      <c r="E701" t="s">
        <v>1235</v>
      </c>
      <c r="F701" t="s">
        <v>1216</v>
      </c>
      <c r="G701" t="s">
        <v>1292</v>
      </c>
      <c r="I701" t="str">
        <f t="shared" si="44"/>
        <v>1002</v>
      </c>
      <c r="J701" t="str">
        <f t="shared" si="41"/>
        <v>BC</v>
      </c>
      <c r="K701">
        <f t="shared" si="42"/>
        <v>-1002</v>
      </c>
      <c r="L701">
        <f t="shared" si="43"/>
        <v>-1002</v>
      </c>
    </row>
    <row r="702" spans="1:12" x14ac:dyDescent="0.35">
      <c r="A702">
        <v>715</v>
      </c>
      <c r="B702" t="s">
        <v>1238</v>
      </c>
      <c r="C702" t="s">
        <v>10080</v>
      </c>
      <c r="D702" t="s">
        <v>1239</v>
      </c>
      <c r="E702" t="s">
        <v>1240</v>
      </c>
      <c r="F702" t="s">
        <v>1241</v>
      </c>
      <c r="G702" t="s">
        <v>1242</v>
      </c>
      <c r="I702" t="str">
        <f t="shared" si="44"/>
        <v>1000</v>
      </c>
      <c r="J702" t="str">
        <f t="shared" si="41"/>
        <v>BC</v>
      </c>
      <c r="K702">
        <f t="shared" si="42"/>
        <v>-1000</v>
      </c>
      <c r="L702">
        <f t="shared" si="43"/>
        <v>-1000</v>
      </c>
    </row>
    <row r="703" spans="1:12" x14ac:dyDescent="0.35">
      <c r="A703">
        <v>716</v>
      </c>
      <c r="B703" t="s">
        <v>1243</v>
      </c>
      <c r="C703" t="s">
        <v>11259</v>
      </c>
      <c r="D703" t="s">
        <v>27</v>
      </c>
      <c r="E703" t="s">
        <v>1244</v>
      </c>
      <c r="F703" t="s">
        <v>1241</v>
      </c>
      <c r="G703" t="s">
        <v>112</v>
      </c>
      <c r="I703" t="str">
        <f t="shared" si="44"/>
        <v>1000</v>
      </c>
      <c r="J703" t="str">
        <f t="shared" si="41"/>
        <v>BC</v>
      </c>
      <c r="K703">
        <f t="shared" si="42"/>
        <v>-1000</v>
      </c>
      <c r="L703">
        <f t="shared" si="43"/>
        <v>-1000</v>
      </c>
    </row>
    <row r="704" spans="1:12" x14ac:dyDescent="0.35">
      <c r="A704">
        <v>717</v>
      </c>
      <c r="B704" t="s">
        <v>1245</v>
      </c>
      <c r="C704" t="s">
        <v>10136</v>
      </c>
      <c r="D704" t="s">
        <v>1246</v>
      </c>
      <c r="E704" t="s">
        <v>1247</v>
      </c>
      <c r="F704" t="s">
        <v>1241</v>
      </c>
      <c r="G704" t="s">
        <v>12531</v>
      </c>
      <c r="I704" t="str">
        <f t="shared" si="44"/>
        <v>1000</v>
      </c>
      <c r="J704" t="str">
        <f t="shared" si="41"/>
        <v>BC</v>
      </c>
      <c r="K704">
        <f t="shared" si="42"/>
        <v>-1000</v>
      </c>
      <c r="L704">
        <f t="shared" si="43"/>
        <v>-1000</v>
      </c>
    </row>
    <row r="705" spans="1:12" x14ac:dyDescent="0.35">
      <c r="A705">
        <v>718</v>
      </c>
      <c r="B705" t="s">
        <v>1248</v>
      </c>
      <c r="C705" t="s">
        <v>10117</v>
      </c>
      <c r="D705" t="s">
        <v>1249</v>
      </c>
      <c r="E705" t="s">
        <v>1250</v>
      </c>
      <c r="F705" t="s">
        <v>1241</v>
      </c>
      <c r="G705" t="s">
        <v>112</v>
      </c>
      <c r="I705" t="str">
        <f t="shared" si="44"/>
        <v>1000</v>
      </c>
      <c r="J705" t="str">
        <f t="shared" si="41"/>
        <v>BC</v>
      </c>
      <c r="K705">
        <f t="shared" si="42"/>
        <v>-1000</v>
      </c>
      <c r="L705">
        <f t="shared" si="43"/>
        <v>-1000</v>
      </c>
    </row>
    <row r="706" spans="1:12" x14ac:dyDescent="0.35">
      <c r="A706">
        <v>719</v>
      </c>
      <c r="B706" t="s">
        <v>1251</v>
      </c>
      <c r="C706" t="s">
        <v>11269</v>
      </c>
      <c r="D706" t="s">
        <v>1252</v>
      </c>
      <c r="E706" t="s">
        <v>1211</v>
      </c>
      <c r="F706" t="s">
        <v>1241</v>
      </c>
      <c r="G706" t="s">
        <v>1292</v>
      </c>
      <c r="I706" t="str">
        <f t="shared" si="44"/>
        <v>1000</v>
      </c>
      <c r="J706" t="str">
        <f t="shared" ref="J706:J769" si="45">RIGHT(F706, 2)</f>
        <v>BC</v>
      </c>
      <c r="K706">
        <f t="shared" ref="K706:K769" si="46">IF(J706="BC", 0-IF(ISERROR(FIND("-",I706)),I706,LEFT(I706,FIND("-",I706)-1)), IF(ISERROR(FIND("-",I706)),I706,LEFT(I706,FIND("-",I706)-1)))</f>
        <v>-1000</v>
      </c>
      <c r="L706">
        <f t="shared" ref="L706:L769" si="47">IF(J706="BC", 0-IF(ISERROR(FIND("-",I706)),I706,RIGHT(I706,FIND("-",I706)-1)), IF(ISERROR(FIND("-",I706)),I706,RIGHT(I706,FIND("-",I706)-1)))</f>
        <v>-1000</v>
      </c>
    </row>
    <row r="707" spans="1:12" x14ac:dyDescent="0.35">
      <c r="A707">
        <v>720</v>
      </c>
      <c r="B707" t="s">
        <v>1253</v>
      </c>
      <c r="C707" t="s">
        <v>11270</v>
      </c>
      <c r="D707" t="s">
        <v>1254</v>
      </c>
      <c r="E707" t="s">
        <v>1211</v>
      </c>
      <c r="F707" t="s">
        <v>1241</v>
      </c>
      <c r="G707" t="s">
        <v>112</v>
      </c>
      <c r="I707" t="str">
        <f t="shared" si="44"/>
        <v>1000</v>
      </c>
      <c r="J707" t="str">
        <f t="shared" si="45"/>
        <v>BC</v>
      </c>
      <c r="K707">
        <f t="shared" si="46"/>
        <v>-1000</v>
      </c>
      <c r="L707">
        <f t="shared" si="47"/>
        <v>-1000</v>
      </c>
    </row>
    <row r="708" spans="1:12" x14ac:dyDescent="0.35">
      <c r="A708">
        <v>721</v>
      </c>
      <c r="B708" t="s">
        <v>1255</v>
      </c>
      <c r="C708" t="s">
        <v>10137</v>
      </c>
      <c r="D708" t="s">
        <v>1256</v>
      </c>
      <c r="E708" t="s">
        <v>1211</v>
      </c>
      <c r="F708" t="s">
        <v>1257</v>
      </c>
      <c r="G708" t="s">
        <v>1258</v>
      </c>
      <c r="I708" t="str">
        <f t="shared" si="44"/>
        <v>999</v>
      </c>
      <c r="J708" t="str">
        <f t="shared" si="45"/>
        <v>BC</v>
      </c>
      <c r="K708">
        <f t="shared" si="46"/>
        <v>-999</v>
      </c>
      <c r="L708">
        <f t="shared" si="47"/>
        <v>-999</v>
      </c>
    </row>
    <row r="709" spans="1:12" x14ac:dyDescent="0.35">
      <c r="A709">
        <v>722</v>
      </c>
      <c r="B709" t="s">
        <v>1259</v>
      </c>
      <c r="C709" t="s">
        <v>10138</v>
      </c>
      <c r="D709" t="s">
        <v>1260</v>
      </c>
      <c r="E709" t="s">
        <v>1211</v>
      </c>
      <c r="F709" t="s">
        <v>1257</v>
      </c>
      <c r="G709" t="s">
        <v>1261</v>
      </c>
      <c r="I709" t="str">
        <f t="shared" si="44"/>
        <v>999</v>
      </c>
      <c r="J709" t="str">
        <f t="shared" si="45"/>
        <v>BC</v>
      </c>
      <c r="K709">
        <f t="shared" si="46"/>
        <v>-999</v>
      </c>
      <c r="L709">
        <f t="shared" si="47"/>
        <v>-999</v>
      </c>
    </row>
    <row r="710" spans="1:12" x14ac:dyDescent="0.35">
      <c r="A710">
        <v>723</v>
      </c>
      <c r="B710" t="s">
        <v>1262</v>
      </c>
      <c r="C710" t="s">
        <v>11125</v>
      </c>
      <c r="D710" t="s">
        <v>1263</v>
      </c>
      <c r="E710" t="s">
        <v>1211</v>
      </c>
      <c r="F710" t="s">
        <v>1257</v>
      </c>
      <c r="G710" t="s">
        <v>112</v>
      </c>
      <c r="I710" t="str">
        <f t="shared" si="44"/>
        <v>999</v>
      </c>
      <c r="J710" t="str">
        <f t="shared" si="45"/>
        <v>BC</v>
      </c>
      <c r="K710">
        <f t="shared" si="46"/>
        <v>-999</v>
      </c>
      <c r="L710">
        <f t="shared" si="47"/>
        <v>-999</v>
      </c>
    </row>
    <row r="711" spans="1:12" x14ac:dyDescent="0.35">
      <c r="A711">
        <v>724</v>
      </c>
      <c r="B711" t="s">
        <v>1264</v>
      </c>
      <c r="C711" t="s">
        <v>10139</v>
      </c>
      <c r="D711" t="s">
        <v>1265</v>
      </c>
      <c r="E711" t="s">
        <v>1211</v>
      </c>
      <c r="F711" t="s">
        <v>1257</v>
      </c>
      <c r="G711" t="s">
        <v>1261</v>
      </c>
      <c r="I711" t="str">
        <f t="shared" si="44"/>
        <v>999</v>
      </c>
      <c r="J711" t="str">
        <f t="shared" si="45"/>
        <v>BC</v>
      </c>
      <c r="K711">
        <f t="shared" si="46"/>
        <v>-999</v>
      </c>
      <c r="L711">
        <f t="shared" si="47"/>
        <v>-999</v>
      </c>
    </row>
    <row r="712" spans="1:12" x14ac:dyDescent="0.35">
      <c r="A712">
        <v>725</v>
      </c>
      <c r="B712" t="s">
        <v>1266</v>
      </c>
      <c r="C712" t="s">
        <v>10068</v>
      </c>
      <c r="D712" t="s">
        <v>1267</v>
      </c>
      <c r="E712" t="s">
        <v>1211</v>
      </c>
      <c r="F712" t="s">
        <v>1257</v>
      </c>
      <c r="G712" t="s">
        <v>112</v>
      </c>
      <c r="I712" t="str">
        <f t="shared" si="44"/>
        <v>999</v>
      </c>
      <c r="J712" t="str">
        <f t="shared" si="45"/>
        <v>BC</v>
      </c>
      <c r="K712">
        <f t="shared" si="46"/>
        <v>-999</v>
      </c>
      <c r="L712">
        <f t="shared" si="47"/>
        <v>-999</v>
      </c>
    </row>
    <row r="713" spans="1:12" x14ac:dyDescent="0.35">
      <c r="A713">
        <v>726</v>
      </c>
      <c r="B713" t="s">
        <v>1268</v>
      </c>
      <c r="C713" t="s">
        <v>10139</v>
      </c>
      <c r="D713" t="s">
        <v>1269</v>
      </c>
      <c r="E713" t="s">
        <v>1211</v>
      </c>
      <c r="F713" t="s">
        <v>1257</v>
      </c>
      <c r="G713" t="s">
        <v>112</v>
      </c>
      <c r="I713" t="str">
        <f t="shared" si="44"/>
        <v>999</v>
      </c>
      <c r="J713" t="str">
        <f t="shared" si="45"/>
        <v>BC</v>
      </c>
      <c r="K713">
        <f t="shared" si="46"/>
        <v>-999</v>
      </c>
      <c r="L713">
        <f t="shared" si="47"/>
        <v>-999</v>
      </c>
    </row>
    <row r="714" spans="1:12" x14ac:dyDescent="0.35">
      <c r="A714">
        <v>727</v>
      </c>
      <c r="B714" t="s">
        <v>1270</v>
      </c>
      <c r="C714" t="s">
        <v>10140</v>
      </c>
      <c r="D714" t="s">
        <v>1271</v>
      </c>
      <c r="E714" t="s">
        <v>1211</v>
      </c>
      <c r="F714" t="s">
        <v>1257</v>
      </c>
      <c r="G714" t="s">
        <v>1272</v>
      </c>
      <c r="I714" t="str">
        <f t="shared" si="44"/>
        <v>999</v>
      </c>
      <c r="J714" t="str">
        <f t="shared" si="45"/>
        <v>BC</v>
      </c>
      <c r="K714">
        <f t="shared" si="46"/>
        <v>-999</v>
      </c>
      <c r="L714">
        <f t="shared" si="47"/>
        <v>-999</v>
      </c>
    </row>
    <row r="715" spans="1:12" x14ac:dyDescent="0.35">
      <c r="A715">
        <v>728</v>
      </c>
      <c r="B715" t="s">
        <v>1273</v>
      </c>
      <c r="C715" t="s">
        <v>10141</v>
      </c>
      <c r="D715" t="s">
        <v>1274</v>
      </c>
      <c r="E715" t="s">
        <v>1211</v>
      </c>
      <c r="F715" t="s">
        <v>1257</v>
      </c>
      <c r="G715" t="s">
        <v>1292</v>
      </c>
      <c r="I715" t="str">
        <f t="shared" si="44"/>
        <v>999</v>
      </c>
      <c r="J715" t="str">
        <f t="shared" si="45"/>
        <v>BC</v>
      </c>
      <c r="K715">
        <f t="shared" si="46"/>
        <v>-999</v>
      </c>
      <c r="L715">
        <f t="shared" si="47"/>
        <v>-999</v>
      </c>
    </row>
    <row r="716" spans="1:12" x14ac:dyDescent="0.35">
      <c r="A716">
        <v>729</v>
      </c>
      <c r="B716" t="s">
        <v>1275</v>
      </c>
      <c r="C716" t="s">
        <v>11226</v>
      </c>
      <c r="D716" t="s">
        <v>1276</v>
      </c>
      <c r="E716" t="s">
        <v>1112</v>
      </c>
      <c r="F716" t="s">
        <v>1277</v>
      </c>
      <c r="G716" t="s">
        <v>1292</v>
      </c>
      <c r="I716" t="str">
        <f t="shared" si="44"/>
        <v>999-990</v>
      </c>
      <c r="J716" t="str">
        <f t="shared" si="45"/>
        <v>BC</v>
      </c>
      <c r="K716">
        <f t="shared" si="46"/>
        <v>-999</v>
      </c>
      <c r="L716">
        <f t="shared" si="47"/>
        <v>-990</v>
      </c>
    </row>
    <row r="717" spans="1:12" x14ac:dyDescent="0.35">
      <c r="A717">
        <v>730</v>
      </c>
      <c r="B717" t="s">
        <v>1278</v>
      </c>
      <c r="C717" t="s">
        <v>10242</v>
      </c>
      <c r="D717" t="s">
        <v>1279</v>
      </c>
      <c r="E717" t="s">
        <v>1280</v>
      </c>
      <c r="F717" t="s">
        <v>1277</v>
      </c>
      <c r="G717" t="s">
        <v>112</v>
      </c>
      <c r="I717" t="str">
        <f t="shared" si="44"/>
        <v>999-990</v>
      </c>
      <c r="J717" t="str">
        <f t="shared" si="45"/>
        <v>BC</v>
      </c>
      <c r="K717">
        <f t="shared" si="46"/>
        <v>-999</v>
      </c>
      <c r="L717">
        <f t="shared" si="47"/>
        <v>-990</v>
      </c>
    </row>
    <row r="718" spans="1:12" x14ac:dyDescent="0.35">
      <c r="A718">
        <v>731</v>
      </c>
      <c r="B718" t="s">
        <v>1281</v>
      </c>
      <c r="C718" t="s">
        <v>11271</v>
      </c>
      <c r="D718" t="s">
        <v>1282</v>
      </c>
      <c r="E718" t="s">
        <v>1211</v>
      </c>
      <c r="F718" t="s">
        <v>1283</v>
      </c>
      <c r="G718" t="s">
        <v>1284</v>
      </c>
      <c r="I718" t="str">
        <f t="shared" si="44"/>
        <v>995</v>
      </c>
      <c r="J718" t="str">
        <f t="shared" si="45"/>
        <v>BC</v>
      </c>
      <c r="K718">
        <f t="shared" si="46"/>
        <v>-995</v>
      </c>
      <c r="L718">
        <f t="shared" si="47"/>
        <v>-995</v>
      </c>
    </row>
    <row r="719" spans="1:12" x14ac:dyDescent="0.35">
      <c r="A719">
        <v>732</v>
      </c>
      <c r="B719" t="s">
        <v>1285</v>
      </c>
      <c r="C719" t="s">
        <v>10064</v>
      </c>
      <c r="D719" t="s">
        <v>1286</v>
      </c>
      <c r="E719" t="s">
        <v>1287</v>
      </c>
      <c r="F719" t="s">
        <v>1288</v>
      </c>
      <c r="G719" t="s">
        <v>12515</v>
      </c>
      <c r="I719" t="str">
        <f t="shared" si="44"/>
        <v>992</v>
      </c>
      <c r="J719" t="str">
        <f t="shared" si="45"/>
        <v>BC</v>
      </c>
      <c r="K719">
        <f t="shared" si="46"/>
        <v>-992</v>
      </c>
      <c r="L719">
        <f t="shared" si="47"/>
        <v>-992</v>
      </c>
    </row>
    <row r="720" spans="1:12" x14ac:dyDescent="0.35">
      <c r="A720">
        <v>733</v>
      </c>
      <c r="B720" t="s">
        <v>1289</v>
      </c>
      <c r="C720" t="s">
        <v>11272</v>
      </c>
      <c r="D720" t="s">
        <v>1290</v>
      </c>
      <c r="E720" t="s">
        <v>1211</v>
      </c>
      <c r="F720" t="s">
        <v>1291</v>
      </c>
      <c r="G720" t="s">
        <v>1292</v>
      </c>
      <c r="I720" t="str">
        <f t="shared" si="44"/>
        <v>991</v>
      </c>
      <c r="J720" t="str">
        <f t="shared" si="45"/>
        <v>BC</v>
      </c>
      <c r="K720">
        <f t="shared" si="46"/>
        <v>-991</v>
      </c>
      <c r="L720">
        <f t="shared" si="47"/>
        <v>-991</v>
      </c>
    </row>
    <row r="721" spans="1:12" x14ac:dyDescent="0.35">
      <c r="A721">
        <v>734</v>
      </c>
      <c r="B721" t="s">
        <v>1293</v>
      </c>
      <c r="C721" t="s">
        <v>10142</v>
      </c>
      <c r="D721" t="s">
        <v>1294</v>
      </c>
      <c r="E721" t="s">
        <v>1211</v>
      </c>
      <c r="F721" t="s">
        <v>1291</v>
      </c>
      <c r="G721" t="s">
        <v>112</v>
      </c>
      <c r="I721" t="str">
        <f t="shared" si="44"/>
        <v>991</v>
      </c>
      <c r="J721" t="str">
        <f t="shared" si="45"/>
        <v>BC</v>
      </c>
      <c r="K721">
        <f t="shared" si="46"/>
        <v>-991</v>
      </c>
      <c r="L721">
        <f t="shared" si="47"/>
        <v>-991</v>
      </c>
    </row>
    <row r="722" spans="1:12" x14ac:dyDescent="0.35">
      <c r="A722">
        <v>735</v>
      </c>
      <c r="B722" t="s">
        <v>1295</v>
      </c>
      <c r="C722" t="s">
        <v>10143</v>
      </c>
      <c r="D722" t="s">
        <v>1296</v>
      </c>
      <c r="E722" t="s">
        <v>1297</v>
      </c>
      <c r="F722" t="s">
        <v>1291</v>
      </c>
      <c r="G722" t="s">
        <v>1292</v>
      </c>
      <c r="I722" t="str">
        <f t="shared" si="44"/>
        <v>991</v>
      </c>
      <c r="J722" t="str">
        <f t="shared" si="45"/>
        <v>BC</v>
      </c>
      <c r="K722">
        <f t="shared" si="46"/>
        <v>-991</v>
      </c>
      <c r="L722">
        <f t="shared" si="47"/>
        <v>-991</v>
      </c>
    </row>
    <row r="723" spans="1:12" x14ac:dyDescent="0.35">
      <c r="A723">
        <v>736</v>
      </c>
      <c r="B723" t="s">
        <v>1298</v>
      </c>
      <c r="C723" t="s">
        <v>10144</v>
      </c>
      <c r="D723" t="s">
        <v>1299</v>
      </c>
      <c r="E723" t="s">
        <v>1211</v>
      </c>
      <c r="F723" t="s">
        <v>1291</v>
      </c>
      <c r="G723" t="s">
        <v>112</v>
      </c>
      <c r="I723" t="str">
        <f t="shared" si="44"/>
        <v>991</v>
      </c>
      <c r="J723" t="str">
        <f t="shared" si="45"/>
        <v>BC</v>
      </c>
      <c r="K723">
        <f t="shared" si="46"/>
        <v>-991</v>
      </c>
      <c r="L723">
        <f t="shared" si="47"/>
        <v>-991</v>
      </c>
    </row>
    <row r="724" spans="1:12" x14ac:dyDescent="0.35">
      <c r="A724">
        <v>737</v>
      </c>
      <c r="B724" t="s">
        <v>1300</v>
      </c>
      <c r="C724" t="s">
        <v>10145</v>
      </c>
      <c r="D724" t="s">
        <v>1301</v>
      </c>
      <c r="E724" t="s">
        <v>1211</v>
      </c>
      <c r="F724" t="s">
        <v>1302</v>
      </c>
      <c r="G724" t="s">
        <v>1261</v>
      </c>
      <c r="I724" t="str">
        <f t="shared" si="44"/>
        <v>990</v>
      </c>
      <c r="J724" t="str">
        <f t="shared" si="45"/>
        <v>BC</v>
      </c>
      <c r="K724">
        <f t="shared" si="46"/>
        <v>-990</v>
      </c>
      <c r="L724">
        <f t="shared" si="47"/>
        <v>-990</v>
      </c>
    </row>
    <row r="725" spans="1:12" x14ac:dyDescent="0.35">
      <c r="A725">
        <v>738</v>
      </c>
      <c r="B725" t="s">
        <v>1303</v>
      </c>
      <c r="C725" t="s">
        <v>11273</v>
      </c>
      <c r="D725" t="s">
        <v>1304</v>
      </c>
      <c r="E725" t="s">
        <v>1211</v>
      </c>
      <c r="F725" t="s">
        <v>1302</v>
      </c>
      <c r="G725" t="s">
        <v>1305</v>
      </c>
      <c r="I725" t="str">
        <f t="shared" si="44"/>
        <v>990</v>
      </c>
      <c r="J725" t="str">
        <f t="shared" si="45"/>
        <v>BC</v>
      </c>
      <c r="K725">
        <f t="shared" si="46"/>
        <v>-990</v>
      </c>
      <c r="L725">
        <f t="shared" si="47"/>
        <v>-990</v>
      </c>
    </row>
    <row r="726" spans="1:12" x14ac:dyDescent="0.35">
      <c r="A726">
        <v>739</v>
      </c>
      <c r="B726" t="s">
        <v>1306</v>
      </c>
      <c r="C726" t="s">
        <v>10498</v>
      </c>
      <c r="D726" t="s">
        <v>1307</v>
      </c>
      <c r="E726" t="s">
        <v>1211</v>
      </c>
      <c r="F726" t="s">
        <v>1302</v>
      </c>
      <c r="G726" t="s">
        <v>1261</v>
      </c>
      <c r="I726" t="str">
        <f t="shared" si="44"/>
        <v>990</v>
      </c>
      <c r="J726" t="str">
        <f t="shared" si="45"/>
        <v>BC</v>
      </c>
      <c r="K726">
        <f t="shared" si="46"/>
        <v>-990</v>
      </c>
      <c r="L726">
        <f t="shared" si="47"/>
        <v>-990</v>
      </c>
    </row>
    <row r="727" spans="1:12" x14ac:dyDescent="0.35">
      <c r="A727">
        <v>740</v>
      </c>
      <c r="B727" t="s">
        <v>1308</v>
      </c>
      <c r="C727" t="s">
        <v>10037</v>
      </c>
      <c r="D727" t="s">
        <v>1309</v>
      </c>
      <c r="E727" t="s">
        <v>1211</v>
      </c>
      <c r="F727" t="s">
        <v>1302</v>
      </c>
      <c r="G727" t="s">
        <v>1261</v>
      </c>
      <c r="I727" t="str">
        <f t="shared" si="44"/>
        <v>990</v>
      </c>
      <c r="J727" t="str">
        <f t="shared" si="45"/>
        <v>BC</v>
      </c>
      <c r="K727">
        <f t="shared" si="46"/>
        <v>-990</v>
      </c>
      <c r="L727">
        <f t="shared" si="47"/>
        <v>-990</v>
      </c>
    </row>
    <row r="728" spans="1:12" x14ac:dyDescent="0.35">
      <c r="A728">
        <v>741</v>
      </c>
      <c r="B728" t="s">
        <v>1310</v>
      </c>
      <c r="C728" t="s">
        <v>10146</v>
      </c>
      <c r="D728" t="s">
        <v>1311</v>
      </c>
      <c r="E728" t="s">
        <v>1211</v>
      </c>
      <c r="F728" t="s">
        <v>1302</v>
      </c>
      <c r="G728" t="s">
        <v>1292</v>
      </c>
      <c r="I728" t="str">
        <f t="shared" si="44"/>
        <v>990</v>
      </c>
      <c r="J728" t="str">
        <f t="shared" si="45"/>
        <v>BC</v>
      </c>
      <c r="K728">
        <f t="shared" si="46"/>
        <v>-990</v>
      </c>
      <c r="L728">
        <f t="shared" si="47"/>
        <v>-990</v>
      </c>
    </row>
    <row r="729" spans="1:12" x14ac:dyDescent="0.35">
      <c r="A729">
        <v>742</v>
      </c>
      <c r="B729" t="s">
        <v>1312</v>
      </c>
      <c r="C729" t="s">
        <v>11274</v>
      </c>
      <c r="D729" t="s">
        <v>1313</v>
      </c>
      <c r="E729" t="s">
        <v>1211</v>
      </c>
      <c r="F729" t="s">
        <v>1302</v>
      </c>
      <c r="G729" t="s">
        <v>1261</v>
      </c>
      <c r="I729" t="str">
        <f t="shared" si="44"/>
        <v>990</v>
      </c>
      <c r="J729" t="str">
        <f t="shared" si="45"/>
        <v>BC</v>
      </c>
      <c r="K729">
        <f t="shared" si="46"/>
        <v>-990</v>
      </c>
      <c r="L729">
        <f t="shared" si="47"/>
        <v>-990</v>
      </c>
    </row>
    <row r="730" spans="1:12" x14ac:dyDescent="0.35">
      <c r="A730">
        <v>743</v>
      </c>
      <c r="B730" t="s">
        <v>1314</v>
      </c>
      <c r="C730" t="s">
        <v>11275</v>
      </c>
      <c r="D730" t="s">
        <v>1315</v>
      </c>
      <c r="E730" t="s">
        <v>1211</v>
      </c>
      <c r="F730" t="s">
        <v>1302</v>
      </c>
      <c r="G730" t="s">
        <v>112</v>
      </c>
      <c r="I730" t="str">
        <f t="shared" si="44"/>
        <v>990</v>
      </c>
      <c r="J730" t="str">
        <f t="shared" si="45"/>
        <v>BC</v>
      </c>
      <c r="K730">
        <f t="shared" si="46"/>
        <v>-990</v>
      </c>
      <c r="L730">
        <f t="shared" si="47"/>
        <v>-990</v>
      </c>
    </row>
    <row r="731" spans="1:12" x14ac:dyDescent="0.35">
      <c r="A731">
        <v>744</v>
      </c>
      <c r="B731" t="s">
        <v>1316</v>
      </c>
      <c r="C731" t="s">
        <v>10041</v>
      </c>
      <c r="D731" t="s">
        <v>1317</v>
      </c>
      <c r="E731" t="s">
        <v>1211</v>
      </c>
      <c r="F731" t="s">
        <v>1302</v>
      </c>
      <c r="G731" t="s">
        <v>1292</v>
      </c>
      <c r="I731" t="str">
        <f t="shared" si="44"/>
        <v>990</v>
      </c>
      <c r="J731" t="str">
        <f t="shared" si="45"/>
        <v>BC</v>
      </c>
      <c r="K731">
        <f t="shared" si="46"/>
        <v>-990</v>
      </c>
      <c r="L731">
        <f t="shared" si="47"/>
        <v>-990</v>
      </c>
    </row>
    <row r="732" spans="1:12" x14ac:dyDescent="0.35">
      <c r="A732">
        <v>745</v>
      </c>
      <c r="B732" t="s">
        <v>1318</v>
      </c>
      <c r="C732" t="s">
        <v>10127</v>
      </c>
      <c r="D732" t="s">
        <v>1319</v>
      </c>
      <c r="E732" t="s">
        <v>1211</v>
      </c>
      <c r="F732" t="s">
        <v>1302</v>
      </c>
      <c r="G732" t="s">
        <v>112</v>
      </c>
      <c r="I732" t="str">
        <f t="shared" si="44"/>
        <v>990</v>
      </c>
      <c r="J732" t="str">
        <f t="shared" si="45"/>
        <v>BC</v>
      </c>
      <c r="K732">
        <f t="shared" si="46"/>
        <v>-990</v>
      </c>
      <c r="L732">
        <f t="shared" si="47"/>
        <v>-990</v>
      </c>
    </row>
    <row r="733" spans="1:12" x14ac:dyDescent="0.35">
      <c r="A733">
        <v>746</v>
      </c>
      <c r="B733" t="s">
        <v>1320</v>
      </c>
      <c r="C733" t="s">
        <v>11276</v>
      </c>
      <c r="D733" t="s">
        <v>1321</v>
      </c>
      <c r="E733" t="s">
        <v>1211</v>
      </c>
      <c r="F733" t="s">
        <v>1302</v>
      </c>
      <c r="G733" t="s">
        <v>1292</v>
      </c>
      <c r="I733" t="str">
        <f t="shared" si="44"/>
        <v>990</v>
      </c>
      <c r="J733" t="str">
        <f t="shared" si="45"/>
        <v>BC</v>
      </c>
      <c r="K733">
        <f t="shared" si="46"/>
        <v>-990</v>
      </c>
      <c r="L733">
        <f t="shared" si="47"/>
        <v>-990</v>
      </c>
    </row>
    <row r="734" spans="1:12" x14ac:dyDescent="0.35">
      <c r="A734">
        <v>747</v>
      </c>
      <c r="B734" t="s">
        <v>1322</v>
      </c>
      <c r="C734" t="s">
        <v>10147</v>
      </c>
      <c r="D734" t="s">
        <v>1323</v>
      </c>
      <c r="E734" t="s">
        <v>1211</v>
      </c>
      <c r="F734" t="s">
        <v>1302</v>
      </c>
      <c r="G734" t="s">
        <v>112</v>
      </c>
      <c r="I734" t="str">
        <f t="shared" si="44"/>
        <v>990</v>
      </c>
      <c r="J734" t="str">
        <f t="shared" si="45"/>
        <v>BC</v>
      </c>
      <c r="K734">
        <f t="shared" si="46"/>
        <v>-990</v>
      </c>
      <c r="L734">
        <f t="shared" si="47"/>
        <v>-990</v>
      </c>
    </row>
    <row r="735" spans="1:12" x14ac:dyDescent="0.35">
      <c r="A735">
        <v>748</v>
      </c>
      <c r="B735" t="s">
        <v>1324</v>
      </c>
      <c r="C735" t="s">
        <v>10148</v>
      </c>
      <c r="D735" t="s">
        <v>1325</v>
      </c>
      <c r="E735" t="s">
        <v>1211</v>
      </c>
      <c r="F735" t="s">
        <v>1302</v>
      </c>
      <c r="G735" t="s">
        <v>1261</v>
      </c>
      <c r="I735" t="str">
        <f t="shared" si="44"/>
        <v>990</v>
      </c>
      <c r="J735" t="str">
        <f t="shared" si="45"/>
        <v>BC</v>
      </c>
      <c r="K735">
        <f t="shared" si="46"/>
        <v>-990</v>
      </c>
      <c r="L735">
        <f t="shared" si="47"/>
        <v>-990</v>
      </c>
    </row>
    <row r="736" spans="1:12" x14ac:dyDescent="0.35">
      <c r="A736">
        <v>749</v>
      </c>
      <c r="B736" t="s">
        <v>1326</v>
      </c>
      <c r="C736" t="s">
        <v>11226</v>
      </c>
      <c r="D736" t="s">
        <v>1327</v>
      </c>
      <c r="E736" t="s">
        <v>1297</v>
      </c>
      <c r="F736" t="s">
        <v>1302</v>
      </c>
      <c r="G736" t="s">
        <v>1292</v>
      </c>
      <c r="I736" t="str">
        <f t="shared" si="44"/>
        <v>990</v>
      </c>
      <c r="J736" t="str">
        <f t="shared" si="45"/>
        <v>BC</v>
      </c>
      <c r="K736">
        <f t="shared" si="46"/>
        <v>-990</v>
      </c>
      <c r="L736">
        <f t="shared" si="47"/>
        <v>-990</v>
      </c>
    </row>
    <row r="737" spans="1:12" x14ac:dyDescent="0.35">
      <c r="A737">
        <v>750</v>
      </c>
      <c r="B737" t="s">
        <v>1328</v>
      </c>
      <c r="C737" t="s">
        <v>10149</v>
      </c>
      <c r="D737" t="s">
        <v>1329</v>
      </c>
      <c r="E737" t="s">
        <v>1211</v>
      </c>
      <c r="F737" t="s">
        <v>1330</v>
      </c>
      <c r="G737" t="s">
        <v>1331</v>
      </c>
      <c r="I737" t="str">
        <f t="shared" si="44"/>
        <v>988</v>
      </c>
      <c r="J737" t="str">
        <f t="shared" si="45"/>
        <v>BC</v>
      </c>
      <c r="K737">
        <f t="shared" si="46"/>
        <v>-988</v>
      </c>
      <c r="L737">
        <f t="shared" si="47"/>
        <v>-988</v>
      </c>
    </row>
    <row r="738" spans="1:12" x14ac:dyDescent="0.35">
      <c r="A738">
        <v>751</v>
      </c>
      <c r="B738" t="s">
        <v>1332</v>
      </c>
      <c r="C738" t="s">
        <v>10150</v>
      </c>
      <c r="D738" t="s">
        <v>1333</v>
      </c>
      <c r="E738" t="s">
        <v>1334</v>
      </c>
      <c r="F738" t="s">
        <v>1335</v>
      </c>
      <c r="G738" t="s">
        <v>1336</v>
      </c>
      <c r="I738" t="str">
        <f t="shared" si="44"/>
        <v>986</v>
      </c>
      <c r="J738" t="str">
        <f t="shared" si="45"/>
        <v>BC</v>
      </c>
      <c r="K738">
        <f t="shared" si="46"/>
        <v>-986</v>
      </c>
      <c r="L738">
        <f t="shared" si="47"/>
        <v>-986</v>
      </c>
    </row>
    <row r="739" spans="1:12" x14ac:dyDescent="0.35">
      <c r="A739">
        <v>752</v>
      </c>
      <c r="B739" t="s">
        <v>1337</v>
      </c>
      <c r="C739" t="s">
        <v>10151</v>
      </c>
      <c r="D739" t="s">
        <v>1338</v>
      </c>
      <c r="E739" t="s">
        <v>1211</v>
      </c>
      <c r="F739" t="s">
        <v>1339</v>
      </c>
      <c r="G739" t="s">
        <v>1340</v>
      </c>
      <c r="I739" t="str">
        <f t="shared" si="44"/>
        <v>983</v>
      </c>
      <c r="J739" t="str">
        <f t="shared" si="45"/>
        <v>BC</v>
      </c>
      <c r="K739">
        <f t="shared" si="46"/>
        <v>-983</v>
      </c>
      <c r="L739">
        <f t="shared" si="47"/>
        <v>-983</v>
      </c>
    </row>
    <row r="740" spans="1:12" x14ac:dyDescent="0.35">
      <c r="A740">
        <v>753</v>
      </c>
      <c r="B740" t="s">
        <v>1341</v>
      </c>
      <c r="C740" t="s">
        <v>10152</v>
      </c>
      <c r="D740" t="s">
        <v>1342</v>
      </c>
      <c r="E740" t="s">
        <v>1211</v>
      </c>
      <c r="F740" t="s">
        <v>1339</v>
      </c>
      <c r="G740" t="s">
        <v>1292</v>
      </c>
      <c r="I740" t="str">
        <f t="shared" si="44"/>
        <v>983</v>
      </c>
      <c r="J740" t="str">
        <f t="shared" si="45"/>
        <v>BC</v>
      </c>
      <c r="K740">
        <f t="shared" si="46"/>
        <v>-983</v>
      </c>
      <c r="L740">
        <f t="shared" si="47"/>
        <v>-983</v>
      </c>
    </row>
    <row r="741" spans="1:12" x14ac:dyDescent="0.35">
      <c r="A741">
        <v>754</v>
      </c>
      <c r="B741" t="s">
        <v>1343</v>
      </c>
      <c r="C741" t="s">
        <v>11277</v>
      </c>
      <c r="D741" t="s">
        <v>1344</v>
      </c>
      <c r="E741" t="s">
        <v>1184</v>
      </c>
      <c r="F741" t="s">
        <v>1345</v>
      </c>
      <c r="G741" t="s">
        <v>1336</v>
      </c>
      <c r="I741" t="str">
        <f t="shared" si="44"/>
        <v>979</v>
      </c>
      <c r="J741" t="str">
        <f t="shared" si="45"/>
        <v>BC</v>
      </c>
      <c r="K741">
        <f t="shared" si="46"/>
        <v>-979</v>
      </c>
      <c r="L741">
        <f t="shared" si="47"/>
        <v>-979</v>
      </c>
    </row>
    <row r="742" spans="1:12" x14ac:dyDescent="0.35">
      <c r="A742">
        <v>755</v>
      </c>
      <c r="B742" t="s">
        <v>1346</v>
      </c>
      <c r="C742" t="s">
        <v>10153</v>
      </c>
      <c r="D742" t="s">
        <v>1347</v>
      </c>
      <c r="E742" t="s">
        <v>1348</v>
      </c>
      <c r="F742" t="s">
        <v>1345</v>
      </c>
      <c r="G742" t="s">
        <v>1292</v>
      </c>
      <c r="I742" t="str">
        <f t="shared" si="44"/>
        <v>979</v>
      </c>
      <c r="J742" t="str">
        <f t="shared" si="45"/>
        <v>BC</v>
      </c>
      <c r="K742">
        <f t="shared" si="46"/>
        <v>-979</v>
      </c>
      <c r="L742">
        <f t="shared" si="47"/>
        <v>-979</v>
      </c>
    </row>
    <row r="743" spans="1:12" x14ac:dyDescent="0.35">
      <c r="A743">
        <v>756</v>
      </c>
      <c r="B743" t="s">
        <v>1349</v>
      </c>
      <c r="C743" t="s">
        <v>11278</v>
      </c>
      <c r="D743" t="s">
        <v>1350</v>
      </c>
      <c r="E743" t="s">
        <v>1351</v>
      </c>
      <c r="F743" t="s">
        <v>1345</v>
      </c>
      <c r="G743" t="s">
        <v>112</v>
      </c>
      <c r="I743" t="str">
        <f t="shared" si="44"/>
        <v>979</v>
      </c>
      <c r="J743" t="str">
        <f t="shared" si="45"/>
        <v>BC</v>
      </c>
      <c r="K743">
        <f t="shared" si="46"/>
        <v>-979</v>
      </c>
      <c r="L743">
        <f t="shared" si="47"/>
        <v>-979</v>
      </c>
    </row>
    <row r="744" spans="1:12" x14ac:dyDescent="0.35">
      <c r="A744">
        <v>757</v>
      </c>
      <c r="B744" t="s">
        <v>1352</v>
      </c>
      <c r="C744" t="s">
        <v>10154</v>
      </c>
      <c r="D744" t="s">
        <v>1353</v>
      </c>
      <c r="E744" t="s">
        <v>1351</v>
      </c>
      <c r="F744" t="s">
        <v>1345</v>
      </c>
      <c r="G744" t="s">
        <v>1292</v>
      </c>
      <c r="I744" t="str">
        <f t="shared" si="44"/>
        <v>979</v>
      </c>
      <c r="J744" t="str">
        <f t="shared" si="45"/>
        <v>BC</v>
      </c>
      <c r="K744">
        <f t="shared" si="46"/>
        <v>-979</v>
      </c>
      <c r="L744">
        <f t="shared" si="47"/>
        <v>-979</v>
      </c>
    </row>
    <row r="745" spans="1:12" x14ac:dyDescent="0.35">
      <c r="A745">
        <v>758</v>
      </c>
      <c r="B745" t="s">
        <v>1354</v>
      </c>
      <c r="C745" t="s">
        <v>11279</v>
      </c>
      <c r="D745" t="s">
        <v>1355</v>
      </c>
      <c r="E745" t="s">
        <v>1351</v>
      </c>
      <c r="F745" t="s">
        <v>1345</v>
      </c>
      <c r="G745" t="s">
        <v>1356</v>
      </c>
      <c r="I745" t="str">
        <f t="shared" si="44"/>
        <v>979</v>
      </c>
      <c r="J745" t="str">
        <f t="shared" si="45"/>
        <v>BC</v>
      </c>
      <c r="K745">
        <f t="shared" si="46"/>
        <v>-979</v>
      </c>
      <c r="L745">
        <f t="shared" si="47"/>
        <v>-979</v>
      </c>
    </row>
    <row r="746" spans="1:12" x14ac:dyDescent="0.35">
      <c r="A746">
        <v>759</v>
      </c>
      <c r="B746" t="s">
        <v>1357</v>
      </c>
      <c r="C746" t="s">
        <v>11280</v>
      </c>
      <c r="D746" t="s">
        <v>1358</v>
      </c>
      <c r="E746" t="s">
        <v>1351</v>
      </c>
      <c r="F746" t="s">
        <v>1345</v>
      </c>
      <c r="G746" t="s">
        <v>12516</v>
      </c>
      <c r="I746" t="str">
        <f t="shared" si="44"/>
        <v>979</v>
      </c>
      <c r="J746" t="str">
        <f t="shared" si="45"/>
        <v>BC</v>
      </c>
      <c r="K746">
        <f t="shared" si="46"/>
        <v>-979</v>
      </c>
      <c r="L746">
        <f t="shared" si="47"/>
        <v>-979</v>
      </c>
    </row>
    <row r="747" spans="1:12" x14ac:dyDescent="0.35">
      <c r="A747">
        <v>760</v>
      </c>
      <c r="B747" t="s">
        <v>1359</v>
      </c>
      <c r="C747" t="s">
        <v>10155</v>
      </c>
      <c r="D747" t="s">
        <v>1360</v>
      </c>
      <c r="E747" t="s">
        <v>1361</v>
      </c>
      <c r="F747" t="s">
        <v>1345</v>
      </c>
      <c r="G747" t="s">
        <v>1362</v>
      </c>
      <c r="I747" t="str">
        <f t="shared" si="44"/>
        <v>979</v>
      </c>
      <c r="J747" t="str">
        <f t="shared" si="45"/>
        <v>BC</v>
      </c>
      <c r="K747">
        <f t="shared" si="46"/>
        <v>-979</v>
      </c>
      <c r="L747">
        <f t="shared" si="47"/>
        <v>-979</v>
      </c>
    </row>
    <row r="748" spans="1:12" x14ac:dyDescent="0.35">
      <c r="A748">
        <v>761</v>
      </c>
      <c r="B748" t="s">
        <v>1363</v>
      </c>
      <c r="C748" t="s">
        <v>11281</v>
      </c>
      <c r="D748" t="s">
        <v>1364</v>
      </c>
      <c r="E748" t="s">
        <v>1361</v>
      </c>
      <c r="F748" t="s">
        <v>1345</v>
      </c>
      <c r="G748" t="s">
        <v>12532</v>
      </c>
      <c r="I748" t="str">
        <f t="shared" si="44"/>
        <v>979</v>
      </c>
      <c r="J748" t="str">
        <f t="shared" si="45"/>
        <v>BC</v>
      </c>
      <c r="K748">
        <f t="shared" si="46"/>
        <v>-979</v>
      </c>
      <c r="L748">
        <f t="shared" si="47"/>
        <v>-979</v>
      </c>
    </row>
    <row r="749" spans="1:12" x14ac:dyDescent="0.35">
      <c r="A749">
        <v>762</v>
      </c>
      <c r="B749" t="s">
        <v>1365</v>
      </c>
      <c r="C749" t="s">
        <v>11282</v>
      </c>
      <c r="D749" t="s">
        <v>1366</v>
      </c>
      <c r="E749" t="s">
        <v>1211</v>
      </c>
      <c r="F749" t="s">
        <v>1345</v>
      </c>
      <c r="G749" t="s">
        <v>112</v>
      </c>
      <c r="I749" t="str">
        <f t="shared" si="44"/>
        <v>979</v>
      </c>
      <c r="J749" t="str">
        <f t="shared" si="45"/>
        <v>BC</v>
      </c>
      <c r="K749">
        <f t="shared" si="46"/>
        <v>-979</v>
      </c>
      <c r="L749">
        <f t="shared" si="47"/>
        <v>-979</v>
      </c>
    </row>
    <row r="750" spans="1:12" x14ac:dyDescent="0.35">
      <c r="A750">
        <v>763</v>
      </c>
      <c r="B750" t="s">
        <v>1367</v>
      </c>
      <c r="C750" t="s">
        <v>10156</v>
      </c>
      <c r="D750" t="s">
        <v>1366</v>
      </c>
      <c r="E750" t="s">
        <v>1211</v>
      </c>
      <c r="F750" t="s">
        <v>1345</v>
      </c>
      <c r="G750" t="s">
        <v>112</v>
      </c>
      <c r="I750" t="str">
        <f t="shared" si="44"/>
        <v>979</v>
      </c>
      <c r="J750" t="str">
        <f t="shared" si="45"/>
        <v>BC</v>
      </c>
      <c r="K750">
        <f t="shared" si="46"/>
        <v>-979</v>
      </c>
      <c r="L750">
        <f t="shared" si="47"/>
        <v>-979</v>
      </c>
    </row>
    <row r="751" spans="1:12" x14ac:dyDescent="0.35">
      <c r="A751">
        <v>764</v>
      </c>
      <c r="B751" t="s">
        <v>1368</v>
      </c>
      <c r="C751" t="s">
        <v>10157</v>
      </c>
      <c r="D751" t="s">
        <v>1369</v>
      </c>
      <c r="E751" t="s">
        <v>1370</v>
      </c>
      <c r="F751" t="s">
        <v>1345</v>
      </c>
      <c r="G751" t="s">
        <v>1371</v>
      </c>
      <c r="I751" t="str">
        <f t="shared" si="44"/>
        <v>979</v>
      </c>
      <c r="J751" t="str">
        <f t="shared" si="45"/>
        <v>BC</v>
      </c>
      <c r="K751">
        <f t="shared" si="46"/>
        <v>-979</v>
      </c>
      <c r="L751">
        <f t="shared" si="47"/>
        <v>-979</v>
      </c>
    </row>
    <row r="752" spans="1:12" x14ac:dyDescent="0.35">
      <c r="A752">
        <v>765</v>
      </c>
      <c r="B752" t="s">
        <v>1372</v>
      </c>
      <c r="C752" t="s">
        <v>10327</v>
      </c>
      <c r="D752" t="s">
        <v>1373</v>
      </c>
      <c r="E752" t="s">
        <v>251</v>
      </c>
      <c r="F752" t="s">
        <v>1345</v>
      </c>
      <c r="G752" t="s">
        <v>12517</v>
      </c>
      <c r="I752" t="str">
        <f t="shared" si="44"/>
        <v>979</v>
      </c>
      <c r="J752" t="str">
        <f t="shared" si="45"/>
        <v>BC</v>
      </c>
      <c r="K752">
        <f t="shared" si="46"/>
        <v>-979</v>
      </c>
      <c r="L752">
        <f t="shared" si="47"/>
        <v>-979</v>
      </c>
    </row>
    <row r="753" spans="1:12" x14ac:dyDescent="0.35">
      <c r="A753">
        <v>766</v>
      </c>
      <c r="B753" t="s">
        <v>1374</v>
      </c>
      <c r="C753" t="s">
        <v>11246</v>
      </c>
      <c r="D753" t="s">
        <v>1375</v>
      </c>
      <c r="E753" t="s">
        <v>1376</v>
      </c>
      <c r="F753" t="s">
        <v>1345</v>
      </c>
      <c r="G753" t="s">
        <v>12518</v>
      </c>
      <c r="I753" t="str">
        <f t="shared" si="44"/>
        <v>979</v>
      </c>
      <c r="J753" t="str">
        <f t="shared" si="45"/>
        <v>BC</v>
      </c>
      <c r="K753">
        <f t="shared" si="46"/>
        <v>-979</v>
      </c>
      <c r="L753">
        <f t="shared" si="47"/>
        <v>-979</v>
      </c>
    </row>
    <row r="754" spans="1:12" x14ac:dyDescent="0.35">
      <c r="A754">
        <v>767</v>
      </c>
      <c r="B754" t="s">
        <v>1377</v>
      </c>
      <c r="C754" t="s">
        <v>10158</v>
      </c>
      <c r="D754" t="s">
        <v>1378</v>
      </c>
      <c r="E754" t="s">
        <v>1376</v>
      </c>
      <c r="F754" t="s">
        <v>1345</v>
      </c>
      <c r="G754" t="s">
        <v>112</v>
      </c>
      <c r="I754" t="str">
        <f t="shared" si="44"/>
        <v>979</v>
      </c>
      <c r="J754" t="str">
        <f t="shared" si="45"/>
        <v>BC</v>
      </c>
      <c r="K754">
        <f t="shared" si="46"/>
        <v>-979</v>
      </c>
      <c r="L754">
        <f t="shared" si="47"/>
        <v>-979</v>
      </c>
    </row>
    <row r="755" spans="1:12" x14ac:dyDescent="0.35">
      <c r="A755">
        <v>768</v>
      </c>
      <c r="B755" t="s">
        <v>1379</v>
      </c>
      <c r="C755" t="s">
        <v>10159</v>
      </c>
      <c r="D755" t="s">
        <v>1380</v>
      </c>
      <c r="E755" t="s">
        <v>1376</v>
      </c>
      <c r="F755" t="s">
        <v>1345</v>
      </c>
      <c r="G755" t="s">
        <v>112</v>
      </c>
      <c r="I755" t="str">
        <f t="shared" si="44"/>
        <v>979</v>
      </c>
      <c r="J755" t="str">
        <f t="shared" si="45"/>
        <v>BC</v>
      </c>
      <c r="K755">
        <f t="shared" si="46"/>
        <v>-979</v>
      </c>
      <c r="L755">
        <f t="shared" si="47"/>
        <v>-979</v>
      </c>
    </row>
    <row r="756" spans="1:12" x14ac:dyDescent="0.35">
      <c r="A756">
        <v>769</v>
      </c>
      <c r="B756" t="s">
        <v>1381</v>
      </c>
      <c r="C756" t="s">
        <v>10160</v>
      </c>
      <c r="D756" t="s">
        <v>1382</v>
      </c>
      <c r="E756" t="s">
        <v>1376</v>
      </c>
      <c r="F756" t="s">
        <v>1345</v>
      </c>
      <c r="G756" t="s">
        <v>1195</v>
      </c>
      <c r="I756" t="str">
        <f t="shared" ref="I756:I819" si="48">SUBSTITUTE(SUBSTITUTE(SUBSTITUTE(F756,"c. ","")," BC","")," AD","")</f>
        <v>979</v>
      </c>
      <c r="J756" t="str">
        <f t="shared" si="45"/>
        <v>BC</v>
      </c>
      <c r="K756">
        <f t="shared" si="46"/>
        <v>-979</v>
      </c>
      <c r="L756">
        <f t="shared" si="47"/>
        <v>-979</v>
      </c>
    </row>
    <row r="757" spans="1:12" x14ac:dyDescent="0.35">
      <c r="A757">
        <v>770</v>
      </c>
      <c r="B757" t="s">
        <v>1383</v>
      </c>
      <c r="C757" t="s">
        <v>10161</v>
      </c>
      <c r="D757" t="s">
        <v>1384</v>
      </c>
      <c r="E757" t="s">
        <v>251</v>
      </c>
      <c r="F757" t="s">
        <v>1345</v>
      </c>
      <c r="G757" t="s">
        <v>1292</v>
      </c>
      <c r="I757" t="str">
        <f t="shared" si="48"/>
        <v>979</v>
      </c>
      <c r="J757" t="str">
        <f t="shared" si="45"/>
        <v>BC</v>
      </c>
      <c r="K757">
        <f t="shared" si="46"/>
        <v>-979</v>
      </c>
      <c r="L757">
        <f t="shared" si="47"/>
        <v>-979</v>
      </c>
    </row>
    <row r="758" spans="1:12" x14ac:dyDescent="0.35">
      <c r="A758">
        <v>771</v>
      </c>
      <c r="B758" t="s">
        <v>1385</v>
      </c>
      <c r="C758" t="s">
        <v>11283</v>
      </c>
      <c r="D758" t="s">
        <v>1386</v>
      </c>
      <c r="E758" t="s">
        <v>1112</v>
      </c>
      <c r="F758" t="s">
        <v>1345</v>
      </c>
      <c r="G758" t="s">
        <v>12472</v>
      </c>
      <c r="I758" t="str">
        <f t="shared" si="48"/>
        <v>979</v>
      </c>
      <c r="J758" t="str">
        <f t="shared" si="45"/>
        <v>BC</v>
      </c>
      <c r="K758">
        <f t="shared" si="46"/>
        <v>-979</v>
      </c>
      <c r="L758">
        <f t="shared" si="47"/>
        <v>-979</v>
      </c>
    </row>
    <row r="759" spans="1:12" x14ac:dyDescent="0.35">
      <c r="A759">
        <v>772</v>
      </c>
      <c r="B759" t="s">
        <v>1387</v>
      </c>
      <c r="C759" t="s">
        <v>11284</v>
      </c>
      <c r="D759" t="s">
        <v>1388</v>
      </c>
      <c r="E759" t="s">
        <v>1112</v>
      </c>
      <c r="F759" t="s">
        <v>1389</v>
      </c>
      <c r="G759" t="s">
        <v>1390</v>
      </c>
      <c r="I759" t="str">
        <f t="shared" si="48"/>
        <v>978</v>
      </c>
      <c r="J759" t="str">
        <f t="shared" si="45"/>
        <v>BC</v>
      </c>
      <c r="K759">
        <f t="shared" si="46"/>
        <v>-978</v>
      </c>
      <c r="L759">
        <f t="shared" si="47"/>
        <v>-978</v>
      </c>
    </row>
    <row r="760" spans="1:12" x14ac:dyDescent="0.35">
      <c r="A760">
        <v>773</v>
      </c>
      <c r="B760" t="s">
        <v>1391</v>
      </c>
      <c r="C760" t="s">
        <v>10162</v>
      </c>
      <c r="D760" t="s">
        <v>1392</v>
      </c>
      <c r="E760" t="s">
        <v>1393</v>
      </c>
      <c r="F760" t="s">
        <v>1389</v>
      </c>
      <c r="G760" t="s">
        <v>12519</v>
      </c>
      <c r="I760" t="str">
        <f t="shared" si="48"/>
        <v>978</v>
      </c>
      <c r="J760" t="str">
        <f t="shared" si="45"/>
        <v>BC</v>
      </c>
      <c r="K760">
        <f t="shared" si="46"/>
        <v>-978</v>
      </c>
      <c r="L760">
        <f t="shared" si="47"/>
        <v>-978</v>
      </c>
    </row>
    <row r="761" spans="1:12" x14ac:dyDescent="0.35">
      <c r="A761">
        <v>774</v>
      </c>
      <c r="B761" t="s">
        <v>1394</v>
      </c>
      <c r="C761" t="s">
        <v>11248</v>
      </c>
      <c r="D761" t="s">
        <v>1395</v>
      </c>
      <c r="E761" t="s">
        <v>1052</v>
      </c>
      <c r="F761" t="s">
        <v>1396</v>
      </c>
      <c r="G761" t="s">
        <v>112</v>
      </c>
      <c r="I761" t="str">
        <f t="shared" si="48"/>
        <v>975-973</v>
      </c>
      <c r="J761" t="str">
        <f t="shared" si="45"/>
        <v>BC</v>
      </c>
      <c r="K761">
        <f t="shared" si="46"/>
        <v>-975</v>
      </c>
      <c r="L761">
        <f t="shared" si="47"/>
        <v>-973</v>
      </c>
    </row>
    <row r="762" spans="1:12" x14ac:dyDescent="0.35">
      <c r="A762">
        <v>775</v>
      </c>
      <c r="B762" t="s">
        <v>1397</v>
      </c>
      <c r="C762" t="s">
        <v>11285</v>
      </c>
      <c r="D762" t="s">
        <v>1395</v>
      </c>
      <c r="E762" t="s">
        <v>1211</v>
      </c>
      <c r="F762" t="s">
        <v>1398</v>
      </c>
      <c r="G762" t="s">
        <v>112</v>
      </c>
      <c r="I762" t="str">
        <f t="shared" si="48"/>
        <v>975</v>
      </c>
      <c r="J762" t="str">
        <f t="shared" si="45"/>
        <v>BC</v>
      </c>
      <c r="K762">
        <f t="shared" si="46"/>
        <v>-975</v>
      </c>
      <c r="L762">
        <f t="shared" si="47"/>
        <v>-975</v>
      </c>
    </row>
    <row r="763" spans="1:12" x14ac:dyDescent="0.35">
      <c r="A763">
        <v>776</v>
      </c>
      <c r="B763" t="s">
        <v>1399</v>
      </c>
      <c r="C763" t="s">
        <v>11286</v>
      </c>
      <c r="D763" t="s">
        <v>1395</v>
      </c>
      <c r="E763" t="s">
        <v>1211</v>
      </c>
      <c r="F763" t="s">
        <v>1398</v>
      </c>
      <c r="G763" t="s">
        <v>112</v>
      </c>
      <c r="I763" t="str">
        <f t="shared" si="48"/>
        <v>975</v>
      </c>
      <c r="J763" t="str">
        <f t="shared" si="45"/>
        <v>BC</v>
      </c>
      <c r="K763">
        <f t="shared" si="46"/>
        <v>-975</v>
      </c>
      <c r="L763">
        <f t="shared" si="47"/>
        <v>-975</v>
      </c>
    </row>
    <row r="764" spans="1:12" x14ac:dyDescent="0.35">
      <c r="A764">
        <v>777</v>
      </c>
      <c r="B764" t="s">
        <v>1400</v>
      </c>
      <c r="C764" t="s">
        <v>10163</v>
      </c>
      <c r="D764" t="s">
        <v>1401</v>
      </c>
      <c r="E764" t="s">
        <v>1402</v>
      </c>
      <c r="F764" t="s">
        <v>1403</v>
      </c>
      <c r="G764" t="s">
        <v>1404</v>
      </c>
      <c r="I764" t="str">
        <f t="shared" si="48"/>
        <v>973</v>
      </c>
      <c r="J764" t="str">
        <f t="shared" si="45"/>
        <v>BC</v>
      </c>
      <c r="K764">
        <f t="shared" si="46"/>
        <v>-973</v>
      </c>
      <c r="L764">
        <f t="shared" si="47"/>
        <v>-973</v>
      </c>
    </row>
    <row r="765" spans="1:12" x14ac:dyDescent="0.35">
      <c r="A765">
        <v>778</v>
      </c>
      <c r="B765" t="s">
        <v>1405</v>
      </c>
      <c r="C765" t="s">
        <v>10164</v>
      </c>
      <c r="D765" t="s">
        <v>1406</v>
      </c>
      <c r="E765" t="s">
        <v>1052</v>
      </c>
      <c r="F765" t="s">
        <v>1403</v>
      </c>
      <c r="G765" t="s">
        <v>112</v>
      </c>
      <c r="I765" t="str">
        <f t="shared" si="48"/>
        <v>973</v>
      </c>
      <c r="J765" t="str">
        <f t="shared" si="45"/>
        <v>BC</v>
      </c>
      <c r="K765">
        <f t="shared" si="46"/>
        <v>-973</v>
      </c>
      <c r="L765">
        <f t="shared" si="47"/>
        <v>-973</v>
      </c>
    </row>
    <row r="766" spans="1:12" x14ac:dyDescent="0.35">
      <c r="A766">
        <v>779</v>
      </c>
      <c r="B766" t="s">
        <v>1407</v>
      </c>
      <c r="C766" t="s">
        <v>10165</v>
      </c>
      <c r="D766" t="s">
        <v>1408</v>
      </c>
      <c r="E766" t="s">
        <v>1409</v>
      </c>
      <c r="F766" t="s">
        <v>1410</v>
      </c>
      <c r="G766" t="s">
        <v>12520</v>
      </c>
      <c r="I766" t="str">
        <f t="shared" si="48"/>
        <v>975-970</v>
      </c>
      <c r="J766" t="str">
        <f t="shared" si="45"/>
        <v>BC</v>
      </c>
      <c r="K766">
        <f t="shared" si="46"/>
        <v>-975</v>
      </c>
      <c r="L766">
        <f t="shared" si="47"/>
        <v>-970</v>
      </c>
    </row>
    <row r="767" spans="1:12" x14ac:dyDescent="0.35">
      <c r="A767">
        <v>780</v>
      </c>
      <c r="B767" t="s">
        <v>1411</v>
      </c>
      <c r="C767" t="s">
        <v>10166</v>
      </c>
      <c r="D767" t="s">
        <v>1412</v>
      </c>
      <c r="E767" t="s">
        <v>1413</v>
      </c>
      <c r="F767" t="s">
        <v>1398</v>
      </c>
      <c r="G767" t="s">
        <v>12521</v>
      </c>
      <c r="I767" t="str">
        <f t="shared" si="48"/>
        <v>975</v>
      </c>
      <c r="J767" t="str">
        <f t="shared" si="45"/>
        <v>BC</v>
      </c>
      <c r="K767">
        <f t="shared" si="46"/>
        <v>-975</v>
      </c>
      <c r="L767">
        <f t="shared" si="47"/>
        <v>-975</v>
      </c>
    </row>
    <row r="768" spans="1:12" x14ac:dyDescent="0.35">
      <c r="A768">
        <v>781</v>
      </c>
      <c r="B768" t="s">
        <v>1414</v>
      </c>
      <c r="C768" t="s">
        <v>10064</v>
      </c>
      <c r="D768" t="s">
        <v>1415</v>
      </c>
      <c r="E768" t="s">
        <v>1416</v>
      </c>
      <c r="F768" t="s">
        <v>1410</v>
      </c>
      <c r="G768" t="s">
        <v>12522</v>
      </c>
      <c r="I768" t="str">
        <f t="shared" si="48"/>
        <v>975-970</v>
      </c>
      <c r="J768" t="str">
        <f t="shared" si="45"/>
        <v>BC</v>
      </c>
      <c r="K768">
        <f t="shared" si="46"/>
        <v>-975</v>
      </c>
      <c r="L768">
        <f t="shared" si="47"/>
        <v>-970</v>
      </c>
    </row>
    <row r="769" spans="1:12" x14ac:dyDescent="0.35">
      <c r="A769">
        <v>782</v>
      </c>
      <c r="B769" t="s">
        <v>1417</v>
      </c>
      <c r="C769" t="s">
        <v>10167</v>
      </c>
      <c r="D769" t="s">
        <v>1418</v>
      </c>
      <c r="E769" t="s">
        <v>1211</v>
      </c>
      <c r="F769" t="s">
        <v>1419</v>
      </c>
      <c r="G769" t="s">
        <v>1420</v>
      </c>
      <c r="I769" t="str">
        <f t="shared" si="48"/>
        <v>970</v>
      </c>
      <c r="J769" t="str">
        <f t="shared" si="45"/>
        <v>BC</v>
      </c>
      <c r="K769">
        <f t="shared" si="46"/>
        <v>-970</v>
      </c>
      <c r="L769">
        <f t="shared" si="47"/>
        <v>-970</v>
      </c>
    </row>
    <row r="770" spans="1:12" x14ac:dyDescent="0.35">
      <c r="A770">
        <v>783</v>
      </c>
      <c r="B770" t="s">
        <v>1421</v>
      </c>
      <c r="C770" t="s">
        <v>11287</v>
      </c>
      <c r="D770" t="s">
        <v>1422</v>
      </c>
      <c r="E770" t="s">
        <v>1423</v>
      </c>
      <c r="F770" t="s">
        <v>1419</v>
      </c>
      <c r="G770" t="s">
        <v>112</v>
      </c>
      <c r="I770" t="str">
        <f t="shared" si="48"/>
        <v>970</v>
      </c>
      <c r="J770" t="str">
        <f t="shared" ref="J770:J833" si="49">RIGHT(F770, 2)</f>
        <v>BC</v>
      </c>
      <c r="K770">
        <f t="shared" ref="K770:K833" si="50">IF(J770="BC", 0-IF(ISERROR(FIND("-",I770)),I770,LEFT(I770,FIND("-",I770)-1)), IF(ISERROR(FIND("-",I770)),I770,LEFT(I770,FIND("-",I770)-1)))</f>
        <v>-970</v>
      </c>
      <c r="L770">
        <f t="shared" ref="L770:L833" si="51">IF(J770="BC", 0-IF(ISERROR(FIND("-",I770)),I770,RIGHT(I770,FIND("-",I770)-1)), IF(ISERROR(FIND("-",I770)),I770,RIGHT(I770,FIND("-",I770)-1)))</f>
        <v>-970</v>
      </c>
    </row>
    <row r="771" spans="1:12" x14ac:dyDescent="0.35">
      <c r="A771">
        <v>784</v>
      </c>
      <c r="B771" t="s">
        <v>1425</v>
      </c>
      <c r="C771" t="s">
        <v>10091</v>
      </c>
      <c r="D771" t="s">
        <v>1426</v>
      </c>
      <c r="E771" t="s">
        <v>1427</v>
      </c>
      <c r="F771" t="s">
        <v>1419</v>
      </c>
      <c r="G771" t="s">
        <v>112</v>
      </c>
      <c r="I771" t="str">
        <f t="shared" si="48"/>
        <v>970</v>
      </c>
      <c r="J771" t="str">
        <f t="shared" si="49"/>
        <v>BC</v>
      </c>
      <c r="K771">
        <f t="shared" si="50"/>
        <v>-970</v>
      </c>
      <c r="L771">
        <f t="shared" si="51"/>
        <v>-970</v>
      </c>
    </row>
    <row r="772" spans="1:12" x14ac:dyDescent="0.35">
      <c r="A772">
        <v>785</v>
      </c>
      <c r="B772" t="s">
        <v>1428</v>
      </c>
      <c r="C772" t="s">
        <v>10168</v>
      </c>
      <c r="D772" t="s">
        <v>1429</v>
      </c>
      <c r="E772" t="s">
        <v>1211</v>
      </c>
      <c r="F772" t="s">
        <v>1419</v>
      </c>
      <c r="G772" t="s">
        <v>1292</v>
      </c>
      <c r="I772" t="str">
        <f t="shared" si="48"/>
        <v>970</v>
      </c>
      <c r="J772" t="str">
        <f t="shared" si="49"/>
        <v>BC</v>
      </c>
      <c r="K772">
        <f t="shared" si="50"/>
        <v>-970</v>
      </c>
      <c r="L772">
        <f t="shared" si="51"/>
        <v>-970</v>
      </c>
    </row>
    <row r="773" spans="1:12" x14ac:dyDescent="0.35">
      <c r="A773">
        <v>786</v>
      </c>
      <c r="B773" t="s">
        <v>1430</v>
      </c>
      <c r="C773" t="s">
        <v>11288</v>
      </c>
      <c r="D773" t="s">
        <v>1431</v>
      </c>
      <c r="E773" t="s">
        <v>1211</v>
      </c>
      <c r="F773" t="s">
        <v>1419</v>
      </c>
      <c r="G773" t="s">
        <v>112</v>
      </c>
      <c r="I773" t="str">
        <f t="shared" si="48"/>
        <v>970</v>
      </c>
      <c r="J773" t="str">
        <f t="shared" si="49"/>
        <v>BC</v>
      </c>
      <c r="K773">
        <f t="shared" si="50"/>
        <v>-970</v>
      </c>
      <c r="L773">
        <f t="shared" si="51"/>
        <v>-970</v>
      </c>
    </row>
    <row r="774" spans="1:12" x14ac:dyDescent="0.35">
      <c r="A774">
        <v>787</v>
      </c>
      <c r="B774" t="s">
        <v>1432</v>
      </c>
      <c r="C774" t="s">
        <v>10106</v>
      </c>
      <c r="D774" t="s">
        <v>1433</v>
      </c>
      <c r="E774" t="s">
        <v>1211</v>
      </c>
      <c r="F774" t="s">
        <v>1434</v>
      </c>
      <c r="G774" t="s">
        <v>1435</v>
      </c>
      <c r="I774" t="str">
        <f t="shared" si="48"/>
        <v>969</v>
      </c>
      <c r="J774" t="str">
        <f t="shared" si="49"/>
        <v>BC</v>
      </c>
      <c r="K774">
        <f t="shared" si="50"/>
        <v>-969</v>
      </c>
      <c r="L774">
        <f t="shared" si="51"/>
        <v>-969</v>
      </c>
    </row>
    <row r="775" spans="1:12" x14ac:dyDescent="0.35">
      <c r="A775">
        <v>788</v>
      </c>
      <c r="B775" t="s">
        <v>667</v>
      </c>
      <c r="C775" t="s">
        <v>10067</v>
      </c>
      <c r="D775" t="s">
        <v>1433</v>
      </c>
      <c r="E775" t="s">
        <v>1052</v>
      </c>
      <c r="F775" t="s">
        <v>1434</v>
      </c>
      <c r="G775" t="s">
        <v>112</v>
      </c>
      <c r="I775" t="str">
        <f t="shared" si="48"/>
        <v>969</v>
      </c>
      <c r="J775" t="str">
        <f t="shared" si="49"/>
        <v>BC</v>
      </c>
      <c r="K775">
        <f t="shared" si="50"/>
        <v>-969</v>
      </c>
      <c r="L775">
        <f t="shared" si="51"/>
        <v>-969</v>
      </c>
    </row>
    <row r="776" spans="1:12" x14ac:dyDescent="0.35">
      <c r="A776">
        <v>789</v>
      </c>
      <c r="B776" t="s">
        <v>1436</v>
      </c>
      <c r="C776" t="s">
        <v>11289</v>
      </c>
      <c r="D776" t="s">
        <v>1437</v>
      </c>
      <c r="E776" t="s">
        <v>1211</v>
      </c>
      <c r="F776" t="s">
        <v>1434</v>
      </c>
      <c r="G776" t="s">
        <v>1292</v>
      </c>
      <c r="I776" t="str">
        <f t="shared" si="48"/>
        <v>969</v>
      </c>
      <c r="J776" t="str">
        <f t="shared" si="49"/>
        <v>BC</v>
      </c>
      <c r="K776">
        <f t="shared" si="50"/>
        <v>-969</v>
      </c>
      <c r="L776">
        <f t="shared" si="51"/>
        <v>-969</v>
      </c>
    </row>
    <row r="777" spans="1:12" x14ac:dyDescent="0.35">
      <c r="A777">
        <v>790</v>
      </c>
      <c r="B777" t="s">
        <v>1438</v>
      </c>
      <c r="C777" t="s">
        <v>10169</v>
      </c>
      <c r="D777" t="s">
        <v>1439</v>
      </c>
      <c r="E777" t="s">
        <v>1211</v>
      </c>
      <c r="F777" t="s">
        <v>1434</v>
      </c>
      <c r="G777" t="s">
        <v>12473</v>
      </c>
      <c r="I777" t="str">
        <f t="shared" si="48"/>
        <v>969</v>
      </c>
      <c r="J777" t="str">
        <f t="shared" si="49"/>
        <v>BC</v>
      </c>
      <c r="K777">
        <f t="shared" si="50"/>
        <v>-969</v>
      </c>
      <c r="L777">
        <f t="shared" si="51"/>
        <v>-969</v>
      </c>
    </row>
    <row r="778" spans="1:12" x14ac:dyDescent="0.35">
      <c r="A778">
        <v>791</v>
      </c>
      <c r="B778" t="s">
        <v>1440</v>
      </c>
      <c r="C778" t="s">
        <v>10146</v>
      </c>
      <c r="D778" t="s">
        <v>1439</v>
      </c>
      <c r="E778" t="s">
        <v>1211</v>
      </c>
      <c r="F778" t="s">
        <v>1434</v>
      </c>
      <c r="G778" t="s">
        <v>1292</v>
      </c>
      <c r="I778" t="str">
        <f t="shared" si="48"/>
        <v>969</v>
      </c>
      <c r="J778" t="str">
        <f t="shared" si="49"/>
        <v>BC</v>
      </c>
      <c r="K778">
        <f t="shared" si="50"/>
        <v>-969</v>
      </c>
      <c r="L778">
        <f t="shared" si="51"/>
        <v>-969</v>
      </c>
    </row>
    <row r="779" spans="1:12" x14ac:dyDescent="0.35">
      <c r="A779">
        <v>792</v>
      </c>
      <c r="B779" t="s">
        <v>1441</v>
      </c>
      <c r="C779" t="s">
        <v>11290</v>
      </c>
      <c r="D779" t="s">
        <v>1442</v>
      </c>
      <c r="E779" t="s">
        <v>1211</v>
      </c>
      <c r="F779" t="s">
        <v>1434</v>
      </c>
      <c r="G779" t="s">
        <v>12474</v>
      </c>
      <c r="I779" t="str">
        <f t="shared" si="48"/>
        <v>969</v>
      </c>
      <c r="J779" t="str">
        <f t="shared" si="49"/>
        <v>BC</v>
      </c>
      <c r="K779">
        <f t="shared" si="50"/>
        <v>-969</v>
      </c>
      <c r="L779">
        <f t="shared" si="51"/>
        <v>-969</v>
      </c>
    </row>
    <row r="780" spans="1:12" x14ac:dyDescent="0.35">
      <c r="A780">
        <v>793</v>
      </c>
      <c r="B780" t="s">
        <v>1443</v>
      </c>
      <c r="C780" t="s">
        <v>10170</v>
      </c>
      <c r="D780" t="s">
        <v>1444</v>
      </c>
      <c r="E780" t="s">
        <v>1211</v>
      </c>
      <c r="F780" t="s">
        <v>1434</v>
      </c>
      <c r="G780" t="s">
        <v>1292</v>
      </c>
      <c r="I780" t="str">
        <f t="shared" si="48"/>
        <v>969</v>
      </c>
      <c r="J780" t="str">
        <f t="shared" si="49"/>
        <v>BC</v>
      </c>
      <c r="K780">
        <f t="shared" si="50"/>
        <v>-969</v>
      </c>
      <c r="L780">
        <f t="shared" si="51"/>
        <v>-969</v>
      </c>
    </row>
    <row r="781" spans="1:12" x14ac:dyDescent="0.35">
      <c r="A781">
        <v>794</v>
      </c>
      <c r="B781" t="s">
        <v>1445</v>
      </c>
      <c r="C781" t="s">
        <v>10049</v>
      </c>
      <c r="D781" t="s">
        <v>1446</v>
      </c>
      <c r="E781" t="s">
        <v>1052</v>
      </c>
      <c r="F781" t="s">
        <v>1434</v>
      </c>
      <c r="G781" t="s">
        <v>112</v>
      </c>
      <c r="I781" t="str">
        <f t="shared" si="48"/>
        <v>969</v>
      </c>
      <c r="J781" t="str">
        <f t="shared" si="49"/>
        <v>BC</v>
      </c>
      <c r="K781">
        <f t="shared" si="50"/>
        <v>-969</v>
      </c>
      <c r="L781">
        <f t="shared" si="51"/>
        <v>-969</v>
      </c>
    </row>
    <row r="782" spans="1:12" x14ac:dyDescent="0.35">
      <c r="A782">
        <v>795</v>
      </c>
      <c r="B782" t="s">
        <v>1447</v>
      </c>
      <c r="C782" t="s">
        <v>11205</v>
      </c>
      <c r="D782" t="s">
        <v>1448</v>
      </c>
      <c r="E782" t="s">
        <v>1449</v>
      </c>
      <c r="F782" t="s">
        <v>1434</v>
      </c>
      <c r="G782" t="s">
        <v>63</v>
      </c>
      <c r="I782" t="str">
        <f t="shared" si="48"/>
        <v>969</v>
      </c>
      <c r="J782" t="str">
        <f t="shared" si="49"/>
        <v>BC</v>
      </c>
      <c r="K782">
        <f t="shared" si="50"/>
        <v>-969</v>
      </c>
      <c r="L782">
        <f t="shared" si="51"/>
        <v>-969</v>
      </c>
    </row>
    <row r="783" spans="1:12" x14ac:dyDescent="0.35">
      <c r="A783">
        <v>796</v>
      </c>
      <c r="B783" t="s">
        <v>1450</v>
      </c>
      <c r="C783" t="s">
        <v>10052</v>
      </c>
      <c r="D783" t="s">
        <v>1451</v>
      </c>
      <c r="E783" t="s">
        <v>1211</v>
      </c>
      <c r="F783" t="s">
        <v>1434</v>
      </c>
      <c r="G783" t="s">
        <v>112</v>
      </c>
      <c r="I783" t="str">
        <f t="shared" si="48"/>
        <v>969</v>
      </c>
      <c r="J783" t="str">
        <f t="shared" si="49"/>
        <v>BC</v>
      </c>
      <c r="K783">
        <f t="shared" si="50"/>
        <v>-969</v>
      </c>
      <c r="L783">
        <f t="shared" si="51"/>
        <v>-969</v>
      </c>
    </row>
    <row r="784" spans="1:12" x14ac:dyDescent="0.35">
      <c r="A784">
        <v>797</v>
      </c>
      <c r="B784" t="s">
        <v>1452</v>
      </c>
      <c r="C784" t="s">
        <v>10041</v>
      </c>
      <c r="D784" t="s">
        <v>1451</v>
      </c>
      <c r="E784" t="s">
        <v>1211</v>
      </c>
      <c r="F784" t="s">
        <v>1434</v>
      </c>
      <c r="G784" t="s">
        <v>1292</v>
      </c>
      <c r="I784" t="str">
        <f t="shared" si="48"/>
        <v>969</v>
      </c>
      <c r="J784" t="str">
        <f t="shared" si="49"/>
        <v>BC</v>
      </c>
      <c r="K784">
        <f t="shared" si="50"/>
        <v>-969</v>
      </c>
      <c r="L784">
        <f t="shared" si="51"/>
        <v>-969</v>
      </c>
    </row>
    <row r="785" spans="1:12" x14ac:dyDescent="0.35">
      <c r="A785">
        <v>798</v>
      </c>
      <c r="B785" t="s">
        <v>1453</v>
      </c>
      <c r="C785" t="s">
        <v>11176</v>
      </c>
      <c r="D785" t="s">
        <v>1454</v>
      </c>
      <c r="E785" t="s">
        <v>1211</v>
      </c>
      <c r="F785" t="s">
        <v>1434</v>
      </c>
      <c r="G785" t="s">
        <v>12474</v>
      </c>
      <c r="I785" t="str">
        <f t="shared" si="48"/>
        <v>969</v>
      </c>
      <c r="J785" t="str">
        <f t="shared" si="49"/>
        <v>BC</v>
      </c>
      <c r="K785">
        <f t="shared" si="50"/>
        <v>-969</v>
      </c>
      <c r="L785">
        <f t="shared" si="51"/>
        <v>-969</v>
      </c>
    </row>
    <row r="786" spans="1:12" x14ac:dyDescent="0.35">
      <c r="A786">
        <v>799</v>
      </c>
      <c r="B786" t="s">
        <v>1455</v>
      </c>
      <c r="C786" t="s">
        <v>10171</v>
      </c>
      <c r="D786" t="s">
        <v>1456</v>
      </c>
      <c r="E786" t="s">
        <v>1457</v>
      </c>
      <c r="F786" t="s">
        <v>1434</v>
      </c>
      <c r="G786" t="s">
        <v>1292</v>
      </c>
      <c r="I786" t="str">
        <f t="shared" si="48"/>
        <v>969</v>
      </c>
      <c r="J786" t="str">
        <f t="shared" si="49"/>
        <v>BC</v>
      </c>
      <c r="K786">
        <f t="shared" si="50"/>
        <v>-969</v>
      </c>
      <c r="L786">
        <f t="shared" si="51"/>
        <v>-969</v>
      </c>
    </row>
    <row r="787" spans="1:12" x14ac:dyDescent="0.35">
      <c r="A787">
        <v>800</v>
      </c>
      <c r="B787" t="s">
        <v>1458</v>
      </c>
      <c r="C787" t="s">
        <v>12454</v>
      </c>
      <c r="D787" t="s">
        <v>1456</v>
      </c>
      <c r="E787" t="s">
        <v>1211</v>
      </c>
      <c r="F787" t="s">
        <v>1434</v>
      </c>
      <c r="G787" t="s">
        <v>112</v>
      </c>
      <c r="I787" t="str">
        <f t="shared" si="48"/>
        <v>969</v>
      </c>
      <c r="J787" t="str">
        <f t="shared" si="49"/>
        <v>BC</v>
      </c>
      <c r="K787">
        <f t="shared" si="50"/>
        <v>-969</v>
      </c>
      <c r="L787">
        <f t="shared" si="51"/>
        <v>-969</v>
      </c>
    </row>
    <row r="788" spans="1:12" x14ac:dyDescent="0.35">
      <c r="A788">
        <v>801</v>
      </c>
      <c r="B788" t="s">
        <v>1531</v>
      </c>
      <c r="C788" t="s">
        <v>11291</v>
      </c>
      <c r="D788" t="s">
        <v>1532</v>
      </c>
      <c r="E788" t="s">
        <v>1211</v>
      </c>
      <c r="F788" t="s">
        <v>1419</v>
      </c>
      <c r="G788" t="s">
        <v>1533</v>
      </c>
      <c r="I788" t="str">
        <f t="shared" si="48"/>
        <v>970</v>
      </c>
      <c r="J788" t="str">
        <f t="shared" si="49"/>
        <v>BC</v>
      </c>
      <c r="K788">
        <f t="shared" si="50"/>
        <v>-970</v>
      </c>
      <c r="L788">
        <f t="shared" si="51"/>
        <v>-970</v>
      </c>
    </row>
    <row r="789" spans="1:12" x14ac:dyDescent="0.35">
      <c r="A789">
        <v>802</v>
      </c>
      <c r="B789" t="s">
        <v>1534</v>
      </c>
      <c r="C789" t="s">
        <v>10139</v>
      </c>
      <c r="D789" t="s">
        <v>1535</v>
      </c>
      <c r="E789" t="s">
        <v>1211</v>
      </c>
      <c r="F789" t="s">
        <v>1419</v>
      </c>
      <c r="G789" t="s">
        <v>1292</v>
      </c>
      <c r="I789" t="str">
        <f t="shared" si="48"/>
        <v>970</v>
      </c>
      <c r="J789" t="str">
        <f t="shared" si="49"/>
        <v>BC</v>
      </c>
      <c r="K789">
        <f t="shared" si="50"/>
        <v>-970</v>
      </c>
      <c r="L789">
        <f t="shared" si="51"/>
        <v>-970</v>
      </c>
    </row>
    <row r="790" spans="1:12" x14ac:dyDescent="0.35">
      <c r="A790">
        <v>803</v>
      </c>
      <c r="B790" t="s">
        <v>1536</v>
      </c>
      <c r="C790" t="s">
        <v>10232</v>
      </c>
      <c r="D790" t="s">
        <v>1537</v>
      </c>
      <c r="E790" t="s">
        <v>1211</v>
      </c>
      <c r="F790" t="s">
        <v>1419</v>
      </c>
      <c r="G790" t="s">
        <v>1538</v>
      </c>
      <c r="I790" t="str">
        <f t="shared" si="48"/>
        <v>970</v>
      </c>
      <c r="J790" t="str">
        <f t="shared" si="49"/>
        <v>BC</v>
      </c>
      <c r="K790">
        <f t="shared" si="50"/>
        <v>-970</v>
      </c>
      <c r="L790">
        <f t="shared" si="51"/>
        <v>-970</v>
      </c>
    </row>
    <row r="791" spans="1:12" x14ac:dyDescent="0.35">
      <c r="A791">
        <v>804</v>
      </c>
      <c r="B791" t="s">
        <v>1539</v>
      </c>
      <c r="C791" t="s">
        <v>10127</v>
      </c>
      <c r="D791" t="s">
        <v>1540</v>
      </c>
      <c r="E791" t="s">
        <v>1211</v>
      </c>
      <c r="F791" t="s">
        <v>1419</v>
      </c>
      <c r="G791" t="s">
        <v>1541</v>
      </c>
      <c r="I791" t="str">
        <f t="shared" si="48"/>
        <v>970</v>
      </c>
      <c r="J791" t="str">
        <f t="shared" si="49"/>
        <v>BC</v>
      </c>
      <c r="K791">
        <f t="shared" si="50"/>
        <v>-970</v>
      </c>
      <c r="L791">
        <f t="shared" si="51"/>
        <v>-970</v>
      </c>
    </row>
    <row r="792" spans="1:12" x14ac:dyDescent="0.35">
      <c r="A792">
        <v>805</v>
      </c>
      <c r="B792" t="s">
        <v>1542</v>
      </c>
      <c r="C792" t="s">
        <v>10127</v>
      </c>
      <c r="D792" t="s">
        <v>1543</v>
      </c>
      <c r="E792" t="s">
        <v>1211</v>
      </c>
      <c r="F792" t="s">
        <v>1419</v>
      </c>
      <c r="G792" t="s">
        <v>112</v>
      </c>
      <c r="I792" t="str">
        <f t="shared" si="48"/>
        <v>970</v>
      </c>
      <c r="J792" t="str">
        <f t="shared" si="49"/>
        <v>BC</v>
      </c>
      <c r="K792">
        <f t="shared" si="50"/>
        <v>-970</v>
      </c>
      <c r="L792">
        <f t="shared" si="51"/>
        <v>-970</v>
      </c>
    </row>
    <row r="793" spans="1:12" x14ac:dyDescent="0.35">
      <c r="A793">
        <v>806</v>
      </c>
      <c r="B793" t="s">
        <v>1544</v>
      </c>
      <c r="C793" t="s">
        <v>10232</v>
      </c>
      <c r="D793" t="s">
        <v>1545</v>
      </c>
      <c r="E793" t="s">
        <v>1211</v>
      </c>
      <c r="F793" t="s">
        <v>1419</v>
      </c>
      <c r="G793" t="s">
        <v>1538</v>
      </c>
      <c r="I793" t="str">
        <f t="shared" si="48"/>
        <v>970</v>
      </c>
      <c r="J793" t="str">
        <f t="shared" si="49"/>
        <v>BC</v>
      </c>
      <c r="K793">
        <f t="shared" si="50"/>
        <v>-970</v>
      </c>
      <c r="L793">
        <f t="shared" si="51"/>
        <v>-970</v>
      </c>
    </row>
    <row r="794" spans="1:12" x14ac:dyDescent="0.35">
      <c r="A794">
        <v>807</v>
      </c>
      <c r="B794" t="s">
        <v>1546</v>
      </c>
      <c r="C794" t="s">
        <v>11292</v>
      </c>
      <c r="D794" t="s">
        <v>1547</v>
      </c>
      <c r="E794" t="s">
        <v>938</v>
      </c>
      <c r="F794" t="s">
        <v>1434</v>
      </c>
      <c r="G794" t="s">
        <v>112</v>
      </c>
      <c r="I794" t="str">
        <f t="shared" si="48"/>
        <v>969</v>
      </c>
      <c r="J794" t="str">
        <f t="shared" si="49"/>
        <v>BC</v>
      </c>
      <c r="K794">
        <f t="shared" si="50"/>
        <v>-969</v>
      </c>
      <c r="L794">
        <f t="shared" si="51"/>
        <v>-969</v>
      </c>
    </row>
    <row r="795" spans="1:12" x14ac:dyDescent="0.35">
      <c r="A795">
        <v>808</v>
      </c>
      <c r="B795" t="s">
        <v>1548</v>
      </c>
      <c r="C795" t="s">
        <v>10044</v>
      </c>
      <c r="D795" t="s">
        <v>1549</v>
      </c>
      <c r="E795" t="s">
        <v>938</v>
      </c>
      <c r="F795" t="s">
        <v>1434</v>
      </c>
      <c r="G795" t="s">
        <v>1626</v>
      </c>
      <c r="I795" t="str">
        <f t="shared" si="48"/>
        <v>969</v>
      </c>
      <c r="J795" t="str">
        <f t="shared" si="49"/>
        <v>BC</v>
      </c>
      <c r="K795">
        <f t="shared" si="50"/>
        <v>-969</v>
      </c>
      <c r="L795">
        <f t="shared" si="51"/>
        <v>-969</v>
      </c>
    </row>
    <row r="796" spans="1:12" x14ac:dyDescent="0.35">
      <c r="A796">
        <v>809</v>
      </c>
      <c r="B796" t="s">
        <v>1550</v>
      </c>
      <c r="C796" t="s">
        <v>11293</v>
      </c>
      <c r="D796" t="s">
        <v>1551</v>
      </c>
      <c r="E796" t="s">
        <v>938</v>
      </c>
      <c r="F796" t="s">
        <v>1434</v>
      </c>
      <c r="G796" t="s">
        <v>112</v>
      </c>
      <c r="I796" t="str">
        <f t="shared" si="48"/>
        <v>969</v>
      </c>
      <c r="J796" t="str">
        <f t="shared" si="49"/>
        <v>BC</v>
      </c>
      <c r="K796">
        <f t="shared" si="50"/>
        <v>-969</v>
      </c>
      <c r="L796">
        <f t="shared" si="51"/>
        <v>-969</v>
      </c>
    </row>
    <row r="797" spans="1:12" x14ac:dyDescent="0.35">
      <c r="A797">
        <v>810</v>
      </c>
      <c r="B797" t="s">
        <v>1552</v>
      </c>
      <c r="C797" t="s">
        <v>11294</v>
      </c>
      <c r="D797" t="s">
        <v>1553</v>
      </c>
      <c r="E797" t="s">
        <v>938</v>
      </c>
      <c r="F797" t="s">
        <v>1434</v>
      </c>
      <c r="G797" t="s">
        <v>112</v>
      </c>
      <c r="I797" t="str">
        <f t="shared" si="48"/>
        <v>969</v>
      </c>
      <c r="J797" t="str">
        <f t="shared" si="49"/>
        <v>BC</v>
      </c>
      <c r="K797">
        <f t="shared" si="50"/>
        <v>-969</v>
      </c>
      <c r="L797">
        <f t="shared" si="51"/>
        <v>-969</v>
      </c>
    </row>
    <row r="798" spans="1:12" x14ac:dyDescent="0.35">
      <c r="A798">
        <v>811</v>
      </c>
      <c r="B798" t="s">
        <v>1554</v>
      </c>
      <c r="C798" t="s">
        <v>11295</v>
      </c>
      <c r="D798" t="s">
        <v>1555</v>
      </c>
      <c r="E798" t="s">
        <v>1211</v>
      </c>
      <c r="F798" t="s">
        <v>1434</v>
      </c>
      <c r="G798" t="s">
        <v>1626</v>
      </c>
      <c r="I798" t="str">
        <f t="shared" si="48"/>
        <v>969</v>
      </c>
      <c r="J798" t="str">
        <f t="shared" si="49"/>
        <v>BC</v>
      </c>
      <c r="K798">
        <f t="shared" si="50"/>
        <v>-969</v>
      </c>
      <c r="L798">
        <f t="shared" si="51"/>
        <v>-969</v>
      </c>
    </row>
    <row r="799" spans="1:12" x14ac:dyDescent="0.35">
      <c r="A799">
        <v>812</v>
      </c>
      <c r="B799" t="s">
        <v>1556</v>
      </c>
      <c r="C799" t="s">
        <v>10469</v>
      </c>
      <c r="D799" t="s">
        <v>1557</v>
      </c>
      <c r="E799" t="s">
        <v>1052</v>
      </c>
      <c r="F799" t="s">
        <v>1434</v>
      </c>
      <c r="G799" t="s">
        <v>1626</v>
      </c>
      <c r="I799" t="str">
        <f t="shared" si="48"/>
        <v>969</v>
      </c>
      <c r="J799" t="str">
        <f t="shared" si="49"/>
        <v>BC</v>
      </c>
      <c r="K799">
        <f t="shared" si="50"/>
        <v>-969</v>
      </c>
      <c r="L799">
        <f t="shared" si="51"/>
        <v>-969</v>
      </c>
    </row>
    <row r="800" spans="1:12" x14ac:dyDescent="0.35">
      <c r="A800">
        <v>813</v>
      </c>
      <c r="B800" t="s">
        <v>1558</v>
      </c>
      <c r="C800" t="s">
        <v>10723</v>
      </c>
      <c r="D800" t="s">
        <v>1559</v>
      </c>
      <c r="E800" t="s">
        <v>1211</v>
      </c>
      <c r="F800" t="s">
        <v>1560</v>
      </c>
      <c r="G800" t="s">
        <v>112</v>
      </c>
      <c r="I800" t="str">
        <f t="shared" si="48"/>
        <v>969-930</v>
      </c>
      <c r="J800" t="str">
        <f t="shared" si="49"/>
        <v>BC</v>
      </c>
      <c r="K800">
        <f t="shared" si="50"/>
        <v>-969</v>
      </c>
      <c r="L800">
        <f t="shared" si="51"/>
        <v>-930</v>
      </c>
    </row>
    <row r="801" spans="1:13" x14ac:dyDescent="0.35">
      <c r="A801">
        <v>814</v>
      </c>
      <c r="B801" t="s">
        <v>1561</v>
      </c>
      <c r="C801" t="s">
        <v>11296</v>
      </c>
      <c r="D801" t="s">
        <v>1562</v>
      </c>
      <c r="E801" t="s">
        <v>1211</v>
      </c>
      <c r="F801" t="s">
        <v>1560</v>
      </c>
      <c r="G801" t="s">
        <v>112</v>
      </c>
      <c r="I801" t="str">
        <f t="shared" si="48"/>
        <v>969-930</v>
      </c>
      <c r="J801" t="str">
        <f t="shared" si="49"/>
        <v>BC</v>
      </c>
      <c r="K801">
        <f t="shared" si="50"/>
        <v>-969</v>
      </c>
      <c r="L801">
        <f t="shared" si="51"/>
        <v>-930</v>
      </c>
    </row>
    <row r="802" spans="1:13" x14ac:dyDescent="0.35">
      <c r="A802">
        <v>815</v>
      </c>
      <c r="B802" t="s">
        <v>1563</v>
      </c>
      <c r="C802" t="s">
        <v>10172</v>
      </c>
      <c r="D802" t="s">
        <v>1564</v>
      </c>
      <c r="E802" t="s">
        <v>1211</v>
      </c>
      <c r="F802" t="s">
        <v>1560</v>
      </c>
      <c r="G802" t="s">
        <v>112</v>
      </c>
      <c r="I802" t="str">
        <f t="shared" si="48"/>
        <v>969-930</v>
      </c>
      <c r="J802" t="str">
        <f t="shared" si="49"/>
        <v>BC</v>
      </c>
      <c r="K802">
        <f t="shared" si="50"/>
        <v>-969</v>
      </c>
      <c r="L802">
        <f t="shared" si="51"/>
        <v>-930</v>
      </c>
    </row>
    <row r="803" spans="1:13" x14ac:dyDescent="0.35">
      <c r="A803">
        <v>816</v>
      </c>
      <c r="B803" t="s">
        <v>1565</v>
      </c>
      <c r="C803" t="s">
        <v>11297</v>
      </c>
      <c r="D803" t="s">
        <v>1564</v>
      </c>
      <c r="E803" t="s">
        <v>1211</v>
      </c>
      <c r="F803" t="s">
        <v>1560</v>
      </c>
      <c r="G803" t="s">
        <v>112</v>
      </c>
      <c r="I803" t="str">
        <f t="shared" si="48"/>
        <v>969-930</v>
      </c>
      <c r="J803" t="str">
        <f t="shared" si="49"/>
        <v>BC</v>
      </c>
      <c r="K803">
        <f t="shared" si="50"/>
        <v>-969</v>
      </c>
      <c r="L803">
        <f t="shared" si="51"/>
        <v>-930</v>
      </c>
    </row>
    <row r="804" spans="1:13" x14ac:dyDescent="0.35">
      <c r="A804">
        <v>817</v>
      </c>
      <c r="B804" t="s">
        <v>1566</v>
      </c>
      <c r="C804" t="s">
        <v>10173</v>
      </c>
      <c r="D804" t="s">
        <v>1567</v>
      </c>
      <c r="E804" t="s">
        <v>1211</v>
      </c>
      <c r="F804" t="s">
        <v>1560</v>
      </c>
      <c r="G804" t="s">
        <v>1626</v>
      </c>
      <c r="I804" t="str">
        <f t="shared" si="48"/>
        <v>969-930</v>
      </c>
      <c r="J804" t="str">
        <f t="shared" si="49"/>
        <v>BC</v>
      </c>
      <c r="K804">
        <f t="shared" si="50"/>
        <v>-969</v>
      </c>
      <c r="L804">
        <f t="shared" si="51"/>
        <v>-930</v>
      </c>
    </row>
    <row r="805" spans="1:13" x14ac:dyDescent="0.35">
      <c r="A805">
        <v>818</v>
      </c>
      <c r="B805" t="s">
        <v>1568</v>
      </c>
      <c r="C805" t="s">
        <v>11234</v>
      </c>
      <c r="D805" t="s">
        <v>1569</v>
      </c>
      <c r="E805" t="s">
        <v>1570</v>
      </c>
      <c r="F805" t="s">
        <v>1560</v>
      </c>
      <c r="G805" t="s">
        <v>112</v>
      </c>
      <c r="I805" t="str">
        <f t="shared" si="48"/>
        <v>969-930</v>
      </c>
      <c r="J805" t="str">
        <f t="shared" si="49"/>
        <v>BC</v>
      </c>
      <c r="K805">
        <f t="shared" si="50"/>
        <v>-969</v>
      </c>
      <c r="L805">
        <f t="shared" si="51"/>
        <v>-930</v>
      </c>
    </row>
    <row r="806" spans="1:13" x14ac:dyDescent="0.35">
      <c r="A806">
        <v>819</v>
      </c>
      <c r="B806" t="s">
        <v>1571</v>
      </c>
      <c r="C806" t="s">
        <v>11251</v>
      </c>
      <c r="D806" t="s">
        <v>1572</v>
      </c>
      <c r="E806" t="s">
        <v>1573</v>
      </c>
      <c r="F806" t="s">
        <v>1574</v>
      </c>
      <c r="G806" t="s">
        <v>1575</v>
      </c>
      <c r="I806" t="str">
        <f t="shared" si="48"/>
        <v>968</v>
      </c>
      <c r="J806" t="str">
        <f t="shared" si="49"/>
        <v>BC</v>
      </c>
      <c r="K806">
        <f t="shared" si="50"/>
        <v>-968</v>
      </c>
      <c r="L806">
        <f t="shared" si="51"/>
        <v>-968</v>
      </c>
    </row>
    <row r="807" spans="1:13" x14ac:dyDescent="0.35">
      <c r="A807">
        <v>820</v>
      </c>
      <c r="B807" t="s">
        <v>1576</v>
      </c>
      <c r="C807" t="s">
        <v>11298</v>
      </c>
      <c r="D807" t="s">
        <v>1577</v>
      </c>
      <c r="E807" t="s">
        <v>1211</v>
      </c>
      <c r="F807" t="s">
        <v>1578</v>
      </c>
      <c r="G807" t="s">
        <v>1626</v>
      </c>
      <c r="I807" t="str">
        <f t="shared" si="48"/>
        <v>966-959</v>
      </c>
      <c r="J807" t="str">
        <f t="shared" si="49"/>
        <v>BC</v>
      </c>
      <c r="K807">
        <f t="shared" si="50"/>
        <v>-966</v>
      </c>
      <c r="L807">
        <f t="shared" si="51"/>
        <v>-959</v>
      </c>
    </row>
    <row r="808" spans="1:13" x14ac:dyDescent="0.35">
      <c r="A808">
        <v>821</v>
      </c>
      <c r="B808" t="s">
        <v>1579</v>
      </c>
      <c r="C808" t="s">
        <v>11120</v>
      </c>
      <c r="D808" t="s">
        <v>1580</v>
      </c>
      <c r="E808" t="s">
        <v>1211</v>
      </c>
      <c r="F808" t="s">
        <v>1581</v>
      </c>
      <c r="G808" t="s">
        <v>112</v>
      </c>
      <c r="I808" t="str">
        <f t="shared" si="48"/>
        <v>962</v>
      </c>
      <c r="J808" t="str">
        <f t="shared" si="49"/>
        <v>BC</v>
      </c>
      <c r="K808">
        <f t="shared" si="50"/>
        <v>-962</v>
      </c>
      <c r="L808">
        <f t="shared" si="51"/>
        <v>-962</v>
      </c>
    </row>
    <row r="809" spans="1:13" x14ac:dyDescent="0.35">
      <c r="A809">
        <v>822</v>
      </c>
      <c r="B809" t="s">
        <v>1582</v>
      </c>
      <c r="C809" t="s">
        <v>11173</v>
      </c>
      <c r="D809" t="s">
        <v>1583</v>
      </c>
      <c r="E809" t="s">
        <v>1211</v>
      </c>
      <c r="F809" t="s">
        <v>1581</v>
      </c>
      <c r="G809" t="s">
        <v>112</v>
      </c>
      <c r="I809" t="str">
        <f t="shared" si="48"/>
        <v>962</v>
      </c>
      <c r="J809" t="str">
        <f t="shared" si="49"/>
        <v>BC</v>
      </c>
      <c r="K809">
        <f t="shared" si="50"/>
        <v>-962</v>
      </c>
      <c r="L809">
        <f t="shared" si="51"/>
        <v>-962</v>
      </c>
    </row>
    <row r="810" spans="1:13" x14ac:dyDescent="0.35">
      <c r="A810">
        <v>823</v>
      </c>
      <c r="B810" t="s">
        <v>1584</v>
      </c>
      <c r="C810" t="s">
        <v>10174</v>
      </c>
      <c r="D810" t="s">
        <v>1585</v>
      </c>
      <c r="E810" t="s">
        <v>1211</v>
      </c>
      <c r="F810" t="s">
        <v>1586</v>
      </c>
      <c r="G810" t="s">
        <v>1626</v>
      </c>
      <c r="I810" t="str">
        <f t="shared" si="48"/>
        <v>959</v>
      </c>
      <c r="J810" t="str">
        <f t="shared" si="49"/>
        <v>BC</v>
      </c>
      <c r="K810">
        <f t="shared" si="50"/>
        <v>-959</v>
      </c>
      <c r="L810">
        <f t="shared" si="51"/>
        <v>-959</v>
      </c>
    </row>
    <row r="811" spans="1:13" x14ac:dyDescent="0.35">
      <c r="A811">
        <v>824</v>
      </c>
      <c r="B811" t="s">
        <v>1587</v>
      </c>
      <c r="C811" t="s">
        <v>10178</v>
      </c>
      <c r="D811" t="s">
        <v>1588</v>
      </c>
      <c r="E811" t="s">
        <v>1589</v>
      </c>
      <c r="F811" t="s">
        <v>1586</v>
      </c>
      <c r="G811" t="s">
        <v>112</v>
      </c>
      <c r="I811" t="str">
        <f t="shared" si="48"/>
        <v>959</v>
      </c>
      <c r="J811" t="str">
        <f t="shared" si="49"/>
        <v>BC</v>
      </c>
      <c r="K811">
        <f t="shared" si="50"/>
        <v>-959</v>
      </c>
      <c r="L811">
        <f t="shared" si="51"/>
        <v>-959</v>
      </c>
      <c r="M811">
        <v>2935</v>
      </c>
    </row>
    <row r="812" spans="1:13" x14ac:dyDescent="0.35">
      <c r="A812">
        <v>825</v>
      </c>
      <c r="B812" t="s">
        <v>1590</v>
      </c>
      <c r="C812" t="s">
        <v>10175</v>
      </c>
      <c r="D812" t="s">
        <v>1588</v>
      </c>
      <c r="E812" t="s">
        <v>1589</v>
      </c>
      <c r="F812" t="s">
        <v>1586</v>
      </c>
      <c r="G812" t="s">
        <v>112</v>
      </c>
      <c r="I812" t="str">
        <f t="shared" si="48"/>
        <v>959</v>
      </c>
      <c r="J812" t="str">
        <f t="shared" si="49"/>
        <v>BC</v>
      </c>
      <c r="K812">
        <f t="shared" si="50"/>
        <v>-959</v>
      </c>
      <c r="L812">
        <f t="shared" si="51"/>
        <v>-959</v>
      </c>
    </row>
    <row r="813" spans="1:13" x14ac:dyDescent="0.35">
      <c r="A813">
        <v>826</v>
      </c>
      <c r="B813" t="s">
        <v>1591</v>
      </c>
      <c r="C813" t="s">
        <v>10176</v>
      </c>
      <c r="D813" t="s">
        <v>1592</v>
      </c>
      <c r="E813" t="s">
        <v>1589</v>
      </c>
      <c r="F813" t="s">
        <v>1586</v>
      </c>
      <c r="G813" t="s">
        <v>112</v>
      </c>
      <c r="I813" t="str">
        <f t="shared" si="48"/>
        <v>959</v>
      </c>
      <c r="J813" t="str">
        <f t="shared" si="49"/>
        <v>BC</v>
      </c>
      <c r="K813">
        <f t="shared" si="50"/>
        <v>-959</v>
      </c>
      <c r="L813">
        <f t="shared" si="51"/>
        <v>-959</v>
      </c>
    </row>
    <row r="814" spans="1:13" x14ac:dyDescent="0.35">
      <c r="A814">
        <v>827</v>
      </c>
      <c r="B814" t="s">
        <v>1593</v>
      </c>
      <c r="C814" t="s">
        <v>11299</v>
      </c>
      <c r="D814" t="s">
        <v>1594</v>
      </c>
      <c r="E814" t="s">
        <v>1589</v>
      </c>
      <c r="F814" t="s">
        <v>1586</v>
      </c>
      <c r="G814" t="s">
        <v>1626</v>
      </c>
      <c r="I814" t="str">
        <f t="shared" si="48"/>
        <v>959</v>
      </c>
      <c r="J814" t="str">
        <f t="shared" si="49"/>
        <v>BC</v>
      </c>
      <c r="K814">
        <f t="shared" si="50"/>
        <v>-959</v>
      </c>
      <c r="L814">
        <f t="shared" si="51"/>
        <v>-959</v>
      </c>
    </row>
    <row r="815" spans="1:13" x14ac:dyDescent="0.35">
      <c r="A815">
        <v>828</v>
      </c>
      <c r="B815" t="s">
        <v>1595</v>
      </c>
      <c r="C815" t="s">
        <v>10177</v>
      </c>
      <c r="D815" t="s">
        <v>1596</v>
      </c>
      <c r="E815" t="s">
        <v>1597</v>
      </c>
      <c r="F815" t="s">
        <v>1586</v>
      </c>
      <c r="G815" t="s">
        <v>112</v>
      </c>
      <c r="I815" t="str">
        <f t="shared" si="48"/>
        <v>959</v>
      </c>
      <c r="J815" t="str">
        <f t="shared" si="49"/>
        <v>BC</v>
      </c>
      <c r="K815">
        <f t="shared" si="50"/>
        <v>-959</v>
      </c>
      <c r="L815">
        <f t="shared" si="51"/>
        <v>-959</v>
      </c>
    </row>
    <row r="816" spans="1:13" x14ac:dyDescent="0.35">
      <c r="A816">
        <v>829</v>
      </c>
      <c r="B816" t="s">
        <v>1598</v>
      </c>
      <c r="C816" t="s">
        <v>10178</v>
      </c>
      <c r="D816" t="s">
        <v>1599</v>
      </c>
      <c r="E816" t="s">
        <v>1589</v>
      </c>
      <c r="F816" t="s">
        <v>1586</v>
      </c>
      <c r="G816" t="s">
        <v>112</v>
      </c>
      <c r="I816" t="str">
        <f t="shared" si="48"/>
        <v>959</v>
      </c>
      <c r="J816" t="str">
        <f t="shared" si="49"/>
        <v>BC</v>
      </c>
      <c r="K816">
        <f t="shared" si="50"/>
        <v>-959</v>
      </c>
      <c r="L816">
        <f t="shared" si="51"/>
        <v>-959</v>
      </c>
    </row>
    <row r="817" spans="1:12" x14ac:dyDescent="0.35">
      <c r="A817">
        <v>830</v>
      </c>
      <c r="B817" t="s">
        <v>1600</v>
      </c>
      <c r="C817" t="s">
        <v>10056</v>
      </c>
      <c r="D817" t="s">
        <v>1601</v>
      </c>
      <c r="E817" t="s">
        <v>1589</v>
      </c>
      <c r="F817" t="s">
        <v>1586</v>
      </c>
      <c r="G817" t="s">
        <v>12533</v>
      </c>
      <c r="I817" t="str">
        <f t="shared" si="48"/>
        <v>959</v>
      </c>
      <c r="J817" t="str">
        <f t="shared" si="49"/>
        <v>BC</v>
      </c>
      <c r="K817">
        <f t="shared" si="50"/>
        <v>-959</v>
      </c>
      <c r="L817">
        <f t="shared" si="51"/>
        <v>-959</v>
      </c>
    </row>
    <row r="818" spans="1:12" x14ac:dyDescent="0.35">
      <c r="A818">
        <v>831</v>
      </c>
      <c r="B818" t="s">
        <v>1602</v>
      </c>
      <c r="C818" t="s">
        <v>11187</v>
      </c>
      <c r="D818" t="s">
        <v>1603</v>
      </c>
      <c r="E818" t="s">
        <v>1211</v>
      </c>
      <c r="F818" t="s">
        <v>1604</v>
      </c>
      <c r="G818" t="s">
        <v>112</v>
      </c>
      <c r="I818" t="str">
        <f t="shared" si="48"/>
        <v>958</v>
      </c>
      <c r="J818" t="str">
        <f t="shared" si="49"/>
        <v>BC</v>
      </c>
      <c r="K818">
        <f t="shared" si="50"/>
        <v>-958</v>
      </c>
      <c r="L818">
        <f t="shared" si="51"/>
        <v>-958</v>
      </c>
    </row>
    <row r="819" spans="1:12" x14ac:dyDescent="0.35">
      <c r="A819">
        <v>832</v>
      </c>
      <c r="B819" t="s">
        <v>1605</v>
      </c>
      <c r="C819" t="s">
        <v>11300</v>
      </c>
      <c r="D819" t="s">
        <v>1606</v>
      </c>
      <c r="E819" t="s">
        <v>1211</v>
      </c>
      <c r="F819" t="s">
        <v>1604</v>
      </c>
      <c r="G819" t="s">
        <v>112</v>
      </c>
      <c r="I819" t="str">
        <f t="shared" si="48"/>
        <v>958</v>
      </c>
      <c r="J819" t="str">
        <f t="shared" si="49"/>
        <v>BC</v>
      </c>
      <c r="K819">
        <f t="shared" si="50"/>
        <v>-958</v>
      </c>
      <c r="L819">
        <f t="shared" si="51"/>
        <v>-958</v>
      </c>
    </row>
    <row r="820" spans="1:12" x14ac:dyDescent="0.35">
      <c r="A820">
        <v>833</v>
      </c>
      <c r="B820" t="s">
        <v>1607</v>
      </c>
      <c r="C820" t="s">
        <v>10179</v>
      </c>
      <c r="D820" t="s">
        <v>1606</v>
      </c>
      <c r="E820" t="s">
        <v>1211</v>
      </c>
      <c r="F820" t="s">
        <v>1604</v>
      </c>
      <c r="G820" t="s">
        <v>112</v>
      </c>
      <c r="I820" t="str">
        <f t="shared" ref="I820:I883" si="52">SUBSTITUTE(SUBSTITUTE(SUBSTITUTE(F820,"c. ","")," BC","")," AD","")</f>
        <v>958</v>
      </c>
      <c r="J820" t="str">
        <f t="shared" si="49"/>
        <v>BC</v>
      </c>
      <c r="K820">
        <f t="shared" si="50"/>
        <v>-958</v>
      </c>
      <c r="L820">
        <f t="shared" si="51"/>
        <v>-958</v>
      </c>
    </row>
    <row r="821" spans="1:12" x14ac:dyDescent="0.35">
      <c r="A821">
        <v>834</v>
      </c>
      <c r="B821" t="s">
        <v>1608</v>
      </c>
      <c r="C821" t="s">
        <v>10139</v>
      </c>
      <c r="D821" t="s">
        <v>1609</v>
      </c>
      <c r="E821" t="s">
        <v>1211</v>
      </c>
      <c r="F821" t="s">
        <v>1604</v>
      </c>
      <c r="G821" t="s">
        <v>112</v>
      </c>
      <c r="I821" t="str">
        <f t="shared" si="52"/>
        <v>958</v>
      </c>
      <c r="J821" t="str">
        <f t="shared" si="49"/>
        <v>BC</v>
      </c>
      <c r="K821">
        <f t="shared" si="50"/>
        <v>-958</v>
      </c>
      <c r="L821">
        <f t="shared" si="51"/>
        <v>-958</v>
      </c>
    </row>
    <row r="822" spans="1:12" x14ac:dyDescent="0.35">
      <c r="A822">
        <v>835</v>
      </c>
      <c r="B822" t="s">
        <v>1610</v>
      </c>
      <c r="C822" t="s">
        <v>11174</v>
      </c>
      <c r="D822" t="s">
        <v>1611</v>
      </c>
      <c r="E822" t="s">
        <v>1211</v>
      </c>
      <c r="F822" t="s">
        <v>1604</v>
      </c>
      <c r="G822" t="s">
        <v>112</v>
      </c>
      <c r="I822" t="str">
        <f t="shared" si="52"/>
        <v>958</v>
      </c>
      <c r="J822" t="str">
        <f t="shared" si="49"/>
        <v>BC</v>
      </c>
      <c r="K822">
        <f t="shared" si="50"/>
        <v>-958</v>
      </c>
      <c r="L822">
        <f t="shared" si="51"/>
        <v>-958</v>
      </c>
    </row>
    <row r="823" spans="1:12" x14ac:dyDescent="0.35">
      <c r="A823">
        <v>836</v>
      </c>
      <c r="B823" t="s">
        <v>1612</v>
      </c>
      <c r="C823" t="s">
        <v>10180</v>
      </c>
      <c r="D823" t="s">
        <v>1613</v>
      </c>
      <c r="E823" t="s">
        <v>1211</v>
      </c>
      <c r="F823" t="s">
        <v>1614</v>
      </c>
      <c r="G823" t="s">
        <v>1615</v>
      </c>
      <c r="I823" t="str">
        <f t="shared" si="52"/>
        <v>950</v>
      </c>
      <c r="J823" t="str">
        <f t="shared" si="49"/>
        <v>BC</v>
      </c>
      <c r="K823">
        <f t="shared" si="50"/>
        <v>-950</v>
      </c>
      <c r="L823">
        <f t="shared" si="51"/>
        <v>-950</v>
      </c>
    </row>
    <row r="824" spans="1:12" x14ac:dyDescent="0.35">
      <c r="A824">
        <v>837</v>
      </c>
      <c r="B824" t="s">
        <v>1616</v>
      </c>
      <c r="C824" t="s">
        <v>11301</v>
      </c>
      <c r="D824" t="s">
        <v>1617</v>
      </c>
      <c r="E824" t="s">
        <v>1211</v>
      </c>
      <c r="F824" t="s">
        <v>1614</v>
      </c>
      <c r="G824" t="s">
        <v>1626</v>
      </c>
      <c r="I824" t="str">
        <f t="shared" si="52"/>
        <v>950</v>
      </c>
      <c r="J824" t="str">
        <f t="shared" si="49"/>
        <v>BC</v>
      </c>
      <c r="K824">
        <f t="shared" si="50"/>
        <v>-950</v>
      </c>
      <c r="L824">
        <f t="shared" si="51"/>
        <v>-950</v>
      </c>
    </row>
    <row r="825" spans="1:12" x14ac:dyDescent="0.35">
      <c r="A825">
        <v>838</v>
      </c>
      <c r="B825" t="s">
        <v>1618</v>
      </c>
      <c r="C825" t="s">
        <v>11251</v>
      </c>
      <c r="D825" t="s">
        <v>1619</v>
      </c>
      <c r="E825" t="s">
        <v>1211</v>
      </c>
      <c r="F825" t="s">
        <v>1614</v>
      </c>
      <c r="G825" t="s">
        <v>1620</v>
      </c>
      <c r="I825" t="str">
        <f t="shared" si="52"/>
        <v>950</v>
      </c>
      <c r="J825" t="str">
        <f t="shared" si="49"/>
        <v>BC</v>
      </c>
      <c r="K825">
        <f t="shared" si="50"/>
        <v>-950</v>
      </c>
      <c r="L825">
        <f t="shared" si="51"/>
        <v>-950</v>
      </c>
    </row>
    <row r="826" spans="1:12" x14ac:dyDescent="0.35">
      <c r="A826">
        <v>839</v>
      </c>
      <c r="B826" t="s">
        <v>1621</v>
      </c>
      <c r="C826" t="s">
        <v>10181</v>
      </c>
      <c r="D826" t="s">
        <v>1622</v>
      </c>
      <c r="E826" t="s">
        <v>1211</v>
      </c>
      <c r="F826" t="s">
        <v>1560</v>
      </c>
      <c r="G826" t="s">
        <v>112</v>
      </c>
      <c r="I826" t="str">
        <f t="shared" si="52"/>
        <v>969-930</v>
      </c>
      <c r="J826" t="str">
        <f t="shared" si="49"/>
        <v>BC</v>
      </c>
      <c r="K826">
        <f t="shared" si="50"/>
        <v>-969</v>
      </c>
      <c r="L826">
        <f t="shared" si="51"/>
        <v>-930</v>
      </c>
    </row>
    <row r="827" spans="1:12" x14ac:dyDescent="0.35">
      <c r="A827">
        <v>840</v>
      </c>
      <c r="B827" t="s">
        <v>1623</v>
      </c>
      <c r="C827" t="s">
        <v>11302</v>
      </c>
      <c r="D827" t="s">
        <v>1624</v>
      </c>
      <c r="E827" t="s">
        <v>1211</v>
      </c>
      <c r="F827" t="s">
        <v>1625</v>
      </c>
      <c r="G827" t="s">
        <v>1626</v>
      </c>
      <c r="I827" t="str">
        <f t="shared" si="52"/>
        <v>940-930</v>
      </c>
      <c r="J827" t="str">
        <f t="shared" si="49"/>
        <v>BC</v>
      </c>
      <c r="K827">
        <f t="shared" si="50"/>
        <v>-940</v>
      </c>
      <c r="L827">
        <f t="shared" si="51"/>
        <v>-930</v>
      </c>
    </row>
    <row r="828" spans="1:12" x14ac:dyDescent="0.35">
      <c r="A828">
        <v>841</v>
      </c>
      <c r="B828" t="s">
        <v>1627</v>
      </c>
      <c r="C828" t="s">
        <v>10067</v>
      </c>
      <c r="D828" t="s">
        <v>1628</v>
      </c>
      <c r="E828" t="s">
        <v>1211</v>
      </c>
      <c r="F828" t="s">
        <v>1629</v>
      </c>
      <c r="G828" t="s">
        <v>112</v>
      </c>
      <c r="I828" t="str">
        <f t="shared" si="52"/>
        <v>935</v>
      </c>
      <c r="J828" t="str">
        <f t="shared" si="49"/>
        <v>BC</v>
      </c>
      <c r="K828">
        <f t="shared" si="50"/>
        <v>-935</v>
      </c>
      <c r="L828">
        <f t="shared" si="51"/>
        <v>-935</v>
      </c>
    </row>
    <row r="829" spans="1:12" x14ac:dyDescent="0.35">
      <c r="A829">
        <v>842</v>
      </c>
      <c r="B829" t="s">
        <v>1630</v>
      </c>
      <c r="C829" t="s">
        <v>11247</v>
      </c>
      <c r="D829" t="s">
        <v>1631</v>
      </c>
      <c r="E829" t="s">
        <v>1211</v>
      </c>
      <c r="F829" t="s">
        <v>1629</v>
      </c>
      <c r="G829" t="s">
        <v>112</v>
      </c>
      <c r="I829" t="str">
        <f t="shared" si="52"/>
        <v>935</v>
      </c>
      <c r="J829" t="str">
        <f t="shared" si="49"/>
        <v>BC</v>
      </c>
      <c r="K829">
        <f t="shared" si="50"/>
        <v>-935</v>
      </c>
      <c r="L829">
        <f t="shared" si="51"/>
        <v>-935</v>
      </c>
    </row>
    <row r="830" spans="1:12" x14ac:dyDescent="0.35">
      <c r="A830">
        <v>843</v>
      </c>
      <c r="B830" t="s">
        <v>1632</v>
      </c>
      <c r="C830" t="s">
        <v>10037</v>
      </c>
      <c r="D830" t="s">
        <v>1633</v>
      </c>
      <c r="E830" t="s">
        <v>1211</v>
      </c>
      <c r="F830" t="s">
        <v>1629</v>
      </c>
      <c r="G830" t="s">
        <v>112</v>
      </c>
      <c r="I830" t="str">
        <f t="shared" si="52"/>
        <v>935</v>
      </c>
      <c r="J830" t="str">
        <f t="shared" si="49"/>
        <v>BC</v>
      </c>
      <c r="K830">
        <f t="shared" si="50"/>
        <v>-935</v>
      </c>
      <c r="L830">
        <f t="shared" si="51"/>
        <v>-935</v>
      </c>
    </row>
    <row r="831" spans="1:12" x14ac:dyDescent="0.35">
      <c r="A831">
        <v>844</v>
      </c>
      <c r="B831" t="s">
        <v>1634</v>
      </c>
      <c r="C831" t="s">
        <v>10037</v>
      </c>
      <c r="D831" t="s">
        <v>1635</v>
      </c>
      <c r="E831" t="s">
        <v>1211</v>
      </c>
      <c r="F831" t="s">
        <v>1629</v>
      </c>
      <c r="G831" t="s">
        <v>112</v>
      </c>
      <c r="I831" t="str">
        <f t="shared" si="52"/>
        <v>935</v>
      </c>
      <c r="J831" t="str">
        <f t="shared" si="49"/>
        <v>BC</v>
      </c>
      <c r="K831">
        <f t="shared" si="50"/>
        <v>-935</v>
      </c>
      <c r="L831">
        <f t="shared" si="51"/>
        <v>-935</v>
      </c>
    </row>
    <row r="832" spans="1:12" x14ac:dyDescent="0.35">
      <c r="A832">
        <v>845</v>
      </c>
      <c r="B832" t="s">
        <v>1636</v>
      </c>
      <c r="C832" t="s">
        <v>10100</v>
      </c>
      <c r="D832" t="s">
        <v>1637</v>
      </c>
      <c r="E832" t="s">
        <v>1638</v>
      </c>
      <c r="F832" t="s">
        <v>1629</v>
      </c>
      <c r="G832" t="s">
        <v>112</v>
      </c>
      <c r="I832" t="str">
        <f t="shared" si="52"/>
        <v>935</v>
      </c>
      <c r="J832" t="str">
        <f t="shared" si="49"/>
        <v>BC</v>
      </c>
      <c r="K832">
        <f t="shared" si="50"/>
        <v>-935</v>
      </c>
      <c r="L832">
        <f t="shared" si="51"/>
        <v>-935</v>
      </c>
    </row>
    <row r="833" spans="1:12" x14ac:dyDescent="0.35">
      <c r="A833">
        <v>846</v>
      </c>
      <c r="B833" t="s">
        <v>1639</v>
      </c>
      <c r="C833" t="s">
        <v>10100</v>
      </c>
      <c r="D833" t="s">
        <v>1640</v>
      </c>
      <c r="E833" t="s">
        <v>1641</v>
      </c>
      <c r="F833" t="s">
        <v>1629</v>
      </c>
      <c r="G833" t="s">
        <v>112</v>
      </c>
      <c r="I833" t="str">
        <f t="shared" si="52"/>
        <v>935</v>
      </c>
      <c r="J833" t="str">
        <f t="shared" si="49"/>
        <v>BC</v>
      </c>
      <c r="K833">
        <f t="shared" si="50"/>
        <v>-935</v>
      </c>
      <c r="L833">
        <f t="shared" si="51"/>
        <v>-935</v>
      </c>
    </row>
    <row r="834" spans="1:12" x14ac:dyDescent="0.35">
      <c r="A834">
        <v>847</v>
      </c>
      <c r="B834" t="s">
        <v>1642</v>
      </c>
      <c r="C834" t="s">
        <v>11303</v>
      </c>
      <c r="D834" t="s">
        <v>1643</v>
      </c>
      <c r="E834" t="s">
        <v>1644</v>
      </c>
      <c r="F834" t="s">
        <v>1629</v>
      </c>
      <c r="G834" t="s">
        <v>1645</v>
      </c>
      <c r="I834" t="str">
        <f t="shared" si="52"/>
        <v>935</v>
      </c>
      <c r="J834" t="str">
        <f t="shared" ref="J834:J897" si="53">RIGHT(F834, 2)</f>
        <v>BC</v>
      </c>
      <c r="K834">
        <f t="shared" ref="K834:K897" si="54">IF(J834="BC", 0-IF(ISERROR(FIND("-",I834)),I834,LEFT(I834,FIND("-",I834)-1)), IF(ISERROR(FIND("-",I834)),I834,LEFT(I834,FIND("-",I834)-1)))</f>
        <v>-935</v>
      </c>
      <c r="L834">
        <f t="shared" ref="L834:L897" si="55">IF(J834="BC", 0-IF(ISERROR(FIND("-",I834)),I834,RIGHT(I834,FIND("-",I834)-1)), IF(ISERROR(FIND("-",I834)),I834,RIGHT(I834,FIND("-",I834)-1)))</f>
        <v>-935</v>
      </c>
    </row>
    <row r="835" spans="1:12" x14ac:dyDescent="0.35">
      <c r="A835">
        <v>848</v>
      </c>
      <c r="B835" t="s">
        <v>1646</v>
      </c>
      <c r="C835" t="s">
        <v>11304</v>
      </c>
      <c r="D835" t="s">
        <v>1647</v>
      </c>
      <c r="E835" t="s">
        <v>1644</v>
      </c>
      <c r="F835" t="s">
        <v>1629</v>
      </c>
      <c r="G835" t="s">
        <v>1648</v>
      </c>
      <c r="I835" t="str">
        <f t="shared" si="52"/>
        <v>935</v>
      </c>
      <c r="J835" t="str">
        <f t="shared" si="53"/>
        <v>BC</v>
      </c>
      <c r="K835">
        <f t="shared" si="54"/>
        <v>-935</v>
      </c>
      <c r="L835">
        <f t="shared" si="55"/>
        <v>-935</v>
      </c>
    </row>
    <row r="836" spans="1:12" x14ac:dyDescent="0.35">
      <c r="A836">
        <v>849</v>
      </c>
      <c r="B836" t="s">
        <v>1649</v>
      </c>
      <c r="C836" t="s">
        <v>10068</v>
      </c>
      <c r="D836" t="s">
        <v>1650</v>
      </c>
      <c r="E836" t="s">
        <v>1644</v>
      </c>
      <c r="F836" t="s">
        <v>1629</v>
      </c>
      <c r="G836" t="s">
        <v>1648</v>
      </c>
      <c r="I836" t="str">
        <f t="shared" si="52"/>
        <v>935</v>
      </c>
      <c r="J836" t="str">
        <f t="shared" si="53"/>
        <v>BC</v>
      </c>
      <c r="K836">
        <f t="shared" si="54"/>
        <v>-935</v>
      </c>
      <c r="L836">
        <f t="shared" si="55"/>
        <v>-935</v>
      </c>
    </row>
    <row r="837" spans="1:12" x14ac:dyDescent="0.35">
      <c r="A837">
        <v>850</v>
      </c>
      <c r="B837" t="s">
        <v>1651</v>
      </c>
      <c r="C837" t="s">
        <v>10182</v>
      </c>
      <c r="D837" t="s">
        <v>1652</v>
      </c>
      <c r="E837" t="s">
        <v>1644</v>
      </c>
      <c r="F837" t="s">
        <v>1629</v>
      </c>
      <c r="G837" t="s">
        <v>1648</v>
      </c>
      <c r="I837" t="str">
        <f t="shared" si="52"/>
        <v>935</v>
      </c>
      <c r="J837" t="str">
        <f t="shared" si="53"/>
        <v>BC</v>
      </c>
      <c r="K837">
        <f t="shared" si="54"/>
        <v>-935</v>
      </c>
      <c r="L837">
        <f t="shared" si="55"/>
        <v>-935</v>
      </c>
    </row>
    <row r="838" spans="1:12" x14ac:dyDescent="0.35">
      <c r="A838">
        <v>851</v>
      </c>
      <c r="B838" t="s">
        <v>1653</v>
      </c>
      <c r="C838" t="s">
        <v>10139</v>
      </c>
      <c r="D838" t="s">
        <v>1654</v>
      </c>
      <c r="E838" t="s">
        <v>1644</v>
      </c>
      <c r="F838" t="s">
        <v>1629</v>
      </c>
      <c r="G838" t="s">
        <v>1648</v>
      </c>
      <c r="I838" t="str">
        <f t="shared" si="52"/>
        <v>935</v>
      </c>
      <c r="J838" t="str">
        <f t="shared" si="53"/>
        <v>BC</v>
      </c>
      <c r="K838">
        <f t="shared" si="54"/>
        <v>-935</v>
      </c>
      <c r="L838">
        <f t="shared" si="55"/>
        <v>-935</v>
      </c>
    </row>
    <row r="839" spans="1:12" x14ac:dyDescent="0.35">
      <c r="A839">
        <v>852</v>
      </c>
      <c r="B839" t="s">
        <v>1655</v>
      </c>
      <c r="C839" t="s">
        <v>11305</v>
      </c>
      <c r="D839" t="s">
        <v>1656</v>
      </c>
      <c r="E839" t="s">
        <v>1211</v>
      </c>
      <c r="F839" t="s">
        <v>1629</v>
      </c>
      <c r="G839" t="s">
        <v>1626</v>
      </c>
      <c r="I839" t="str">
        <f t="shared" si="52"/>
        <v>935</v>
      </c>
      <c r="J839" t="str">
        <f t="shared" si="53"/>
        <v>BC</v>
      </c>
      <c r="K839">
        <f t="shared" si="54"/>
        <v>-935</v>
      </c>
      <c r="L839">
        <f t="shared" si="55"/>
        <v>-935</v>
      </c>
    </row>
    <row r="840" spans="1:12" x14ac:dyDescent="0.35">
      <c r="A840">
        <v>853</v>
      </c>
      <c r="B840" t="s">
        <v>1657</v>
      </c>
      <c r="C840" t="s">
        <v>10242</v>
      </c>
      <c r="D840" t="s">
        <v>1656</v>
      </c>
      <c r="E840" t="s">
        <v>186</v>
      </c>
      <c r="F840" t="s">
        <v>1629</v>
      </c>
      <c r="G840" t="s">
        <v>1658</v>
      </c>
      <c r="I840" t="str">
        <f t="shared" si="52"/>
        <v>935</v>
      </c>
      <c r="J840" t="str">
        <f t="shared" si="53"/>
        <v>BC</v>
      </c>
      <c r="K840">
        <f t="shared" si="54"/>
        <v>-935</v>
      </c>
      <c r="L840">
        <f t="shared" si="55"/>
        <v>-935</v>
      </c>
    </row>
    <row r="841" spans="1:12" x14ac:dyDescent="0.35">
      <c r="A841">
        <v>854</v>
      </c>
      <c r="B841" t="s">
        <v>1659</v>
      </c>
      <c r="C841" t="s">
        <v>11198</v>
      </c>
      <c r="D841" t="s">
        <v>1660</v>
      </c>
      <c r="E841" t="s">
        <v>1211</v>
      </c>
      <c r="F841" t="s">
        <v>1661</v>
      </c>
      <c r="G841" t="s">
        <v>112</v>
      </c>
      <c r="I841" t="str">
        <f t="shared" si="52"/>
        <v>930</v>
      </c>
      <c r="J841" t="str">
        <f t="shared" si="53"/>
        <v>BC</v>
      </c>
      <c r="K841">
        <f t="shared" si="54"/>
        <v>-930</v>
      </c>
      <c r="L841">
        <f t="shared" si="55"/>
        <v>-930</v>
      </c>
    </row>
    <row r="842" spans="1:12" x14ac:dyDescent="0.35">
      <c r="A842">
        <v>855</v>
      </c>
      <c r="B842" t="s">
        <v>1662</v>
      </c>
      <c r="C842" t="s">
        <v>10183</v>
      </c>
      <c r="D842" t="s">
        <v>1663</v>
      </c>
      <c r="E842" t="s">
        <v>183</v>
      </c>
      <c r="F842" t="s">
        <v>1661</v>
      </c>
      <c r="G842" t="s">
        <v>1664</v>
      </c>
      <c r="I842" t="str">
        <f t="shared" si="52"/>
        <v>930</v>
      </c>
      <c r="J842" t="str">
        <f t="shared" si="53"/>
        <v>BC</v>
      </c>
      <c r="K842">
        <f t="shared" si="54"/>
        <v>-930</v>
      </c>
      <c r="L842">
        <f t="shared" si="55"/>
        <v>-930</v>
      </c>
    </row>
    <row r="843" spans="1:12" x14ac:dyDescent="0.35">
      <c r="A843">
        <v>856</v>
      </c>
      <c r="B843" t="s">
        <v>1665</v>
      </c>
      <c r="C843" t="s">
        <v>10184</v>
      </c>
      <c r="D843" t="s">
        <v>1666</v>
      </c>
      <c r="E843" t="s">
        <v>183</v>
      </c>
      <c r="F843" t="s">
        <v>1661</v>
      </c>
      <c r="G843" t="s">
        <v>112</v>
      </c>
      <c r="I843" t="str">
        <f t="shared" si="52"/>
        <v>930</v>
      </c>
      <c r="J843" t="str">
        <f t="shared" si="53"/>
        <v>BC</v>
      </c>
      <c r="K843">
        <f t="shared" si="54"/>
        <v>-930</v>
      </c>
      <c r="L843">
        <f t="shared" si="55"/>
        <v>-930</v>
      </c>
    </row>
    <row r="844" spans="1:12" x14ac:dyDescent="0.35">
      <c r="A844">
        <v>857</v>
      </c>
      <c r="B844" t="s">
        <v>1667</v>
      </c>
      <c r="C844" t="s">
        <v>11306</v>
      </c>
      <c r="D844" t="s">
        <v>1668</v>
      </c>
      <c r="E844" t="s">
        <v>183</v>
      </c>
      <c r="F844" t="s">
        <v>1661</v>
      </c>
      <c r="G844" t="s">
        <v>1669</v>
      </c>
      <c r="I844" t="str">
        <f t="shared" si="52"/>
        <v>930</v>
      </c>
      <c r="J844" t="str">
        <f t="shared" si="53"/>
        <v>BC</v>
      </c>
      <c r="K844">
        <f t="shared" si="54"/>
        <v>-930</v>
      </c>
      <c r="L844">
        <f t="shared" si="55"/>
        <v>-930</v>
      </c>
    </row>
    <row r="845" spans="1:12" x14ac:dyDescent="0.35">
      <c r="A845">
        <v>858</v>
      </c>
      <c r="B845" t="s">
        <v>1670</v>
      </c>
      <c r="C845" t="s">
        <v>11201</v>
      </c>
      <c r="D845" t="s">
        <v>1671</v>
      </c>
      <c r="E845" t="s">
        <v>1211</v>
      </c>
      <c r="F845" t="s">
        <v>1661</v>
      </c>
      <c r="G845" t="s">
        <v>1673</v>
      </c>
      <c r="I845" t="str">
        <f t="shared" si="52"/>
        <v>930</v>
      </c>
      <c r="J845" t="str">
        <f t="shared" si="53"/>
        <v>BC</v>
      </c>
      <c r="K845">
        <f t="shared" si="54"/>
        <v>-930</v>
      </c>
      <c r="L845">
        <f t="shared" si="55"/>
        <v>-930</v>
      </c>
    </row>
    <row r="846" spans="1:12" x14ac:dyDescent="0.35">
      <c r="A846">
        <v>859</v>
      </c>
      <c r="B846" t="s">
        <v>1672</v>
      </c>
      <c r="C846" t="s">
        <v>11307</v>
      </c>
      <c r="D846" t="s">
        <v>1671</v>
      </c>
      <c r="E846" t="s">
        <v>1211</v>
      </c>
      <c r="F846" t="s">
        <v>1661</v>
      </c>
      <c r="G846" t="s">
        <v>1673</v>
      </c>
      <c r="I846" t="str">
        <f t="shared" si="52"/>
        <v>930</v>
      </c>
      <c r="J846" t="str">
        <f t="shared" si="53"/>
        <v>BC</v>
      </c>
      <c r="K846">
        <f t="shared" si="54"/>
        <v>-930</v>
      </c>
      <c r="L846">
        <f t="shared" si="55"/>
        <v>-930</v>
      </c>
    </row>
    <row r="847" spans="1:12" x14ac:dyDescent="0.35">
      <c r="A847">
        <v>860</v>
      </c>
      <c r="B847" t="s">
        <v>1674</v>
      </c>
      <c r="C847" t="s">
        <v>10185</v>
      </c>
      <c r="D847" t="s">
        <v>1675</v>
      </c>
      <c r="E847" t="s">
        <v>1211</v>
      </c>
      <c r="F847" t="s">
        <v>1661</v>
      </c>
      <c r="G847" t="s">
        <v>12534</v>
      </c>
      <c r="I847" t="str">
        <f t="shared" si="52"/>
        <v>930</v>
      </c>
      <c r="J847" t="str">
        <f t="shared" si="53"/>
        <v>BC</v>
      </c>
      <c r="K847">
        <f t="shared" si="54"/>
        <v>-930</v>
      </c>
      <c r="L847">
        <f t="shared" si="55"/>
        <v>-930</v>
      </c>
    </row>
    <row r="848" spans="1:12" x14ac:dyDescent="0.35">
      <c r="A848">
        <v>861</v>
      </c>
      <c r="B848" t="s">
        <v>1676</v>
      </c>
      <c r="C848" t="s">
        <v>10186</v>
      </c>
      <c r="D848" t="s">
        <v>1677</v>
      </c>
      <c r="E848" t="s">
        <v>1678</v>
      </c>
      <c r="F848" t="s">
        <v>1661</v>
      </c>
      <c r="G848" t="s">
        <v>1679</v>
      </c>
      <c r="I848" t="str">
        <f t="shared" si="52"/>
        <v>930</v>
      </c>
      <c r="J848" t="str">
        <f t="shared" si="53"/>
        <v>BC</v>
      </c>
      <c r="K848">
        <f t="shared" si="54"/>
        <v>-930</v>
      </c>
      <c r="L848">
        <f t="shared" si="55"/>
        <v>-930</v>
      </c>
    </row>
    <row r="849" spans="1:12" x14ac:dyDescent="0.35">
      <c r="A849">
        <v>862</v>
      </c>
      <c r="B849" t="s">
        <v>1680</v>
      </c>
      <c r="C849" t="s">
        <v>10187</v>
      </c>
      <c r="D849" t="s">
        <v>1681</v>
      </c>
      <c r="E849" t="s">
        <v>1682</v>
      </c>
      <c r="F849" t="s">
        <v>1661</v>
      </c>
      <c r="G849" t="s">
        <v>1679</v>
      </c>
      <c r="I849" t="str">
        <f t="shared" si="52"/>
        <v>930</v>
      </c>
      <c r="J849" t="str">
        <f t="shared" si="53"/>
        <v>BC</v>
      </c>
      <c r="K849">
        <f t="shared" si="54"/>
        <v>-930</v>
      </c>
      <c r="L849">
        <f t="shared" si="55"/>
        <v>-930</v>
      </c>
    </row>
    <row r="850" spans="1:12" x14ac:dyDescent="0.35">
      <c r="A850">
        <v>863</v>
      </c>
      <c r="B850" t="s">
        <v>1683</v>
      </c>
      <c r="C850" t="s">
        <v>10145</v>
      </c>
      <c r="D850" t="s">
        <v>1684</v>
      </c>
      <c r="E850" t="s">
        <v>237</v>
      </c>
      <c r="F850" t="s">
        <v>1685</v>
      </c>
      <c r="G850" t="s">
        <v>1686</v>
      </c>
      <c r="I850" t="str">
        <f t="shared" si="52"/>
        <v>929</v>
      </c>
      <c r="J850" t="str">
        <f t="shared" si="53"/>
        <v>BC</v>
      </c>
      <c r="K850">
        <f t="shared" si="54"/>
        <v>-929</v>
      </c>
      <c r="L850">
        <f t="shared" si="55"/>
        <v>-929</v>
      </c>
    </row>
    <row r="851" spans="1:12" x14ac:dyDescent="0.35">
      <c r="A851">
        <v>864</v>
      </c>
      <c r="B851" t="s">
        <v>1687</v>
      </c>
      <c r="C851" t="s">
        <v>11308</v>
      </c>
      <c r="D851" t="s">
        <v>1529</v>
      </c>
      <c r="E851" t="s">
        <v>237</v>
      </c>
      <c r="F851" t="s">
        <v>1685</v>
      </c>
      <c r="G851" t="s">
        <v>12523</v>
      </c>
      <c r="I851" t="str">
        <f t="shared" si="52"/>
        <v>929</v>
      </c>
      <c r="J851" t="str">
        <f t="shared" si="53"/>
        <v>BC</v>
      </c>
      <c r="K851">
        <f t="shared" si="54"/>
        <v>-929</v>
      </c>
      <c r="L851">
        <f t="shared" si="55"/>
        <v>-929</v>
      </c>
    </row>
    <row r="852" spans="1:12" x14ac:dyDescent="0.35">
      <c r="A852">
        <v>865</v>
      </c>
      <c r="B852" t="s">
        <v>1688</v>
      </c>
      <c r="C852" t="s">
        <v>10604</v>
      </c>
      <c r="D852" t="s">
        <v>1689</v>
      </c>
      <c r="E852" t="s">
        <v>237</v>
      </c>
      <c r="F852" t="s">
        <v>1685</v>
      </c>
      <c r="G852" t="s">
        <v>12523</v>
      </c>
      <c r="I852" t="str">
        <f t="shared" si="52"/>
        <v>929</v>
      </c>
      <c r="J852" t="str">
        <f t="shared" si="53"/>
        <v>BC</v>
      </c>
      <c r="K852">
        <f t="shared" si="54"/>
        <v>-929</v>
      </c>
      <c r="L852">
        <f t="shared" si="55"/>
        <v>-929</v>
      </c>
    </row>
    <row r="853" spans="1:12" x14ac:dyDescent="0.35">
      <c r="A853">
        <v>866</v>
      </c>
      <c r="B853" t="s">
        <v>1690</v>
      </c>
      <c r="C853" t="s">
        <v>10188</v>
      </c>
      <c r="D853" t="s">
        <v>1691</v>
      </c>
      <c r="E853" t="s">
        <v>237</v>
      </c>
      <c r="F853" t="s">
        <v>1685</v>
      </c>
      <c r="G853" t="s">
        <v>112</v>
      </c>
      <c r="I853" t="str">
        <f t="shared" si="52"/>
        <v>929</v>
      </c>
      <c r="J853" t="str">
        <f t="shared" si="53"/>
        <v>BC</v>
      </c>
      <c r="K853">
        <f t="shared" si="54"/>
        <v>-929</v>
      </c>
      <c r="L853">
        <f t="shared" si="55"/>
        <v>-929</v>
      </c>
    </row>
    <row r="854" spans="1:12" x14ac:dyDescent="0.35">
      <c r="A854">
        <v>867</v>
      </c>
      <c r="B854" t="s">
        <v>1692</v>
      </c>
      <c r="C854" t="s">
        <v>10061</v>
      </c>
      <c r="D854" t="s">
        <v>1693</v>
      </c>
      <c r="E854" t="s">
        <v>237</v>
      </c>
      <c r="F854" t="s">
        <v>1685</v>
      </c>
      <c r="G854" t="s">
        <v>12523</v>
      </c>
      <c r="I854" t="str">
        <f t="shared" si="52"/>
        <v>929</v>
      </c>
      <c r="J854" t="str">
        <f t="shared" si="53"/>
        <v>BC</v>
      </c>
      <c r="K854">
        <f t="shared" si="54"/>
        <v>-929</v>
      </c>
      <c r="L854">
        <f t="shared" si="55"/>
        <v>-929</v>
      </c>
    </row>
    <row r="855" spans="1:12" x14ac:dyDescent="0.35">
      <c r="A855">
        <v>868</v>
      </c>
      <c r="B855" t="s">
        <v>1694</v>
      </c>
      <c r="C855" t="s">
        <v>11176</v>
      </c>
      <c r="D855" t="s">
        <v>1695</v>
      </c>
      <c r="E855" t="s">
        <v>237</v>
      </c>
      <c r="F855" t="s">
        <v>1685</v>
      </c>
      <c r="G855" t="s">
        <v>112</v>
      </c>
      <c r="I855" t="str">
        <f t="shared" si="52"/>
        <v>929</v>
      </c>
      <c r="J855" t="str">
        <f t="shared" si="53"/>
        <v>BC</v>
      </c>
      <c r="K855">
        <f t="shared" si="54"/>
        <v>-929</v>
      </c>
      <c r="L855">
        <f t="shared" si="55"/>
        <v>-929</v>
      </c>
    </row>
    <row r="856" spans="1:12" x14ac:dyDescent="0.35">
      <c r="A856">
        <v>869</v>
      </c>
      <c r="B856" t="s">
        <v>1696</v>
      </c>
      <c r="C856" t="s">
        <v>10189</v>
      </c>
      <c r="D856" t="s">
        <v>1697</v>
      </c>
      <c r="E856" t="s">
        <v>237</v>
      </c>
      <c r="F856" t="s">
        <v>1685</v>
      </c>
      <c r="G856" t="s">
        <v>1698</v>
      </c>
      <c r="I856" t="str">
        <f t="shared" si="52"/>
        <v>929</v>
      </c>
      <c r="J856" t="str">
        <f t="shared" si="53"/>
        <v>BC</v>
      </c>
      <c r="K856">
        <f t="shared" si="54"/>
        <v>-929</v>
      </c>
      <c r="L856">
        <f t="shared" si="55"/>
        <v>-929</v>
      </c>
    </row>
    <row r="857" spans="1:12" x14ac:dyDescent="0.35">
      <c r="A857">
        <v>870</v>
      </c>
      <c r="B857" t="s">
        <v>1699</v>
      </c>
      <c r="C857" t="s">
        <v>11110</v>
      </c>
      <c r="D857" t="s">
        <v>1700</v>
      </c>
      <c r="E857" t="s">
        <v>237</v>
      </c>
      <c r="F857" t="s">
        <v>1685</v>
      </c>
      <c r="G857" t="s">
        <v>12524</v>
      </c>
      <c r="I857" t="str">
        <f t="shared" si="52"/>
        <v>929</v>
      </c>
      <c r="J857" t="str">
        <f t="shared" si="53"/>
        <v>BC</v>
      </c>
      <c r="K857">
        <f t="shared" si="54"/>
        <v>-929</v>
      </c>
      <c r="L857">
        <f t="shared" si="55"/>
        <v>-929</v>
      </c>
    </row>
    <row r="858" spans="1:12" x14ac:dyDescent="0.35">
      <c r="A858">
        <v>871</v>
      </c>
      <c r="B858" t="s">
        <v>1701</v>
      </c>
      <c r="C858" t="s">
        <v>11139</v>
      </c>
      <c r="D858" t="s">
        <v>1702</v>
      </c>
      <c r="E858" t="s">
        <v>1703</v>
      </c>
      <c r="F858" t="s">
        <v>1685</v>
      </c>
      <c r="G858" t="s">
        <v>12525</v>
      </c>
      <c r="I858" t="str">
        <f t="shared" si="52"/>
        <v>929</v>
      </c>
      <c r="J858" t="str">
        <f t="shared" si="53"/>
        <v>BC</v>
      </c>
      <c r="K858">
        <f t="shared" si="54"/>
        <v>-929</v>
      </c>
      <c r="L858">
        <f t="shared" si="55"/>
        <v>-929</v>
      </c>
    </row>
    <row r="859" spans="1:12" x14ac:dyDescent="0.35">
      <c r="A859">
        <v>872</v>
      </c>
      <c r="B859" t="s">
        <v>1704</v>
      </c>
      <c r="C859" t="s">
        <v>10670</v>
      </c>
      <c r="D859" t="s">
        <v>1705</v>
      </c>
      <c r="E859" t="s">
        <v>1703</v>
      </c>
      <c r="F859" t="s">
        <v>1685</v>
      </c>
      <c r="G859" t="s">
        <v>112</v>
      </c>
      <c r="I859" t="str">
        <f t="shared" si="52"/>
        <v>929</v>
      </c>
      <c r="J859" t="str">
        <f t="shared" si="53"/>
        <v>BC</v>
      </c>
      <c r="K859">
        <f t="shared" si="54"/>
        <v>-929</v>
      </c>
      <c r="L859">
        <f t="shared" si="55"/>
        <v>-929</v>
      </c>
    </row>
    <row r="860" spans="1:12" x14ac:dyDescent="0.35">
      <c r="A860">
        <v>873</v>
      </c>
      <c r="B860" t="s">
        <v>1706</v>
      </c>
      <c r="C860" t="s">
        <v>10190</v>
      </c>
      <c r="D860" t="s">
        <v>1707</v>
      </c>
      <c r="E860" t="s">
        <v>237</v>
      </c>
      <c r="F860" t="s">
        <v>1685</v>
      </c>
      <c r="G860" t="s">
        <v>1698</v>
      </c>
      <c r="I860" t="str">
        <f t="shared" si="52"/>
        <v>929</v>
      </c>
      <c r="J860" t="str">
        <f t="shared" si="53"/>
        <v>BC</v>
      </c>
      <c r="K860">
        <f t="shared" si="54"/>
        <v>-929</v>
      </c>
      <c r="L860">
        <f t="shared" si="55"/>
        <v>-929</v>
      </c>
    </row>
    <row r="861" spans="1:12" x14ac:dyDescent="0.35">
      <c r="A861">
        <v>874</v>
      </c>
      <c r="B861" t="s">
        <v>1708</v>
      </c>
      <c r="C861" t="s">
        <v>10191</v>
      </c>
      <c r="D861" t="s">
        <v>1709</v>
      </c>
      <c r="E861" t="s">
        <v>237</v>
      </c>
      <c r="F861" t="s">
        <v>1685</v>
      </c>
      <c r="G861" t="s">
        <v>1710</v>
      </c>
      <c r="I861" t="str">
        <f t="shared" si="52"/>
        <v>929</v>
      </c>
      <c r="J861" t="str">
        <f t="shared" si="53"/>
        <v>BC</v>
      </c>
      <c r="K861">
        <f t="shared" si="54"/>
        <v>-929</v>
      </c>
      <c r="L861">
        <f t="shared" si="55"/>
        <v>-929</v>
      </c>
    </row>
    <row r="862" spans="1:12" x14ac:dyDescent="0.35">
      <c r="A862">
        <v>875</v>
      </c>
      <c r="B862" t="s">
        <v>1711</v>
      </c>
      <c r="C862" t="s">
        <v>10192</v>
      </c>
      <c r="D862" t="s">
        <v>1712</v>
      </c>
      <c r="E862" t="s">
        <v>1682</v>
      </c>
      <c r="F862" t="s">
        <v>1685</v>
      </c>
      <c r="G862" t="s">
        <v>1679</v>
      </c>
      <c r="I862" t="str">
        <f t="shared" si="52"/>
        <v>929</v>
      </c>
      <c r="J862" t="str">
        <f t="shared" si="53"/>
        <v>BC</v>
      </c>
      <c r="K862">
        <f t="shared" si="54"/>
        <v>-929</v>
      </c>
      <c r="L862">
        <f t="shared" si="55"/>
        <v>-929</v>
      </c>
    </row>
    <row r="863" spans="1:12" x14ac:dyDescent="0.35">
      <c r="A863">
        <v>876</v>
      </c>
      <c r="B863" t="s">
        <v>1713</v>
      </c>
      <c r="C863" t="s">
        <v>11309</v>
      </c>
      <c r="D863" t="s">
        <v>1714</v>
      </c>
      <c r="E863" t="s">
        <v>990</v>
      </c>
      <c r="F863" t="s">
        <v>1715</v>
      </c>
      <c r="G863" t="s">
        <v>1716</v>
      </c>
      <c r="I863" t="str">
        <f t="shared" si="52"/>
        <v>928</v>
      </c>
      <c r="J863" t="str">
        <f t="shared" si="53"/>
        <v>BC</v>
      </c>
      <c r="K863">
        <f t="shared" si="54"/>
        <v>-928</v>
      </c>
      <c r="L863">
        <f t="shared" si="55"/>
        <v>-928</v>
      </c>
    </row>
    <row r="864" spans="1:12" x14ac:dyDescent="0.35">
      <c r="A864">
        <v>877</v>
      </c>
      <c r="B864" t="s">
        <v>1717</v>
      </c>
      <c r="C864" t="s">
        <v>11310</v>
      </c>
      <c r="D864" t="s">
        <v>1718</v>
      </c>
      <c r="E864" t="s">
        <v>990</v>
      </c>
      <c r="F864" t="s">
        <v>1715</v>
      </c>
      <c r="G864" t="s">
        <v>112</v>
      </c>
      <c r="I864" t="str">
        <f t="shared" si="52"/>
        <v>928</v>
      </c>
      <c r="J864" t="str">
        <f t="shared" si="53"/>
        <v>BC</v>
      </c>
      <c r="K864">
        <f t="shared" si="54"/>
        <v>-928</v>
      </c>
      <c r="L864">
        <f t="shared" si="55"/>
        <v>-928</v>
      </c>
    </row>
    <row r="865" spans="1:12" x14ac:dyDescent="0.35">
      <c r="A865">
        <v>878</v>
      </c>
      <c r="B865" t="s">
        <v>1719</v>
      </c>
      <c r="C865" t="s">
        <v>10037</v>
      </c>
      <c r="D865" t="s">
        <v>1720</v>
      </c>
      <c r="E865" t="s">
        <v>990</v>
      </c>
      <c r="F865" t="s">
        <v>1715</v>
      </c>
      <c r="G865" t="s">
        <v>1648</v>
      </c>
      <c r="I865" t="str">
        <f t="shared" si="52"/>
        <v>928</v>
      </c>
      <c r="J865" t="str">
        <f t="shared" si="53"/>
        <v>BC</v>
      </c>
      <c r="K865">
        <f t="shared" si="54"/>
        <v>-928</v>
      </c>
      <c r="L865">
        <f t="shared" si="55"/>
        <v>-928</v>
      </c>
    </row>
    <row r="866" spans="1:12" x14ac:dyDescent="0.35">
      <c r="A866">
        <v>879</v>
      </c>
      <c r="B866" t="s">
        <v>1721</v>
      </c>
      <c r="C866" t="s">
        <v>10037</v>
      </c>
      <c r="D866" t="s">
        <v>1722</v>
      </c>
      <c r="E866" t="s">
        <v>990</v>
      </c>
      <c r="F866" t="s">
        <v>1715</v>
      </c>
      <c r="G866" t="s">
        <v>1648</v>
      </c>
      <c r="I866" t="str">
        <f t="shared" si="52"/>
        <v>928</v>
      </c>
      <c r="J866" t="str">
        <f t="shared" si="53"/>
        <v>BC</v>
      </c>
      <c r="K866">
        <f t="shared" si="54"/>
        <v>-928</v>
      </c>
      <c r="L866">
        <f t="shared" si="55"/>
        <v>-928</v>
      </c>
    </row>
    <row r="867" spans="1:12" x14ac:dyDescent="0.35">
      <c r="A867">
        <v>880</v>
      </c>
      <c r="B867" t="s">
        <v>1723</v>
      </c>
      <c r="C867" t="s">
        <v>11311</v>
      </c>
      <c r="D867" t="s">
        <v>1724</v>
      </c>
      <c r="E867" t="s">
        <v>990</v>
      </c>
      <c r="F867" t="s">
        <v>1715</v>
      </c>
      <c r="G867" t="s">
        <v>1648</v>
      </c>
      <c r="I867" t="str">
        <f t="shared" si="52"/>
        <v>928</v>
      </c>
      <c r="J867" t="str">
        <f t="shared" si="53"/>
        <v>BC</v>
      </c>
      <c r="K867">
        <f t="shared" si="54"/>
        <v>-928</v>
      </c>
      <c r="L867">
        <f t="shared" si="55"/>
        <v>-928</v>
      </c>
    </row>
    <row r="868" spans="1:12" x14ac:dyDescent="0.35">
      <c r="A868">
        <v>881</v>
      </c>
      <c r="B868" t="s">
        <v>1725</v>
      </c>
      <c r="C868" t="s">
        <v>11312</v>
      </c>
      <c r="D868" t="s">
        <v>1726</v>
      </c>
      <c r="E868" t="s">
        <v>1727</v>
      </c>
      <c r="F868" t="s">
        <v>1715</v>
      </c>
      <c r="G868" t="s">
        <v>112</v>
      </c>
      <c r="I868" t="str">
        <f t="shared" si="52"/>
        <v>928</v>
      </c>
      <c r="J868" t="str">
        <f t="shared" si="53"/>
        <v>BC</v>
      </c>
      <c r="K868">
        <f t="shared" si="54"/>
        <v>-928</v>
      </c>
      <c r="L868">
        <f t="shared" si="55"/>
        <v>-928</v>
      </c>
    </row>
    <row r="869" spans="1:12" x14ac:dyDescent="0.35">
      <c r="A869">
        <v>882</v>
      </c>
      <c r="B869" t="s">
        <v>1728</v>
      </c>
      <c r="C869" t="s">
        <v>10193</v>
      </c>
      <c r="D869" t="s">
        <v>1729</v>
      </c>
      <c r="E869" t="s">
        <v>1727</v>
      </c>
      <c r="F869" t="s">
        <v>1715</v>
      </c>
      <c r="G869" t="s">
        <v>1730</v>
      </c>
      <c r="I869" t="str">
        <f t="shared" si="52"/>
        <v>928</v>
      </c>
      <c r="J869" t="str">
        <f t="shared" si="53"/>
        <v>BC</v>
      </c>
      <c r="K869">
        <f t="shared" si="54"/>
        <v>-928</v>
      </c>
      <c r="L869">
        <f t="shared" si="55"/>
        <v>-928</v>
      </c>
    </row>
    <row r="870" spans="1:12" x14ac:dyDescent="0.35">
      <c r="A870">
        <v>883</v>
      </c>
      <c r="B870" t="s">
        <v>1731</v>
      </c>
      <c r="C870" t="s">
        <v>11313</v>
      </c>
      <c r="D870" t="s">
        <v>1732</v>
      </c>
      <c r="E870" t="s">
        <v>1211</v>
      </c>
      <c r="F870" t="s">
        <v>1733</v>
      </c>
      <c r="G870" t="s">
        <v>1734</v>
      </c>
      <c r="I870" t="str">
        <f t="shared" si="52"/>
        <v>925</v>
      </c>
      <c r="J870" t="str">
        <f t="shared" si="53"/>
        <v>BC</v>
      </c>
      <c r="K870">
        <f t="shared" si="54"/>
        <v>-925</v>
      </c>
      <c r="L870">
        <f t="shared" si="55"/>
        <v>-925</v>
      </c>
    </row>
    <row r="871" spans="1:12" x14ac:dyDescent="0.35">
      <c r="A871">
        <v>884</v>
      </c>
      <c r="B871" t="s">
        <v>1735</v>
      </c>
      <c r="C871" t="s">
        <v>10194</v>
      </c>
      <c r="D871" t="s">
        <v>1736</v>
      </c>
      <c r="E871" t="s">
        <v>1211</v>
      </c>
      <c r="F871" t="s">
        <v>1733</v>
      </c>
      <c r="G871" t="s">
        <v>112</v>
      </c>
      <c r="I871" t="str">
        <f t="shared" si="52"/>
        <v>925</v>
      </c>
      <c r="J871" t="str">
        <f t="shared" si="53"/>
        <v>BC</v>
      </c>
      <c r="K871">
        <f t="shared" si="54"/>
        <v>-925</v>
      </c>
      <c r="L871">
        <f t="shared" si="55"/>
        <v>-925</v>
      </c>
    </row>
    <row r="872" spans="1:12" x14ac:dyDescent="0.35">
      <c r="A872">
        <v>885</v>
      </c>
      <c r="B872" t="s">
        <v>1737</v>
      </c>
      <c r="C872" t="s">
        <v>10195</v>
      </c>
      <c r="D872" t="s">
        <v>1738</v>
      </c>
      <c r="E872" t="s">
        <v>1211</v>
      </c>
      <c r="F872" t="s">
        <v>1739</v>
      </c>
      <c r="G872" t="s">
        <v>1740</v>
      </c>
      <c r="I872" t="str">
        <f t="shared" si="52"/>
        <v>913-911</v>
      </c>
      <c r="J872" t="str">
        <f t="shared" si="53"/>
        <v>BC</v>
      </c>
      <c r="K872">
        <f t="shared" si="54"/>
        <v>-913</v>
      </c>
      <c r="L872">
        <f t="shared" si="55"/>
        <v>-911</v>
      </c>
    </row>
    <row r="873" spans="1:12" x14ac:dyDescent="0.35">
      <c r="A873">
        <v>886</v>
      </c>
      <c r="B873" t="s">
        <v>1741</v>
      </c>
      <c r="C873" t="s">
        <v>11314</v>
      </c>
      <c r="D873" t="s">
        <v>1742</v>
      </c>
      <c r="E873" t="s">
        <v>1211</v>
      </c>
      <c r="F873" t="s">
        <v>1743</v>
      </c>
      <c r="G873" t="s">
        <v>112</v>
      </c>
      <c r="I873" t="str">
        <f t="shared" si="52"/>
        <v>911</v>
      </c>
      <c r="J873" t="str">
        <f t="shared" si="53"/>
        <v>BC</v>
      </c>
      <c r="K873">
        <f t="shared" si="54"/>
        <v>-911</v>
      </c>
      <c r="L873">
        <f t="shared" si="55"/>
        <v>-911</v>
      </c>
    </row>
    <row r="874" spans="1:12" x14ac:dyDescent="0.35">
      <c r="A874">
        <v>887</v>
      </c>
      <c r="B874" t="s">
        <v>1744</v>
      </c>
      <c r="C874" t="s">
        <v>10196</v>
      </c>
      <c r="D874" t="s">
        <v>1745</v>
      </c>
      <c r="E874" t="s">
        <v>1211</v>
      </c>
      <c r="F874" t="s">
        <v>1746</v>
      </c>
      <c r="G874" t="s">
        <v>1747</v>
      </c>
      <c r="I874" t="str">
        <f t="shared" si="52"/>
        <v>911-870</v>
      </c>
      <c r="J874" t="str">
        <f t="shared" si="53"/>
        <v>BC</v>
      </c>
      <c r="K874">
        <f t="shared" si="54"/>
        <v>-911</v>
      </c>
      <c r="L874">
        <f t="shared" si="55"/>
        <v>-870</v>
      </c>
    </row>
    <row r="875" spans="1:12" x14ac:dyDescent="0.35">
      <c r="A875">
        <v>888</v>
      </c>
      <c r="B875" t="s">
        <v>1748</v>
      </c>
      <c r="C875" t="s">
        <v>11234</v>
      </c>
      <c r="D875" t="s">
        <v>1749</v>
      </c>
      <c r="E875" t="s">
        <v>1750</v>
      </c>
      <c r="F875" t="s">
        <v>1746</v>
      </c>
      <c r="G875" t="s">
        <v>112</v>
      </c>
      <c r="I875" t="str">
        <f t="shared" si="52"/>
        <v>911-870</v>
      </c>
      <c r="J875" t="str">
        <f t="shared" si="53"/>
        <v>BC</v>
      </c>
      <c r="K875">
        <f t="shared" si="54"/>
        <v>-911</v>
      </c>
      <c r="L875">
        <f t="shared" si="55"/>
        <v>-870</v>
      </c>
    </row>
    <row r="876" spans="1:12" x14ac:dyDescent="0.35">
      <c r="A876">
        <v>889</v>
      </c>
      <c r="B876" t="s">
        <v>1751</v>
      </c>
      <c r="C876" t="s">
        <v>10195</v>
      </c>
      <c r="D876" t="s">
        <v>1752</v>
      </c>
      <c r="E876" t="s">
        <v>1682</v>
      </c>
      <c r="F876" t="s">
        <v>1753</v>
      </c>
      <c r="G876" t="s">
        <v>1754</v>
      </c>
      <c r="I876" t="str">
        <f t="shared" si="52"/>
        <v>910-909</v>
      </c>
      <c r="J876" t="str">
        <f t="shared" si="53"/>
        <v>BC</v>
      </c>
      <c r="K876">
        <f t="shared" si="54"/>
        <v>-910</v>
      </c>
      <c r="L876">
        <f t="shared" si="55"/>
        <v>-909</v>
      </c>
    </row>
    <row r="877" spans="1:12" x14ac:dyDescent="0.35">
      <c r="A877">
        <v>890</v>
      </c>
      <c r="B877" t="s">
        <v>1755</v>
      </c>
      <c r="C877" t="s">
        <v>10127</v>
      </c>
      <c r="D877" t="s">
        <v>1756</v>
      </c>
      <c r="E877" t="s">
        <v>1757</v>
      </c>
      <c r="F877" t="s">
        <v>1758</v>
      </c>
      <c r="G877" t="s">
        <v>1759</v>
      </c>
      <c r="I877" t="str">
        <f t="shared" si="52"/>
        <v>909</v>
      </c>
      <c r="J877" t="str">
        <f t="shared" si="53"/>
        <v>BC</v>
      </c>
      <c r="K877">
        <f t="shared" si="54"/>
        <v>-909</v>
      </c>
      <c r="L877">
        <f t="shared" si="55"/>
        <v>-909</v>
      </c>
    </row>
    <row r="878" spans="1:12" x14ac:dyDescent="0.35">
      <c r="A878">
        <v>891</v>
      </c>
      <c r="B878" t="s">
        <v>1760</v>
      </c>
      <c r="C878" t="s">
        <v>10127</v>
      </c>
      <c r="D878" t="s">
        <v>1761</v>
      </c>
      <c r="E878" t="s">
        <v>1682</v>
      </c>
      <c r="F878" t="s">
        <v>1758</v>
      </c>
      <c r="G878" t="s">
        <v>112</v>
      </c>
      <c r="I878" t="str">
        <f t="shared" si="52"/>
        <v>909</v>
      </c>
      <c r="J878" t="str">
        <f t="shared" si="53"/>
        <v>BC</v>
      </c>
      <c r="K878">
        <f t="shared" si="54"/>
        <v>-909</v>
      </c>
      <c r="L878">
        <f t="shared" si="55"/>
        <v>-909</v>
      </c>
    </row>
    <row r="879" spans="1:12" x14ac:dyDescent="0.35">
      <c r="A879">
        <v>892</v>
      </c>
      <c r="B879" t="s">
        <v>1762</v>
      </c>
      <c r="C879" t="s">
        <v>10037</v>
      </c>
      <c r="D879" t="s">
        <v>1763</v>
      </c>
      <c r="E879" t="s">
        <v>1682</v>
      </c>
      <c r="F879" t="s">
        <v>1764</v>
      </c>
      <c r="G879" t="s">
        <v>12480</v>
      </c>
      <c r="I879" t="str">
        <f t="shared" si="52"/>
        <v>905</v>
      </c>
      <c r="J879" t="str">
        <f t="shared" si="53"/>
        <v>BC</v>
      </c>
      <c r="K879">
        <f t="shared" si="54"/>
        <v>-905</v>
      </c>
      <c r="L879">
        <f t="shared" si="55"/>
        <v>-905</v>
      </c>
    </row>
    <row r="880" spans="1:12" x14ac:dyDescent="0.35">
      <c r="A880">
        <v>893</v>
      </c>
      <c r="B880" t="s">
        <v>1765</v>
      </c>
      <c r="C880" t="s">
        <v>10037</v>
      </c>
      <c r="D880" t="s">
        <v>1766</v>
      </c>
      <c r="E880" t="s">
        <v>1682</v>
      </c>
      <c r="F880" t="s">
        <v>1764</v>
      </c>
      <c r="G880" t="s">
        <v>12480</v>
      </c>
      <c r="I880" t="str">
        <f t="shared" si="52"/>
        <v>905</v>
      </c>
      <c r="J880" t="str">
        <f t="shared" si="53"/>
        <v>BC</v>
      </c>
      <c r="K880">
        <f t="shared" si="54"/>
        <v>-905</v>
      </c>
      <c r="L880">
        <f t="shared" si="55"/>
        <v>-905</v>
      </c>
    </row>
    <row r="881" spans="1:12" x14ac:dyDescent="0.35">
      <c r="A881">
        <v>894</v>
      </c>
      <c r="B881" t="s">
        <v>1767</v>
      </c>
      <c r="C881" t="s">
        <v>10127</v>
      </c>
      <c r="D881" t="s">
        <v>1768</v>
      </c>
      <c r="E881" t="s">
        <v>1727</v>
      </c>
      <c r="F881" t="s">
        <v>1769</v>
      </c>
      <c r="G881" t="s">
        <v>1770</v>
      </c>
      <c r="I881" t="str">
        <f t="shared" si="52"/>
        <v>886</v>
      </c>
      <c r="J881" t="str">
        <f t="shared" si="53"/>
        <v>BC</v>
      </c>
      <c r="K881">
        <f t="shared" si="54"/>
        <v>-886</v>
      </c>
      <c r="L881">
        <f t="shared" si="55"/>
        <v>-886</v>
      </c>
    </row>
    <row r="882" spans="1:12" x14ac:dyDescent="0.35">
      <c r="A882">
        <v>895</v>
      </c>
      <c r="B882" t="s">
        <v>1771</v>
      </c>
      <c r="C882" t="s">
        <v>10127</v>
      </c>
      <c r="D882" t="s">
        <v>1772</v>
      </c>
      <c r="E882" t="s">
        <v>1727</v>
      </c>
      <c r="F882" t="s">
        <v>1769</v>
      </c>
      <c r="G882" t="s">
        <v>1777</v>
      </c>
      <c r="I882" t="str">
        <f t="shared" si="52"/>
        <v>886</v>
      </c>
      <c r="J882" t="str">
        <f t="shared" si="53"/>
        <v>BC</v>
      </c>
      <c r="K882">
        <f t="shared" si="54"/>
        <v>-886</v>
      </c>
      <c r="L882">
        <f t="shared" si="55"/>
        <v>-886</v>
      </c>
    </row>
    <row r="883" spans="1:12" x14ac:dyDescent="0.35">
      <c r="A883">
        <v>896</v>
      </c>
      <c r="B883" t="s">
        <v>1773</v>
      </c>
      <c r="C883" t="s">
        <v>10127</v>
      </c>
      <c r="D883" t="s">
        <v>1774</v>
      </c>
      <c r="E883" t="s">
        <v>1682</v>
      </c>
      <c r="F883" t="s">
        <v>1769</v>
      </c>
      <c r="G883" t="s">
        <v>112</v>
      </c>
      <c r="I883" t="str">
        <f t="shared" si="52"/>
        <v>886</v>
      </c>
      <c r="J883" t="str">
        <f t="shared" si="53"/>
        <v>BC</v>
      </c>
      <c r="K883">
        <f t="shared" si="54"/>
        <v>-886</v>
      </c>
      <c r="L883">
        <f t="shared" si="55"/>
        <v>-886</v>
      </c>
    </row>
    <row r="884" spans="1:12" x14ac:dyDescent="0.35">
      <c r="A884">
        <v>897</v>
      </c>
      <c r="B884" t="s">
        <v>1775</v>
      </c>
      <c r="C884" t="s">
        <v>10157</v>
      </c>
      <c r="D884" t="s">
        <v>1776</v>
      </c>
      <c r="E884" t="s">
        <v>1727</v>
      </c>
      <c r="F884" t="s">
        <v>1769</v>
      </c>
      <c r="G884" t="s">
        <v>1777</v>
      </c>
      <c r="I884" t="str">
        <f t="shared" ref="I884:I947" si="56">SUBSTITUTE(SUBSTITUTE(SUBSTITUTE(F884,"c. ","")," BC","")," AD","")</f>
        <v>886</v>
      </c>
      <c r="J884" t="str">
        <f t="shared" si="53"/>
        <v>BC</v>
      </c>
      <c r="K884">
        <f t="shared" si="54"/>
        <v>-886</v>
      </c>
      <c r="L884">
        <f t="shared" si="55"/>
        <v>-886</v>
      </c>
    </row>
    <row r="885" spans="1:12" x14ac:dyDescent="0.35">
      <c r="A885">
        <v>898</v>
      </c>
      <c r="B885" t="s">
        <v>1778</v>
      </c>
      <c r="C885" t="s">
        <v>10159</v>
      </c>
      <c r="D885" t="s">
        <v>1779</v>
      </c>
      <c r="E885" t="s">
        <v>1682</v>
      </c>
      <c r="F885" t="s">
        <v>1780</v>
      </c>
      <c r="G885" t="s">
        <v>1781</v>
      </c>
      <c r="I885" t="str">
        <f t="shared" si="56"/>
        <v>886-880</v>
      </c>
      <c r="J885" t="str">
        <f t="shared" si="53"/>
        <v>BC</v>
      </c>
      <c r="K885">
        <f t="shared" si="54"/>
        <v>-886</v>
      </c>
      <c r="L885">
        <f t="shared" si="55"/>
        <v>-880</v>
      </c>
    </row>
    <row r="886" spans="1:12" x14ac:dyDescent="0.35">
      <c r="A886">
        <v>899</v>
      </c>
      <c r="B886" t="s">
        <v>1782</v>
      </c>
      <c r="C886" t="s">
        <v>11315</v>
      </c>
      <c r="D886" t="s">
        <v>1783</v>
      </c>
      <c r="E886" t="s">
        <v>1682</v>
      </c>
      <c r="F886" t="s">
        <v>1784</v>
      </c>
      <c r="G886" t="s">
        <v>1781</v>
      </c>
      <c r="I886" t="str">
        <f t="shared" si="56"/>
        <v>880</v>
      </c>
      <c r="J886" t="str">
        <f t="shared" si="53"/>
        <v>BC</v>
      </c>
      <c r="K886">
        <f t="shared" si="54"/>
        <v>-880</v>
      </c>
      <c r="L886">
        <f t="shared" si="55"/>
        <v>-880</v>
      </c>
    </row>
    <row r="887" spans="1:12" x14ac:dyDescent="0.35">
      <c r="A887">
        <v>900</v>
      </c>
      <c r="B887" t="s">
        <v>1785</v>
      </c>
      <c r="C887" t="s">
        <v>10195</v>
      </c>
      <c r="D887" t="s">
        <v>1786</v>
      </c>
      <c r="E887" t="s">
        <v>1787</v>
      </c>
      <c r="F887" t="s">
        <v>1788</v>
      </c>
      <c r="G887" t="s">
        <v>1789</v>
      </c>
      <c r="I887" t="str">
        <f t="shared" si="56"/>
        <v>880-874</v>
      </c>
      <c r="J887" t="str">
        <f t="shared" si="53"/>
        <v>BC</v>
      </c>
      <c r="K887">
        <f t="shared" si="54"/>
        <v>-880</v>
      </c>
      <c r="L887">
        <f t="shared" si="55"/>
        <v>-874</v>
      </c>
    </row>
    <row r="888" spans="1:12" x14ac:dyDescent="0.35">
      <c r="A888">
        <v>901</v>
      </c>
      <c r="B888" t="s">
        <v>1790</v>
      </c>
      <c r="C888" t="s">
        <v>10195</v>
      </c>
      <c r="D888" t="s">
        <v>1791</v>
      </c>
      <c r="E888" t="s">
        <v>1787</v>
      </c>
      <c r="F888" t="s">
        <v>1792</v>
      </c>
      <c r="G888" t="s">
        <v>1793</v>
      </c>
      <c r="I888" t="str">
        <f t="shared" si="56"/>
        <v>874-853</v>
      </c>
      <c r="J888" t="str">
        <f t="shared" si="53"/>
        <v>BC</v>
      </c>
      <c r="K888">
        <f t="shared" si="54"/>
        <v>-874</v>
      </c>
      <c r="L888">
        <f t="shared" si="55"/>
        <v>-853</v>
      </c>
    </row>
    <row r="889" spans="1:12" x14ac:dyDescent="0.35">
      <c r="A889">
        <v>902</v>
      </c>
      <c r="B889" t="s">
        <v>1794</v>
      </c>
      <c r="C889" t="s">
        <v>11316</v>
      </c>
      <c r="D889" t="s">
        <v>1795</v>
      </c>
      <c r="E889" t="s">
        <v>1787</v>
      </c>
      <c r="F889" t="s">
        <v>1796</v>
      </c>
      <c r="G889" t="s">
        <v>1793</v>
      </c>
      <c r="I889" t="str">
        <f t="shared" si="56"/>
        <v>874</v>
      </c>
      <c r="J889" t="str">
        <f t="shared" si="53"/>
        <v>BC</v>
      </c>
      <c r="K889">
        <f t="shared" si="54"/>
        <v>-874</v>
      </c>
      <c r="L889">
        <f t="shared" si="55"/>
        <v>-874</v>
      </c>
    </row>
    <row r="890" spans="1:12" x14ac:dyDescent="0.35">
      <c r="A890">
        <v>903</v>
      </c>
      <c r="B890" t="s">
        <v>1797</v>
      </c>
      <c r="C890" t="s">
        <v>10197</v>
      </c>
      <c r="D890" t="s">
        <v>1798</v>
      </c>
      <c r="E890" t="s">
        <v>865</v>
      </c>
      <c r="F890" t="s">
        <v>1799</v>
      </c>
      <c r="G890" t="s">
        <v>112</v>
      </c>
      <c r="I890" t="str">
        <f t="shared" si="56"/>
        <v>870</v>
      </c>
      <c r="J890" t="str">
        <f t="shared" si="53"/>
        <v>BC</v>
      </c>
      <c r="K890">
        <f t="shared" si="54"/>
        <v>-870</v>
      </c>
      <c r="L890">
        <f t="shared" si="55"/>
        <v>-870</v>
      </c>
    </row>
    <row r="891" spans="1:12" x14ac:dyDescent="0.35">
      <c r="A891">
        <v>904</v>
      </c>
      <c r="B891" t="s">
        <v>1800</v>
      </c>
      <c r="C891" t="s">
        <v>10037</v>
      </c>
      <c r="D891" t="s">
        <v>1801</v>
      </c>
      <c r="E891" t="s">
        <v>1802</v>
      </c>
      <c r="F891" t="s">
        <v>1803</v>
      </c>
      <c r="G891" t="s">
        <v>0</v>
      </c>
      <c r="I891" t="str">
        <f t="shared" si="56"/>
        <v>869</v>
      </c>
      <c r="J891" t="str">
        <f t="shared" si="53"/>
        <v>BC</v>
      </c>
      <c r="K891">
        <f t="shared" si="54"/>
        <v>-869</v>
      </c>
      <c r="L891">
        <f t="shared" si="55"/>
        <v>-869</v>
      </c>
    </row>
    <row r="892" spans="1:12" x14ac:dyDescent="0.35">
      <c r="A892">
        <v>905</v>
      </c>
      <c r="B892" t="s">
        <v>1804</v>
      </c>
      <c r="C892" t="s">
        <v>10198</v>
      </c>
      <c r="D892" t="s">
        <v>1805</v>
      </c>
      <c r="E892" t="s">
        <v>1806</v>
      </c>
      <c r="F892" t="s">
        <v>1803</v>
      </c>
      <c r="G892" t="s">
        <v>112</v>
      </c>
      <c r="I892" t="str">
        <f t="shared" si="56"/>
        <v>869</v>
      </c>
      <c r="J892" t="str">
        <f t="shared" si="53"/>
        <v>BC</v>
      </c>
      <c r="K892">
        <f t="shared" si="54"/>
        <v>-869</v>
      </c>
      <c r="L892">
        <f t="shared" si="55"/>
        <v>-869</v>
      </c>
    </row>
    <row r="893" spans="1:12" x14ac:dyDescent="0.35">
      <c r="A893">
        <v>906</v>
      </c>
      <c r="B893" t="s">
        <v>1807</v>
      </c>
      <c r="C893" t="s">
        <v>10038</v>
      </c>
      <c r="D893" t="s">
        <v>28</v>
      </c>
      <c r="E893" t="s">
        <v>1806</v>
      </c>
      <c r="F893" t="s">
        <v>1808</v>
      </c>
      <c r="G893" t="s">
        <v>12526</v>
      </c>
      <c r="I893" t="str">
        <f t="shared" si="56"/>
        <v>869-868</v>
      </c>
      <c r="J893" t="str">
        <f t="shared" si="53"/>
        <v>BC</v>
      </c>
      <c r="K893">
        <f t="shared" si="54"/>
        <v>-869</v>
      </c>
      <c r="L893">
        <f t="shared" si="55"/>
        <v>-868</v>
      </c>
    </row>
    <row r="894" spans="1:12" x14ac:dyDescent="0.35">
      <c r="A894">
        <v>907</v>
      </c>
      <c r="B894" t="s">
        <v>1809</v>
      </c>
      <c r="C894" t="s">
        <v>11317</v>
      </c>
      <c r="D894" t="s">
        <v>1810</v>
      </c>
      <c r="E894" t="s">
        <v>1806</v>
      </c>
      <c r="F894" t="s">
        <v>1811</v>
      </c>
      <c r="G894" t="s">
        <v>1812</v>
      </c>
      <c r="I894" t="str">
        <f t="shared" si="56"/>
        <v>868</v>
      </c>
      <c r="J894" t="str">
        <f t="shared" si="53"/>
        <v>BC</v>
      </c>
      <c r="K894">
        <f t="shared" si="54"/>
        <v>-868</v>
      </c>
      <c r="L894">
        <f t="shared" si="55"/>
        <v>-868</v>
      </c>
    </row>
    <row r="895" spans="1:12" x14ac:dyDescent="0.35">
      <c r="A895">
        <v>908</v>
      </c>
      <c r="B895" t="s">
        <v>1813</v>
      </c>
      <c r="C895" t="s">
        <v>10199</v>
      </c>
      <c r="D895" t="s">
        <v>1814</v>
      </c>
      <c r="E895" t="s">
        <v>1815</v>
      </c>
      <c r="F895" t="s">
        <v>1811</v>
      </c>
      <c r="G895" t="s">
        <v>112</v>
      </c>
      <c r="I895" t="str">
        <f t="shared" si="56"/>
        <v>868</v>
      </c>
      <c r="J895" t="str">
        <f t="shared" si="53"/>
        <v>BC</v>
      </c>
      <c r="K895">
        <f t="shared" si="54"/>
        <v>-868</v>
      </c>
      <c r="L895">
        <f t="shared" si="55"/>
        <v>-868</v>
      </c>
    </row>
    <row r="896" spans="1:12" x14ac:dyDescent="0.35">
      <c r="A896">
        <v>909</v>
      </c>
      <c r="B896" t="s">
        <v>1816</v>
      </c>
      <c r="C896" t="s">
        <v>10038</v>
      </c>
      <c r="D896" t="s">
        <v>1817</v>
      </c>
      <c r="E896" t="s">
        <v>1815</v>
      </c>
      <c r="F896" t="s">
        <v>1818</v>
      </c>
      <c r="G896" t="s">
        <v>0</v>
      </c>
      <c r="I896" t="str">
        <f t="shared" si="56"/>
        <v>868-866</v>
      </c>
      <c r="J896" t="str">
        <f t="shared" si="53"/>
        <v>BC</v>
      </c>
      <c r="K896">
        <f t="shared" si="54"/>
        <v>-868</v>
      </c>
      <c r="L896">
        <f t="shared" si="55"/>
        <v>-866</v>
      </c>
    </row>
    <row r="897" spans="1:12" x14ac:dyDescent="0.35">
      <c r="A897">
        <v>910</v>
      </c>
      <c r="B897" t="s">
        <v>1819</v>
      </c>
      <c r="C897" t="s">
        <v>10200</v>
      </c>
      <c r="D897" t="s">
        <v>1820</v>
      </c>
      <c r="E897" t="s">
        <v>1815</v>
      </c>
      <c r="F897" t="s">
        <v>1821</v>
      </c>
      <c r="G897" t="s">
        <v>1822</v>
      </c>
      <c r="I897" t="str">
        <f t="shared" si="56"/>
        <v>867</v>
      </c>
      <c r="J897" t="str">
        <f t="shared" si="53"/>
        <v>BC</v>
      </c>
      <c r="K897">
        <f t="shared" si="54"/>
        <v>-867</v>
      </c>
      <c r="L897">
        <f t="shared" si="55"/>
        <v>-867</v>
      </c>
    </row>
    <row r="898" spans="1:12" x14ac:dyDescent="0.35">
      <c r="A898">
        <v>911</v>
      </c>
      <c r="B898" t="s">
        <v>1823</v>
      </c>
      <c r="C898" t="s">
        <v>10759</v>
      </c>
      <c r="D898" t="s">
        <v>29</v>
      </c>
      <c r="E898" t="s">
        <v>1815</v>
      </c>
      <c r="F898" t="s">
        <v>1821</v>
      </c>
      <c r="G898" t="s">
        <v>0</v>
      </c>
      <c r="I898" t="str">
        <f t="shared" si="56"/>
        <v>867</v>
      </c>
      <c r="J898" t="str">
        <f t="shared" ref="J898:J961" si="57">RIGHT(F898, 2)</f>
        <v>BC</v>
      </c>
      <c r="K898">
        <f t="shared" ref="K898:K961" si="58">IF(J898="BC", 0-IF(ISERROR(FIND("-",I898)),I898,LEFT(I898,FIND("-",I898)-1)), IF(ISERROR(FIND("-",I898)),I898,LEFT(I898,FIND("-",I898)-1)))</f>
        <v>-867</v>
      </c>
      <c r="L898">
        <f t="shared" ref="L898:L961" si="59">IF(J898="BC", 0-IF(ISERROR(FIND("-",I898)),I898,RIGHT(I898,FIND("-",I898)-1)), IF(ISERROR(FIND("-",I898)),I898,RIGHT(I898,FIND("-",I898)-1)))</f>
        <v>-867</v>
      </c>
    </row>
    <row r="899" spans="1:12" x14ac:dyDescent="0.35">
      <c r="A899">
        <v>912</v>
      </c>
      <c r="B899" t="s">
        <v>1824</v>
      </c>
      <c r="C899" t="s">
        <v>11318</v>
      </c>
      <c r="D899" t="s">
        <v>1825</v>
      </c>
      <c r="E899" t="s">
        <v>1815</v>
      </c>
      <c r="F899" t="s">
        <v>1821</v>
      </c>
      <c r="G899" t="s">
        <v>1826</v>
      </c>
      <c r="I899" t="str">
        <f t="shared" si="56"/>
        <v>867</v>
      </c>
      <c r="J899" t="str">
        <f t="shared" si="57"/>
        <v>BC</v>
      </c>
      <c r="K899">
        <f t="shared" si="58"/>
        <v>-867</v>
      </c>
      <c r="L899">
        <f t="shared" si="59"/>
        <v>-867</v>
      </c>
    </row>
    <row r="900" spans="1:12" x14ac:dyDescent="0.35">
      <c r="A900">
        <v>913</v>
      </c>
      <c r="B900" t="s">
        <v>1827</v>
      </c>
      <c r="C900" t="s">
        <v>10201</v>
      </c>
      <c r="D900" t="s">
        <v>1828</v>
      </c>
      <c r="E900" t="s">
        <v>1815</v>
      </c>
      <c r="F900" t="s">
        <v>1829</v>
      </c>
      <c r="G900" t="s">
        <v>112</v>
      </c>
      <c r="I900" t="str">
        <f t="shared" si="56"/>
        <v>866</v>
      </c>
      <c r="J900" t="str">
        <f t="shared" si="57"/>
        <v>BC</v>
      </c>
      <c r="K900">
        <f t="shared" si="58"/>
        <v>-866</v>
      </c>
      <c r="L900">
        <f t="shared" si="59"/>
        <v>-866</v>
      </c>
    </row>
    <row r="901" spans="1:12" x14ac:dyDescent="0.35">
      <c r="A901">
        <v>914</v>
      </c>
      <c r="B901" t="s">
        <v>1830</v>
      </c>
      <c r="C901" t="s">
        <v>10073</v>
      </c>
      <c r="D901" t="s">
        <v>1828</v>
      </c>
      <c r="E901" t="s">
        <v>1815</v>
      </c>
      <c r="F901" t="s">
        <v>1829</v>
      </c>
      <c r="G901" t="s">
        <v>112</v>
      </c>
      <c r="I901" t="str">
        <f t="shared" si="56"/>
        <v>866</v>
      </c>
      <c r="J901" t="str">
        <f t="shared" si="57"/>
        <v>BC</v>
      </c>
      <c r="K901">
        <f t="shared" si="58"/>
        <v>-866</v>
      </c>
      <c r="L901">
        <f t="shared" si="59"/>
        <v>-866</v>
      </c>
    </row>
    <row r="902" spans="1:12" x14ac:dyDescent="0.35">
      <c r="A902">
        <v>915</v>
      </c>
      <c r="B902" t="s">
        <v>1831</v>
      </c>
      <c r="C902" t="s">
        <v>11317</v>
      </c>
      <c r="D902" t="s">
        <v>1832</v>
      </c>
      <c r="E902" t="s">
        <v>1833</v>
      </c>
      <c r="F902" t="s">
        <v>1834</v>
      </c>
      <c r="G902" t="s">
        <v>112</v>
      </c>
      <c r="I902" t="str">
        <f t="shared" si="56"/>
        <v>869-866</v>
      </c>
      <c r="J902" t="str">
        <f t="shared" si="57"/>
        <v>BC</v>
      </c>
      <c r="K902">
        <f t="shared" si="58"/>
        <v>-869</v>
      </c>
      <c r="L902">
        <f t="shared" si="59"/>
        <v>-866</v>
      </c>
    </row>
    <row r="903" spans="1:12" x14ac:dyDescent="0.35">
      <c r="A903">
        <v>916</v>
      </c>
      <c r="B903" t="s">
        <v>1835</v>
      </c>
      <c r="C903" t="s">
        <v>10242</v>
      </c>
      <c r="D903" t="s">
        <v>1836</v>
      </c>
      <c r="E903" t="s">
        <v>1787</v>
      </c>
      <c r="F903" t="s">
        <v>1834</v>
      </c>
      <c r="G903" t="s">
        <v>1837</v>
      </c>
      <c r="I903" t="str">
        <f t="shared" si="56"/>
        <v>869-866</v>
      </c>
      <c r="J903" t="str">
        <f t="shared" si="57"/>
        <v>BC</v>
      </c>
      <c r="K903">
        <f t="shared" si="58"/>
        <v>-869</v>
      </c>
      <c r="L903">
        <f t="shared" si="59"/>
        <v>-866</v>
      </c>
    </row>
    <row r="904" spans="1:12" x14ac:dyDescent="0.35">
      <c r="A904">
        <v>917</v>
      </c>
      <c r="B904" t="s">
        <v>1838</v>
      </c>
      <c r="C904" t="s">
        <v>10327</v>
      </c>
      <c r="D904" t="s">
        <v>1839</v>
      </c>
      <c r="E904" t="s">
        <v>1840</v>
      </c>
      <c r="F904" t="s">
        <v>1834</v>
      </c>
      <c r="G904" t="s">
        <v>5287</v>
      </c>
      <c r="I904" t="str">
        <f t="shared" si="56"/>
        <v>869-866</v>
      </c>
      <c r="J904" t="str">
        <f t="shared" si="57"/>
        <v>BC</v>
      </c>
      <c r="K904">
        <f t="shared" si="58"/>
        <v>-869</v>
      </c>
      <c r="L904">
        <f t="shared" si="59"/>
        <v>-866</v>
      </c>
    </row>
    <row r="905" spans="1:12" x14ac:dyDescent="0.35">
      <c r="A905">
        <v>918</v>
      </c>
      <c r="B905" t="s">
        <v>1841</v>
      </c>
      <c r="C905" t="s">
        <v>10202</v>
      </c>
      <c r="D905" t="s">
        <v>1842</v>
      </c>
      <c r="E905" t="s">
        <v>1843</v>
      </c>
      <c r="F905" t="s">
        <v>1829</v>
      </c>
      <c r="G905" t="s">
        <v>12527</v>
      </c>
      <c r="I905" t="str">
        <f t="shared" si="56"/>
        <v>866</v>
      </c>
      <c r="J905" t="str">
        <f t="shared" si="57"/>
        <v>BC</v>
      </c>
      <c r="K905">
        <f t="shared" si="58"/>
        <v>-866</v>
      </c>
      <c r="L905">
        <f t="shared" si="59"/>
        <v>-866</v>
      </c>
    </row>
    <row r="906" spans="1:12" x14ac:dyDescent="0.35">
      <c r="A906">
        <v>919</v>
      </c>
      <c r="B906" t="s">
        <v>1844</v>
      </c>
      <c r="C906" t="s">
        <v>11319</v>
      </c>
      <c r="D906" t="s">
        <v>1845</v>
      </c>
      <c r="E906" t="s">
        <v>1787</v>
      </c>
      <c r="F906" t="s">
        <v>1829</v>
      </c>
      <c r="G906" t="s">
        <v>1793</v>
      </c>
      <c r="I906" t="str">
        <f t="shared" si="56"/>
        <v>866</v>
      </c>
      <c r="J906" t="str">
        <f t="shared" si="57"/>
        <v>BC</v>
      </c>
      <c r="K906">
        <f t="shared" si="58"/>
        <v>-866</v>
      </c>
      <c r="L906">
        <f t="shared" si="59"/>
        <v>-866</v>
      </c>
    </row>
    <row r="907" spans="1:12" x14ac:dyDescent="0.35">
      <c r="A907">
        <v>920</v>
      </c>
      <c r="B907" t="s">
        <v>1846</v>
      </c>
      <c r="C907" t="s">
        <v>10203</v>
      </c>
      <c r="D907" t="s">
        <v>1847</v>
      </c>
      <c r="E907" t="s">
        <v>1848</v>
      </c>
      <c r="F907" t="s">
        <v>1829</v>
      </c>
      <c r="G907" t="s">
        <v>1849</v>
      </c>
      <c r="I907" t="str">
        <f t="shared" si="56"/>
        <v>866</v>
      </c>
      <c r="J907" t="str">
        <f t="shared" si="57"/>
        <v>BC</v>
      </c>
      <c r="K907">
        <f t="shared" si="58"/>
        <v>-866</v>
      </c>
      <c r="L907">
        <f t="shared" si="59"/>
        <v>-866</v>
      </c>
    </row>
    <row r="908" spans="1:12" x14ac:dyDescent="0.35">
      <c r="A908">
        <v>921</v>
      </c>
      <c r="B908" t="s">
        <v>1850</v>
      </c>
      <c r="C908" t="s">
        <v>11320</v>
      </c>
      <c r="D908" t="s">
        <v>1851</v>
      </c>
      <c r="E908" t="s">
        <v>1848</v>
      </c>
      <c r="F908" t="s">
        <v>1829</v>
      </c>
      <c r="G908" t="s">
        <v>1852</v>
      </c>
      <c r="I908" t="str">
        <f t="shared" si="56"/>
        <v>866</v>
      </c>
      <c r="J908" t="str">
        <f t="shared" si="57"/>
        <v>BC</v>
      </c>
      <c r="K908">
        <f t="shared" si="58"/>
        <v>-866</v>
      </c>
      <c r="L908">
        <f t="shared" si="59"/>
        <v>-866</v>
      </c>
    </row>
    <row r="909" spans="1:12" x14ac:dyDescent="0.35">
      <c r="A909">
        <v>922</v>
      </c>
      <c r="B909" t="s">
        <v>1853</v>
      </c>
      <c r="C909" t="s">
        <v>11245</v>
      </c>
      <c r="D909" t="s">
        <v>1854</v>
      </c>
      <c r="E909" t="s">
        <v>1848</v>
      </c>
      <c r="F909" t="s">
        <v>1829</v>
      </c>
      <c r="G909" t="s">
        <v>0</v>
      </c>
      <c r="I909" t="str">
        <f t="shared" si="56"/>
        <v>866</v>
      </c>
      <c r="J909" t="str">
        <f t="shared" si="57"/>
        <v>BC</v>
      </c>
      <c r="K909">
        <f t="shared" si="58"/>
        <v>-866</v>
      </c>
      <c r="L909">
        <f t="shared" si="59"/>
        <v>-866</v>
      </c>
    </row>
    <row r="910" spans="1:12" x14ac:dyDescent="0.35">
      <c r="A910">
        <v>923</v>
      </c>
      <c r="B910" t="s">
        <v>1855</v>
      </c>
      <c r="C910" t="s">
        <v>11321</v>
      </c>
      <c r="D910" t="s">
        <v>1856</v>
      </c>
      <c r="E910" t="s">
        <v>1848</v>
      </c>
      <c r="F910" t="s">
        <v>1829</v>
      </c>
      <c r="G910" t="s">
        <v>0</v>
      </c>
      <c r="I910" t="str">
        <f t="shared" si="56"/>
        <v>866</v>
      </c>
      <c r="J910" t="str">
        <f t="shared" si="57"/>
        <v>BC</v>
      </c>
      <c r="K910">
        <f t="shared" si="58"/>
        <v>-866</v>
      </c>
      <c r="L910">
        <f t="shared" si="59"/>
        <v>-866</v>
      </c>
    </row>
    <row r="911" spans="1:12" x14ac:dyDescent="0.35">
      <c r="A911">
        <v>924</v>
      </c>
      <c r="B911" t="s">
        <v>1857</v>
      </c>
      <c r="C911" t="s">
        <v>10760</v>
      </c>
      <c r="D911" t="s">
        <v>1858</v>
      </c>
      <c r="E911" t="s">
        <v>1848</v>
      </c>
      <c r="F911" t="s">
        <v>1829</v>
      </c>
      <c r="G911" t="s">
        <v>112</v>
      </c>
      <c r="I911" t="str">
        <f t="shared" si="56"/>
        <v>866</v>
      </c>
      <c r="J911" t="str">
        <f t="shared" si="57"/>
        <v>BC</v>
      </c>
      <c r="K911">
        <f t="shared" si="58"/>
        <v>-866</v>
      </c>
      <c r="L911">
        <f t="shared" si="59"/>
        <v>-866</v>
      </c>
    </row>
    <row r="912" spans="1:12" x14ac:dyDescent="0.35">
      <c r="A912">
        <v>925</v>
      </c>
      <c r="B912" t="s">
        <v>1859</v>
      </c>
      <c r="C912" t="s">
        <v>10618</v>
      </c>
      <c r="D912" t="s">
        <v>1860</v>
      </c>
      <c r="E912" t="s">
        <v>1848</v>
      </c>
      <c r="F912" t="s">
        <v>1829</v>
      </c>
      <c r="G912" t="s">
        <v>112</v>
      </c>
      <c r="I912" t="str">
        <f t="shared" si="56"/>
        <v>866</v>
      </c>
      <c r="J912" t="str">
        <f t="shared" si="57"/>
        <v>BC</v>
      </c>
      <c r="K912">
        <f t="shared" si="58"/>
        <v>-866</v>
      </c>
      <c r="L912">
        <f t="shared" si="59"/>
        <v>-866</v>
      </c>
    </row>
    <row r="913" spans="1:12" x14ac:dyDescent="0.35">
      <c r="A913">
        <v>926</v>
      </c>
      <c r="B913" t="s">
        <v>1861</v>
      </c>
      <c r="C913" t="s">
        <v>10204</v>
      </c>
      <c r="D913" t="s">
        <v>1862</v>
      </c>
      <c r="E913" t="s">
        <v>1848</v>
      </c>
      <c r="F913" t="s">
        <v>1829</v>
      </c>
      <c r="G913" t="s">
        <v>12533</v>
      </c>
      <c r="I913" t="str">
        <f t="shared" si="56"/>
        <v>866</v>
      </c>
      <c r="J913" t="str">
        <f t="shared" si="57"/>
        <v>BC</v>
      </c>
      <c r="K913">
        <f t="shared" si="58"/>
        <v>-866</v>
      </c>
      <c r="L913">
        <f t="shared" si="59"/>
        <v>-866</v>
      </c>
    </row>
    <row r="914" spans="1:12" x14ac:dyDescent="0.35">
      <c r="A914">
        <v>927</v>
      </c>
      <c r="B914" t="s">
        <v>1863</v>
      </c>
      <c r="C914" t="s">
        <v>11224</v>
      </c>
      <c r="D914" t="s">
        <v>1864</v>
      </c>
      <c r="E914" t="s">
        <v>1865</v>
      </c>
      <c r="F914" t="s">
        <v>1829</v>
      </c>
      <c r="G914" t="s">
        <v>1866</v>
      </c>
      <c r="I914" t="str">
        <f t="shared" si="56"/>
        <v>866</v>
      </c>
      <c r="J914" t="str">
        <f t="shared" si="57"/>
        <v>BC</v>
      </c>
      <c r="K914">
        <f t="shared" si="58"/>
        <v>-866</v>
      </c>
      <c r="L914">
        <f t="shared" si="59"/>
        <v>-866</v>
      </c>
    </row>
    <row r="915" spans="1:12" x14ac:dyDescent="0.35">
      <c r="A915">
        <v>928</v>
      </c>
      <c r="B915" t="s">
        <v>1867</v>
      </c>
      <c r="C915" t="s">
        <v>10041</v>
      </c>
      <c r="D915" t="s">
        <v>1868</v>
      </c>
      <c r="E915" t="s">
        <v>1848</v>
      </c>
      <c r="F915" t="s">
        <v>1829</v>
      </c>
      <c r="G915" t="s">
        <v>0</v>
      </c>
      <c r="I915" t="str">
        <f t="shared" si="56"/>
        <v>866</v>
      </c>
      <c r="J915" t="str">
        <f t="shared" si="57"/>
        <v>BC</v>
      </c>
      <c r="K915">
        <f t="shared" si="58"/>
        <v>-866</v>
      </c>
      <c r="L915">
        <f t="shared" si="59"/>
        <v>-866</v>
      </c>
    </row>
    <row r="916" spans="1:12" x14ac:dyDescent="0.35">
      <c r="A916">
        <v>929</v>
      </c>
      <c r="B916" t="s">
        <v>1869</v>
      </c>
      <c r="C916" t="s">
        <v>10761</v>
      </c>
      <c r="D916" t="s">
        <v>1870</v>
      </c>
      <c r="E916" t="s">
        <v>1871</v>
      </c>
      <c r="F916" t="s">
        <v>1829</v>
      </c>
      <c r="G916" t="s">
        <v>112</v>
      </c>
      <c r="I916" t="str">
        <f t="shared" si="56"/>
        <v>866</v>
      </c>
      <c r="J916" t="str">
        <f t="shared" si="57"/>
        <v>BC</v>
      </c>
      <c r="K916">
        <f t="shared" si="58"/>
        <v>-866</v>
      </c>
      <c r="L916">
        <f t="shared" si="59"/>
        <v>-866</v>
      </c>
    </row>
    <row r="917" spans="1:12" x14ac:dyDescent="0.35">
      <c r="A917">
        <v>930</v>
      </c>
      <c r="B917" t="s">
        <v>1872</v>
      </c>
      <c r="C917" t="s">
        <v>10512</v>
      </c>
      <c r="D917" t="s">
        <v>1873</v>
      </c>
      <c r="E917" t="s">
        <v>1874</v>
      </c>
      <c r="F917" t="s">
        <v>1829</v>
      </c>
      <c r="G917" t="s">
        <v>112</v>
      </c>
      <c r="I917" t="str">
        <f t="shared" si="56"/>
        <v>866</v>
      </c>
      <c r="J917" t="str">
        <f t="shared" si="57"/>
        <v>BC</v>
      </c>
      <c r="K917">
        <f t="shared" si="58"/>
        <v>-866</v>
      </c>
      <c r="L917">
        <f t="shared" si="59"/>
        <v>-866</v>
      </c>
    </row>
    <row r="918" spans="1:12" x14ac:dyDescent="0.35">
      <c r="A918">
        <v>931</v>
      </c>
      <c r="B918" t="s">
        <v>1875</v>
      </c>
      <c r="C918" t="s">
        <v>10205</v>
      </c>
      <c r="D918" t="s">
        <v>1876</v>
      </c>
      <c r="E918" t="s">
        <v>1874</v>
      </c>
      <c r="F918" t="s">
        <v>1829</v>
      </c>
      <c r="G918" t="s">
        <v>1877</v>
      </c>
      <c r="I918" t="str">
        <f t="shared" si="56"/>
        <v>866</v>
      </c>
      <c r="J918" t="str">
        <f t="shared" si="57"/>
        <v>BC</v>
      </c>
      <c r="K918">
        <f t="shared" si="58"/>
        <v>-866</v>
      </c>
      <c r="L918">
        <f t="shared" si="59"/>
        <v>-866</v>
      </c>
    </row>
    <row r="919" spans="1:12" x14ac:dyDescent="0.35">
      <c r="A919">
        <v>932</v>
      </c>
      <c r="B919" t="s">
        <v>1878</v>
      </c>
      <c r="C919" t="s">
        <v>11322</v>
      </c>
      <c r="D919" t="s">
        <v>1879</v>
      </c>
      <c r="E919" t="s">
        <v>233</v>
      </c>
      <c r="F919" t="s">
        <v>1829</v>
      </c>
      <c r="G919" t="s">
        <v>0</v>
      </c>
      <c r="I919" t="str">
        <f t="shared" si="56"/>
        <v>866</v>
      </c>
      <c r="J919" t="str">
        <f t="shared" si="57"/>
        <v>BC</v>
      </c>
      <c r="K919">
        <f t="shared" si="58"/>
        <v>-866</v>
      </c>
      <c r="L919">
        <f t="shared" si="59"/>
        <v>-866</v>
      </c>
    </row>
    <row r="920" spans="1:12" x14ac:dyDescent="0.35">
      <c r="A920">
        <v>933</v>
      </c>
      <c r="B920" t="s">
        <v>1880</v>
      </c>
      <c r="C920" t="s">
        <v>11323</v>
      </c>
      <c r="D920" t="s">
        <v>1881</v>
      </c>
      <c r="E920" t="s">
        <v>1882</v>
      </c>
      <c r="F920" t="s">
        <v>1829</v>
      </c>
      <c r="G920" t="s">
        <v>63</v>
      </c>
      <c r="I920" t="str">
        <f t="shared" si="56"/>
        <v>866</v>
      </c>
      <c r="J920" t="str">
        <f t="shared" si="57"/>
        <v>BC</v>
      </c>
      <c r="K920">
        <f t="shared" si="58"/>
        <v>-866</v>
      </c>
      <c r="L920">
        <f t="shared" si="59"/>
        <v>-866</v>
      </c>
    </row>
    <row r="921" spans="1:12" x14ac:dyDescent="0.35">
      <c r="A921">
        <v>934</v>
      </c>
      <c r="B921" t="s">
        <v>1883</v>
      </c>
      <c r="C921" t="s">
        <v>11324</v>
      </c>
      <c r="D921" t="s">
        <v>1884</v>
      </c>
      <c r="E921" t="s">
        <v>1885</v>
      </c>
      <c r="F921" t="s">
        <v>1829</v>
      </c>
      <c r="G921" t="s">
        <v>12528</v>
      </c>
      <c r="I921" t="str">
        <f t="shared" si="56"/>
        <v>866</v>
      </c>
      <c r="J921" t="str">
        <f t="shared" si="57"/>
        <v>BC</v>
      </c>
      <c r="K921">
        <f t="shared" si="58"/>
        <v>-866</v>
      </c>
      <c r="L921">
        <f t="shared" si="59"/>
        <v>-866</v>
      </c>
    </row>
    <row r="922" spans="1:12" x14ac:dyDescent="0.35">
      <c r="A922">
        <v>935</v>
      </c>
      <c r="B922" t="s">
        <v>1886</v>
      </c>
      <c r="C922" t="s">
        <v>11325</v>
      </c>
      <c r="D922" t="s">
        <v>1887</v>
      </c>
      <c r="E922" t="s">
        <v>1885</v>
      </c>
      <c r="F922" t="s">
        <v>1829</v>
      </c>
      <c r="G922" t="s">
        <v>112</v>
      </c>
      <c r="I922" t="str">
        <f t="shared" si="56"/>
        <v>866</v>
      </c>
      <c r="J922" t="str">
        <f t="shared" si="57"/>
        <v>BC</v>
      </c>
      <c r="K922">
        <f t="shared" si="58"/>
        <v>-866</v>
      </c>
      <c r="L922">
        <f t="shared" si="59"/>
        <v>-866</v>
      </c>
    </row>
    <row r="923" spans="1:12" x14ac:dyDescent="0.35">
      <c r="A923">
        <v>936</v>
      </c>
      <c r="B923" t="s">
        <v>1888</v>
      </c>
      <c r="C923" t="s">
        <v>11326</v>
      </c>
      <c r="D923" t="s">
        <v>1889</v>
      </c>
      <c r="E923" t="s">
        <v>1885</v>
      </c>
      <c r="F923" t="s">
        <v>1829</v>
      </c>
      <c r="G923" t="s">
        <v>112</v>
      </c>
      <c r="I923" t="str">
        <f t="shared" si="56"/>
        <v>866</v>
      </c>
      <c r="J923" t="str">
        <f t="shared" si="57"/>
        <v>BC</v>
      </c>
      <c r="K923">
        <f t="shared" si="58"/>
        <v>-866</v>
      </c>
      <c r="L923">
        <f t="shared" si="59"/>
        <v>-866</v>
      </c>
    </row>
    <row r="924" spans="1:12" x14ac:dyDescent="0.35">
      <c r="A924">
        <v>937</v>
      </c>
      <c r="B924" t="s">
        <v>1890</v>
      </c>
      <c r="C924" t="s">
        <v>11327</v>
      </c>
      <c r="D924" t="s">
        <v>1891</v>
      </c>
      <c r="E924" t="s">
        <v>1885</v>
      </c>
      <c r="F924" t="s">
        <v>1829</v>
      </c>
      <c r="G924" t="s">
        <v>112</v>
      </c>
      <c r="I924" t="str">
        <f t="shared" si="56"/>
        <v>866</v>
      </c>
      <c r="J924" t="str">
        <f t="shared" si="57"/>
        <v>BC</v>
      </c>
      <c r="K924">
        <f t="shared" si="58"/>
        <v>-866</v>
      </c>
      <c r="L924">
        <f t="shared" si="59"/>
        <v>-866</v>
      </c>
    </row>
    <row r="925" spans="1:12" x14ac:dyDescent="0.35">
      <c r="A925">
        <v>938</v>
      </c>
      <c r="B925" t="s">
        <v>1892</v>
      </c>
      <c r="C925" t="s">
        <v>10206</v>
      </c>
      <c r="D925" t="s">
        <v>1893</v>
      </c>
      <c r="E925" t="s">
        <v>1885</v>
      </c>
      <c r="F925" t="s">
        <v>1829</v>
      </c>
      <c r="G925" t="s">
        <v>112</v>
      </c>
      <c r="I925" t="str">
        <f t="shared" si="56"/>
        <v>866</v>
      </c>
      <c r="J925" t="str">
        <f t="shared" si="57"/>
        <v>BC</v>
      </c>
      <c r="K925">
        <f t="shared" si="58"/>
        <v>-866</v>
      </c>
      <c r="L925">
        <f t="shared" si="59"/>
        <v>-866</v>
      </c>
    </row>
    <row r="926" spans="1:12" x14ac:dyDescent="0.35">
      <c r="A926">
        <v>939</v>
      </c>
      <c r="B926" t="s">
        <v>1894</v>
      </c>
      <c r="C926" t="s">
        <v>10207</v>
      </c>
      <c r="D926" t="s">
        <v>1895</v>
      </c>
      <c r="E926" t="s">
        <v>1885</v>
      </c>
      <c r="F926" t="s">
        <v>1829</v>
      </c>
      <c r="G926" t="s">
        <v>112</v>
      </c>
      <c r="I926" t="str">
        <f t="shared" si="56"/>
        <v>866</v>
      </c>
      <c r="J926" t="str">
        <f t="shared" si="57"/>
        <v>BC</v>
      </c>
      <c r="K926">
        <f t="shared" si="58"/>
        <v>-866</v>
      </c>
      <c r="L926">
        <f t="shared" si="59"/>
        <v>-866</v>
      </c>
    </row>
    <row r="927" spans="1:12" x14ac:dyDescent="0.35">
      <c r="A927">
        <v>940</v>
      </c>
      <c r="B927" t="s">
        <v>1896</v>
      </c>
      <c r="C927" t="s">
        <v>10208</v>
      </c>
      <c r="D927" t="s">
        <v>1897</v>
      </c>
      <c r="E927" t="s">
        <v>1898</v>
      </c>
      <c r="F927" t="s">
        <v>1829</v>
      </c>
      <c r="G927" t="s">
        <v>1849</v>
      </c>
      <c r="I927" t="str">
        <f t="shared" si="56"/>
        <v>866</v>
      </c>
      <c r="J927" t="str">
        <f t="shared" si="57"/>
        <v>BC</v>
      </c>
      <c r="K927">
        <f t="shared" si="58"/>
        <v>-866</v>
      </c>
      <c r="L927">
        <f t="shared" si="59"/>
        <v>-866</v>
      </c>
    </row>
    <row r="928" spans="1:12" x14ac:dyDescent="0.35">
      <c r="A928">
        <v>941</v>
      </c>
      <c r="B928" t="s">
        <v>1899</v>
      </c>
      <c r="C928" t="s">
        <v>11328</v>
      </c>
      <c r="D928" t="s">
        <v>1900</v>
      </c>
      <c r="E928" t="s">
        <v>1787</v>
      </c>
      <c r="F928" t="s">
        <v>1901</v>
      </c>
      <c r="G928" t="s">
        <v>1902</v>
      </c>
      <c r="I928" t="str">
        <f t="shared" si="56"/>
        <v>855</v>
      </c>
      <c r="J928" t="str">
        <f t="shared" si="57"/>
        <v>BC</v>
      </c>
      <c r="K928">
        <f t="shared" si="58"/>
        <v>-855</v>
      </c>
      <c r="L928">
        <f t="shared" si="59"/>
        <v>-855</v>
      </c>
    </row>
    <row r="929" spans="1:12" x14ac:dyDescent="0.35">
      <c r="A929">
        <v>942</v>
      </c>
      <c r="B929" t="s">
        <v>1903</v>
      </c>
      <c r="C929" t="s">
        <v>10069</v>
      </c>
      <c r="D929" t="s">
        <v>1904</v>
      </c>
      <c r="E929" t="s">
        <v>1787</v>
      </c>
      <c r="F929" t="s">
        <v>1901</v>
      </c>
      <c r="G929" t="s">
        <v>1905</v>
      </c>
      <c r="I929" t="str">
        <f t="shared" si="56"/>
        <v>855</v>
      </c>
      <c r="J929" t="str">
        <f t="shared" si="57"/>
        <v>BC</v>
      </c>
      <c r="K929">
        <f t="shared" si="58"/>
        <v>-855</v>
      </c>
      <c r="L929">
        <f t="shared" si="59"/>
        <v>-855</v>
      </c>
    </row>
    <row r="930" spans="1:12" x14ac:dyDescent="0.35">
      <c r="A930">
        <v>943</v>
      </c>
      <c r="B930" t="s">
        <v>1906</v>
      </c>
      <c r="C930" t="s">
        <v>10091</v>
      </c>
      <c r="D930" t="s">
        <v>1907</v>
      </c>
      <c r="E930" t="s">
        <v>1787</v>
      </c>
      <c r="F930" t="s">
        <v>1901</v>
      </c>
      <c r="G930" t="s">
        <v>2337</v>
      </c>
      <c r="I930" t="str">
        <f t="shared" si="56"/>
        <v>855</v>
      </c>
      <c r="J930" t="str">
        <f t="shared" si="57"/>
        <v>BC</v>
      </c>
      <c r="K930">
        <f t="shared" si="58"/>
        <v>-855</v>
      </c>
      <c r="L930">
        <f t="shared" si="59"/>
        <v>-855</v>
      </c>
    </row>
    <row r="931" spans="1:12" x14ac:dyDescent="0.35">
      <c r="A931">
        <v>944</v>
      </c>
      <c r="B931" t="s">
        <v>1908</v>
      </c>
      <c r="C931" t="s">
        <v>10253</v>
      </c>
      <c r="D931" t="s">
        <v>1909</v>
      </c>
      <c r="E931" t="s">
        <v>1787</v>
      </c>
      <c r="F931" t="s">
        <v>1901</v>
      </c>
      <c r="G931" t="s">
        <v>1910</v>
      </c>
      <c r="I931" t="str">
        <f t="shared" si="56"/>
        <v>855</v>
      </c>
      <c r="J931" t="str">
        <f t="shared" si="57"/>
        <v>BC</v>
      </c>
      <c r="K931">
        <f t="shared" si="58"/>
        <v>-855</v>
      </c>
      <c r="L931">
        <f t="shared" si="59"/>
        <v>-855</v>
      </c>
    </row>
    <row r="932" spans="1:12" x14ac:dyDescent="0.35">
      <c r="A932">
        <v>945</v>
      </c>
      <c r="B932" t="s">
        <v>1911</v>
      </c>
      <c r="C932" t="s">
        <v>10209</v>
      </c>
      <c r="D932" t="s">
        <v>1912</v>
      </c>
      <c r="E932" t="s">
        <v>1641</v>
      </c>
      <c r="F932" t="s">
        <v>1913</v>
      </c>
      <c r="G932" t="s">
        <v>1914</v>
      </c>
      <c r="I932" t="str">
        <f t="shared" si="56"/>
        <v>854</v>
      </c>
      <c r="J932" t="str">
        <f t="shared" si="57"/>
        <v>BC</v>
      </c>
      <c r="K932">
        <f t="shared" si="58"/>
        <v>-854</v>
      </c>
      <c r="L932">
        <f t="shared" si="59"/>
        <v>-854</v>
      </c>
    </row>
    <row r="933" spans="1:12" x14ac:dyDescent="0.35">
      <c r="A933">
        <v>946</v>
      </c>
      <c r="B933" t="s">
        <v>1915</v>
      </c>
      <c r="C933" t="s">
        <v>10068</v>
      </c>
      <c r="D933" t="s">
        <v>1916</v>
      </c>
      <c r="E933" t="s">
        <v>1917</v>
      </c>
      <c r="F933" t="s">
        <v>1913</v>
      </c>
      <c r="G933" t="s">
        <v>1046</v>
      </c>
      <c r="I933" t="str">
        <f t="shared" si="56"/>
        <v>854</v>
      </c>
      <c r="J933" t="str">
        <f t="shared" si="57"/>
        <v>BC</v>
      </c>
      <c r="K933">
        <f t="shared" si="58"/>
        <v>-854</v>
      </c>
      <c r="L933">
        <f t="shared" si="59"/>
        <v>-854</v>
      </c>
    </row>
    <row r="934" spans="1:12" x14ac:dyDescent="0.35">
      <c r="A934">
        <v>947</v>
      </c>
      <c r="B934" t="s">
        <v>1918</v>
      </c>
      <c r="C934" t="s">
        <v>11329</v>
      </c>
      <c r="D934" t="s">
        <v>1919</v>
      </c>
      <c r="E934" t="s">
        <v>1917</v>
      </c>
      <c r="F934" t="s">
        <v>1913</v>
      </c>
      <c r="G934" t="s">
        <v>2337</v>
      </c>
      <c r="I934" t="str">
        <f t="shared" si="56"/>
        <v>854</v>
      </c>
      <c r="J934" t="str">
        <f t="shared" si="57"/>
        <v>BC</v>
      </c>
      <c r="K934">
        <f t="shared" si="58"/>
        <v>-854</v>
      </c>
      <c r="L934">
        <f t="shared" si="59"/>
        <v>-854</v>
      </c>
    </row>
    <row r="935" spans="1:12" x14ac:dyDescent="0.35">
      <c r="A935">
        <v>948</v>
      </c>
      <c r="B935" t="s">
        <v>1920</v>
      </c>
      <c r="C935" t="s">
        <v>10544</v>
      </c>
      <c r="D935" t="s">
        <v>1921</v>
      </c>
      <c r="E935" t="s">
        <v>1917</v>
      </c>
      <c r="F935" t="s">
        <v>1913</v>
      </c>
      <c r="G935" t="s">
        <v>112</v>
      </c>
      <c r="I935" t="str">
        <f t="shared" si="56"/>
        <v>854</v>
      </c>
      <c r="J935" t="str">
        <f t="shared" si="57"/>
        <v>BC</v>
      </c>
      <c r="K935">
        <f t="shared" si="58"/>
        <v>-854</v>
      </c>
      <c r="L935">
        <f t="shared" si="59"/>
        <v>-854</v>
      </c>
    </row>
    <row r="936" spans="1:12" x14ac:dyDescent="0.35">
      <c r="A936">
        <v>949</v>
      </c>
      <c r="B936" t="s">
        <v>1922</v>
      </c>
      <c r="C936" t="s">
        <v>11330</v>
      </c>
      <c r="D936" t="s">
        <v>1923</v>
      </c>
      <c r="E936" t="s">
        <v>1917</v>
      </c>
      <c r="F936" t="s">
        <v>1913</v>
      </c>
      <c r="G936" t="s">
        <v>1793</v>
      </c>
      <c r="I936" t="str">
        <f t="shared" si="56"/>
        <v>854</v>
      </c>
      <c r="J936" t="str">
        <f t="shared" si="57"/>
        <v>BC</v>
      </c>
      <c r="K936">
        <f t="shared" si="58"/>
        <v>-854</v>
      </c>
      <c r="L936">
        <f t="shared" si="59"/>
        <v>-854</v>
      </c>
    </row>
    <row r="937" spans="1:12" x14ac:dyDescent="0.35">
      <c r="A937">
        <v>950</v>
      </c>
      <c r="B937" t="s">
        <v>1924</v>
      </c>
      <c r="C937" t="s">
        <v>10037</v>
      </c>
      <c r="D937" t="s">
        <v>1925</v>
      </c>
      <c r="E937" t="s">
        <v>1926</v>
      </c>
      <c r="F937" t="s">
        <v>1913</v>
      </c>
      <c r="G937" t="s">
        <v>1927</v>
      </c>
      <c r="I937" t="str">
        <f t="shared" si="56"/>
        <v>854</v>
      </c>
      <c r="J937" t="str">
        <f t="shared" si="57"/>
        <v>BC</v>
      </c>
      <c r="K937">
        <f t="shared" si="58"/>
        <v>-854</v>
      </c>
      <c r="L937">
        <f t="shared" si="59"/>
        <v>-854</v>
      </c>
    </row>
    <row r="938" spans="1:12" x14ac:dyDescent="0.35">
      <c r="A938">
        <v>951</v>
      </c>
      <c r="B938" t="s">
        <v>1928</v>
      </c>
      <c r="C938" t="s">
        <v>10210</v>
      </c>
      <c r="D938" t="s">
        <v>1929</v>
      </c>
      <c r="E938" t="s">
        <v>1930</v>
      </c>
      <c r="F938" t="s">
        <v>1913</v>
      </c>
      <c r="G938" t="s">
        <v>12525</v>
      </c>
      <c r="I938" t="str">
        <f t="shared" si="56"/>
        <v>854</v>
      </c>
      <c r="J938" t="str">
        <f t="shared" si="57"/>
        <v>BC</v>
      </c>
      <c r="K938">
        <f t="shared" si="58"/>
        <v>-854</v>
      </c>
      <c r="L938">
        <f t="shared" si="59"/>
        <v>-854</v>
      </c>
    </row>
    <row r="939" spans="1:12" x14ac:dyDescent="0.35">
      <c r="A939">
        <v>952</v>
      </c>
      <c r="B939" t="s">
        <v>1931</v>
      </c>
      <c r="C939" t="s">
        <v>11331</v>
      </c>
      <c r="D939" t="s">
        <v>1932</v>
      </c>
      <c r="E939" t="s">
        <v>1933</v>
      </c>
      <c r="F939" t="s">
        <v>1913</v>
      </c>
      <c r="G939" t="s">
        <v>1910</v>
      </c>
      <c r="I939" t="str">
        <f t="shared" si="56"/>
        <v>854</v>
      </c>
      <c r="J939" t="str">
        <f t="shared" si="57"/>
        <v>BC</v>
      </c>
      <c r="K939">
        <f t="shared" si="58"/>
        <v>-854</v>
      </c>
      <c r="L939">
        <f t="shared" si="59"/>
        <v>-854</v>
      </c>
    </row>
    <row r="940" spans="1:12" x14ac:dyDescent="0.35">
      <c r="A940">
        <v>953</v>
      </c>
      <c r="B940" t="s">
        <v>1934</v>
      </c>
      <c r="C940" t="s">
        <v>10037</v>
      </c>
      <c r="D940" t="s">
        <v>1935</v>
      </c>
      <c r="E940" t="s">
        <v>1933</v>
      </c>
      <c r="F940" t="s">
        <v>1913</v>
      </c>
      <c r="G940" t="s">
        <v>12462</v>
      </c>
      <c r="I940" t="str">
        <f t="shared" si="56"/>
        <v>854</v>
      </c>
      <c r="J940" t="str">
        <f t="shared" si="57"/>
        <v>BC</v>
      </c>
      <c r="K940">
        <f t="shared" si="58"/>
        <v>-854</v>
      </c>
      <c r="L940">
        <f t="shared" si="59"/>
        <v>-854</v>
      </c>
    </row>
    <row r="941" spans="1:12" x14ac:dyDescent="0.35">
      <c r="A941">
        <v>954</v>
      </c>
      <c r="B941" t="s">
        <v>1936</v>
      </c>
      <c r="C941" t="s">
        <v>10211</v>
      </c>
      <c r="D941" t="s">
        <v>1937</v>
      </c>
      <c r="E941" t="s">
        <v>1874</v>
      </c>
      <c r="F941" t="s">
        <v>1938</v>
      </c>
      <c r="G941" t="s">
        <v>1793</v>
      </c>
      <c r="I941" t="str">
        <f t="shared" si="56"/>
        <v>853</v>
      </c>
      <c r="J941" t="str">
        <f t="shared" si="57"/>
        <v>BC</v>
      </c>
      <c r="K941">
        <f t="shared" si="58"/>
        <v>-853</v>
      </c>
      <c r="L941">
        <f t="shared" si="59"/>
        <v>-853</v>
      </c>
    </row>
    <row r="942" spans="1:12" x14ac:dyDescent="0.35">
      <c r="A942">
        <v>955</v>
      </c>
      <c r="B942" t="s">
        <v>1939</v>
      </c>
      <c r="C942" t="s">
        <v>10212</v>
      </c>
      <c r="D942" t="s">
        <v>1940</v>
      </c>
      <c r="E942" t="s">
        <v>1874</v>
      </c>
      <c r="F942" t="s">
        <v>1938</v>
      </c>
      <c r="G942" t="s">
        <v>1877</v>
      </c>
      <c r="I942" t="str">
        <f t="shared" si="56"/>
        <v>853</v>
      </c>
      <c r="J942" t="str">
        <f t="shared" si="57"/>
        <v>BC</v>
      </c>
      <c r="K942">
        <f t="shared" si="58"/>
        <v>-853</v>
      </c>
      <c r="L942">
        <f t="shared" si="59"/>
        <v>-853</v>
      </c>
    </row>
    <row r="943" spans="1:12" x14ac:dyDescent="0.35">
      <c r="A943">
        <v>956</v>
      </c>
      <c r="B943" t="s">
        <v>1941</v>
      </c>
      <c r="C943" t="s">
        <v>10213</v>
      </c>
      <c r="D943" t="s">
        <v>1942</v>
      </c>
      <c r="E943" t="s">
        <v>1943</v>
      </c>
      <c r="F943" t="s">
        <v>1938</v>
      </c>
      <c r="G943" t="s">
        <v>112</v>
      </c>
      <c r="I943" t="str">
        <f t="shared" si="56"/>
        <v>853</v>
      </c>
      <c r="J943" t="str">
        <f t="shared" si="57"/>
        <v>BC</v>
      </c>
      <c r="K943">
        <f t="shared" si="58"/>
        <v>-853</v>
      </c>
      <c r="L943">
        <f t="shared" si="59"/>
        <v>-853</v>
      </c>
    </row>
    <row r="944" spans="1:12" x14ac:dyDescent="0.35">
      <c r="A944">
        <v>957</v>
      </c>
      <c r="B944" t="s">
        <v>1944</v>
      </c>
      <c r="C944" t="s">
        <v>10037</v>
      </c>
      <c r="D944" t="s">
        <v>1945</v>
      </c>
      <c r="E944" t="s">
        <v>1943</v>
      </c>
      <c r="F944" t="s">
        <v>1938</v>
      </c>
      <c r="G944" t="s">
        <v>0</v>
      </c>
      <c r="I944" t="str">
        <f t="shared" si="56"/>
        <v>853</v>
      </c>
      <c r="J944" t="str">
        <f t="shared" si="57"/>
        <v>BC</v>
      </c>
      <c r="K944">
        <f t="shared" si="58"/>
        <v>-853</v>
      </c>
      <c r="L944">
        <f t="shared" si="59"/>
        <v>-853</v>
      </c>
    </row>
    <row r="945" spans="1:12" x14ac:dyDescent="0.35">
      <c r="A945">
        <v>958</v>
      </c>
      <c r="B945" t="s">
        <v>1946</v>
      </c>
      <c r="C945" t="s">
        <v>10037</v>
      </c>
      <c r="D945" t="s">
        <v>1947</v>
      </c>
      <c r="E945" t="s">
        <v>1943</v>
      </c>
      <c r="F945" t="s">
        <v>1938</v>
      </c>
      <c r="G945" t="s">
        <v>0</v>
      </c>
      <c r="I945" t="str">
        <f t="shared" si="56"/>
        <v>853</v>
      </c>
      <c r="J945" t="str">
        <f t="shared" si="57"/>
        <v>BC</v>
      </c>
      <c r="K945">
        <f t="shared" si="58"/>
        <v>-853</v>
      </c>
      <c r="L945">
        <f t="shared" si="59"/>
        <v>-853</v>
      </c>
    </row>
    <row r="946" spans="1:12" x14ac:dyDescent="0.35">
      <c r="A946">
        <v>959</v>
      </c>
      <c r="B946" t="s">
        <v>1948</v>
      </c>
      <c r="C946" t="s">
        <v>10214</v>
      </c>
      <c r="D946" t="s">
        <v>1949</v>
      </c>
      <c r="E946" t="s">
        <v>1787</v>
      </c>
      <c r="F946" t="s">
        <v>1938</v>
      </c>
      <c r="G946" t="s">
        <v>12535</v>
      </c>
      <c r="I946" t="str">
        <f t="shared" si="56"/>
        <v>853</v>
      </c>
      <c r="J946" t="str">
        <f t="shared" si="57"/>
        <v>BC</v>
      </c>
      <c r="K946">
        <f t="shared" si="58"/>
        <v>-853</v>
      </c>
      <c r="L946">
        <f t="shared" si="59"/>
        <v>-853</v>
      </c>
    </row>
    <row r="947" spans="1:12" x14ac:dyDescent="0.35">
      <c r="A947">
        <v>960</v>
      </c>
      <c r="B947" t="s">
        <v>1950</v>
      </c>
      <c r="C947" t="s">
        <v>10215</v>
      </c>
      <c r="D947" t="s">
        <v>1951</v>
      </c>
      <c r="E947" t="s">
        <v>1787</v>
      </c>
      <c r="F947" t="s">
        <v>1938</v>
      </c>
      <c r="G947" t="s">
        <v>112</v>
      </c>
      <c r="I947" t="str">
        <f t="shared" si="56"/>
        <v>853</v>
      </c>
      <c r="J947" t="str">
        <f t="shared" si="57"/>
        <v>BC</v>
      </c>
      <c r="K947">
        <f t="shared" si="58"/>
        <v>-853</v>
      </c>
      <c r="L947">
        <f t="shared" si="59"/>
        <v>-853</v>
      </c>
    </row>
    <row r="948" spans="1:12" x14ac:dyDescent="0.35">
      <c r="A948">
        <v>961</v>
      </c>
      <c r="B948" t="s">
        <v>1952</v>
      </c>
      <c r="C948" t="s">
        <v>11332</v>
      </c>
      <c r="D948" t="s">
        <v>1953</v>
      </c>
      <c r="E948" t="s">
        <v>1954</v>
      </c>
      <c r="F948" t="s">
        <v>1938</v>
      </c>
      <c r="G948" t="s">
        <v>1955</v>
      </c>
      <c r="I948" t="str">
        <f t="shared" ref="I948:I1011" si="60">SUBSTITUTE(SUBSTITUTE(SUBSTITUTE(F948,"c. ","")," BC","")," AD","")</f>
        <v>853</v>
      </c>
      <c r="J948" t="str">
        <f t="shared" si="57"/>
        <v>BC</v>
      </c>
      <c r="K948">
        <f t="shared" si="58"/>
        <v>-853</v>
      </c>
      <c r="L948">
        <f t="shared" si="59"/>
        <v>-853</v>
      </c>
    </row>
    <row r="949" spans="1:12" x14ac:dyDescent="0.35">
      <c r="A949">
        <v>962</v>
      </c>
      <c r="B949" t="s">
        <v>1956</v>
      </c>
      <c r="C949" t="s">
        <v>10216</v>
      </c>
      <c r="D949" t="s">
        <v>1957</v>
      </c>
      <c r="E949" t="s">
        <v>1787</v>
      </c>
      <c r="F949" t="s">
        <v>1938</v>
      </c>
      <c r="G949" t="s">
        <v>1958</v>
      </c>
      <c r="I949" t="str">
        <f t="shared" si="60"/>
        <v>853</v>
      </c>
      <c r="J949" t="str">
        <f t="shared" si="57"/>
        <v>BC</v>
      </c>
      <c r="K949">
        <f t="shared" si="58"/>
        <v>-853</v>
      </c>
      <c r="L949">
        <f t="shared" si="59"/>
        <v>-853</v>
      </c>
    </row>
    <row r="950" spans="1:12" x14ac:dyDescent="0.35">
      <c r="A950">
        <v>963</v>
      </c>
      <c r="B950" t="s">
        <v>1959</v>
      </c>
      <c r="C950" t="s">
        <v>11333</v>
      </c>
      <c r="D950" t="s">
        <v>1960</v>
      </c>
      <c r="E950" t="s">
        <v>1787</v>
      </c>
      <c r="F950" t="s">
        <v>1938</v>
      </c>
      <c r="G950" t="s">
        <v>1961</v>
      </c>
      <c r="I950" t="str">
        <f t="shared" si="60"/>
        <v>853</v>
      </c>
      <c r="J950" t="str">
        <f t="shared" si="57"/>
        <v>BC</v>
      </c>
      <c r="K950">
        <f t="shared" si="58"/>
        <v>-853</v>
      </c>
      <c r="L950">
        <f t="shared" si="59"/>
        <v>-853</v>
      </c>
    </row>
    <row r="951" spans="1:12" x14ac:dyDescent="0.35">
      <c r="A951">
        <v>964</v>
      </c>
      <c r="B951" t="s">
        <v>1962</v>
      </c>
      <c r="C951" t="s">
        <v>10217</v>
      </c>
      <c r="D951" t="s">
        <v>1963</v>
      </c>
      <c r="E951" t="s">
        <v>1787</v>
      </c>
      <c r="F951" t="s">
        <v>1938</v>
      </c>
      <c r="G951" t="s">
        <v>12529</v>
      </c>
      <c r="I951" t="str">
        <f t="shared" si="60"/>
        <v>853</v>
      </c>
      <c r="J951" t="str">
        <f t="shared" si="57"/>
        <v>BC</v>
      </c>
      <c r="K951">
        <f t="shared" si="58"/>
        <v>-853</v>
      </c>
      <c r="L951">
        <f t="shared" si="59"/>
        <v>-853</v>
      </c>
    </row>
    <row r="952" spans="1:12" x14ac:dyDescent="0.35">
      <c r="A952">
        <v>965</v>
      </c>
      <c r="B952" t="s">
        <v>1964</v>
      </c>
      <c r="C952" t="s">
        <v>11334</v>
      </c>
      <c r="D952" t="s">
        <v>1965</v>
      </c>
      <c r="E952" t="s">
        <v>1787</v>
      </c>
      <c r="F952" t="s">
        <v>1938</v>
      </c>
      <c r="G952" t="s">
        <v>112</v>
      </c>
      <c r="I952" t="str">
        <f t="shared" si="60"/>
        <v>853</v>
      </c>
      <c r="J952" t="str">
        <f t="shared" si="57"/>
        <v>BC</v>
      </c>
      <c r="K952">
        <f t="shared" si="58"/>
        <v>-853</v>
      </c>
      <c r="L952">
        <f t="shared" si="59"/>
        <v>-853</v>
      </c>
    </row>
    <row r="953" spans="1:12" x14ac:dyDescent="0.35">
      <c r="A953">
        <v>966</v>
      </c>
      <c r="B953" t="s">
        <v>1966</v>
      </c>
      <c r="C953" t="s">
        <v>11335</v>
      </c>
      <c r="D953" t="s">
        <v>1967</v>
      </c>
      <c r="E953" t="s">
        <v>1787</v>
      </c>
      <c r="F953" t="s">
        <v>1938</v>
      </c>
      <c r="G953" t="s">
        <v>1968</v>
      </c>
      <c r="I953" t="str">
        <f t="shared" si="60"/>
        <v>853</v>
      </c>
      <c r="J953" t="str">
        <f t="shared" si="57"/>
        <v>BC</v>
      </c>
      <c r="K953">
        <f t="shared" si="58"/>
        <v>-853</v>
      </c>
      <c r="L953">
        <f t="shared" si="59"/>
        <v>-853</v>
      </c>
    </row>
    <row r="954" spans="1:12" x14ac:dyDescent="0.35">
      <c r="A954">
        <v>967</v>
      </c>
      <c r="B954" t="s">
        <v>1969</v>
      </c>
      <c r="C954" t="s">
        <v>11336</v>
      </c>
      <c r="D954" t="s">
        <v>1970</v>
      </c>
      <c r="E954" t="s">
        <v>1971</v>
      </c>
      <c r="F954" t="s">
        <v>1938</v>
      </c>
      <c r="G954" t="s">
        <v>1793</v>
      </c>
      <c r="I954" t="str">
        <f t="shared" si="60"/>
        <v>853</v>
      </c>
      <c r="J954" t="str">
        <f t="shared" si="57"/>
        <v>BC</v>
      </c>
      <c r="K954">
        <f t="shared" si="58"/>
        <v>-853</v>
      </c>
      <c r="L954">
        <f t="shared" si="59"/>
        <v>-853</v>
      </c>
    </row>
    <row r="955" spans="1:12" x14ac:dyDescent="0.35">
      <c r="A955">
        <v>968</v>
      </c>
      <c r="B955" t="s">
        <v>1972</v>
      </c>
      <c r="C955" t="s">
        <v>10218</v>
      </c>
      <c r="D955" t="s">
        <v>1973</v>
      </c>
      <c r="E955" t="s">
        <v>1971</v>
      </c>
      <c r="F955" t="s">
        <v>1938</v>
      </c>
      <c r="G955" t="s">
        <v>112</v>
      </c>
      <c r="I955" t="str">
        <f t="shared" si="60"/>
        <v>853</v>
      </c>
      <c r="J955" t="str">
        <f t="shared" si="57"/>
        <v>BC</v>
      </c>
      <c r="K955">
        <f t="shared" si="58"/>
        <v>-853</v>
      </c>
      <c r="L955">
        <f t="shared" si="59"/>
        <v>-853</v>
      </c>
    </row>
    <row r="956" spans="1:12" x14ac:dyDescent="0.35">
      <c r="A956">
        <v>969</v>
      </c>
      <c r="B956" t="s">
        <v>1974</v>
      </c>
      <c r="C956" t="s">
        <v>10127</v>
      </c>
      <c r="D956" t="s">
        <v>1975</v>
      </c>
      <c r="E956" t="s">
        <v>1787</v>
      </c>
      <c r="F956" t="s">
        <v>1938</v>
      </c>
      <c r="G956" t="s">
        <v>112</v>
      </c>
      <c r="I956" t="str">
        <f t="shared" si="60"/>
        <v>853</v>
      </c>
      <c r="J956" t="str">
        <f t="shared" si="57"/>
        <v>BC</v>
      </c>
      <c r="K956">
        <f t="shared" si="58"/>
        <v>-853</v>
      </c>
      <c r="L956">
        <f t="shared" si="59"/>
        <v>-853</v>
      </c>
    </row>
    <row r="957" spans="1:12" x14ac:dyDescent="0.35">
      <c r="A957">
        <v>970</v>
      </c>
      <c r="B957" t="s">
        <v>1976</v>
      </c>
      <c r="C957" t="s">
        <v>11337</v>
      </c>
      <c r="D957" t="s">
        <v>1977</v>
      </c>
      <c r="E957" t="s">
        <v>1211</v>
      </c>
      <c r="F957" t="s">
        <v>1978</v>
      </c>
      <c r="G957" t="s">
        <v>1979</v>
      </c>
      <c r="I957" t="str">
        <f t="shared" si="60"/>
        <v>873-848</v>
      </c>
      <c r="J957" t="str">
        <f t="shared" si="57"/>
        <v>BC</v>
      </c>
      <c r="K957">
        <f t="shared" si="58"/>
        <v>-873</v>
      </c>
      <c r="L957">
        <f t="shared" si="59"/>
        <v>-848</v>
      </c>
    </row>
    <row r="958" spans="1:12" x14ac:dyDescent="0.35">
      <c r="A958">
        <v>971</v>
      </c>
      <c r="B958" t="s">
        <v>1980</v>
      </c>
      <c r="C958" t="s">
        <v>10195</v>
      </c>
      <c r="D958" t="s">
        <v>1981</v>
      </c>
      <c r="E958" t="s">
        <v>1787</v>
      </c>
      <c r="F958" t="s">
        <v>1982</v>
      </c>
      <c r="G958" t="s">
        <v>1983</v>
      </c>
      <c r="I958" t="str">
        <f t="shared" si="60"/>
        <v>853-852</v>
      </c>
      <c r="J958" t="str">
        <f t="shared" si="57"/>
        <v>BC</v>
      </c>
      <c r="K958">
        <f t="shared" si="58"/>
        <v>-853</v>
      </c>
      <c r="L958">
        <f t="shared" si="59"/>
        <v>-852</v>
      </c>
    </row>
    <row r="959" spans="1:12" x14ac:dyDescent="0.35">
      <c r="A959">
        <v>972</v>
      </c>
      <c r="B959" t="s">
        <v>1984</v>
      </c>
      <c r="C959" t="s">
        <v>10067</v>
      </c>
      <c r="D959" t="s">
        <v>1985</v>
      </c>
      <c r="E959" t="s">
        <v>1787</v>
      </c>
      <c r="F959" t="s">
        <v>1982</v>
      </c>
      <c r="G959" t="s">
        <v>112</v>
      </c>
      <c r="I959" t="str">
        <f t="shared" si="60"/>
        <v>853-852</v>
      </c>
      <c r="J959" t="str">
        <f t="shared" si="57"/>
        <v>BC</v>
      </c>
      <c r="K959">
        <f t="shared" si="58"/>
        <v>-853</v>
      </c>
      <c r="L959">
        <f t="shared" si="59"/>
        <v>-852</v>
      </c>
    </row>
    <row r="960" spans="1:12" x14ac:dyDescent="0.35">
      <c r="A960">
        <v>973</v>
      </c>
      <c r="B960" t="s">
        <v>1994</v>
      </c>
      <c r="C960" t="s">
        <v>10219</v>
      </c>
      <c r="D960" t="s">
        <v>1995</v>
      </c>
      <c r="E960" t="s">
        <v>1843</v>
      </c>
      <c r="F960" t="s">
        <v>1996</v>
      </c>
      <c r="G960" t="s">
        <v>63</v>
      </c>
      <c r="I960" t="str">
        <f t="shared" si="60"/>
        <v>852</v>
      </c>
      <c r="J960" t="str">
        <f t="shared" si="57"/>
        <v>BC</v>
      </c>
      <c r="K960">
        <f t="shared" si="58"/>
        <v>-852</v>
      </c>
      <c r="L960">
        <f t="shared" si="59"/>
        <v>-852</v>
      </c>
    </row>
    <row r="961" spans="1:12" x14ac:dyDescent="0.35">
      <c r="A961">
        <v>974</v>
      </c>
      <c r="B961" t="s">
        <v>1997</v>
      </c>
      <c r="C961" t="s">
        <v>10037</v>
      </c>
      <c r="D961" t="s">
        <v>1998</v>
      </c>
      <c r="E961" t="s">
        <v>1999</v>
      </c>
      <c r="F961" t="s">
        <v>1996</v>
      </c>
      <c r="G961" t="s">
        <v>0</v>
      </c>
      <c r="I961" t="str">
        <f t="shared" si="60"/>
        <v>852</v>
      </c>
      <c r="J961" t="str">
        <f t="shared" si="57"/>
        <v>BC</v>
      </c>
      <c r="K961">
        <f t="shared" si="58"/>
        <v>-852</v>
      </c>
      <c r="L961">
        <f t="shared" si="59"/>
        <v>-852</v>
      </c>
    </row>
    <row r="962" spans="1:12" x14ac:dyDescent="0.35">
      <c r="A962">
        <v>975</v>
      </c>
      <c r="B962" t="s">
        <v>2000</v>
      </c>
      <c r="C962" t="s">
        <v>10220</v>
      </c>
      <c r="D962" t="s">
        <v>2001</v>
      </c>
      <c r="E962" t="s">
        <v>2002</v>
      </c>
      <c r="F962" t="s">
        <v>1996</v>
      </c>
      <c r="G962" t="s">
        <v>0</v>
      </c>
      <c r="I962" t="str">
        <f t="shared" si="60"/>
        <v>852</v>
      </c>
      <c r="J962" t="str">
        <f t="shared" ref="J962:J1025" si="61">RIGHT(F962, 2)</f>
        <v>BC</v>
      </c>
      <c r="K962">
        <f t="shared" ref="K962:K1025" si="62">IF(J962="BC", 0-IF(ISERROR(FIND("-",I962)),I962,LEFT(I962,FIND("-",I962)-1)), IF(ISERROR(FIND("-",I962)),I962,LEFT(I962,FIND("-",I962)-1)))</f>
        <v>-852</v>
      </c>
      <c r="L962">
        <f t="shared" ref="L962:L1025" si="63">IF(J962="BC", 0-IF(ISERROR(FIND("-",I962)),I962,RIGHT(I962,FIND("-",I962)-1)), IF(ISERROR(FIND("-",I962)),I962,RIGHT(I962,FIND("-",I962)-1)))</f>
        <v>-852</v>
      </c>
    </row>
    <row r="963" spans="1:12" x14ac:dyDescent="0.35">
      <c r="A963">
        <v>976</v>
      </c>
      <c r="B963" t="s">
        <v>2003</v>
      </c>
      <c r="C963" t="s">
        <v>10220</v>
      </c>
      <c r="D963" t="s">
        <v>2004</v>
      </c>
      <c r="E963" t="s">
        <v>2002</v>
      </c>
      <c r="F963" t="s">
        <v>1996</v>
      </c>
      <c r="G963" t="s">
        <v>0</v>
      </c>
      <c r="I963" t="str">
        <f t="shared" si="60"/>
        <v>852</v>
      </c>
      <c r="J963" t="str">
        <f t="shared" si="61"/>
        <v>BC</v>
      </c>
      <c r="K963">
        <f t="shared" si="62"/>
        <v>-852</v>
      </c>
      <c r="L963">
        <f t="shared" si="63"/>
        <v>-852</v>
      </c>
    </row>
    <row r="964" spans="1:12" x14ac:dyDescent="0.35">
      <c r="A964">
        <v>977</v>
      </c>
      <c r="B964" t="s">
        <v>2005</v>
      </c>
      <c r="C964" t="s">
        <v>10198</v>
      </c>
      <c r="D964" t="s">
        <v>2006</v>
      </c>
      <c r="E964" t="s">
        <v>2002</v>
      </c>
      <c r="F964" t="s">
        <v>1996</v>
      </c>
      <c r="G964" t="s">
        <v>63</v>
      </c>
      <c r="I964" t="str">
        <f t="shared" si="60"/>
        <v>852</v>
      </c>
      <c r="J964" t="str">
        <f t="shared" si="61"/>
        <v>BC</v>
      </c>
      <c r="K964">
        <f t="shared" si="62"/>
        <v>-852</v>
      </c>
      <c r="L964">
        <f t="shared" si="63"/>
        <v>-852</v>
      </c>
    </row>
    <row r="965" spans="1:12" x14ac:dyDescent="0.35">
      <c r="A965">
        <v>978</v>
      </c>
      <c r="B965" t="s">
        <v>2007</v>
      </c>
      <c r="C965" t="s">
        <v>10145</v>
      </c>
      <c r="D965" t="s">
        <v>2008</v>
      </c>
      <c r="E965" t="s">
        <v>2009</v>
      </c>
      <c r="F965" t="s">
        <v>1996</v>
      </c>
      <c r="G965" t="s">
        <v>0</v>
      </c>
      <c r="I965" t="str">
        <f t="shared" si="60"/>
        <v>852</v>
      </c>
      <c r="J965" t="str">
        <f t="shared" si="61"/>
        <v>BC</v>
      </c>
      <c r="K965">
        <f t="shared" si="62"/>
        <v>-852</v>
      </c>
      <c r="L965">
        <f t="shared" si="63"/>
        <v>-852</v>
      </c>
    </row>
    <row r="966" spans="1:12" x14ac:dyDescent="0.35">
      <c r="A966">
        <v>979</v>
      </c>
      <c r="B966" t="s">
        <v>2010</v>
      </c>
      <c r="C966" t="s">
        <v>11312</v>
      </c>
      <c r="D966" t="s">
        <v>2011</v>
      </c>
      <c r="E966" t="s">
        <v>1787</v>
      </c>
      <c r="F966" t="s">
        <v>1996</v>
      </c>
      <c r="G966" t="s">
        <v>112</v>
      </c>
      <c r="I966" t="str">
        <f t="shared" si="60"/>
        <v>852</v>
      </c>
      <c r="J966" t="str">
        <f t="shared" si="61"/>
        <v>BC</v>
      </c>
      <c r="K966">
        <f t="shared" si="62"/>
        <v>-852</v>
      </c>
      <c r="L966">
        <f t="shared" si="63"/>
        <v>-852</v>
      </c>
    </row>
    <row r="967" spans="1:12" x14ac:dyDescent="0.35">
      <c r="A967">
        <v>980</v>
      </c>
      <c r="B967" t="s">
        <v>2012</v>
      </c>
      <c r="C967" t="s">
        <v>11338</v>
      </c>
      <c r="D967" t="s">
        <v>2013</v>
      </c>
      <c r="E967" t="s">
        <v>2014</v>
      </c>
      <c r="F967" t="s">
        <v>2015</v>
      </c>
      <c r="G967" t="s">
        <v>12530</v>
      </c>
      <c r="I967" t="str">
        <f t="shared" si="60"/>
        <v>851</v>
      </c>
      <c r="J967" t="str">
        <f t="shared" si="61"/>
        <v>BC</v>
      </c>
      <c r="K967">
        <f t="shared" si="62"/>
        <v>-851</v>
      </c>
      <c r="L967">
        <f t="shared" si="63"/>
        <v>-851</v>
      </c>
    </row>
    <row r="968" spans="1:12" x14ac:dyDescent="0.35">
      <c r="A968">
        <v>981</v>
      </c>
      <c r="B968" t="s">
        <v>2016</v>
      </c>
      <c r="C968" t="s">
        <v>10754</v>
      </c>
      <c r="D968" t="s">
        <v>2017</v>
      </c>
      <c r="E968" t="s">
        <v>874</v>
      </c>
      <c r="F968" t="s">
        <v>2015</v>
      </c>
      <c r="G968" t="s">
        <v>0</v>
      </c>
      <c r="I968" t="str">
        <f t="shared" si="60"/>
        <v>851</v>
      </c>
      <c r="J968" t="str">
        <f t="shared" si="61"/>
        <v>BC</v>
      </c>
      <c r="K968">
        <f t="shared" si="62"/>
        <v>-851</v>
      </c>
      <c r="L968">
        <f t="shared" si="63"/>
        <v>-851</v>
      </c>
    </row>
    <row r="969" spans="1:12" x14ac:dyDescent="0.35">
      <c r="A969">
        <v>982</v>
      </c>
      <c r="B969" t="s">
        <v>2018</v>
      </c>
      <c r="C969" t="s">
        <v>10762</v>
      </c>
      <c r="D969" t="s">
        <v>2017</v>
      </c>
      <c r="E969" t="s">
        <v>874</v>
      </c>
      <c r="F969" t="s">
        <v>2015</v>
      </c>
      <c r="G969" t="s">
        <v>112</v>
      </c>
      <c r="I969" t="str">
        <f t="shared" si="60"/>
        <v>851</v>
      </c>
      <c r="J969" t="str">
        <f t="shared" si="61"/>
        <v>BC</v>
      </c>
      <c r="K969">
        <f t="shared" si="62"/>
        <v>-851</v>
      </c>
      <c r="L969">
        <f t="shared" si="63"/>
        <v>-851</v>
      </c>
    </row>
    <row r="970" spans="1:12" x14ac:dyDescent="0.35">
      <c r="A970">
        <v>983</v>
      </c>
      <c r="B970" t="s">
        <v>2019</v>
      </c>
      <c r="C970" t="s">
        <v>11339</v>
      </c>
      <c r="D970" t="s">
        <v>30</v>
      </c>
      <c r="E970" t="s">
        <v>2020</v>
      </c>
      <c r="F970" t="s">
        <v>2015</v>
      </c>
      <c r="G970" t="s">
        <v>112</v>
      </c>
      <c r="I970" t="str">
        <f t="shared" si="60"/>
        <v>851</v>
      </c>
      <c r="J970" t="str">
        <f t="shared" si="61"/>
        <v>BC</v>
      </c>
      <c r="K970">
        <f t="shared" si="62"/>
        <v>-851</v>
      </c>
      <c r="L970">
        <f t="shared" si="63"/>
        <v>-851</v>
      </c>
    </row>
    <row r="971" spans="1:12" x14ac:dyDescent="0.35">
      <c r="A971">
        <v>984</v>
      </c>
      <c r="B971" t="s">
        <v>2021</v>
      </c>
      <c r="C971" t="s">
        <v>11340</v>
      </c>
      <c r="D971" t="s">
        <v>30</v>
      </c>
      <c r="E971" t="s">
        <v>2020</v>
      </c>
      <c r="F971" t="s">
        <v>2015</v>
      </c>
      <c r="G971" t="s">
        <v>112</v>
      </c>
      <c r="I971" t="str">
        <f t="shared" si="60"/>
        <v>851</v>
      </c>
      <c r="J971" t="str">
        <f t="shared" si="61"/>
        <v>BC</v>
      </c>
      <c r="K971">
        <f t="shared" si="62"/>
        <v>-851</v>
      </c>
      <c r="L971">
        <f t="shared" si="63"/>
        <v>-851</v>
      </c>
    </row>
    <row r="972" spans="1:12" x14ac:dyDescent="0.35">
      <c r="A972">
        <v>985</v>
      </c>
      <c r="B972" t="s">
        <v>2022</v>
      </c>
      <c r="C972" t="s">
        <v>11341</v>
      </c>
      <c r="D972" t="s">
        <v>2023</v>
      </c>
      <c r="E972" t="s">
        <v>2020</v>
      </c>
      <c r="F972" t="s">
        <v>2015</v>
      </c>
      <c r="G972" t="s">
        <v>0</v>
      </c>
      <c r="I972" t="str">
        <f t="shared" si="60"/>
        <v>851</v>
      </c>
      <c r="J972" t="str">
        <f t="shared" si="61"/>
        <v>BC</v>
      </c>
      <c r="K972">
        <f t="shared" si="62"/>
        <v>-851</v>
      </c>
      <c r="L972">
        <f t="shared" si="63"/>
        <v>-851</v>
      </c>
    </row>
    <row r="973" spans="1:12" x14ac:dyDescent="0.35">
      <c r="A973">
        <v>986</v>
      </c>
      <c r="B973" t="s">
        <v>2024</v>
      </c>
      <c r="C973" t="s">
        <v>10763</v>
      </c>
      <c r="D973" t="s">
        <v>31</v>
      </c>
      <c r="E973" t="s">
        <v>874</v>
      </c>
      <c r="F973" t="s">
        <v>2015</v>
      </c>
      <c r="G973" t="s">
        <v>12457</v>
      </c>
      <c r="I973" t="str">
        <f t="shared" si="60"/>
        <v>851</v>
      </c>
      <c r="J973" t="str">
        <f t="shared" si="61"/>
        <v>BC</v>
      </c>
      <c r="K973">
        <f t="shared" si="62"/>
        <v>-851</v>
      </c>
      <c r="L973">
        <f t="shared" si="63"/>
        <v>-851</v>
      </c>
    </row>
    <row r="974" spans="1:12" x14ac:dyDescent="0.35">
      <c r="A974">
        <v>987</v>
      </c>
      <c r="B974" t="s">
        <v>2025</v>
      </c>
      <c r="C974" t="s">
        <v>10221</v>
      </c>
      <c r="D974" t="s">
        <v>2026</v>
      </c>
      <c r="E974" t="s">
        <v>2027</v>
      </c>
      <c r="F974" t="s">
        <v>2015</v>
      </c>
      <c r="G974" t="s">
        <v>12457</v>
      </c>
      <c r="I974" t="str">
        <f t="shared" si="60"/>
        <v>851</v>
      </c>
      <c r="J974" t="str">
        <f t="shared" si="61"/>
        <v>BC</v>
      </c>
      <c r="K974">
        <f t="shared" si="62"/>
        <v>-851</v>
      </c>
      <c r="L974">
        <f t="shared" si="63"/>
        <v>-851</v>
      </c>
    </row>
    <row r="975" spans="1:12" x14ac:dyDescent="0.35">
      <c r="A975">
        <v>988</v>
      </c>
      <c r="B975" t="s">
        <v>2028</v>
      </c>
      <c r="C975" t="s">
        <v>10222</v>
      </c>
      <c r="D975" t="s">
        <v>2029</v>
      </c>
      <c r="E975" t="s">
        <v>865</v>
      </c>
      <c r="F975" t="s">
        <v>2015</v>
      </c>
      <c r="G975" t="s">
        <v>112</v>
      </c>
      <c r="I975" t="str">
        <f t="shared" si="60"/>
        <v>851</v>
      </c>
      <c r="J975" t="str">
        <f t="shared" si="61"/>
        <v>BC</v>
      </c>
      <c r="K975">
        <f t="shared" si="62"/>
        <v>-851</v>
      </c>
      <c r="L975">
        <f t="shared" si="63"/>
        <v>-851</v>
      </c>
    </row>
    <row r="976" spans="1:12" x14ac:dyDescent="0.35">
      <c r="A976">
        <v>989</v>
      </c>
      <c r="B976" t="s">
        <v>2030</v>
      </c>
      <c r="C976" t="s">
        <v>10223</v>
      </c>
      <c r="D976" t="s">
        <v>32</v>
      </c>
      <c r="E976" t="s">
        <v>2031</v>
      </c>
      <c r="F976" t="s">
        <v>2015</v>
      </c>
      <c r="G976" t="s">
        <v>12458</v>
      </c>
      <c r="I976" t="str">
        <f t="shared" si="60"/>
        <v>851</v>
      </c>
      <c r="J976" t="str">
        <f t="shared" si="61"/>
        <v>BC</v>
      </c>
      <c r="K976">
        <f t="shared" si="62"/>
        <v>-851</v>
      </c>
      <c r="L976">
        <f t="shared" si="63"/>
        <v>-851</v>
      </c>
    </row>
    <row r="977" spans="1:12" x14ac:dyDescent="0.35">
      <c r="A977">
        <v>990</v>
      </c>
      <c r="B977" t="s">
        <v>2032</v>
      </c>
      <c r="C977" t="s">
        <v>10224</v>
      </c>
      <c r="D977" t="s">
        <v>2033</v>
      </c>
      <c r="E977" t="s">
        <v>2034</v>
      </c>
      <c r="F977" t="s">
        <v>2035</v>
      </c>
      <c r="G977" t="s">
        <v>112</v>
      </c>
      <c r="I977" t="str">
        <f t="shared" si="60"/>
        <v>850</v>
      </c>
      <c r="J977" t="str">
        <f t="shared" si="61"/>
        <v>BC</v>
      </c>
      <c r="K977">
        <f t="shared" si="62"/>
        <v>-850</v>
      </c>
      <c r="L977">
        <f t="shared" si="63"/>
        <v>-850</v>
      </c>
    </row>
    <row r="978" spans="1:12" x14ac:dyDescent="0.35">
      <c r="A978">
        <v>991</v>
      </c>
      <c r="B978" t="s">
        <v>2036</v>
      </c>
      <c r="C978" t="s">
        <v>9456</v>
      </c>
      <c r="D978" t="s">
        <v>2037</v>
      </c>
      <c r="E978" t="s">
        <v>2034</v>
      </c>
      <c r="F978" t="s">
        <v>2035</v>
      </c>
      <c r="G978" t="s">
        <v>12457</v>
      </c>
      <c r="I978" t="str">
        <f t="shared" si="60"/>
        <v>850</v>
      </c>
      <c r="J978" t="str">
        <f t="shared" si="61"/>
        <v>BC</v>
      </c>
      <c r="K978">
        <f t="shared" si="62"/>
        <v>-850</v>
      </c>
      <c r="L978">
        <f t="shared" si="63"/>
        <v>-850</v>
      </c>
    </row>
    <row r="979" spans="1:12" x14ac:dyDescent="0.35">
      <c r="A979">
        <v>992</v>
      </c>
      <c r="B979" t="s">
        <v>2038</v>
      </c>
      <c r="C979" t="s">
        <v>10069</v>
      </c>
      <c r="D979" t="s">
        <v>2039</v>
      </c>
      <c r="E979" t="s">
        <v>2034</v>
      </c>
      <c r="F979" t="s">
        <v>2035</v>
      </c>
      <c r="G979" t="s">
        <v>12457</v>
      </c>
      <c r="I979" t="str">
        <f t="shared" si="60"/>
        <v>850</v>
      </c>
      <c r="J979" t="str">
        <f t="shared" si="61"/>
        <v>BC</v>
      </c>
      <c r="K979">
        <f t="shared" si="62"/>
        <v>-850</v>
      </c>
      <c r="L979">
        <f t="shared" si="63"/>
        <v>-850</v>
      </c>
    </row>
    <row r="980" spans="1:12" x14ac:dyDescent="0.35">
      <c r="A980">
        <v>993</v>
      </c>
      <c r="B980" t="s">
        <v>2040</v>
      </c>
      <c r="C980" t="s">
        <v>10724</v>
      </c>
      <c r="D980" t="s">
        <v>2041</v>
      </c>
      <c r="E980" t="s">
        <v>2034</v>
      </c>
      <c r="F980" t="s">
        <v>2035</v>
      </c>
      <c r="G980" t="s">
        <v>112</v>
      </c>
      <c r="I980" t="str">
        <f t="shared" si="60"/>
        <v>850</v>
      </c>
      <c r="J980" t="str">
        <f t="shared" si="61"/>
        <v>BC</v>
      </c>
      <c r="K980">
        <f t="shared" si="62"/>
        <v>-850</v>
      </c>
      <c r="L980">
        <f t="shared" si="63"/>
        <v>-850</v>
      </c>
    </row>
    <row r="981" spans="1:12" x14ac:dyDescent="0.35">
      <c r="A981">
        <v>994</v>
      </c>
      <c r="B981" t="s">
        <v>2042</v>
      </c>
      <c r="C981" t="s">
        <v>10225</v>
      </c>
      <c r="D981" t="s">
        <v>2043</v>
      </c>
      <c r="E981" t="s">
        <v>2044</v>
      </c>
      <c r="F981" t="s">
        <v>2035</v>
      </c>
      <c r="G981" t="s">
        <v>112</v>
      </c>
      <c r="I981" t="str">
        <f t="shared" si="60"/>
        <v>850</v>
      </c>
      <c r="J981" t="str">
        <f t="shared" si="61"/>
        <v>BC</v>
      </c>
      <c r="K981">
        <f t="shared" si="62"/>
        <v>-850</v>
      </c>
      <c r="L981">
        <f t="shared" si="63"/>
        <v>-850</v>
      </c>
    </row>
    <row r="982" spans="1:12" x14ac:dyDescent="0.35">
      <c r="A982">
        <v>995</v>
      </c>
      <c r="B982" t="s">
        <v>2045</v>
      </c>
      <c r="C982" t="s">
        <v>10064</v>
      </c>
      <c r="D982" t="s">
        <v>2046</v>
      </c>
      <c r="E982" t="s">
        <v>2047</v>
      </c>
      <c r="F982" t="s">
        <v>2035</v>
      </c>
      <c r="G982" t="s">
        <v>2337</v>
      </c>
      <c r="I982" t="str">
        <f t="shared" si="60"/>
        <v>850</v>
      </c>
      <c r="J982" t="str">
        <f t="shared" si="61"/>
        <v>BC</v>
      </c>
      <c r="K982">
        <f t="shared" si="62"/>
        <v>-850</v>
      </c>
      <c r="L982">
        <f t="shared" si="63"/>
        <v>-850</v>
      </c>
    </row>
    <row r="983" spans="1:12" x14ac:dyDescent="0.35">
      <c r="A983">
        <v>996</v>
      </c>
      <c r="B983" t="s">
        <v>2048</v>
      </c>
      <c r="C983" t="s">
        <v>10226</v>
      </c>
      <c r="D983" t="s">
        <v>2049</v>
      </c>
      <c r="E983" t="s">
        <v>2050</v>
      </c>
      <c r="F983" t="s">
        <v>2035</v>
      </c>
      <c r="G983" t="s">
        <v>12457</v>
      </c>
      <c r="I983" t="str">
        <f t="shared" si="60"/>
        <v>850</v>
      </c>
      <c r="J983" t="str">
        <f t="shared" si="61"/>
        <v>BC</v>
      </c>
      <c r="K983">
        <f t="shared" si="62"/>
        <v>-850</v>
      </c>
      <c r="L983">
        <f t="shared" si="63"/>
        <v>-850</v>
      </c>
    </row>
    <row r="984" spans="1:12" x14ac:dyDescent="0.35">
      <c r="A984">
        <v>997</v>
      </c>
      <c r="B984" t="s">
        <v>2051</v>
      </c>
      <c r="C984" t="s">
        <v>10764</v>
      </c>
      <c r="D984" t="s">
        <v>2052</v>
      </c>
      <c r="E984" t="s">
        <v>2050</v>
      </c>
      <c r="F984" t="s">
        <v>2035</v>
      </c>
      <c r="G984" t="s">
        <v>112</v>
      </c>
      <c r="I984" t="str">
        <f t="shared" si="60"/>
        <v>850</v>
      </c>
      <c r="J984" t="str">
        <f t="shared" si="61"/>
        <v>BC</v>
      </c>
      <c r="K984">
        <f t="shared" si="62"/>
        <v>-850</v>
      </c>
      <c r="L984">
        <f t="shared" si="63"/>
        <v>-850</v>
      </c>
    </row>
    <row r="985" spans="1:12" x14ac:dyDescent="0.35">
      <c r="A985">
        <v>998</v>
      </c>
      <c r="B985" t="s">
        <v>2053</v>
      </c>
      <c r="C985" t="s">
        <v>11342</v>
      </c>
      <c r="D985" t="s">
        <v>2054</v>
      </c>
      <c r="E985" t="s">
        <v>2055</v>
      </c>
      <c r="F985" t="s">
        <v>2056</v>
      </c>
      <c r="G985" t="s">
        <v>12457</v>
      </c>
      <c r="I985" t="str">
        <f t="shared" si="60"/>
        <v>849</v>
      </c>
      <c r="J985" t="str">
        <f t="shared" si="61"/>
        <v>BC</v>
      </c>
      <c r="K985">
        <f t="shared" si="62"/>
        <v>-849</v>
      </c>
      <c r="L985">
        <f t="shared" si="63"/>
        <v>-849</v>
      </c>
    </row>
    <row r="986" spans="1:12" x14ac:dyDescent="0.35">
      <c r="A986">
        <v>999</v>
      </c>
      <c r="B986" t="s">
        <v>2057</v>
      </c>
      <c r="C986" t="s">
        <v>10227</v>
      </c>
      <c r="D986" t="s">
        <v>2058</v>
      </c>
      <c r="E986" t="s">
        <v>2055</v>
      </c>
      <c r="F986" t="s">
        <v>2059</v>
      </c>
      <c r="G986" t="s">
        <v>112</v>
      </c>
      <c r="I986" t="str">
        <f t="shared" si="60"/>
        <v>848</v>
      </c>
      <c r="J986" t="str">
        <f t="shared" si="61"/>
        <v>BC</v>
      </c>
      <c r="K986">
        <f t="shared" si="62"/>
        <v>-848</v>
      </c>
      <c r="L986">
        <f t="shared" si="63"/>
        <v>-848</v>
      </c>
    </row>
    <row r="987" spans="1:12" x14ac:dyDescent="0.35">
      <c r="A987">
        <v>1000</v>
      </c>
      <c r="B987" t="s">
        <v>2060</v>
      </c>
      <c r="C987" t="s">
        <v>10228</v>
      </c>
      <c r="D987" t="s">
        <v>2061</v>
      </c>
      <c r="E987" t="s">
        <v>1848</v>
      </c>
      <c r="F987" t="s">
        <v>2062</v>
      </c>
      <c r="G987" t="s">
        <v>12457</v>
      </c>
      <c r="I987" t="str">
        <f t="shared" si="60"/>
        <v>838</v>
      </c>
      <c r="J987" t="str">
        <f t="shared" si="61"/>
        <v>BC</v>
      </c>
      <c r="K987">
        <f t="shared" si="62"/>
        <v>-838</v>
      </c>
      <c r="L987">
        <f t="shared" si="63"/>
        <v>-838</v>
      </c>
    </row>
    <row r="988" spans="1:12" x14ac:dyDescent="0.35">
      <c r="A988">
        <v>1001</v>
      </c>
      <c r="B988" t="s">
        <v>2063</v>
      </c>
      <c r="C988" t="s">
        <v>10759</v>
      </c>
      <c r="D988" t="s">
        <v>2064</v>
      </c>
      <c r="E988" t="s">
        <v>2055</v>
      </c>
      <c r="F988" t="s">
        <v>2062</v>
      </c>
      <c r="G988" t="s">
        <v>12457</v>
      </c>
      <c r="I988" t="str">
        <f t="shared" si="60"/>
        <v>838</v>
      </c>
      <c r="J988" t="str">
        <f t="shared" si="61"/>
        <v>BC</v>
      </c>
      <c r="K988">
        <f t="shared" si="62"/>
        <v>-838</v>
      </c>
      <c r="L988">
        <f t="shared" si="63"/>
        <v>-838</v>
      </c>
    </row>
    <row r="989" spans="1:12" x14ac:dyDescent="0.35">
      <c r="A989">
        <v>1002</v>
      </c>
      <c r="B989" t="s">
        <v>2065</v>
      </c>
      <c r="C989" t="s">
        <v>10229</v>
      </c>
      <c r="D989" t="s">
        <v>2066</v>
      </c>
      <c r="E989" t="s">
        <v>2055</v>
      </c>
      <c r="F989" t="s">
        <v>2062</v>
      </c>
      <c r="G989" t="s">
        <v>112</v>
      </c>
      <c r="I989" t="str">
        <f t="shared" si="60"/>
        <v>838</v>
      </c>
      <c r="J989" t="str">
        <f t="shared" si="61"/>
        <v>BC</v>
      </c>
      <c r="K989">
        <f t="shared" si="62"/>
        <v>-838</v>
      </c>
      <c r="L989">
        <f t="shared" si="63"/>
        <v>-838</v>
      </c>
    </row>
    <row r="990" spans="1:12" x14ac:dyDescent="0.35">
      <c r="A990">
        <v>1003</v>
      </c>
      <c r="B990" t="s">
        <v>2067</v>
      </c>
      <c r="C990" t="s">
        <v>10230</v>
      </c>
      <c r="D990" t="s">
        <v>2068</v>
      </c>
      <c r="E990" t="s">
        <v>893</v>
      </c>
      <c r="F990" t="s">
        <v>2069</v>
      </c>
      <c r="G990" t="s">
        <v>12457</v>
      </c>
      <c r="I990" t="str">
        <f t="shared" si="60"/>
        <v>847</v>
      </c>
      <c r="J990" t="str">
        <f t="shared" si="61"/>
        <v>BC</v>
      </c>
      <c r="K990">
        <f t="shared" si="62"/>
        <v>-847</v>
      </c>
      <c r="L990">
        <f t="shared" si="63"/>
        <v>-847</v>
      </c>
    </row>
    <row r="991" spans="1:12" x14ac:dyDescent="0.35">
      <c r="A991">
        <v>1004</v>
      </c>
      <c r="B991" t="s">
        <v>2070</v>
      </c>
      <c r="C991" t="s">
        <v>10226</v>
      </c>
      <c r="D991" t="s">
        <v>2071</v>
      </c>
      <c r="E991" t="s">
        <v>893</v>
      </c>
      <c r="F991" t="s">
        <v>2069</v>
      </c>
      <c r="G991" t="s">
        <v>12457</v>
      </c>
      <c r="I991" t="str">
        <f t="shared" si="60"/>
        <v>847</v>
      </c>
      <c r="J991" t="str">
        <f t="shared" si="61"/>
        <v>BC</v>
      </c>
      <c r="K991">
        <f t="shared" si="62"/>
        <v>-847</v>
      </c>
      <c r="L991">
        <f t="shared" si="63"/>
        <v>-847</v>
      </c>
    </row>
    <row r="992" spans="1:12" x14ac:dyDescent="0.35">
      <c r="A992">
        <v>1005</v>
      </c>
      <c r="B992" t="s">
        <v>2072</v>
      </c>
      <c r="C992" t="s">
        <v>10231</v>
      </c>
      <c r="D992" t="s">
        <v>2073</v>
      </c>
      <c r="E992" t="s">
        <v>893</v>
      </c>
      <c r="F992" t="s">
        <v>2069</v>
      </c>
      <c r="G992" t="s">
        <v>112</v>
      </c>
      <c r="I992" t="str">
        <f t="shared" si="60"/>
        <v>847</v>
      </c>
      <c r="J992" t="str">
        <f t="shared" si="61"/>
        <v>BC</v>
      </c>
      <c r="K992">
        <f t="shared" si="62"/>
        <v>-847</v>
      </c>
      <c r="L992">
        <f t="shared" si="63"/>
        <v>-847</v>
      </c>
    </row>
    <row r="993" spans="1:12" x14ac:dyDescent="0.35">
      <c r="A993">
        <v>1006</v>
      </c>
      <c r="B993" t="s">
        <v>2074</v>
      </c>
      <c r="C993" t="s">
        <v>11343</v>
      </c>
      <c r="D993" t="s">
        <v>2075</v>
      </c>
      <c r="E993" t="s">
        <v>874</v>
      </c>
      <c r="F993" t="s">
        <v>2076</v>
      </c>
      <c r="G993" t="s">
        <v>12459</v>
      </c>
      <c r="I993" t="str">
        <f t="shared" si="60"/>
        <v>846</v>
      </c>
      <c r="J993" t="str">
        <f t="shared" si="61"/>
        <v>BC</v>
      </c>
      <c r="K993">
        <f t="shared" si="62"/>
        <v>-846</v>
      </c>
      <c r="L993">
        <f t="shared" si="63"/>
        <v>-846</v>
      </c>
    </row>
    <row r="994" spans="1:12" x14ac:dyDescent="0.35">
      <c r="A994">
        <v>1007</v>
      </c>
      <c r="B994" t="s">
        <v>2077</v>
      </c>
      <c r="C994" t="s">
        <v>9358</v>
      </c>
      <c r="D994" t="s">
        <v>2075</v>
      </c>
      <c r="E994" t="s">
        <v>874</v>
      </c>
      <c r="F994" t="s">
        <v>2076</v>
      </c>
      <c r="G994" t="s">
        <v>112</v>
      </c>
      <c r="I994" t="str">
        <f t="shared" si="60"/>
        <v>846</v>
      </c>
      <c r="J994" t="str">
        <f t="shared" si="61"/>
        <v>BC</v>
      </c>
      <c r="K994">
        <f t="shared" si="62"/>
        <v>-846</v>
      </c>
      <c r="L994">
        <f t="shared" si="63"/>
        <v>-846</v>
      </c>
    </row>
    <row r="995" spans="1:12" x14ac:dyDescent="0.35">
      <c r="A995">
        <v>1008</v>
      </c>
      <c r="B995" t="s">
        <v>2078</v>
      </c>
      <c r="C995" t="s">
        <v>10381</v>
      </c>
      <c r="D995" t="s">
        <v>2079</v>
      </c>
      <c r="E995" t="s">
        <v>2080</v>
      </c>
      <c r="F995" t="s">
        <v>2076</v>
      </c>
      <c r="G995" t="s">
        <v>12457</v>
      </c>
      <c r="I995" t="str">
        <f t="shared" si="60"/>
        <v>846</v>
      </c>
      <c r="J995" t="str">
        <f t="shared" si="61"/>
        <v>BC</v>
      </c>
      <c r="K995">
        <f t="shared" si="62"/>
        <v>-846</v>
      </c>
      <c r="L995">
        <f t="shared" si="63"/>
        <v>-846</v>
      </c>
    </row>
    <row r="996" spans="1:12" x14ac:dyDescent="0.35">
      <c r="A996">
        <v>1009</v>
      </c>
      <c r="B996" t="s">
        <v>2081</v>
      </c>
      <c r="C996" t="s">
        <v>10232</v>
      </c>
      <c r="D996" t="s">
        <v>2082</v>
      </c>
      <c r="E996" t="s">
        <v>2080</v>
      </c>
      <c r="F996" t="s">
        <v>2076</v>
      </c>
      <c r="G996" t="s">
        <v>12457</v>
      </c>
      <c r="I996" t="str">
        <f t="shared" si="60"/>
        <v>846</v>
      </c>
      <c r="J996" t="str">
        <f t="shared" si="61"/>
        <v>BC</v>
      </c>
      <c r="K996">
        <f t="shared" si="62"/>
        <v>-846</v>
      </c>
      <c r="L996">
        <f t="shared" si="63"/>
        <v>-846</v>
      </c>
    </row>
    <row r="997" spans="1:12" x14ac:dyDescent="0.35">
      <c r="A997">
        <v>1010</v>
      </c>
      <c r="B997" t="s">
        <v>2083</v>
      </c>
      <c r="C997" t="s">
        <v>9358</v>
      </c>
      <c r="D997" t="s">
        <v>2084</v>
      </c>
      <c r="E997" t="s">
        <v>874</v>
      </c>
      <c r="F997" t="s">
        <v>2085</v>
      </c>
      <c r="G997" t="s">
        <v>12457</v>
      </c>
      <c r="I997" t="str">
        <f t="shared" si="60"/>
        <v>845</v>
      </c>
      <c r="J997" t="str">
        <f t="shared" si="61"/>
        <v>BC</v>
      </c>
      <c r="K997">
        <f t="shared" si="62"/>
        <v>-845</v>
      </c>
      <c r="L997">
        <f t="shared" si="63"/>
        <v>-845</v>
      </c>
    </row>
    <row r="998" spans="1:12" x14ac:dyDescent="0.35">
      <c r="A998">
        <v>1011</v>
      </c>
      <c r="B998" t="s">
        <v>2086</v>
      </c>
      <c r="C998" t="s">
        <v>10233</v>
      </c>
      <c r="D998" t="s">
        <v>2087</v>
      </c>
      <c r="E998" t="s">
        <v>1112</v>
      </c>
      <c r="F998" t="s">
        <v>2088</v>
      </c>
      <c r="G998" t="s">
        <v>12457</v>
      </c>
      <c r="I998" t="str">
        <f t="shared" si="60"/>
        <v>844</v>
      </c>
      <c r="J998" t="str">
        <f t="shared" si="61"/>
        <v>BC</v>
      </c>
      <c r="K998">
        <f t="shared" si="62"/>
        <v>-844</v>
      </c>
      <c r="L998">
        <f t="shared" si="63"/>
        <v>-844</v>
      </c>
    </row>
    <row r="999" spans="1:12" x14ac:dyDescent="0.35">
      <c r="A999">
        <v>1012</v>
      </c>
      <c r="B999" t="s">
        <v>2089</v>
      </c>
      <c r="C999" t="s">
        <v>11344</v>
      </c>
      <c r="D999" t="s">
        <v>2090</v>
      </c>
      <c r="E999" t="s">
        <v>1112</v>
      </c>
      <c r="F999" t="s">
        <v>2088</v>
      </c>
      <c r="G999" t="s">
        <v>12460</v>
      </c>
      <c r="I999" t="str">
        <f t="shared" si="60"/>
        <v>844</v>
      </c>
      <c r="J999" t="str">
        <f t="shared" si="61"/>
        <v>BC</v>
      </c>
      <c r="K999">
        <f t="shared" si="62"/>
        <v>-844</v>
      </c>
      <c r="L999">
        <f t="shared" si="63"/>
        <v>-844</v>
      </c>
    </row>
    <row r="1000" spans="1:12" x14ac:dyDescent="0.35">
      <c r="A1000">
        <v>1013</v>
      </c>
      <c r="B1000" t="s">
        <v>2091</v>
      </c>
      <c r="C1000" t="s">
        <v>10234</v>
      </c>
      <c r="D1000" t="s">
        <v>2092</v>
      </c>
      <c r="E1000" t="s">
        <v>2093</v>
      </c>
      <c r="F1000" t="s">
        <v>2088</v>
      </c>
      <c r="G1000" t="s">
        <v>12457</v>
      </c>
      <c r="I1000" t="str">
        <f t="shared" si="60"/>
        <v>844</v>
      </c>
      <c r="J1000" t="str">
        <f t="shared" si="61"/>
        <v>BC</v>
      </c>
      <c r="K1000">
        <f t="shared" si="62"/>
        <v>-844</v>
      </c>
      <c r="L1000">
        <f t="shared" si="63"/>
        <v>-844</v>
      </c>
    </row>
    <row r="1001" spans="1:12" x14ac:dyDescent="0.35">
      <c r="A1001">
        <v>1014</v>
      </c>
      <c r="B1001" t="s">
        <v>2094</v>
      </c>
      <c r="C1001" t="s">
        <v>10524</v>
      </c>
      <c r="D1001" t="s">
        <v>2092</v>
      </c>
      <c r="E1001" t="s">
        <v>2095</v>
      </c>
      <c r="F1001" t="s">
        <v>2088</v>
      </c>
      <c r="G1001" t="s">
        <v>112</v>
      </c>
      <c r="I1001" t="str">
        <f t="shared" si="60"/>
        <v>844</v>
      </c>
      <c r="J1001" t="str">
        <f t="shared" si="61"/>
        <v>BC</v>
      </c>
      <c r="K1001">
        <f t="shared" si="62"/>
        <v>-844</v>
      </c>
      <c r="L1001">
        <f t="shared" si="63"/>
        <v>-844</v>
      </c>
    </row>
    <row r="1002" spans="1:12" x14ac:dyDescent="0.35">
      <c r="A1002">
        <v>1015</v>
      </c>
      <c r="B1002" t="s">
        <v>2096</v>
      </c>
      <c r="C1002" t="s">
        <v>10765</v>
      </c>
      <c r="D1002" t="s">
        <v>2097</v>
      </c>
      <c r="E1002" t="s">
        <v>2093</v>
      </c>
      <c r="F1002" t="s">
        <v>2088</v>
      </c>
      <c r="G1002" t="s">
        <v>112</v>
      </c>
      <c r="I1002" t="str">
        <f t="shared" si="60"/>
        <v>844</v>
      </c>
      <c r="J1002" t="str">
        <f t="shared" si="61"/>
        <v>BC</v>
      </c>
      <c r="K1002">
        <f t="shared" si="62"/>
        <v>-844</v>
      </c>
      <c r="L1002">
        <f t="shared" si="63"/>
        <v>-844</v>
      </c>
    </row>
    <row r="1003" spans="1:12" x14ac:dyDescent="0.35">
      <c r="A1003">
        <v>1016</v>
      </c>
      <c r="B1003" t="s">
        <v>2098</v>
      </c>
      <c r="C1003" t="s">
        <v>10235</v>
      </c>
      <c r="D1003" t="s">
        <v>2099</v>
      </c>
      <c r="E1003" t="s">
        <v>1787</v>
      </c>
      <c r="F1003" t="s">
        <v>2088</v>
      </c>
      <c r="G1003" t="s">
        <v>112</v>
      </c>
      <c r="I1003" t="str">
        <f t="shared" si="60"/>
        <v>844</v>
      </c>
      <c r="J1003" t="str">
        <f t="shared" si="61"/>
        <v>BC</v>
      </c>
      <c r="K1003">
        <f t="shared" si="62"/>
        <v>-844</v>
      </c>
      <c r="L1003">
        <f t="shared" si="63"/>
        <v>-844</v>
      </c>
    </row>
    <row r="1004" spans="1:12" x14ac:dyDescent="0.35">
      <c r="A1004">
        <v>1017</v>
      </c>
      <c r="B1004" t="s">
        <v>2100</v>
      </c>
      <c r="C1004" t="s">
        <v>11345</v>
      </c>
      <c r="D1004" t="s">
        <v>2101</v>
      </c>
      <c r="E1004" t="s">
        <v>2102</v>
      </c>
      <c r="F1004" t="s">
        <v>2088</v>
      </c>
      <c r="G1004" t="s">
        <v>112</v>
      </c>
      <c r="I1004" t="str">
        <f t="shared" si="60"/>
        <v>844</v>
      </c>
      <c r="J1004" t="str">
        <f t="shared" si="61"/>
        <v>BC</v>
      </c>
      <c r="K1004">
        <f t="shared" si="62"/>
        <v>-844</v>
      </c>
      <c r="L1004">
        <f t="shared" si="63"/>
        <v>-844</v>
      </c>
    </row>
    <row r="1005" spans="1:12" x14ac:dyDescent="0.35">
      <c r="A1005">
        <v>1018</v>
      </c>
      <c r="B1005" t="s">
        <v>2103</v>
      </c>
      <c r="C1005" t="s">
        <v>10068</v>
      </c>
      <c r="D1005" t="s">
        <v>2104</v>
      </c>
      <c r="E1005" t="s">
        <v>2080</v>
      </c>
      <c r="F1005" t="s">
        <v>2105</v>
      </c>
      <c r="G1005" t="s">
        <v>12457</v>
      </c>
      <c r="I1005" t="str">
        <f t="shared" si="60"/>
        <v>843</v>
      </c>
      <c r="J1005" t="str">
        <f t="shared" si="61"/>
        <v>BC</v>
      </c>
      <c r="K1005">
        <f t="shared" si="62"/>
        <v>-843</v>
      </c>
      <c r="L1005">
        <f t="shared" si="63"/>
        <v>-843</v>
      </c>
    </row>
    <row r="1006" spans="1:12" x14ac:dyDescent="0.35">
      <c r="A1006">
        <v>1019</v>
      </c>
      <c r="B1006" t="s">
        <v>2106</v>
      </c>
      <c r="C1006" t="s">
        <v>10037</v>
      </c>
      <c r="D1006" t="s">
        <v>2107</v>
      </c>
      <c r="E1006" t="s">
        <v>2080</v>
      </c>
      <c r="F1006" t="s">
        <v>2105</v>
      </c>
      <c r="G1006" t="s">
        <v>12457</v>
      </c>
      <c r="I1006" t="str">
        <f t="shared" si="60"/>
        <v>843</v>
      </c>
      <c r="J1006" t="str">
        <f t="shared" si="61"/>
        <v>BC</v>
      </c>
      <c r="K1006">
        <f t="shared" si="62"/>
        <v>-843</v>
      </c>
      <c r="L1006">
        <f t="shared" si="63"/>
        <v>-843</v>
      </c>
    </row>
    <row r="1007" spans="1:12" x14ac:dyDescent="0.35">
      <c r="A1007">
        <v>1020</v>
      </c>
      <c r="B1007" t="s">
        <v>2108</v>
      </c>
      <c r="C1007" t="s">
        <v>10236</v>
      </c>
      <c r="D1007" t="s">
        <v>2109</v>
      </c>
      <c r="E1007" t="s">
        <v>2110</v>
      </c>
      <c r="F1007" t="s">
        <v>2105</v>
      </c>
      <c r="G1007" t="s">
        <v>112</v>
      </c>
      <c r="I1007" t="str">
        <f t="shared" si="60"/>
        <v>843</v>
      </c>
      <c r="J1007" t="str">
        <f t="shared" si="61"/>
        <v>BC</v>
      </c>
      <c r="K1007">
        <f t="shared" si="62"/>
        <v>-843</v>
      </c>
      <c r="L1007">
        <f t="shared" si="63"/>
        <v>-843</v>
      </c>
    </row>
    <row r="1008" spans="1:12" x14ac:dyDescent="0.35">
      <c r="A1008">
        <v>1021</v>
      </c>
      <c r="B1008" t="s">
        <v>2111</v>
      </c>
      <c r="C1008" t="s">
        <v>11346</v>
      </c>
      <c r="D1008" t="s">
        <v>2112</v>
      </c>
      <c r="E1008" t="s">
        <v>2110</v>
      </c>
      <c r="F1008" t="s">
        <v>2105</v>
      </c>
      <c r="G1008" t="s">
        <v>2113</v>
      </c>
      <c r="I1008" t="str">
        <f t="shared" si="60"/>
        <v>843</v>
      </c>
      <c r="J1008" t="str">
        <f t="shared" si="61"/>
        <v>BC</v>
      </c>
      <c r="K1008">
        <f t="shared" si="62"/>
        <v>-843</v>
      </c>
      <c r="L1008">
        <f t="shared" si="63"/>
        <v>-843</v>
      </c>
    </row>
    <row r="1009" spans="1:12" x14ac:dyDescent="0.35">
      <c r="A1009">
        <v>1022</v>
      </c>
      <c r="B1009" t="s">
        <v>2114</v>
      </c>
      <c r="C1009" t="s">
        <v>10127</v>
      </c>
      <c r="D1009" t="s">
        <v>2115</v>
      </c>
      <c r="E1009" t="s">
        <v>2116</v>
      </c>
      <c r="F1009" t="s">
        <v>2105</v>
      </c>
      <c r="G1009" t="s">
        <v>112</v>
      </c>
      <c r="I1009" t="str">
        <f t="shared" si="60"/>
        <v>843</v>
      </c>
      <c r="J1009" t="str">
        <f t="shared" si="61"/>
        <v>BC</v>
      </c>
      <c r="K1009">
        <f t="shared" si="62"/>
        <v>-843</v>
      </c>
      <c r="L1009">
        <f t="shared" si="63"/>
        <v>-843</v>
      </c>
    </row>
    <row r="1010" spans="1:12" x14ac:dyDescent="0.35">
      <c r="A1010">
        <v>1023</v>
      </c>
      <c r="B1010" t="s">
        <v>2117</v>
      </c>
      <c r="C1010" t="s">
        <v>10237</v>
      </c>
      <c r="D1010" t="s">
        <v>2118</v>
      </c>
      <c r="E1010" t="s">
        <v>2116</v>
      </c>
      <c r="F1010" t="s">
        <v>2105</v>
      </c>
      <c r="G1010" t="s">
        <v>112</v>
      </c>
      <c r="I1010" t="str">
        <f t="shared" si="60"/>
        <v>843</v>
      </c>
      <c r="J1010" t="str">
        <f t="shared" si="61"/>
        <v>BC</v>
      </c>
      <c r="K1010">
        <f t="shared" si="62"/>
        <v>-843</v>
      </c>
      <c r="L1010">
        <f t="shared" si="63"/>
        <v>-843</v>
      </c>
    </row>
    <row r="1011" spans="1:12" x14ac:dyDescent="0.35">
      <c r="A1011">
        <v>1024</v>
      </c>
      <c r="B1011" t="s">
        <v>2119</v>
      </c>
      <c r="C1011" t="s">
        <v>10253</v>
      </c>
      <c r="D1011" t="s">
        <v>2120</v>
      </c>
      <c r="E1011" t="s">
        <v>2055</v>
      </c>
      <c r="F1011" t="s">
        <v>2121</v>
      </c>
      <c r="G1011" t="s">
        <v>12457</v>
      </c>
      <c r="I1011" t="str">
        <f t="shared" si="60"/>
        <v>842</v>
      </c>
      <c r="J1011" t="str">
        <f t="shared" si="61"/>
        <v>BC</v>
      </c>
      <c r="K1011">
        <f t="shared" si="62"/>
        <v>-842</v>
      </c>
      <c r="L1011">
        <f t="shared" si="63"/>
        <v>-842</v>
      </c>
    </row>
    <row r="1012" spans="1:12" x14ac:dyDescent="0.35">
      <c r="A1012">
        <v>1025</v>
      </c>
      <c r="B1012" t="s">
        <v>2122</v>
      </c>
      <c r="C1012" t="s">
        <v>10238</v>
      </c>
      <c r="D1012" t="s">
        <v>2123</v>
      </c>
      <c r="E1012" t="s">
        <v>2009</v>
      </c>
      <c r="F1012" t="s">
        <v>2124</v>
      </c>
      <c r="G1012" t="s">
        <v>2125</v>
      </c>
      <c r="I1012" t="str">
        <f t="shared" ref="I1012:I1075" si="64">SUBSTITUTE(SUBSTITUTE(SUBSTITUTE(F1012,"c. ","")," BC","")," AD","")</f>
        <v>835</v>
      </c>
      <c r="J1012" t="str">
        <f t="shared" si="61"/>
        <v>BC</v>
      </c>
      <c r="K1012">
        <f t="shared" si="62"/>
        <v>-835</v>
      </c>
      <c r="L1012">
        <f t="shared" si="63"/>
        <v>-835</v>
      </c>
    </row>
    <row r="1013" spans="1:12" x14ac:dyDescent="0.35">
      <c r="A1013">
        <v>1026</v>
      </c>
      <c r="B1013" t="s">
        <v>2126</v>
      </c>
      <c r="C1013" t="s">
        <v>11347</v>
      </c>
      <c r="D1013" t="s">
        <v>2127</v>
      </c>
      <c r="E1013" t="s">
        <v>2128</v>
      </c>
      <c r="F1013" t="s">
        <v>2129</v>
      </c>
      <c r="G1013" t="s">
        <v>12457</v>
      </c>
      <c r="I1013" t="str">
        <f t="shared" si="64"/>
        <v>841</v>
      </c>
      <c r="J1013" t="str">
        <f t="shared" si="61"/>
        <v>BC</v>
      </c>
      <c r="K1013">
        <f t="shared" si="62"/>
        <v>-841</v>
      </c>
      <c r="L1013">
        <f t="shared" si="63"/>
        <v>-841</v>
      </c>
    </row>
    <row r="1014" spans="1:12" x14ac:dyDescent="0.35">
      <c r="A1014">
        <v>1027</v>
      </c>
      <c r="B1014" t="s">
        <v>2130</v>
      </c>
      <c r="C1014" t="s">
        <v>11348</v>
      </c>
      <c r="D1014" t="s">
        <v>2131</v>
      </c>
      <c r="E1014" t="s">
        <v>2128</v>
      </c>
      <c r="F1014" t="s">
        <v>2129</v>
      </c>
      <c r="G1014" t="s">
        <v>12457</v>
      </c>
      <c r="I1014" t="str">
        <f t="shared" si="64"/>
        <v>841</v>
      </c>
      <c r="J1014" t="str">
        <f t="shared" si="61"/>
        <v>BC</v>
      </c>
      <c r="K1014">
        <f t="shared" si="62"/>
        <v>-841</v>
      </c>
      <c r="L1014">
        <f t="shared" si="63"/>
        <v>-841</v>
      </c>
    </row>
    <row r="1015" spans="1:12" x14ac:dyDescent="0.35">
      <c r="A1015">
        <v>1028</v>
      </c>
      <c r="B1015" t="s">
        <v>2132</v>
      </c>
      <c r="C1015" t="s">
        <v>11314</v>
      </c>
      <c r="D1015" t="s">
        <v>2133</v>
      </c>
      <c r="E1015" t="s">
        <v>1750</v>
      </c>
      <c r="F1015" t="s">
        <v>2134</v>
      </c>
      <c r="G1015" t="s">
        <v>112</v>
      </c>
      <c r="I1015" t="str">
        <f t="shared" si="64"/>
        <v>848-841</v>
      </c>
      <c r="J1015" t="str">
        <f t="shared" si="61"/>
        <v>BC</v>
      </c>
      <c r="K1015">
        <f t="shared" si="62"/>
        <v>-848</v>
      </c>
      <c r="L1015">
        <f t="shared" si="63"/>
        <v>-841</v>
      </c>
    </row>
    <row r="1016" spans="1:12" x14ac:dyDescent="0.35">
      <c r="A1016">
        <v>1029</v>
      </c>
      <c r="B1016" t="s">
        <v>2135</v>
      </c>
      <c r="C1016" t="s">
        <v>10118</v>
      </c>
      <c r="D1016" t="s">
        <v>2136</v>
      </c>
      <c r="E1016" t="s">
        <v>1971</v>
      </c>
      <c r="F1016" t="s">
        <v>2129</v>
      </c>
      <c r="G1016" t="s">
        <v>12461</v>
      </c>
      <c r="I1016" t="str">
        <f t="shared" si="64"/>
        <v>841</v>
      </c>
      <c r="J1016" t="str">
        <f t="shared" si="61"/>
        <v>BC</v>
      </c>
      <c r="K1016">
        <f t="shared" si="62"/>
        <v>-841</v>
      </c>
      <c r="L1016">
        <f t="shared" si="63"/>
        <v>-841</v>
      </c>
    </row>
    <row r="1017" spans="1:12" x14ac:dyDescent="0.35">
      <c r="A1017">
        <v>1030</v>
      </c>
      <c r="B1017" t="s">
        <v>2137</v>
      </c>
      <c r="C1017" t="s">
        <v>10239</v>
      </c>
      <c r="D1017" t="s">
        <v>2138</v>
      </c>
      <c r="E1017" t="s">
        <v>1971</v>
      </c>
      <c r="F1017" t="s">
        <v>2129</v>
      </c>
      <c r="G1017" t="s">
        <v>12462</v>
      </c>
      <c r="I1017" t="str">
        <f t="shared" si="64"/>
        <v>841</v>
      </c>
      <c r="J1017" t="str">
        <f t="shared" si="61"/>
        <v>BC</v>
      </c>
      <c r="K1017">
        <f t="shared" si="62"/>
        <v>-841</v>
      </c>
      <c r="L1017">
        <f t="shared" si="63"/>
        <v>-841</v>
      </c>
    </row>
    <row r="1018" spans="1:12" x14ac:dyDescent="0.35">
      <c r="A1018">
        <v>1031</v>
      </c>
      <c r="B1018" t="s">
        <v>2139</v>
      </c>
      <c r="C1018" t="s">
        <v>10127</v>
      </c>
      <c r="D1018" t="s">
        <v>2140</v>
      </c>
      <c r="E1018" t="s">
        <v>1874</v>
      </c>
      <c r="F1018" t="s">
        <v>2129</v>
      </c>
      <c r="G1018" t="s">
        <v>112</v>
      </c>
      <c r="I1018" t="str">
        <f t="shared" si="64"/>
        <v>841</v>
      </c>
      <c r="J1018" t="str">
        <f t="shared" si="61"/>
        <v>BC</v>
      </c>
      <c r="K1018">
        <f t="shared" si="62"/>
        <v>-841</v>
      </c>
      <c r="L1018">
        <f t="shared" si="63"/>
        <v>-841</v>
      </c>
    </row>
    <row r="1019" spans="1:12" x14ac:dyDescent="0.35">
      <c r="A1019">
        <v>1032</v>
      </c>
      <c r="B1019" t="s">
        <v>2141</v>
      </c>
      <c r="C1019" t="s">
        <v>11349</v>
      </c>
      <c r="D1019" t="s">
        <v>2142</v>
      </c>
      <c r="E1019" t="s">
        <v>1874</v>
      </c>
      <c r="F1019" t="s">
        <v>2129</v>
      </c>
      <c r="G1019" t="s">
        <v>112</v>
      </c>
      <c r="I1019" t="str">
        <f t="shared" si="64"/>
        <v>841</v>
      </c>
      <c r="J1019" t="str">
        <f t="shared" si="61"/>
        <v>BC</v>
      </c>
      <c r="K1019">
        <f t="shared" si="62"/>
        <v>-841</v>
      </c>
      <c r="L1019">
        <f t="shared" si="63"/>
        <v>-841</v>
      </c>
    </row>
    <row r="1020" spans="1:12" x14ac:dyDescent="0.35">
      <c r="A1020">
        <v>1033</v>
      </c>
      <c r="B1020" t="s">
        <v>2143</v>
      </c>
      <c r="C1020" t="s">
        <v>10240</v>
      </c>
      <c r="D1020" t="s">
        <v>2144</v>
      </c>
      <c r="E1020" t="s">
        <v>1787</v>
      </c>
      <c r="F1020" t="s">
        <v>2129</v>
      </c>
      <c r="G1020" t="s">
        <v>112</v>
      </c>
      <c r="I1020" t="str">
        <f t="shared" si="64"/>
        <v>841</v>
      </c>
      <c r="J1020" t="str">
        <f t="shared" si="61"/>
        <v>BC</v>
      </c>
      <c r="K1020">
        <f t="shared" si="62"/>
        <v>-841</v>
      </c>
      <c r="L1020">
        <f t="shared" si="63"/>
        <v>-841</v>
      </c>
    </row>
    <row r="1021" spans="1:12" x14ac:dyDescent="0.35">
      <c r="A1021">
        <v>1034</v>
      </c>
      <c r="B1021" t="s">
        <v>2145</v>
      </c>
      <c r="C1021" t="s">
        <v>11350</v>
      </c>
      <c r="D1021" t="s">
        <v>2144</v>
      </c>
      <c r="E1021" t="s">
        <v>1787</v>
      </c>
      <c r="F1021" t="s">
        <v>2129</v>
      </c>
      <c r="G1021" t="s">
        <v>112</v>
      </c>
      <c r="I1021" t="str">
        <f t="shared" si="64"/>
        <v>841</v>
      </c>
      <c r="J1021" t="str">
        <f t="shared" si="61"/>
        <v>BC</v>
      </c>
      <c r="K1021">
        <f t="shared" si="62"/>
        <v>-841</v>
      </c>
      <c r="L1021">
        <f t="shared" si="63"/>
        <v>-841</v>
      </c>
    </row>
    <row r="1022" spans="1:12" x14ac:dyDescent="0.35">
      <c r="A1022">
        <v>1035</v>
      </c>
      <c r="B1022" t="s">
        <v>2146</v>
      </c>
      <c r="C1022" t="s">
        <v>10241</v>
      </c>
      <c r="D1022" t="s">
        <v>2147</v>
      </c>
      <c r="E1022" t="s">
        <v>2148</v>
      </c>
      <c r="F1022" t="s">
        <v>2149</v>
      </c>
      <c r="G1022" t="s">
        <v>12463</v>
      </c>
      <c r="I1022" t="str">
        <f t="shared" si="64"/>
        <v>841-814</v>
      </c>
      <c r="J1022" t="str">
        <f t="shared" si="61"/>
        <v>BC</v>
      </c>
      <c r="K1022">
        <f t="shared" si="62"/>
        <v>-841</v>
      </c>
      <c r="L1022">
        <f t="shared" si="63"/>
        <v>-814</v>
      </c>
    </row>
    <row r="1023" spans="1:12" x14ac:dyDescent="0.35">
      <c r="A1023">
        <v>1036</v>
      </c>
      <c r="B1023" t="s">
        <v>2150</v>
      </c>
      <c r="C1023" t="s">
        <v>11190</v>
      </c>
      <c r="D1023" t="s">
        <v>2151</v>
      </c>
      <c r="E1023" t="s">
        <v>2020</v>
      </c>
      <c r="F1023" t="s">
        <v>2149</v>
      </c>
      <c r="G1023" t="s">
        <v>12463</v>
      </c>
      <c r="I1023" t="str">
        <f t="shared" si="64"/>
        <v>841-814</v>
      </c>
      <c r="J1023" t="str">
        <f t="shared" si="61"/>
        <v>BC</v>
      </c>
      <c r="K1023">
        <f t="shared" si="62"/>
        <v>-841</v>
      </c>
      <c r="L1023">
        <f t="shared" si="63"/>
        <v>-814</v>
      </c>
    </row>
    <row r="1024" spans="1:12" x14ac:dyDescent="0.35">
      <c r="A1024">
        <v>1037</v>
      </c>
      <c r="B1024" t="s">
        <v>2152</v>
      </c>
      <c r="C1024" t="s">
        <v>10242</v>
      </c>
      <c r="D1024" t="s">
        <v>2153</v>
      </c>
      <c r="E1024" t="s">
        <v>2154</v>
      </c>
      <c r="F1024" t="s">
        <v>2129</v>
      </c>
      <c r="G1024" t="s">
        <v>2155</v>
      </c>
      <c r="I1024" t="str">
        <f t="shared" si="64"/>
        <v>841</v>
      </c>
      <c r="J1024" t="str">
        <f t="shared" si="61"/>
        <v>BC</v>
      </c>
      <c r="K1024">
        <f t="shared" si="62"/>
        <v>-841</v>
      </c>
      <c r="L1024">
        <f t="shared" si="63"/>
        <v>-841</v>
      </c>
    </row>
    <row r="1025" spans="1:12" x14ac:dyDescent="0.35">
      <c r="A1025">
        <v>1038</v>
      </c>
      <c r="B1025" t="s">
        <v>667</v>
      </c>
      <c r="C1025" t="s">
        <v>10067</v>
      </c>
      <c r="D1025" t="s">
        <v>2156</v>
      </c>
      <c r="E1025" t="s">
        <v>1682</v>
      </c>
      <c r="F1025" t="s">
        <v>2157</v>
      </c>
      <c r="G1025" t="s">
        <v>112</v>
      </c>
      <c r="I1025" t="str">
        <f t="shared" si="64"/>
        <v>814-798</v>
      </c>
      <c r="J1025" t="str">
        <f t="shared" si="61"/>
        <v>BC</v>
      </c>
      <c r="K1025">
        <f t="shared" si="62"/>
        <v>-814</v>
      </c>
      <c r="L1025">
        <f t="shared" si="63"/>
        <v>-798</v>
      </c>
    </row>
    <row r="1026" spans="1:12" x14ac:dyDescent="0.35">
      <c r="A1026">
        <v>1039</v>
      </c>
      <c r="B1026" t="s">
        <v>2158</v>
      </c>
      <c r="C1026" t="s">
        <v>10088</v>
      </c>
      <c r="D1026" t="s">
        <v>2156</v>
      </c>
      <c r="E1026" t="s">
        <v>1682</v>
      </c>
      <c r="F1026" t="s">
        <v>2157</v>
      </c>
      <c r="G1026" t="s">
        <v>1641</v>
      </c>
      <c r="I1026" t="str">
        <f t="shared" si="64"/>
        <v>814-798</v>
      </c>
      <c r="J1026" t="str">
        <f t="shared" ref="J1026:J1089" si="65">RIGHT(F1026, 2)</f>
        <v>BC</v>
      </c>
      <c r="K1026">
        <f t="shared" ref="K1026:K1089" si="66">IF(J1026="BC", 0-IF(ISERROR(FIND("-",I1026)),I1026,LEFT(I1026,FIND("-",I1026)-1)), IF(ISERROR(FIND("-",I1026)),I1026,LEFT(I1026,FIND("-",I1026)-1)))</f>
        <v>-814</v>
      </c>
      <c r="L1026">
        <f t="shared" ref="L1026:L1089" si="67">IF(J1026="BC", 0-IF(ISERROR(FIND("-",I1026)),I1026,RIGHT(I1026,FIND("-",I1026)-1)), IF(ISERROR(FIND("-",I1026)),I1026,RIGHT(I1026,FIND("-",I1026)-1)))</f>
        <v>-798</v>
      </c>
    </row>
    <row r="1027" spans="1:12" x14ac:dyDescent="0.35">
      <c r="A1027">
        <v>1040</v>
      </c>
      <c r="B1027" t="s">
        <v>2159</v>
      </c>
      <c r="C1027" t="s">
        <v>10243</v>
      </c>
      <c r="D1027" t="s">
        <v>2160</v>
      </c>
      <c r="E1027" t="s">
        <v>1682</v>
      </c>
      <c r="F1027" t="s">
        <v>2161</v>
      </c>
      <c r="G1027" t="s">
        <v>112</v>
      </c>
      <c r="I1027" t="str">
        <f t="shared" si="64"/>
        <v>800</v>
      </c>
      <c r="J1027" t="str">
        <f t="shared" si="65"/>
        <v>BC</v>
      </c>
      <c r="K1027">
        <f t="shared" si="66"/>
        <v>-800</v>
      </c>
      <c r="L1027">
        <f t="shared" si="67"/>
        <v>-800</v>
      </c>
    </row>
    <row r="1028" spans="1:12" x14ac:dyDescent="0.35">
      <c r="A1028">
        <v>1041</v>
      </c>
      <c r="B1028" t="s">
        <v>2162</v>
      </c>
      <c r="C1028" t="s">
        <v>11351</v>
      </c>
      <c r="D1028" t="s">
        <v>2163</v>
      </c>
      <c r="E1028" t="s">
        <v>1787</v>
      </c>
      <c r="F1028" t="s">
        <v>2164</v>
      </c>
      <c r="G1028" t="s">
        <v>2165</v>
      </c>
      <c r="I1028" t="str">
        <f t="shared" si="64"/>
        <v>790</v>
      </c>
      <c r="J1028" t="str">
        <f t="shared" si="65"/>
        <v>BC</v>
      </c>
      <c r="K1028">
        <f t="shared" si="66"/>
        <v>-790</v>
      </c>
      <c r="L1028">
        <f t="shared" si="67"/>
        <v>-790</v>
      </c>
    </row>
    <row r="1029" spans="1:12" x14ac:dyDescent="0.35">
      <c r="A1029">
        <v>1042</v>
      </c>
      <c r="B1029" t="s">
        <v>2166</v>
      </c>
      <c r="C1029" t="s">
        <v>11352</v>
      </c>
      <c r="D1029" t="s">
        <v>2167</v>
      </c>
      <c r="E1029" t="s">
        <v>1787</v>
      </c>
      <c r="F1029" t="s">
        <v>2164</v>
      </c>
      <c r="G1029" t="s">
        <v>12457</v>
      </c>
      <c r="I1029" t="str">
        <f t="shared" si="64"/>
        <v>790</v>
      </c>
      <c r="J1029" t="str">
        <f t="shared" si="65"/>
        <v>BC</v>
      </c>
      <c r="K1029">
        <f t="shared" si="66"/>
        <v>-790</v>
      </c>
      <c r="L1029">
        <f t="shared" si="67"/>
        <v>-790</v>
      </c>
    </row>
    <row r="1030" spans="1:12" x14ac:dyDescent="0.35">
      <c r="A1030">
        <v>1043</v>
      </c>
      <c r="B1030" t="s">
        <v>2168</v>
      </c>
      <c r="C1030" t="s">
        <v>10759</v>
      </c>
      <c r="D1030" t="s">
        <v>2169</v>
      </c>
      <c r="E1030" t="s">
        <v>2170</v>
      </c>
      <c r="F1030" t="s">
        <v>2171</v>
      </c>
      <c r="G1030" t="s">
        <v>12464</v>
      </c>
      <c r="I1030" t="str">
        <f t="shared" si="64"/>
        <v>789</v>
      </c>
      <c r="J1030" t="str">
        <f t="shared" si="65"/>
        <v>BC</v>
      </c>
      <c r="K1030">
        <f t="shared" si="66"/>
        <v>-789</v>
      </c>
      <c r="L1030">
        <f t="shared" si="67"/>
        <v>-789</v>
      </c>
    </row>
    <row r="1031" spans="1:12" x14ac:dyDescent="0.35">
      <c r="A1031">
        <v>1044</v>
      </c>
      <c r="B1031" t="s">
        <v>2172</v>
      </c>
      <c r="C1031" t="s">
        <v>10244</v>
      </c>
      <c r="D1031" t="s">
        <v>2169</v>
      </c>
      <c r="E1031" t="s">
        <v>2170</v>
      </c>
      <c r="F1031" t="s">
        <v>2171</v>
      </c>
      <c r="G1031" t="s">
        <v>112</v>
      </c>
      <c r="I1031" t="str">
        <f t="shared" si="64"/>
        <v>789</v>
      </c>
      <c r="J1031" t="str">
        <f t="shared" si="65"/>
        <v>BC</v>
      </c>
      <c r="K1031">
        <f t="shared" si="66"/>
        <v>-789</v>
      </c>
      <c r="L1031">
        <f t="shared" si="67"/>
        <v>-789</v>
      </c>
    </row>
    <row r="1032" spans="1:12" x14ac:dyDescent="0.35">
      <c r="A1032">
        <v>1045</v>
      </c>
      <c r="B1032" t="s">
        <v>2173</v>
      </c>
      <c r="C1032" t="s">
        <v>11353</v>
      </c>
      <c r="D1032" t="s">
        <v>2174</v>
      </c>
      <c r="E1032" t="s">
        <v>1682</v>
      </c>
      <c r="F1032" t="s">
        <v>2175</v>
      </c>
      <c r="G1032" t="s">
        <v>112</v>
      </c>
      <c r="I1032" t="str">
        <f t="shared" si="64"/>
        <v>790-782</v>
      </c>
      <c r="J1032" t="str">
        <f t="shared" si="65"/>
        <v>BC</v>
      </c>
      <c r="K1032">
        <f t="shared" si="66"/>
        <v>-790</v>
      </c>
      <c r="L1032">
        <f t="shared" si="67"/>
        <v>-782</v>
      </c>
    </row>
    <row r="1033" spans="1:12" x14ac:dyDescent="0.35">
      <c r="A1033">
        <v>1046</v>
      </c>
      <c r="B1033" t="s">
        <v>2176</v>
      </c>
      <c r="C1033" t="s">
        <v>10245</v>
      </c>
      <c r="D1033" t="s">
        <v>2177</v>
      </c>
      <c r="E1033" t="s">
        <v>2178</v>
      </c>
      <c r="F1033" t="s">
        <v>2179</v>
      </c>
      <c r="G1033" t="s">
        <v>12465</v>
      </c>
      <c r="I1033" t="str">
        <f t="shared" si="64"/>
        <v>785-782</v>
      </c>
      <c r="J1033" t="str">
        <f t="shared" si="65"/>
        <v>BC</v>
      </c>
      <c r="K1033">
        <f t="shared" si="66"/>
        <v>-785</v>
      </c>
      <c r="L1033">
        <f t="shared" si="67"/>
        <v>-782</v>
      </c>
    </row>
    <row r="1034" spans="1:12" x14ac:dyDescent="0.35">
      <c r="A1034">
        <v>1047</v>
      </c>
      <c r="B1034" t="s">
        <v>2180</v>
      </c>
      <c r="C1034" t="s">
        <v>11354</v>
      </c>
      <c r="D1034" t="s">
        <v>2177</v>
      </c>
      <c r="E1034" t="s">
        <v>1112</v>
      </c>
      <c r="F1034" t="s">
        <v>2179</v>
      </c>
      <c r="G1034" t="s">
        <v>112</v>
      </c>
      <c r="I1034" t="str">
        <f t="shared" si="64"/>
        <v>785-782</v>
      </c>
      <c r="J1034" t="str">
        <f t="shared" si="65"/>
        <v>BC</v>
      </c>
      <c r="K1034">
        <f t="shared" si="66"/>
        <v>-785</v>
      </c>
      <c r="L1034">
        <f t="shared" si="67"/>
        <v>-782</v>
      </c>
    </row>
    <row r="1035" spans="1:12" x14ac:dyDescent="0.35">
      <c r="A1035">
        <v>1048</v>
      </c>
      <c r="B1035" t="s">
        <v>2181</v>
      </c>
      <c r="C1035" t="s">
        <v>10184</v>
      </c>
      <c r="D1035" t="s">
        <v>2182</v>
      </c>
      <c r="E1035" t="s">
        <v>87</v>
      </c>
      <c r="F1035" t="s">
        <v>2164</v>
      </c>
      <c r="G1035" t="s">
        <v>112</v>
      </c>
      <c r="I1035" t="str">
        <f t="shared" si="64"/>
        <v>790</v>
      </c>
      <c r="J1035" t="str">
        <f t="shared" si="65"/>
        <v>BC</v>
      </c>
      <c r="K1035">
        <f t="shared" si="66"/>
        <v>-790</v>
      </c>
      <c r="L1035">
        <f t="shared" si="67"/>
        <v>-790</v>
      </c>
    </row>
    <row r="1036" spans="1:12" x14ac:dyDescent="0.35">
      <c r="A1036">
        <v>1049</v>
      </c>
      <c r="B1036" t="s">
        <v>2183</v>
      </c>
      <c r="C1036" t="s">
        <v>11190</v>
      </c>
      <c r="D1036" t="s">
        <v>2184</v>
      </c>
      <c r="E1036" t="s">
        <v>87</v>
      </c>
      <c r="F1036" t="s">
        <v>2164</v>
      </c>
      <c r="G1036" t="s">
        <v>2337</v>
      </c>
      <c r="I1036" t="str">
        <f t="shared" si="64"/>
        <v>790</v>
      </c>
      <c r="J1036" t="str">
        <f t="shared" si="65"/>
        <v>BC</v>
      </c>
      <c r="K1036">
        <f t="shared" si="66"/>
        <v>-790</v>
      </c>
      <c r="L1036">
        <f t="shared" si="67"/>
        <v>-790</v>
      </c>
    </row>
    <row r="1037" spans="1:12" x14ac:dyDescent="0.35">
      <c r="A1037">
        <v>1050</v>
      </c>
      <c r="B1037" t="s">
        <v>2185</v>
      </c>
      <c r="C1037" t="s">
        <v>11355</v>
      </c>
      <c r="D1037" t="s">
        <v>2186</v>
      </c>
      <c r="E1037" t="s">
        <v>1682</v>
      </c>
      <c r="F1037" t="s">
        <v>2187</v>
      </c>
      <c r="G1037" t="s">
        <v>12466</v>
      </c>
      <c r="I1037" t="str">
        <f t="shared" si="64"/>
        <v>793-753</v>
      </c>
      <c r="J1037" t="str">
        <f t="shared" si="65"/>
        <v>BC</v>
      </c>
      <c r="K1037">
        <f t="shared" si="66"/>
        <v>-793</v>
      </c>
      <c r="L1037">
        <f t="shared" si="67"/>
        <v>-753</v>
      </c>
    </row>
    <row r="1038" spans="1:12" x14ac:dyDescent="0.35">
      <c r="A1038">
        <v>1051</v>
      </c>
      <c r="B1038" t="s">
        <v>2188</v>
      </c>
      <c r="C1038" t="s">
        <v>10246</v>
      </c>
      <c r="D1038" t="s">
        <v>2186</v>
      </c>
      <c r="E1038" t="s">
        <v>1682</v>
      </c>
      <c r="F1038" t="s">
        <v>2187</v>
      </c>
      <c r="G1038" t="s">
        <v>112</v>
      </c>
      <c r="I1038" t="str">
        <f t="shared" si="64"/>
        <v>793-753</v>
      </c>
      <c r="J1038" t="str">
        <f t="shared" si="65"/>
        <v>BC</v>
      </c>
      <c r="K1038">
        <f t="shared" si="66"/>
        <v>-793</v>
      </c>
      <c r="L1038">
        <f t="shared" si="67"/>
        <v>-753</v>
      </c>
    </row>
    <row r="1039" spans="1:12" x14ac:dyDescent="0.35">
      <c r="A1039">
        <v>1052</v>
      </c>
      <c r="B1039" t="s">
        <v>2189</v>
      </c>
      <c r="C1039" t="s">
        <v>10247</v>
      </c>
      <c r="D1039" t="s">
        <v>2190</v>
      </c>
      <c r="E1039" t="s">
        <v>1682</v>
      </c>
      <c r="F1039" t="s">
        <v>2187</v>
      </c>
      <c r="G1039" t="s">
        <v>112</v>
      </c>
      <c r="I1039" t="str">
        <f t="shared" si="64"/>
        <v>793-753</v>
      </c>
      <c r="J1039" t="str">
        <f t="shared" si="65"/>
        <v>BC</v>
      </c>
      <c r="K1039">
        <f t="shared" si="66"/>
        <v>-793</v>
      </c>
      <c r="L1039">
        <f t="shared" si="67"/>
        <v>-753</v>
      </c>
    </row>
    <row r="1040" spans="1:12" x14ac:dyDescent="0.35">
      <c r="A1040">
        <v>1053</v>
      </c>
      <c r="B1040" t="s">
        <v>2191</v>
      </c>
      <c r="C1040" t="s">
        <v>10243</v>
      </c>
      <c r="D1040" t="s">
        <v>2192</v>
      </c>
      <c r="E1040" t="s">
        <v>1682</v>
      </c>
      <c r="F1040" t="s">
        <v>2187</v>
      </c>
      <c r="G1040" t="s">
        <v>12466</v>
      </c>
      <c r="I1040" t="str">
        <f t="shared" si="64"/>
        <v>793-753</v>
      </c>
      <c r="J1040" t="str">
        <f t="shared" si="65"/>
        <v>BC</v>
      </c>
      <c r="K1040">
        <f t="shared" si="66"/>
        <v>-793</v>
      </c>
      <c r="L1040">
        <f t="shared" si="67"/>
        <v>-753</v>
      </c>
    </row>
    <row r="1041" spans="1:12" x14ac:dyDescent="0.35">
      <c r="A1041">
        <v>1054</v>
      </c>
      <c r="B1041" t="s">
        <v>2193</v>
      </c>
      <c r="C1041" t="s">
        <v>11258</v>
      </c>
      <c r="D1041" t="s">
        <v>2194</v>
      </c>
      <c r="E1041" t="s">
        <v>1211</v>
      </c>
      <c r="F1041" t="s">
        <v>2195</v>
      </c>
      <c r="G1041" t="s">
        <v>112</v>
      </c>
      <c r="I1041" t="str">
        <f t="shared" si="64"/>
        <v>750</v>
      </c>
      <c r="J1041" t="str">
        <f t="shared" si="65"/>
        <v>BC</v>
      </c>
      <c r="K1041">
        <f t="shared" si="66"/>
        <v>-750</v>
      </c>
      <c r="L1041">
        <f t="shared" si="67"/>
        <v>-750</v>
      </c>
    </row>
    <row r="1042" spans="1:12" x14ac:dyDescent="0.35">
      <c r="A1042">
        <v>1055</v>
      </c>
      <c r="B1042" t="s">
        <v>2196</v>
      </c>
      <c r="C1042" t="s">
        <v>11356</v>
      </c>
      <c r="D1042" t="s">
        <v>2197</v>
      </c>
      <c r="E1042" t="s">
        <v>1682</v>
      </c>
      <c r="F1042" t="s">
        <v>2198</v>
      </c>
      <c r="G1042" t="s">
        <v>112</v>
      </c>
      <c r="I1042" t="str">
        <f t="shared" si="64"/>
        <v>753</v>
      </c>
      <c r="J1042" t="str">
        <f t="shared" si="65"/>
        <v>BC</v>
      </c>
      <c r="K1042">
        <f t="shared" si="66"/>
        <v>-753</v>
      </c>
      <c r="L1042">
        <f t="shared" si="67"/>
        <v>-753</v>
      </c>
    </row>
    <row r="1043" spans="1:12" x14ac:dyDescent="0.35">
      <c r="A1043">
        <v>1056</v>
      </c>
      <c r="B1043" t="s">
        <v>2199</v>
      </c>
      <c r="C1043" t="s">
        <v>11313</v>
      </c>
      <c r="D1043" t="s">
        <v>2200</v>
      </c>
      <c r="E1043" t="s">
        <v>1682</v>
      </c>
      <c r="F1043" t="s">
        <v>2201</v>
      </c>
      <c r="G1043" t="s">
        <v>2202</v>
      </c>
      <c r="I1043" t="str">
        <f t="shared" si="64"/>
        <v>745</v>
      </c>
      <c r="J1043" t="str">
        <f t="shared" si="65"/>
        <v>BC</v>
      </c>
      <c r="K1043">
        <f t="shared" si="66"/>
        <v>-745</v>
      </c>
      <c r="L1043">
        <f t="shared" si="67"/>
        <v>-745</v>
      </c>
    </row>
    <row r="1044" spans="1:12" x14ac:dyDescent="0.35">
      <c r="A1044">
        <v>1057</v>
      </c>
      <c r="B1044" t="s">
        <v>2203</v>
      </c>
      <c r="C1044" t="s">
        <v>11357</v>
      </c>
      <c r="D1044" t="s">
        <v>2204</v>
      </c>
      <c r="E1044" t="s">
        <v>1682</v>
      </c>
      <c r="F1044" t="s">
        <v>2205</v>
      </c>
      <c r="G1044" t="s">
        <v>2202</v>
      </c>
      <c r="I1044" t="str">
        <f t="shared" si="64"/>
        <v>734</v>
      </c>
      <c r="J1044" t="str">
        <f t="shared" si="65"/>
        <v>BC</v>
      </c>
      <c r="K1044">
        <f t="shared" si="66"/>
        <v>-734</v>
      </c>
      <c r="L1044">
        <f t="shared" si="67"/>
        <v>-734</v>
      </c>
    </row>
    <row r="1045" spans="1:12" x14ac:dyDescent="0.35">
      <c r="A1045">
        <v>1058</v>
      </c>
      <c r="B1045" t="s">
        <v>2206</v>
      </c>
      <c r="C1045" t="s">
        <v>11358</v>
      </c>
      <c r="D1045" t="s">
        <v>2204</v>
      </c>
      <c r="E1045" t="s">
        <v>2207</v>
      </c>
      <c r="F1045" t="s">
        <v>2205</v>
      </c>
      <c r="G1045" t="s">
        <v>2202</v>
      </c>
      <c r="I1045" t="str">
        <f t="shared" si="64"/>
        <v>734</v>
      </c>
      <c r="J1045" t="str">
        <f t="shared" si="65"/>
        <v>BC</v>
      </c>
      <c r="K1045">
        <f t="shared" si="66"/>
        <v>-734</v>
      </c>
      <c r="L1045">
        <f t="shared" si="67"/>
        <v>-734</v>
      </c>
    </row>
    <row r="1046" spans="1:12" x14ac:dyDescent="0.35">
      <c r="A1046">
        <v>1059</v>
      </c>
      <c r="B1046" t="s">
        <v>2208</v>
      </c>
      <c r="C1046" t="s">
        <v>10248</v>
      </c>
      <c r="D1046" t="s">
        <v>2209</v>
      </c>
      <c r="E1046" t="s">
        <v>1750</v>
      </c>
      <c r="F1046" t="s">
        <v>2210</v>
      </c>
      <c r="G1046" t="s">
        <v>112</v>
      </c>
      <c r="I1046" t="str">
        <f t="shared" si="64"/>
        <v>735</v>
      </c>
      <c r="J1046" t="str">
        <f t="shared" si="65"/>
        <v>BC</v>
      </c>
      <c r="K1046">
        <f t="shared" si="66"/>
        <v>-735</v>
      </c>
      <c r="L1046">
        <f t="shared" si="67"/>
        <v>-735</v>
      </c>
    </row>
    <row r="1047" spans="1:12" x14ac:dyDescent="0.35">
      <c r="A1047">
        <v>1060</v>
      </c>
      <c r="B1047" t="s">
        <v>2211</v>
      </c>
      <c r="C1047" t="s">
        <v>10249</v>
      </c>
      <c r="D1047" t="s">
        <v>2212</v>
      </c>
      <c r="E1047" t="s">
        <v>1211</v>
      </c>
      <c r="F1047" t="s">
        <v>2205</v>
      </c>
      <c r="G1047" t="s">
        <v>2213</v>
      </c>
      <c r="I1047" t="str">
        <f t="shared" si="64"/>
        <v>734</v>
      </c>
      <c r="J1047" t="str">
        <f t="shared" si="65"/>
        <v>BC</v>
      </c>
      <c r="K1047">
        <f t="shared" si="66"/>
        <v>-734</v>
      </c>
      <c r="L1047">
        <f t="shared" si="67"/>
        <v>-734</v>
      </c>
    </row>
    <row r="1048" spans="1:12" x14ac:dyDescent="0.35">
      <c r="A1048">
        <v>1061</v>
      </c>
      <c r="B1048" t="s">
        <v>2214</v>
      </c>
      <c r="C1048" t="s">
        <v>10249</v>
      </c>
      <c r="D1048" t="s">
        <v>2215</v>
      </c>
      <c r="E1048" t="s">
        <v>1787</v>
      </c>
      <c r="F1048" t="s">
        <v>2216</v>
      </c>
      <c r="G1048" t="s">
        <v>2202</v>
      </c>
      <c r="H1048" t="s">
        <v>10865</v>
      </c>
      <c r="I1048" t="str">
        <f t="shared" si="64"/>
        <v>725-722</v>
      </c>
      <c r="J1048" t="str">
        <f t="shared" si="65"/>
        <v>BC</v>
      </c>
      <c r="K1048">
        <f t="shared" si="66"/>
        <v>-725</v>
      </c>
      <c r="L1048">
        <f t="shared" si="67"/>
        <v>-722</v>
      </c>
    </row>
    <row r="1049" spans="1:12" x14ac:dyDescent="0.35">
      <c r="A1049">
        <v>1062</v>
      </c>
      <c r="B1049" t="s">
        <v>2217</v>
      </c>
      <c r="C1049" t="s">
        <v>11357</v>
      </c>
      <c r="D1049" t="s">
        <v>2218</v>
      </c>
      <c r="E1049" t="s">
        <v>2219</v>
      </c>
      <c r="F1049" t="s">
        <v>2220</v>
      </c>
      <c r="G1049" t="s">
        <v>2202</v>
      </c>
      <c r="I1049" t="str">
        <f t="shared" si="64"/>
        <v>722</v>
      </c>
      <c r="J1049" t="str">
        <f t="shared" si="65"/>
        <v>BC</v>
      </c>
      <c r="K1049">
        <f t="shared" si="66"/>
        <v>-722</v>
      </c>
      <c r="L1049">
        <f t="shared" si="67"/>
        <v>-722</v>
      </c>
    </row>
    <row r="1050" spans="1:12" x14ac:dyDescent="0.35">
      <c r="A1050">
        <v>1063</v>
      </c>
      <c r="B1050" t="s">
        <v>2221</v>
      </c>
      <c r="C1050" t="s">
        <v>10182</v>
      </c>
      <c r="D1050" t="s">
        <v>2222</v>
      </c>
      <c r="E1050" t="s">
        <v>2223</v>
      </c>
      <c r="F1050" t="s">
        <v>2220</v>
      </c>
      <c r="G1050" t="s">
        <v>12467</v>
      </c>
      <c r="I1050" t="str">
        <f t="shared" si="64"/>
        <v>722</v>
      </c>
      <c r="J1050" t="str">
        <f t="shared" si="65"/>
        <v>BC</v>
      </c>
      <c r="K1050">
        <f t="shared" si="66"/>
        <v>-722</v>
      </c>
      <c r="L1050">
        <f t="shared" si="67"/>
        <v>-722</v>
      </c>
    </row>
    <row r="1051" spans="1:12" x14ac:dyDescent="0.35">
      <c r="A1051">
        <v>1064</v>
      </c>
      <c r="B1051" t="s">
        <v>2224</v>
      </c>
      <c r="C1051" t="s">
        <v>11359</v>
      </c>
      <c r="D1051" t="s">
        <v>2225</v>
      </c>
      <c r="E1051" t="s">
        <v>1682</v>
      </c>
      <c r="F1051" t="s">
        <v>2226</v>
      </c>
      <c r="G1051" t="s">
        <v>12468</v>
      </c>
      <c r="I1051" t="str">
        <f t="shared" si="64"/>
        <v>930-722</v>
      </c>
      <c r="J1051" t="str">
        <f t="shared" si="65"/>
        <v>BC</v>
      </c>
      <c r="K1051">
        <f t="shared" si="66"/>
        <v>-930</v>
      </c>
      <c r="L1051">
        <f t="shared" si="67"/>
        <v>-722</v>
      </c>
    </row>
    <row r="1052" spans="1:12" x14ac:dyDescent="0.35">
      <c r="A1052">
        <v>1065</v>
      </c>
      <c r="B1052" t="s">
        <v>2227</v>
      </c>
      <c r="C1052" t="s">
        <v>10067</v>
      </c>
      <c r="D1052" t="s">
        <v>2228</v>
      </c>
      <c r="E1052" t="s">
        <v>1682</v>
      </c>
      <c r="F1052" t="s">
        <v>2220</v>
      </c>
      <c r="G1052" t="s">
        <v>112</v>
      </c>
      <c r="I1052" t="str">
        <f t="shared" si="64"/>
        <v>722</v>
      </c>
      <c r="J1052" t="str">
        <f t="shared" si="65"/>
        <v>BC</v>
      </c>
      <c r="K1052">
        <f t="shared" si="66"/>
        <v>-722</v>
      </c>
      <c r="L1052">
        <f t="shared" si="67"/>
        <v>-722</v>
      </c>
    </row>
    <row r="1053" spans="1:12" x14ac:dyDescent="0.35">
      <c r="A1053">
        <v>1066</v>
      </c>
      <c r="B1053" t="s">
        <v>2229</v>
      </c>
      <c r="C1053" t="s">
        <v>10207</v>
      </c>
      <c r="D1053" t="s">
        <v>2228</v>
      </c>
      <c r="E1053" t="s">
        <v>1750</v>
      </c>
      <c r="F1053" t="s">
        <v>2220</v>
      </c>
      <c r="G1053" t="s">
        <v>112</v>
      </c>
      <c r="I1053" t="str">
        <f t="shared" si="64"/>
        <v>722</v>
      </c>
      <c r="J1053" t="str">
        <f t="shared" si="65"/>
        <v>BC</v>
      </c>
      <c r="K1053">
        <f t="shared" si="66"/>
        <v>-722</v>
      </c>
      <c r="L1053">
        <f t="shared" si="67"/>
        <v>-722</v>
      </c>
    </row>
    <row r="1054" spans="1:12" x14ac:dyDescent="0.35">
      <c r="A1054">
        <v>1067</v>
      </c>
      <c r="B1054" t="s">
        <v>2230</v>
      </c>
      <c r="C1054" t="s">
        <v>10250</v>
      </c>
      <c r="D1054" t="s">
        <v>2231</v>
      </c>
      <c r="E1054" t="s">
        <v>1787</v>
      </c>
      <c r="F1054" t="s">
        <v>2232</v>
      </c>
      <c r="G1054" t="s">
        <v>12469</v>
      </c>
      <c r="I1054" t="str">
        <f t="shared" si="64"/>
        <v>721</v>
      </c>
      <c r="J1054" t="str">
        <f t="shared" si="65"/>
        <v>BC</v>
      </c>
      <c r="K1054">
        <f t="shared" si="66"/>
        <v>-721</v>
      </c>
      <c r="L1054">
        <f t="shared" si="67"/>
        <v>-721</v>
      </c>
    </row>
    <row r="1055" spans="1:12" x14ac:dyDescent="0.35">
      <c r="A1055">
        <v>1068</v>
      </c>
      <c r="B1055" t="s">
        <v>2233</v>
      </c>
      <c r="C1055" t="s">
        <v>10117</v>
      </c>
      <c r="D1055" t="s">
        <v>2234</v>
      </c>
      <c r="E1055" t="s">
        <v>1750</v>
      </c>
      <c r="F1055" t="s">
        <v>2235</v>
      </c>
      <c r="G1055" t="s">
        <v>112</v>
      </c>
      <c r="I1055" t="str">
        <f t="shared" si="64"/>
        <v>715-686</v>
      </c>
      <c r="J1055" t="str">
        <f t="shared" si="65"/>
        <v>BC</v>
      </c>
      <c r="K1055">
        <f t="shared" si="66"/>
        <v>-715</v>
      </c>
      <c r="L1055">
        <f t="shared" si="67"/>
        <v>-686</v>
      </c>
    </row>
    <row r="1056" spans="1:12" x14ac:dyDescent="0.35">
      <c r="A1056">
        <v>1069</v>
      </c>
      <c r="B1056" t="s">
        <v>2236</v>
      </c>
      <c r="C1056" t="s">
        <v>11360</v>
      </c>
      <c r="D1056" t="s">
        <v>2237</v>
      </c>
      <c r="E1056" t="s">
        <v>2238</v>
      </c>
      <c r="F1056" t="s">
        <v>2239</v>
      </c>
      <c r="G1056" t="s">
        <v>12470</v>
      </c>
      <c r="H1056" t="s">
        <v>10866</v>
      </c>
      <c r="I1056" t="str">
        <f t="shared" si="64"/>
        <v>701</v>
      </c>
      <c r="J1056" t="str">
        <f t="shared" si="65"/>
        <v>BC</v>
      </c>
      <c r="K1056">
        <f t="shared" si="66"/>
        <v>-701</v>
      </c>
      <c r="L1056">
        <f t="shared" si="67"/>
        <v>-701</v>
      </c>
    </row>
    <row r="1057" spans="1:12" x14ac:dyDescent="0.35">
      <c r="A1057">
        <v>1070</v>
      </c>
      <c r="B1057" t="s">
        <v>2240</v>
      </c>
      <c r="C1057" t="s">
        <v>11240</v>
      </c>
      <c r="D1057" t="s">
        <v>2241</v>
      </c>
      <c r="E1057" t="s">
        <v>1211</v>
      </c>
      <c r="F1057" t="s">
        <v>2239</v>
      </c>
      <c r="G1057" t="s">
        <v>11091</v>
      </c>
      <c r="I1057" t="str">
        <f t="shared" si="64"/>
        <v>701</v>
      </c>
      <c r="J1057" t="str">
        <f t="shared" si="65"/>
        <v>BC</v>
      </c>
      <c r="K1057">
        <f t="shared" si="66"/>
        <v>-701</v>
      </c>
      <c r="L1057">
        <f t="shared" si="67"/>
        <v>-701</v>
      </c>
    </row>
    <row r="1058" spans="1:12" x14ac:dyDescent="0.35">
      <c r="A1058">
        <v>1071</v>
      </c>
      <c r="B1058" t="s">
        <v>2242</v>
      </c>
      <c r="C1058" t="s">
        <v>11361</v>
      </c>
      <c r="D1058" t="s">
        <v>2243</v>
      </c>
      <c r="E1058" t="s">
        <v>1211</v>
      </c>
      <c r="F1058" t="s">
        <v>2239</v>
      </c>
      <c r="G1058" t="s">
        <v>11091</v>
      </c>
      <c r="I1058" t="str">
        <f t="shared" si="64"/>
        <v>701</v>
      </c>
      <c r="J1058" t="str">
        <f t="shared" si="65"/>
        <v>BC</v>
      </c>
      <c r="K1058">
        <f t="shared" si="66"/>
        <v>-701</v>
      </c>
      <c r="L1058">
        <f t="shared" si="67"/>
        <v>-701</v>
      </c>
    </row>
    <row r="1059" spans="1:12" x14ac:dyDescent="0.35">
      <c r="A1059">
        <v>1072</v>
      </c>
      <c r="B1059" t="s">
        <v>2244</v>
      </c>
      <c r="C1059" t="s">
        <v>10251</v>
      </c>
      <c r="D1059" t="s">
        <v>2245</v>
      </c>
      <c r="E1059" t="s">
        <v>1211</v>
      </c>
      <c r="F1059" t="s">
        <v>2239</v>
      </c>
      <c r="G1059" t="s">
        <v>11091</v>
      </c>
      <c r="I1059" t="str">
        <f t="shared" si="64"/>
        <v>701</v>
      </c>
      <c r="J1059" t="str">
        <f t="shared" si="65"/>
        <v>BC</v>
      </c>
      <c r="K1059">
        <f t="shared" si="66"/>
        <v>-701</v>
      </c>
      <c r="L1059">
        <f t="shared" si="67"/>
        <v>-701</v>
      </c>
    </row>
    <row r="1060" spans="1:12" x14ac:dyDescent="0.35">
      <c r="A1060">
        <v>1073</v>
      </c>
      <c r="B1060" t="s">
        <v>2246</v>
      </c>
      <c r="C1060" t="s">
        <v>11362</v>
      </c>
      <c r="D1060" t="s">
        <v>2247</v>
      </c>
      <c r="E1060" t="s">
        <v>1211</v>
      </c>
      <c r="F1060" t="s">
        <v>2239</v>
      </c>
      <c r="G1060" t="s">
        <v>11091</v>
      </c>
      <c r="I1060" t="str">
        <f t="shared" si="64"/>
        <v>701</v>
      </c>
      <c r="J1060" t="str">
        <f t="shared" si="65"/>
        <v>BC</v>
      </c>
      <c r="K1060">
        <f t="shared" si="66"/>
        <v>-701</v>
      </c>
      <c r="L1060">
        <f t="shared" si="67"/>
        <v>-701</v>
      </c>
    </row>
    <row r="1061" spans="1:12" x14ac:dyDescent="0.35">
      <c r="A1061">
        <v>1074</v>
      </c>
      <c r="B1061" t="s">
        <v>2248</v>
      </c>
      <c r="C1061" t="s">
        <v>11363</v>
      </c>
      <c r="D1061" t="s">
        <v>2249</v>
      </c>
      <c r="E1061" t="s">
        <v>1211</v>
      </c>
      <c r="F1061" t="s">
        <v>2239</v>
      </c>
      <c r="G1061" t="s">
        <v>11091</v>
      </c>
      <c r="I1061" t="str">
        <f t="shared" si="64"/>
        <v>701</v>
      </c>
      <c r="J1061" t="str">
        <f t="shared" si="65"/>
        <v>BC</v>
      </c>
      <c r="K1061">
        <f t="shared" si="66"/>
        <v>-701</v>
      </c>
      <c r="L1061">
        <f t="shared" si="67"/>
        <v>-701</v>
      </c>
    </row>
    <row r="1062" spans="1:12" x14ac:dyDescent="0.35">
      <c r="A1062">
        <v>1075</v>
      </c>
      <c r="B1062" t="s">
        <v>2250</v>
      </c>
      <c r="C1062" t="s">
        <v>10252</v>
      </c>
      <c r="D1062" t="s">
        <v>2251</v>
      </c>
      <c r="E1062" t="s">
        <v>1211</v>
      </c>
      <c r="F1062" t="s">
        <v>2239</v>
      </c>
      <c r="G1062" t="s">
        <v>11091</v>
      </c>
      <c r="I1062" t="str">
        <f t="shared" si="64"/>
        <v>701</v>
      </c>
      <c r="J1062" t="str">
        <f t="shared" si="65"/>
        <v>BC</v>
      </c>
      <c r="K1062">
        <f t="shared" si="66"/>
        <v>-701</v>
      </c>
      <c r="L1062">
        <f t="shared" si="67"/>
        <v>-701</v>
      </c>
    </row>
    <row r="1063" spans="1:12" x14ac:dyDescent="0.35">
      <c r="A1063">
        <v>1076</v>
      </c>
      <c r="B1063" t="s">
        <v>2252</v>
      </c>
      <c r="C1063" t="s">
        <v>11364</v>
      </c>
      <c r="D1063" t="s">
        <v>33</v>
      </c>
      <c r="E1063" t="s">
        <v>2253</v>
      </c>
      <c r="F1063" t="s">
        <v>2239</v>
      </c>
      <c r="G1063" t="s">
        <v>63</v>
      </c>
      <c r="I1063" t="str">
        <f t="shared" si="64"/>
        <v>701</v>
      </c>
      <c r="J1063" t="str">
        <f t="shared" si="65"/>
        <v>BC</v>
      </c>
      <c r="K1063">
        <f t="shared" si="66"/>
        <v>-701</v>
      </c>
      <c r="L1063">
        <f t="shared" si="67"/>
        <v>-701</v>
      </c>
    </row>
    <row r="1064" spans="1:12" x14ac:dyDescent="0.35">
      <c r="A1064">
        <v>1077</v>
      </c>
      <c r="B1064" t="s">
        <v>2254</v>
      </c>
      <c r="C1064" t="s">
        <v>11365</v>
      </c>
      <c r="D1064" t="s">
        <v>2255</v>
      </c>
      <c r="E1064" t="s">
        <v>2256</v>
      </c>
      <c r="F1064" t="s">
        <v>2257</v>
      </c>
      <c r="G1064" t="s">
        <v>2258</v>
      </c>
      <c r="I1064" t="str">
        <f t="shared" si="64"/>
        <v>681</v>
      </c>
      <c r="J1064" t="str">
        <f t="shared" si="65"/>
        <v>BC</v>
      </c>
      <c r="K1064">
        <f t="shared" si="66"/>
        <v>-681</v>
      </c>
      <c r="L1064">
        <f t="shared" si="67"/>
        <v>-681</v>
      </c>
    </row>
    <row r="1065" spans="1:12" x14ac:dyDescent="0.35">
      <c r="A1065">
        <v>1078</v>
      </c>
      <c r="B1065" t="s">
        <v>2259</v>
      </c>
      <c r="C1065" t="s">
        <v>10253</v>
      </c>
      <c r="D1065" t="s">
        <v>2260</v>
      </c>
      <c r="E1065" t="s">
        <v>1211</v>
      </c>
      <c r="F1065" t="s">
        <v>2261</v>
      </c>
      <c r="G1065" t="s">
        <v>11091</v>
      </c>
      <c r="I1065" t="str">
        <f t="shared" si="64"/>
        <v>703</v>
      </c>
      <c r="J1065" t="str">
        <f t="shared" si="65"/>
        <v>BC</v>
      </c>
      <c r="K1065">
        <f t="shared" si="66"/>
        <v>-703</v>
      </c>
      <c r="L1065">
        <f t="shared" si="67"/>
        <v>-703</v>
      </c>
    </row>
    <row r="1066" spans="1:12" x14ac:dyDescent="0.35">
      <c r="A1066">
        <v>1079</v>
      </c>
      <c r="B1066" t="s">
        <v>2262</v>
      </c>
      <c r="C1066" t="s">
        <v>11366</v>
      </c>
      <c r="D1066" t="s">
        <v>2263</v>
      </c>
      <c r="E1066" t="s">
        <v>1211</v>
      </c>
      <c r="F1066" t="s">
        <v>2261</v>
      </c>
      <c r="G1066" t="s">
        <v>11091</v>
      </c>
      <c r="I1066" t="str">
        <f t="shared" si="64"/>
        <v>703</v>
      </c>
      <c r="J1066" t="str">
        <f t="shared" si="65"/>
        <v>BC</v>
      </c>
      <c r="K1066">
        <f t="shared" si="66"/>
        <v>-703</v>
      </c>
      <c r="L1066">
        <f t="shared" si="67"/>
        <v>-703</v>
      </c>
    </row>
    <row r="1067" spans="1:12" x14ac:dyDescent="0.35">
      <c r="A1067">
        <v>1080</v>
      </c>
      <c r="B1067" t="s">
        <v>2264</v>
      </c>
      <c r="C1067" t="s">
        <v>10252</v>
      </c>
      <c r="D1067" t="s">
        <v>2265</v>
      </c>
      <c r="E1067" t="s">
        <v>1211</v>
      </c>
      <c r="F1067" t="s">
        <v>2261</v>
      </c>
      <c r="G1067" t="s">
        <v>11091</v>
      </c>
      <c r="I1067" t="str">
        <f t="shared" si="64"/>
        <v>703</v>
      </c>
      <c r="J1067" t="str">
        <f t="shared" si="65"/>
        <v>BC</v>
      </c>
      <c r="K1067">
        <f t="shared" si="66"/>
        <v>-703</v>
      </c>
      <c r="L1067">
        <f t="shared" si="67"/>
        <v>-703</v>
      </c>
    </row>
    <row r="1068" spans="1:12" x14ac:dyDescent="0.35">
      <c r="A1068">
        <v>1081</v>
      </c>
      <c r="B1068" t="s">
        <v>2266</v>
      </c>
      <c r="C1068" t="s">
        <v>10254</v>
      </c>
      <c r="D1068" t="s">
        <v>2267</v>
      </c>
      <c r="E1068" t="s">
        <v>2154</v>
      </c>
      <c r="F1068" t="s">
        <v>2261</v>
      </c>
      <c r="G1068" t="s">
        <v>2268</v>
      </c>
      <c r="I1068" t="str">
        <f t="shared" si="64"/>
        <v>703</v>
      </c>
      <c r="J1068" t="str">
        <f t="shared" si="65"/>
        <v>BC</v>
      </c>
      <c r="K1068">
        <f t="shared" si="66"/>
        <v>-703</v>
      </c>
      <c r="L1068">
        <f t="shared" si="67"/>
        <v>-703</v>
      </c>
    </row>
    <row r="1069" spans="1:12" x14ac:dyDescent="0.35">
      <c r="A1069">
        <v>1082</v>
      </c>
      <c r="B1069" t="s">
        <v>2269</v>
      </c>
      <c r="C1069" t="s">
        <v>11367</v>
      </c>
      <c r="D1069" t="s">
        <v>2270</v>
      </c>
      <c r="E1069" t="s">
        <v>2154</v>
      </c>
      <c r="F1069" t="s">
        <v>2261</v>
      </c>
      <c r="G1069" t="s">
        <v>11091</v>
      </c>
      <c r="I1069" t="str">
        <f t="shared" si="64"/>
        <v>703</v>
      </c>
      <c r="J1069" t="str">
        <f t="shared" si="65"/>
        <v>BC</v>
      </c>
      <c r="K1069">
        <f t="shared" si="66"/>
        <v>-703</v>
      </c>
      <c r="L1069">
        <f t="shared" si="67"/>
        <v>-703</v>
      </c>
    </row>
    <row r="1070" spans="1:12" x14ac:dyDescent="0.35">
      <c r="A1070">
        <v>1083</v>
      </c>
      <c r="B1070" t="s">
        <v>2271</v>
      </c>
      <c r="C1070" t="s">
        <v>10766</v>
      </c>
      <c r="D1070" t="s">
        <v>2272</v>
      </c>
      <c r="E1070" t="s">
        <v>2154</v>
      </c>
      <c r="F1070" t="s">
        <v>2261</v>
      </c>
      <c r="G1070" t="s">
        <v>112</v>
      </c>
      <c r="I1070" t="str">
        <f t="shared" si="64"/>
        <v>703</v>
      </c>
      <c r="J1070" t="str">
        <f t="shared" si="65"/>
        <v>BC</v>
      </c>
      <c r="K1070">
        <f t="shared" si="66"/>
        <v>-703</v>
      </c>
      <c r="L1070">
        <f t="shared" si="67"/>
        <v>-703</v>
      </c>
    </row>
    <row r="1071" spans="1:12" x14ac:dyDescent="0.35">
      <c r="A1071">
        <v>1084</v>
      </c>
      <c r="B1071" t="s">
        <v>2273</v>
      </c>
      <c r="C1071" t="s">
        <v>10253</v>
      </c>
      <c r="D1071" t="s">
        <v>2274</v>
      </c>
      <c r="E1071" t="s">
        <v>1211</v>
      </c>
      <c r="F1071" t="s">
        <v>2275</v>
      </c>
      <c r="G1071" t="s">
        <v>11091</v>
      </c>
      <c r="I1071" t="str">
        <f t="shared" si="64"/>
        <v>702</v>
      </c>
      <c r="J1071" t="str">
        <f t="shared" si="65"/>
        <v>BC</v>
      </c>
      <c r="K1071">
        <f t="shared" si="66"/>
        <v>-702</v>
      </c>
      <c r="L1071">
        <f t="shared" si="67"/>
        <v>-702</v>
      </c>
    </row>
    <row r="1072" spans="1:12" x14ac:dyDescent="0.35">
      <c r="A1072">
        <v>1085</v>
      </c>
      <c r="B1072" t="s">
        <v>2276</v>
      </c>
      <c r="C1072" t="s">
        <v>11174</v>
      </c>
      <c r="D1072" t="s">
        <v>2277</v>
      </c>
      <c r="E1072" t="s">
        <v>1211</v>
      </c>
      <c r="F1072" t="s">
        <v>2278</v>
      </c>
      <c r="G1072" t="s">
        <v>12468</v>
      </c>
      <c r="I1072" t="str">
        <f t="shared" si="64"/>
        <v>680</v>
      </c>
      <c r="J1072" t="str">
        <f t="shared" si="65"/>
        <v>BC</v>
      </c>
      <c r="K1072">
        <f t="shared" si="66"/>
        <v>-680</v>
      </c>
      <c r="L1072">
        <f t="shared" si="67"/>
        <v>-680</v>
      </c>
    </row>
    <row r="1073" spans="1:12" x14ac:dyDescent="0.35">
      <c r="A1073">
        <v>1086</v>
      </c>
      <c r="B1073" t="s">
        <v>2279</v>
      </c>
      <c r="C1073" t="s">
        <v>10255</v>
      </c>
      <c r="D1073" t="s">
        <v>2280</v>
      </c>
      <c r="E1073" t="s">
        <v>1211</v>
      </c>
      <c r="F1073" t="s">
        <v>2278</v>
      </c>
      <c r="G1073" t="s">
        <v>12468</v>
      </c>
      <c r="I1073" t="str">
        <f t="shared" si="64"/>
        <v>680</v>
      </c>
      <c r="J1073" t="str">
        <f t="shared" si="65"/>
        <v>BC</v>
      </c>
      <c r="K1073">
        <f t="shared" si="66"/>
        <v>-680</v>
      </c>
      <c r="L1073">
        <f t="shared" si="67"/>
        <v>-680</v>
      </c>
    </row>
    <row r="1074" spans="1:12" x14ac:dyDescent="0.35">
      <c r="A1074">
        <v>1087</v>
      </c>
      <c r="B1074" t="s">
        <v>2281</v>
      </c>
      <c r="C1074" t="s">
        <v>11368</v>
      </c>
      <c r="D1074" t="s">
        <v>2282</v>
      </c>
      <c r="E1074" t="s">
        <v>2283</v>
      </c>
      <c r="F1074" t="s">
        <v>2284</v>
      </c>
      <c r="G1074" t="s">
        <v>2285</v>
      </c>
      <c r="I1074" t="str">
        <f t="shared" si="64"/>
        <v>622</v>
      </c>
      <c r="J1074" t="str">
        <f t="shared" si="65"/>
        <v>BC</v>
      </c>
      <c r="K1074">
        <f t="shared" si="66"/>
        <v>-622</v>
      </c>
      <c r="L1074">
        <f t="shared" si="67"/>
        <v>-622</v>
      </c>
    </row>
    <row r="1075" spans="1:12" x14ac:dyDescent="0.35">
      <c r="A1075">
        <v>1088</v>
      </c>
      <c r="B1075" t="s">
        <v>2286</v>
      </c>
      <c r="C1075" t="s">
        <v>10037</v>
      </c>
      <c r="D1075" t="s">
        <v>2287</v>
      </c>
      <c r="E1075" t="s">
        <v>1211</v>
      </c>
      <c r="F1075" t="s">
        <v>2284</v>
      </c>
      <c r="G1075" t="s">
        <v>12471</v>
      </c>
      <c r="I1075" t="str">
        <f t="shared" si="64"/>
        <v>622</v>
      </c>
      <c r="J1075" t="str">
        <f t="shared" si="65"/>
        <v>BC</v>
      </c>
      <c r="K1075">
        <f t="shared" si="66"/>
        <v>-622</v>
      </c>
      <c r="L1075">
        <f t="shared" si="67"/>
        <v>-622</v>
      </c>
    </row>
    <row r="1076" spans="1:12" x14ac:dyDescent="0.35">
      <c r="A1076">
        <v>1089</v>
      </c>
      <c r="B1076" t="s">
        <v>2288</v>
      </c>
      <c r="C1076" t="s">
        <v>10256</v>
      </c>
      <c r="D1076" t="s">
        <v>2289</v>
      </c>
      <c r="E1076" t="s">
        <v>1211</v>
      </c>
      <c r="F1076" t="s">
        <v>2284</v>
      </c>
      <c r="G1076" t="s">
        <v>12471</v>
      </c>
      <c r="I1076" t="str">
        <f t="shared" ref="I1076:I1139" si="68">SUBSTITUTE(SUBSTITUTE(SUBSTITUTE(F1076,"c. ","")," BC","")," AD","")</f>
        <v>622</v>
      </c>
      <c r="J1076" t="str">
        <f t="shared" si="65"/>
        <v>BC</v>
      </c>
      <c r="K1076">
        <f t="shared" si="66"/>
        <v>-622</v>
      </c>
      <c r="L1076">
        <f t="shared" si="67"/>
        <v>-622</v>
      </c>
    </row>
    <row r="1077" spans="1:12" x14ac:dyDescent="0.35">
      <c r="A1077">
        <v>1090</v>
      </c>
      <c r="B1077" t="s">
        <v>2290</v>
      </c>
      <c r="C1077" t="s">
        <v>11369</v>
      </c>
      <c r="D1077" t="s">
        <v>2291</v>
      </c>
      <c r="E1077" t="s">
        <v>237</v>
      </c>
      <c r="F1077" t="s">
        <v>2284</v>
      </c>
      <c r="G1077" t="s">
        <v>2292</v>
      </c>
      <c r="I1077" t="str">
        <f t="shared" si="68"/>
        <v>622</v>
      </c>
      <c r="J1077" t="str">
        <f t="shared" si="65"/>
        <v>BC</v>
      </c>
      <c r="K1077">
        <f t="shared" si="66"/>
        <v>-622</v>
      </c>
      <c r="L1077">
        <f t="shared" si="67"/>
        <v>-622</v>
      </c>
    </row>
    <row r="1078" spans="1:12" x14ac:dyDescent="0.35">
      <c r="A1078">
        <v>1091</v>
      </c>
      <c r="B1078" t="s">
        <v>2293</v>
      </c>
      <c r="C1078" t="s">
        <v>10257</v>
      </c>
      <c r="D1078" t="s">
        <v>2294</v>
      </c>
      <c r="E1078" t="s">
        <v>237</v>
      </c>
      <c r="F1078" t="s">
        <v>2284</v>
      </c>
      <c r="G1078" t="s">
        <v>112</v>
      </c>
      <c r="I1078" t="str">
        <f t="shared" si="68"/>
        <v>622</v>
      </c>
      <c r="J1078" t="str">
        <f t="shared" si="65"/>
        <v>BC</v>
      </c>
      <c r="K1078">
        <f t="shared" si="66"/>
        <v>-622</v>
      </c>
      <c r="L1078">
        <f t="shared" si="67"/>
        <v>-622</v>
      </c>
    </row>
    <row r="1079" spans="1:12" x14ac:dyDescent="0.35">
      <c r="A1079">
        <v>1092</v>
      </c>
      <c r="B1079" t="s">
        <v>2295</v>
      </c>
      <c r="C1079" t="s">
        <v>10258</v>
      </c>
      <c r="D1079" t="s">
        <v>2296</v>
      </c>
      <c r="E1079" t="s">
        <v>1211</v>
      </c>
      <c r="F1079" t="s">
        <v>2284</v>
      </c>
      <c r="G1079" t="s">
        <v>12536</v>
      </c>
      <c r="I1079" t="str">
        <f t="shared" si="68"/>
        <v>622</v>
      </c>
      <c r="J1079" t="str">
        <f t="shared" si="65"/>
        <v>BC</v>
      </c>
      <c r="K1079">
        <f t="shared" si="66"/>
        <v>-622</v>
      </c>
      <c r="L1079">
        <f t="shared" si="67"/>
        <v>-622</v>
      </c>
    </row>
    <row r="1080" spans="1:12" x14ac:dyDescent="0.35">
      <c r="A1080">
        <v>1093</v>
      </c>
      <c r="B1080" t="s">
        <v>2297</v>
      </c>
      <c r="C1080" t="s">
        <v>11370</v>
      </c>
      <c r="D1080" t="s">
        <v>2298</v>
      </c>
      <c r="E1080" t="s">
        <v>1750</v>
      </c>
      <c r="F1080" t="s">
        <v>2284</v>
      </c>
      <c r="G1080" t="s">
        <v>112</v>
      </c>
      <c r="I1080" t="str">
        <f t="shared" si="68"/>
        <v>622</v>
      </c>
      <c r="J1080" t="str">
        <f t="shared" si="65"/>
        <v>BC</v>
      </c>
      <c r="K1080">
        <f t="shared" si="66"/>
        <v>-622</v>
      </c>
      <c r="L1080">
        <f t="shared" si="67"/>
        <v>-622</v>
      </c>
    </row>
    <row r="1081" spans="1:12" x14ac:dyDescent="0.35">
      <c r="A1081">
        <v>1094</v>
      </c>
      <c r="B1081" t="s">
        <v>2299</v>
      </c>
      <c r="C1081" t="s">
        <v>11371</v>
      </c>
      <c r="D1081" t="s">
        <v>2300</v>
      </c>
      <c r="E1081" t="s">
        <v>1750</v>
      </c>
      <c r="F1081" t="s">
        <v>2284</v>
      </c>
      <c r="G1081" t="s">
        <v>112</v>
      </c>
      <c r="H1081" t="s">
        <v>10868</v>
      </c>
      <c r="I1081" t="str">
        <f t="shared" si="68"/>
        <v>622</v>
      </c>
      <c r="J1081" t="str">
        <f t="shared" si="65"/>
        <v>BC</v>
      </c>
      <c r="K1081">
        <f t="shared" si="66"/>
        <v>-622</v>
      </c>
      <c r="L1081">
        <f t="shared" si="67"/>
        <v>-622</v>
      </c>
    </row>
    <row r="1082" spans="1:12" x14ac:dyDescent="0.35">
      <c r="A1082">
        <v>1095</v>
      </c>
      <c r="B1082" t="s">
        <v>2301</v>
      </c>
      <c r="C1082" t="s">
        <v>11372</v>
      </c>
      <c r="D1082" t="s">
        <v>2302</v>
      </c>
      <c r="E1082" t="s">
        <v>1750</v>
      </c>
      <c r="F1082" t="s">
        <v>2303</v>
      </c>
      <c r="G1082" t="s">
        <v>2304</v>
      </c>
      <c r="I1082" t="str">
        <f t="shared" si="68"/>
        <v>602-598</v>
      </c>
      <c r="J1082" t="str">
        <f t="shared" si="65"/>
        <v>BC</v>
      </c>
      <c r="K1082">
        <f t="shared" si="66"/>
        <v>-602</v>
      </c>
      <c r="L1082">
        <f t="shared" si="67"/>
        <v>-598</v>
      </c>
    </row>
    <row r="1083" spans="1:12" x14ac:dyDescent="0.35">
      <c r="A1083">
        <v>1096</v>
      </c>
      <c r="B1083" t="s">
        <v>2305</v>
      </c>
      <c r="C1083" t="s">
        <v>11373</v>
      </c>
      <c r="D1083" t="s">
        <v>2306</v>
      </c>
      <c r="E1083" t="s">
        <v>1750</v>
      </c>
      <c r="F1083" t="s">
        <v>2303</v>
      </c>
      <c r="G1083" t="s">
        <v>112</v>
      </c>
      <c r="I1083" t="str">
        <f t="shared" si="68"/>
        <v>602-598</v>
      </c>
      <c r="J1083" t="str">
        <f t="shared" si="65"/>
        <v>BC</v>
      </c>
      <c r="K1083">
        <f t="shared" si="66"/>
        <v>-602</v>
      </c>
      <c r="L1083">
        <f t="shared" si="67"/>
        <v>-598</v>
      </c>
    </row>
    <row r="1084" spans="1:12" x14ac:dyDescent="0.35">
      <c r="A1084">
        <v>1097</v>
      </c>
      <c r="B1084" t="s">
        <v>2307</v>
      </c>
      <c r="C1084" t="s">
        <v>10259</v>
      </c>
      <c r="D1084" t="s">
        <v>2308</v>
      </c>
      <c r="E1084" t="s">
        <v>2309</v>
      </c>
      <c r="F1084" t="s">
        <v>2310</v>
      </c>
      <c r="G1084" t="s">
        <v>2311</v>
      </c>
      <c r="I1084" t="str">
        <f t="shared" si="68"/>
        <v>597</v>
      </c>
      <c r="J1084" t="str">
        <f t="shared" si="65"/>
        <v>BC</v>
      </c>
      <c r="K1084">
        <f t="shared" si="66"/>
        <v>-597</v>
      </c>
      <c r="L1084">
        <f t="shared" si="67"/>
        <v>-597</v>
      </c>
    </row>
    <row r="1085" spans="1:12" x14ac:dyDescent="0.35">
      <c r="A1085">
        <v>1098</v>
      </c>
      <c r="B1085" t="s">
        <v>2312</v>
      </c>
      <c r="C1085" t="s">
        <v>10127</v>
      </c>
      <c r="D1085" t="s">
        <v>2308</v>
      </c>
      <c r="E1085" t="s">
        <v>1211</v>
      </c>
      <c r="F1085" t="s">
        <v>2310</v>
      </c>
      <c r="G1085" t="s">
        <v>112</v>
      </c>
      <c r="I1085" t="str">
        <f t="shared" si="68"/>
        <v>597</v>
      </c>
      <c r="J1085" t="str">
        <f t="shared" si="65"/>
        <v>BC</v>
      </c>
      <c r="K1085">
        <f t="shared" si="66"/>
        <v>-597</v>
      </c>
      <c r="L1085">
        <f t="shared" si="67"/>
        <v>-597</v>
      </c>
    </row>
    <row r="1086" spans="1:12" x14ac:dyDescent="0.35">
      <c r="A1086">
        <v>1099</v>
      </c>
      <c r="B1086" t="s">
        <v>2313</v>
      </c>
      <c r="C1086" t="s">
        <v>11357</v>
      </c>
      <c r="D1086" t="s">
        <v>2314</v>
      </c>
      <c r="E1086" t="s">
        <v>2309</v>
      </c>
      <c r="F1086" t="s">
        <v>2310</v>
      </c>
      <c r="G1086" t="s">
        <v>2311</v>
      </c>
      <c r="I1086" t="str">
        <f t="shared" si="68"/>
        <v>597</v>
      </c>
      <c r="J1086" t="str">
        <f t="shared" si="65"/>
        <v>BC</v>
      </c>
      <c r="K1086">
        <f t="shared" si="66"/>
        <v>-597</v>
      </c>
      <c r="L1086">
        <f t="shared" si="67"/>
        <v>-597</v>
      </c>
    </row>
    <row r="1087" spans="1:12" x14ac:dyDescent="0.35">
      <c r="A1087">
        <v>1100</v>
      </c>
      <c r="B1087" t="s">
        <v>2315</v>
      </c>
      <c r="C1087" t="s">
        <v>10260</v>
      </c>
      <c r="D1087" t="s">
        <v>2314</v>
      </c>
      <c r="E1087" t="s">
        <v>1750</v>
      </c>
      <c r="F1087" t="s">
        <v>2310</v>
      </c>
      <c r="G1087" t="s">
        <v>112</v>
      </c>
      <c r="I1087" t="str">
        <f t="shared" si="68"/>
        <v>597</v>
      </c>
      <c r="J1087" t="str">
        <f t="shared" si="65"/>
        <v>BC</v>
      </c>
      <c r="K1087">
        <f t="shared" si="66"/>
        <v>-597</v>
      </c>
      <c r="L1087">
        <f t="shared" si="67"/>
        <v>-597</v>
      </c>
    </row>
    <row r="1088" spans="1:12" x14ac:dyDescent="0.35">
      <c r="A1088">
        <v>1101</v>
      </c>
      <c r="B1088" t="s">
        <v>2316</v>
      </c>
      <c r="C1088" t="s">
        <v>10261</v>
      </c>
      <c r="D1088" t="s">
        <v>2317</v>
      </c>
      <c r="E1088" t="s">
        <v>1211</v>
      </c>
      <c r="F1088" t="s">
        <v>2318</v>
      </c>
      <c r="G1088" t="s">
        <v>112</v>
      </c>
      <c r="I1088" t="str">
        <f t="shared" si="68"/>
        <v>597-586</v>
      </c>
      <c r="J1088" t="str">
        <f t="shared" si="65"/>
        <v>BC</v>
      </c>
      <c r="K1088">
        <f t="shared" si="66"/>
        <v>-597</v>
      </c>
      <c r="L1088">
        <f t="shared" si="67"/>
        <v>-586</v>
      </c>
    </row>
    <row r="1089" spans="1:13" x14ac:dyDescent="0.35">
      <c r="A1089">
        <v>1102</v>
      </c>
      <c r="B1089" t="s">
        <v>2319</v>
      </c>
      <c r="C1089" t="s">
        <v>11374</v>
      </c>
      <c r="D1089" t="s">
        <v>2320</v>
      </c>
      <c r="E1089" t="s">
        <v>1211</v>
      </c>
      <c r="F1089" t="s">
        <v>2321</v>
      </c>
      <c r="G1089" t="s">
        <v>2322</v>
      </c>
      <c r="H1089" t="s">
        <v>11375</v>
      </c>
      <c r="I1089" t="str">
        <f t="shared" si="68"/>
        <v>588-586</v>
      </c>
      <c r="J1089" t="str">
        <f t="shared" si="65"/>
        <v>BC</v>
      </c>
      <c r="K1089">
        <f t="shared" si="66"/>
        <v>-588</v>
      </c>
      <c r="L1089">
        <f t="shared" si="67"/>
        <v>-586</v>
      </c>
    </row>
    <row r="1090" spans="1:13" x14ac:dyDescent="0.35">
      <c r="A1090">
        <v>1103</v>
      </c>
      <c r="B1090" t="s">
        <v>2323</v>
      </c>
      <c r="C1090" t="s">
        <v>11126</v>
      </c>
      <c r="D1090" t="s">
        <v>2324</v>
      </c>
      <c r="E1090" t="s">
        <v>1211</v>
      </c>
      <c r="F1090" t="s">
        <v>2325</v>
      </c>
      <c r="G1090" t="s">
        <v>2326</v>
      </c>
      <c r="I1090" t="str">
        <f t="shared" si="68"/>
        <v>586</v>
      </c>
      <c r="J1090" t="str">
        <f t="shared" ref="J1090:J1153" si="69">RIGHT(F1090, 2)</f>
        <v>BC</v>
      </c>
      <c r="K1090">
        <f t="shared" ref="K1090:K1153" si="70">IF(J1090="BC", 0-IF(ISERROR(FIND("-",I1090)),I1090,LEFT(I1090,FIND("-",I1090)-1)), IF(ISERROR(FIND("-",I1090)),I1090,LEFT(I1090,FIND("-",I1090)-1)))</f>
        <v>-586</v>
      </c>
      <c r="L1090">
        <f t="shared" ref="L1090:L1153" si="71">IF(J1090="BC", 0-IF(ISERROR(FIND("-",I1090)),I1090,RIGHT(I1090,FIND("-",I1090)-1)), IF(ISERROR(FIND("-",I1090)),I1090,RIGHT(I1090,FIND("-",I1090)-1)))</f>
        <v>-586</v>
      </c>
      <c r="M1090">
        <v>3338</v>
      </c>
    </row>
    <row r="1091" spans="1:13" x14ac:dyDescent="0.35">
      <c r="A1091">
        <v>1104</v>
      </c>
      <c r="B1091" t="s">
        <v>2327</v>
      </c>
      <c r="C1091" t="s">
        <v>11376</v>
      </c>
      <c r="D1091" t="s">
        <v>2328</v>
      </c>
      <c r="E1091" t="s">
        <v>2309</v>
      </c>
      <c r="F1091" t="s">
        <v>2325</v>
      </c>
      <c r="G1091" t="s">
        <v>2329</v>
      </c>
      <c r="I1091" t="str">
        <f t="shared" si="68"/>
        <v>586</v>
      </c>
      <c r="J1091" t="str">
        <f t="shared" si="69"/>
        <v>BC</v>
      </c>
      <c r="K1091">
        <f t="shared" si="70"/>
        <v>-586</v>
      </c>
      <c r="L1091">
        <f t="shared" si="71"/>
        <v>-586</v>
      </c>
    </row>
    <row r="1092" spans="1:13" x14ac:dyDescent="0.35">
      <c r="A1092">
        <v>1105</v>
      </c>
      <c r="B1092" t="s">
        <v>2330</v>
      </c>
      <c r="C1092" t="s">
        <v>11377</v>
      </c>
      <c r="D1092" t="s">
        <v>2331</v>
      </c>
      <c r="E1092" t="s">
        <v>2332</v>
      </c>
      <c r="F1092" t="s">
        <v>2325</v>
      </c>
      <c r="G1092" t="s">
        <v>3133</v>
      </c>
      <c r="I1092" t="str">
        <f t="shared" si="68"/>
        <v>586</v>
      </c>
      <c r="J1092" t="str">
        <f t="shared" si="69"/>
        <v>BC</v>
      </c>
      <c r="K1092">
        <f t="shared" si="70"/>
        <v>-586</v>
      </c>
      <c r="L1092">
        <f t="shared" si="71"/>
        <v>-586</v>
      </c>
    </row>
    <row r="1093" spans="1:13" x14ac:dyDescent="0.35">
      <c r="A1093">
        <v>1106</v>
      </c>
      <c r="B1093" t="s">
        <v>1092</v>
      </c>
      <c r="C1093" t="s">
        <v>10182</v>
      </c>
      <c r="D1093" t="s">
        <v>2333</v>
      </c>
      <c r="E1093" t="s">
        <v>98</v>
      </c>
      <c r="F1093" t="s">
        <v>108</v>
      </c>
      <c r="G1093" t="s">
        <v>112</v>
      </c>
      <c r="I1093" t="str">
        <f t="shared" si="68"/>
        <v>1010</v>
      </c>
      <c r="J1093" t="str">
        <f t="shared" si="69"/>
        <v>BC</v>
      </c>
      <c r="K1093">
        <f t="shared" si="70"/>
        <v>-1010</v>
      </c>
      <c r="L1093">
        <f t="shared" si="71"/>
        <v>-1010</v>
      </c>
    </row>
    <row r="1094" spans="1:13" x14ac:dyDescent="0.35">
      <c r="A1094">
        <v>1107</v>
      </c>
      <c r="B1094" t="s">
        <v>2334</v>
      </c>
      <c r="C1094" t="s">
        <v>11139</v>
      </c>
      <c r="D1094" t="s">
        <v>2333</v>
      </c>
      <c r="E1094" t="s">
        <v>98</v>
      </c>
      <c r="F1094" t="s">
        <v>108</v>
      </c>
      <c r="G1094" t="s">
        <v>112</v>
      </c>
      <c r="I1094" t="str">
        <f t="shared" si="68"/>
        <v>1010</v>
      </c>
      <c r="J1094" t="str">
        <f t="shared" si="69"/>
        <v>BC</v>
      </c>
      <c r="K1094">
        <f t="shared" si="70"/>
        <v>-1010</v>
      </c>
      <c r="L1094">
        <f t="shared" si="71"/>
        <v>-1010</v>
      </c>
    </row>
    <row r="1095" spans="1:13" x14ac:dyDescent="0.35">
      <c r="A1095">
        <v>1108</v>
      </c>
      <c r="B1095" t="s">
        <v>2335</v>
      </c>
      <c r="C1095" t="s">
        <v>10262</v>
      </c>
      <c r="D1095" t="s">
        <v>2336</v>
      </c>
      <c r="E1095" t="s">
        <v>2337</v>
      </c>
      <c r="F1095" t="s">
        <v>108</v>
      </c>
      <c r="G1095" t="s">
        <v>112</v>
      </c>
      <c r="I1095" t="str">
        <f t="shared" si="68"/>
        <v>1010</v>
      </c>
      <c r="J1095" t="str">
        <f t="shared" si="69"/>
        <v>BC</v>
      </c>
      <c r="K1095">
        <f t="shared" si="70"/>
        <v>-1010</v>
      </c>
      <c r="L1095">
        <f t="shared" si="71"/>
        <v>-1010</v>
      </c>
    </row>
    <row r="1096" spans="1:13" x14ac:dyDescent="0.35">
      <c r="A1096">
        <v>1109</v>
      </c>
      <c r="B1096" t="s">
        <v>2338</v>
      </c>
      <c r="C1096" t="s">
        <v>10133</v>
      </c>
      <c r="D1096" t="s">
        <v>2339</v>
      </c>
      <c r="E1096" t="s">
        <v>1184</v>
      </c>
      <c r="F1096" t="s">
        <v>1201</v>
      </c>
      <c r="G1096" t="s">
        <v>12472</v>
      </c>
      <c r="I1096" t="str">
        <f t="shared" si="68"/>
        <v>1003</v>
      </c>
      <c r="J1096" t="str">
        <f t="shared" si="69"/>
        <v>BC</v>
      </c>
      <c r="K1096">
        <f t="shared" si="70"/>
        <v>-1003</v>
      </c>
      <c r="L1096">
        <f t="shared" si="71"/>
        <v>-1003</v>
      </c>
    </row>
    <row r="1097" spans="1:13" x14ac:dyDescent="0.35">
      <c r="A1097">
        <v>1110</v>
      </c>
      <c r="B1097" t="s">
        <v>2340</v>
      </c>
      <c r="C1097" t="s">
        <v>10094</v>
      </c>
      <c r="D1097" t="s">
        <v>2341</v>
      </c>
      <c r="E1097" t="s">
        <v>1211</v>
      </c>
      <c r="F1097" t="s">
        <v>1201</v>
      </c>
      <c r="G1097" t="s">
        <v>1292</v>
      </c>
      <c r="I1097" t="str">
        <f t="shared" si="68"/>
        <v>1003</v>
      </c>
      <c r="J1097" t="str">
        <f t="shared" si="69"/>
        <v>BC</v>
      </c>
      <c r="K1097">
        <f t="shared" si="70"/>
        <v>-1003</v>
      </c>
      <c r="L1097">
        <f t="shared" si="71"/>
        <v>-1003</v>
      </c>
    </row>
    <row r="1098" spans="1:13" x14ac:dyDescent="0.35">
      <c r="A1098">
        <v>1111</v>
      </c>
      <c r="B1098" t="s">
        <v>2342</v>
      </c>
      <c r="C1098" t="s">
        <v>10117</v>
      </c>
      <c r="D1098" t="s">
        <v>2343</v>
      </c>
      <c r="E1098" t="s">
        <v>1211</v>
      </c>
      <c r="F1098" t="s">
        <v>1201</v>
      </c>
      <c r="G1098" t="s">
        <v>112</v>
      </c>
      <c r="I1098" t="str">
        <f t="shared" si="68"/>
        <v>1003</v>
      </c>
      <c r="J1098" t="str">
        <f t="shared" si="69"/>
        <v>BC</v>
      </c>
      <c r="K1098">
        <f t="shared" si="70"/>
        <v>-1003</v>
      </c>
      <c r="L1098">
        <f t="shared" si="71"/>
        <v>-1003</v>
      </c>
    </row>
    <row r="1099" spans="1:13" x14ac:dyDescent="0.35">
      <c r="A1099">
        <v>1112</v>
      </c>
      <c r="B1099" t="s">
        <v>2344</v>
      </c>
      <c r="C1099" t="s">
        <v>10263</v>
      </c>
      <c r="D1099" t="s">
        <v>2345</v>
      </c>
      <c r="E1099" t="s">
        <v>1112</v>
      </c>
      <c r="F1099" t="s">
        <v>2346</v>
      </c>
      <c r="G1099" t="s">
        <v>112</v>
      </c>
      <c r="I1099" t="str">
        <f t="shared" si="68"/>
        <v>1003-970</v>
      </c>
      <c r="J1099" t="str">
        <f t="shared" si="69"/>
        <v>BC</v>
      </c>
      <c r="K1099">
        <f t="shared" si="70"/>
        <v>-1003</v>
      </c>
      <c r="L1099">
        <f t="shared" si="71"/>
        <v>970</v>
      </c>
    </row>
    <row r="1100" spans="1:13" x14ac:dyDescent="0.35">
      <c r="A1100">
        <v>1113</v>
      </c>
      <c r="B1100" t="s">
        <v>2347</v>
      </c>
      <c r="C1100" t="s">
        <v>10059</v>
      </c>
      <c r="D1100" t="s">
        <v>2348</v>
      </c>
      <c r="E1100" t="s">
        <v>337</v>
      </c>
      <c r="F1100" t="s">
        <v>108</v>
      </c>
      <c r="G1100" t="s">
        <v>112</v>
      </c>
      <c r="I1100" t="str">
        <f t="shared" si="68"/>
        <v>1010</v>
      </c>
      <c r="J1100" t="str">
        <f t="shared" si="69"/>
        <v>BC</v>
      </c>
      <c r="K1100">
        <f t="shared" si="70"/>
        <v>-1010</v>
      </c>
      <c r="L1100">
        <f t="shared" si="71"/>
        <v>-1010</v>
      </c>
    </row>
    <row r="1101" spans="1:13" x14ac:dyDescent="0.35">
      <c r="A1101">
        <v>1114</v>
      </c>
      <c r="B1101" t="s">
        <v>2349</v>
      </c>
      <c r="C1101" t="s">
        <v>10264</v>
      </c>
      <c r="D1101" t="s">
        <v>2350</v>
      </c>
      <c r="E1101" t="s">
        <v>2351</v>
      </c>
      <c r="F1101" t="s">
        <v>108</v>
      </c>
      <c r="G1101" t="s">
        <v>112</v>
      </c>
      <c r="I1101" t="str">
        <f t="shared" si="68"/>
        <v>1010</v>
      </c>
      <c r="J1101" t="str">
        <f t="shared" si="69"/>
        <v>BC</v>
      </c>
      <c r="K1101">
        <f t="shared" si="70"/>
        <v>-1010</v>
      </c>
      <c r="L1101">
        <f t="shared" si="71"/>
        <v>-1010</v>
      </c>
    </row>
    <row r="1102" spans="1:13" x14ac:dyDescent="0.35">
      <c r="A1102">
        <v>1115</v>
      </c>
      <c r="B1102" t="s">
        <v>2352</v>
      </c>
      <c r="C1102" t="s">
        <v>11259</v>
      </c>
      <c r="D1102" t="s">
        <v>2353</v>
      </c>
      <c r="E1102" t="s">
        <v>2354</v>
      </c>
      <c r="F1102" t="s">
        <v>1241</v>
      </c>
      <c r="G1102" t="s">
        <v>112</v>
      </c>
      <c r="I1102" t="str">
        <f t="shared" si="68"/>
        <v>1000</v>
      </c>
      <c r="J1102" t="str">
        <f t="shared" si="69"/>
        <v>BC</v>
      </c>
      <c r="K1102">
        <f t="shared" si="70"/>
        <v>-1000</v>
      </c>
      <c r="L1102">
        <f t="shared" si="71"/>
        <v>-1000</v>
      </c>
    </row>
    <row r="1103" spans="1:13" x14ac:dyDescent="0.35">
      <c r="A1103">
        <v>1116</v>
      </c>
      <c r="B1103" t="s">
        <v>2355</v>
      </c>
      <c r="C1103" t="s">
        <v>11139</v>
      </c>
      <c r="D1103" t="s">
        <v>2356</v>
      </c>
      <c r="E1103" t="s">
        <v>2354</v>
      </c>
      <c r="F1103" t="s">
        <v>1241</v>
      </c>
      <c r="G1103" t="s">
        <v>112</v>
      </c>
      <c r="I1103" t="str">
        <f t="shared" si="68"/>
        <v>1000</v>
      </c>
      <c r="J1103" t="str">
        <f t="shared" si="69"/>
        <v>BC</v>
      </c>
      <c r="K1103">
        <f t="shared" si="70"/>
        <v>-1000</v>
      </c>
      <c r="L1103">
        <f t="shared" si="71"/>
        <v>-1000</v>
      </c>
    </row>
    <row r="1104" spans="1:13" x14ac:dyDescent="0.35">
      <c r="A1104">
        <v>1117</v>
      </c>
      <c r="B1104" t="s">
        <v>2357</v>
      </c>
      <c r="C1104" t="s">
        <v>10265</v>
      </c>
      <c r="D1104" t="s">
        <v>2358</v>
      </c>
      <c r="E1104" t="s">
        <v>1247</v>
      </c>
      <c r="F1104" t="s">
        <v>1241</v>
      </c>
      <c r="G1104" t="s">
        <v>12531</v>
      </c>
      <c r="I1104" t="str">
        <f t="shared" si="68"/>
        <v>1000</v>
      </c>
      <c r="J1104" t="str">
        <f t="shared" si="69"/>
        <v>BC</v>
      </c>
      <c r="K1104">
        <f t="shared" si="70"/>
        <v>-1000</v>
      </c>
      <c r="L1104">
        <f t="shared" si="71"/>
        <v>-1000</v>
      </c>
    </row>
    <row r="1105" spans="1:12" x14ac:dyDescent="0.35">
      <c r="A1105">
        <v>1118</v>
      </c>
      <c r="B1105" t="s">
        <v>2359</v>
      </c>
      <c r="C1105" t="s">
        <v>10117</v>
      </c>
      <c r="D1105" t="s">
        <v>2360</v>
      </c>
      <c r="E1105" t="s">
        <v>1250</v>
      </c>
      <c r="F1105" t="s">
        <v>1241</v>
      </c>
      <c r="G1105" t="s">
        <v>112</v>
      </c>
      <c r="I1105" t="str">
        <f t="shared" si="68"/>
        <v>1000</v>
      </c>
      <c r="J1105" t="str">
        <f t="shared" si="69"/>
        <v>BC</v>
      </c>
      <c r="K1105">
        <f t="shared" si="70"/>
        <v>-1000</v>
      </c>
      <c r="L1105">
        <f t="shared" si="71"/>
        <v>-1000</v>
      </c>
    </row>
    <row r="1106" spans="1:12" x14ac:dyDescent="0.35">
      <c r="A1106">
        <v>1119</v>
      </c>
      <c r="B1106" t="s">
        <v>2361</v>
      </c>
      <c r="C1106" t="s">
        <v>11378</v>
      </c>
      <c r="D1106" t="s">
        <v>2362</v>
      </c>
      <c r="E1106" t="s">
        <v>1211</v>
      </c>
      <c r="F1106" t="s">
        <v>1257</v>
      </c>
      <c r="G1106" t="s">
        <v>112</v>
      </c>
      <c r="I1106" t="str">
        <f t="shared" si="68"/>
        <v>999</v>
      </c>
      <c r="J1106" t="str">
        <f t="shared" si="69"/>
        <v>BC</v>
      </c>
      <c r="K1106">
        <f t="shared" si="70"/>
        <v>-999</v>
      </c>
      <c r="L1106">
        <f t="shared" si="71"/>
        <v>-999</v>
      </c>
    </row>
    <row r="1107" spans="1:12" x14ac:dyDescent="0.35">
      <c r="A1107">
        <v>1120</v>
      </c>
      <c r="B1107" t="s">
        <v>2363</v>
      </c>
      <c r="C1107" t="s">
        <v>10134</v>
      </c>
      <c r="D1107" t="s">
        <v>2364</v>
      </c>
      <c r="E1107" t="s">
        <v>1211</v>
      </c>
      <c r="F1107" t="s">
        <v>1277</v>
      </c>
      <c r="G1107" t="s">
        <v>112</v>
      </c>
      <c r="I1107" t="str">
        <f t="shared" si="68"/>
        <v>999-990</v>
      </c>
      <c r="J1107" t="str">
        <f t="shared" si="69"/>
        <v>BC</v>
      </c>
      <c r="K1107">
        <f t="shared" si="70"/>
        <v>-999</v>
      </c>
      <c r="L1107">
        <f t="shared" si="71"/>
        <v>-990</v>
      </c>
    </row>
    <row r="1108" spans="1:12" x14ac:dyDescent="0.35">
      <c r="A1108">
        <v>1121</v>
      </c>
      <c r="B1108" t="s">
        <v>2365</v>
      </c>
      <c r="C1108" t="s">
        <v>10105</v>
      </c>
      <c r="D1108" t="s">
        <v>2366</v>
      </c>
      <c r="E1108" t="s">
        <v>1211</v>
      </c>
      <c r="F1108" t="s">
        <v>1257</v>
      </c>
      <c r="G1108" t="s">
        <v>1292</v>
      </c>
      <c r="I1108" t="str">
        <f t="shared" si="68"/>
        <v>999</v>
      </c>
      <c r="J1108" t="str">
        <f t="shared" si="69"/>
        <v>BC</v>
      </c>
      <c r="K1108">
        <f t="shared" si="70"/>
        <v>-999</v>
      </c>
      <c r="L1108">
        <f t="shared" si="71"/>
        <v>-999</v>
      </c>
    </row>
    <row r="1109" spans="1:12" x14ac:dyDescent="0.35">
      <c r="A1109">
        <v>1122</v>
      </c>
      <c r="B1109" t="s">
        <v>2367</v>
      </c>
      <c r="C1109" t="s">
        <v>10069</v>
      </c>
      <c r="D1109" t="s">
        <v>2366</v>
      </c>
      <c r="E1109" t="s">
        <v>1211</v>
      </c>
      <c r="F1109" t="s">
        <v>1257</v>
      </c>
      <c r="G1109" t="s">
        <v>112</v>
      </c>
      <c r="I1109" t="str">
        <f t="shared" si="68"/>
        <v>999</v>
      </c>
      <c r="J1109" t="str">
        <f t="shared" si="69"/>
        <v>BC</v>
      </c>
      <c r="K1109">
        <f t="shared" si="70"/>
        <v>-999</v>
      </c>
      <c r="L1109">
        <f t="shared" si="71"/>
        <v>-999</v>
      </c>
    </row>
    <row r="1110" spans="1:12" x14ac:dyDescent="0.35">
      <c r="A1110">
        <v>1123</v>
      </c>
      <c r="B1110" t="s">
        <v>2368</v>
      </c>
      <c r="C1110" t="s">
        <v>11268</v>
      </c>
      <c r="D1110" t="s">
        <v>2369</v>
      </c>
      <c r="E1110" t="s">
        <v>1228</v>
      </c>
      <c r="F1110" t="s">
        <v>1257</v>
      </c>
      <c r="G1110" t="s">
        <v>112</v>
      </c>
      <c r="I1110" t="str">
        <f t="shared" si="68"/>
        <v>999</v>
      </c>
      <c r="J1110" t="str">
        <f t="shared" si="69"/>
        <v>BC</v>
      </c>
      <c r="K1110">
        <f t="shared" si="70"/>
        <v>-999</v>
      </c>
      <c r="L1110">
        <f t="shared" si="71"/>
        <v>-999</v>
      </c>
    </row>
    <row r="1111" spans="1:12" x14ac:dyDescent="0.35">
      <c r="A1111">
        <v>1124</v>
      </c>
      <c r="B1111" t="s">
        <v>2370</v>
      </c>
      <c r="C1111" t="s">
        <v>10105</v>
      </c>
      <c r="D1111" t="s">
        <v>2371</v>
      </c>
      <c r="E1111" t="s">
        <v>1211</v>
      </c>
      <c r="F1111" t="s">
        <v>1257</v>
      </c>
      <c r="G1111" t="s">
        <v>1292</v>
      </c>
      <c r="I1111" t="str">
        <f t="shared" si="68"/>
        <v>999</v>
      </c>
      <c r="J1111" t="str">
        <f t="shared" si="69"/>
        <v>BC</v>
      </c>
      <c r="K1111">
        <f t="shared" si="70"/>
        <v>-999</v>
      </c>
      <c r="L1111">
        <f t="shared" si="71"/>
        <v>-999</v>
      </c>
    </row>
    <row r="1112" spans="1:12" x14ac:dyDescent="0.35">
      <c r="A1112">
        <v>1125</v>
      </c>
      <c r="B1112" t="s">
        <v>2372</v>
      </c>
      <c r="C1112" t="s">
        <v>10099</v>
      </c>
      <c r="D1112" t="s">
        <v>2373</v>
      </c>
      <c r="E1112" t="s">
        <v>1235</v>
      </c>
      <c r="F1112" t="s">
        <v>1257</v>
      </c>
      <c r="G1112" t="s">
        <v>112</v>
      </c>
      <c r="I1112" t="str">
        <f t="shared" si="68"/>
        <v>999</v>
      </c>
      <c r="J1112" t="str">
        <f t="shared" si="69"/>
        <v>BC</v>
      </c>
      <c r="K1112">
        <f t="shared" si="70"/>
        <v>-999</v>
      </c>
      <c r="L1112">
        <f t="shared" si="71"/>
        <v>-999</v>
      </c>
    </row>
    <row r="1113" spans="1:12" x14ac:dyDescent="0.35">
      <c r="A1113">
        <v>1126</v>
      </c>
      <c r="B1113" t="s">
        <v>2374</v>
      </c>
      <c r="C1113" t="s">
        <v>11379</v>
      </c>
      <c r="D1113" t="s">
        <v>2375</v>
      </c>
      <c r="E1113" t="s">
        <v>1235</v>
      </c>
      <c r="F1113" t="s">
        <v>1257</v>
      </c>
      <c r="G1113" t="s">
        <v>112</v>
      </c>
      <c r="I1113" t="str">
        <f t="shared" si="68"/>
        <v>999</v>
      </c>
      <c r="J1113" t="str">
        <f t="shared" si="69"/>
        <v>BC</v>
      </c>
      <c r="K1113">
        <f t="shared" si="70"/>
        <v>-999</v>
      </c>
      <c r="L1113">
        <f t="shared" si="71"/>
        <v>-999</v>
      </c>
    </row>
    <row r="1114" spans="1:12" x14ac:dyDescent="0.35">
      <c r="A1114">
        <v>1127</v>
      </c>
      <c r="B1114" t="s">
        <v>2376</v>
      </c>
      <c r="C1114" t="s">
        <v>11380</v>
      </c>
      <c r="D1114" t="s">
        <v>2377</v>
      </c>
      <c r="E1114" t="s">
        <v>2378</v>
      </c>
      <c r="F1114" t="s">
        <v>1257</v>
      </c>
      <c r="G1114" t="s">
        <v>112</v>
      </c>
      <c r="I1114" t="str">
        <f t="shared" si="68"/>
        <v>999</v>
      </c>
      <c r="J1114" t="str">
        <f t="shared" si="69"/>
        <v>BC</v>
      </c>
      <c r="K1114">
        <f t="shared" si="70"/>
        <v>-999</v>
      </c>
      <c r="L1114">
        <f t="shared" si="71"/>
        <v>-999</v>
      </c>
    </row>
    <row r="1115" spans="1:12" x14ac:dyDescent="0.35">
      <c r="A1115">
        <v>1128</v>
      </c>
      <c r="B1115" t="s">
        <v>2379</v>
      </c>
      <c r="C1115" t="s">
        <v>10266</v>
      </c>
      <c r="D1115" t="s">
        <v>2380</v>
      </c>
      <c r="E1115" t="s">
        <v>2381</v>
      </c>
      <c r="F1115" t="s">
        <v>1257</v>
      </c>
      <c r="G1115" t="s">
        <v>112</v>
      </c>
      <c r="I1115" t="str">
        <f t="shared" si="68"/>
        <v>999</v>
      </c>
      <c r="J1115" t="str">
        <f t="shared" si="69"/>
        <v>BC</v>
      </c>
      <c r="K1115">
        <f t="shared" si="70"/>
        <v>-999</v>
      </c>
      <c r="L1115">
        <f t="shared" si="71"/>
        <v>-999</v>
      </c>
    </row>
    <row r="1116" spans="1:12" x14ac:dyDescent="0.35">
      <c r="A1116">
        <v>1129</v>
      </c>
      <c r="B1116" t="s">
        <v>2382</v>
      </c>
      <c r="C1116" t="s">
        <v>10267</v>
      </c>
      <c r="D1116" t="s">
        <v>2380</v>
      </c>
      <c r="E1116" t="s">
        <v>2381</v>
      </c>
      <c r="F1116" t="s">
        <v>1257</v>
      </c>
      <c r="G1116" t="s">
        <v>112</v>
      </c>
      <c r="I1116" t="str">
        <f t="shared" si="68"/>
        <v>999</v>
      </c>
      <c r="J1116" t="str">
        <f t="shared" si="69"/>
        <v>BC</v>
      </c>
      <c r="K1116">
        <f t="shared" si="70"/>
        <v>-999</v>
      </c>
      <c r="L1116">
        <f t="shared" si="71"/>
        <v>-999</v>
      </c>
    </row>
    <row r="1117" spans="1:12" x14ac:dyDescent="0.35">
      <c r="A1117">
        <v>1130</v>
      </c>
      <c r="B1117" t="s">
        <v>2383</v>
      </c>
      <c r="C1117" t="s">
        <v>10268</v>
      </c>
      <c r="D1117" t="s">
        <v>2384</v>
      </c>
      <c r="E1117" t="s">
        <v>1211</v>
      </c>
      <c r="F1117" t="s">
        <v>1257</v>
      </c>
      <c r="G1117" t="s">
        <v>112</v>
      </c>
      <c r="I1117" t="str">
        <f t="shared" si="68"/>
        <v>999</v>
      </c>
      <c r="J1117" t="str">
        <f t="shared" si="69"/>
        <v>BC</v>
      </c>
      <c r="K1117">
        <f t="shared" si="70"/>
        <v>-999</v>
      </c>
      <c r="L1117">
        <f t="shared" si="71"/>
        <v>-999</v>
      </c>
    </row>
    <row r="1118" spans="1:12" x14ac:dyDescent="0.35">
      <c r="A1118">
        <v>1131</v>
      </c>
      <c r="B1118" t="s">
        <v>2385</v>
      </c>
      <c r="C1118" t="s">
        <v>10269</v>
      </c>
      <c r="D1118" t="s">
        <v>2386</v>
      </c>
      <c r="E1118" t="s">
        <v>1211</v>
      </c>
      <c r="F1118" t="s">
        <v>1257</v>
      </c>
      <c r="G1118" t="s">
        <v>112</v>
      </c>
      <c r="I1118" t="str">
        <f t="shared" si="68"/>
        <v>999</v>
      </c>
      <c r="J1118" t="str">
        <f t="shared" si="69"/>
        <v>BC</v>
      </c>
      <c r="K1118">
        <f t="shared" si="70"/>
        <v>-999</v>
      </c>
      <c r="L1118">
        <f t="shared" si="71"/>
        <v>-999</v>
      </c>
    </row>
    <row r="1119" spans="1:12" x14ac:dyDescent="0.35">
      <c r="A1119">
        <v>1132</v>
      </c>
      <c r="B1119" t="s">
        <v>2387</v>
      </c>
      <c r="C1119" t="s">
        <v>10270</v>
      </c>
      <c r="D1119" t="s">
        <v>2388</v>
      </c>
      <c r="E1119" t="s">
        <v>1211</v>
      </c>
      <c r="F1119" t="s">
        <v>1257</v>
      </c>
      <c r="G1119" t="s">
        <v>112</v>
      </c>
      <c r="I1119" t="str">
        <f t="shared" si="68"/>
        <v>999</v>
      </c>
      <c r="J1119" t="str">
        <f t="shared" si="69"/>
        <v>BC</v>
      </c>
      <c r="K1119">
        <f t="shared" si="70"/>
        <v>-999</v>
      </c>
      <c r="L1119">
        <f t="shared" si="71"/>
        <v>-999</v>
      </c>
    </row>
    <row r="1120" spans="1:12" x14ac:dyDescent="0.35">
      <c r="A1120">
        <v>1133</v>
      </c>
      <c r="B1120" t="s">
        <v>2389</v>
      </c>
      <c r="C1120" t="s">
        <v>11381</v>
      </c>
      <c r="D1120" t="s">
        <v>2390</v>
      </c>
      <c r="E1120" t="s">
        <v>1211</v>
      </c>
      <c r="F1120" t="s">
        <v>1257</v>
      </c>
      <c r="G1120" t="s">
        <v>1261</v>
      </c>
      <c r="I1120" t="str">
        <f t="shared" si="68"/>
        <v>999</v>
      </c>
      <c r="J1120" t="str">
        <f t="shared" si="69"/>
        <v>BC</v>
      </c>
      <c r="K1120">
        <f t="shared" si="70"/>
        <v>-999</v>
      </c>
      <c r="L1120">
        <f t="shared" si="71"/>
        <v>-999</v>
      </c>
    </row>
    <row r="1121" spans="1:12" x14ac:dyDescent="0.35">
      <c r="A1121">
        <v>1134</v>
      </c>
      <c r="B1121" t="s">
        <v>2391</v>
      </c>
      <c r="C1121" t="s">
        <v>11125</v>
      </c>
      <c r="D1121" t="s">
        <v>2392</v>
      </c>
      <c r="E1121" t="s">
        <v>1211</v>
      </c>
      <c r="F1121" t="s">
        <v>1257</v>
      </c>
      <c r="G1121" t="s">
        <v>112</v>
      </c>
      <c r="I1121" t="str">
        <f t="shared" si="68"/>
        <v>999</v>
      </c>
      <c r="J1121" t="str">
        <f t="shared" si="69"/>
        <v>BC</v>
      </c>
      <c r="K1121">
        <f t="shared" si="70"/>
        <v>-999</v>
      </c>
      <c r="L1121">
        <f t="shared" si="71"/>
        <v>-999</v>
      </c>
    </row>
    <row r="1122" spans="1:12" x14ac:dyDescent="0.35">
      <c r="A1122">
        <v>1135</v>
      </c>
      <c r="B1122" t="s">
        <v>2393</v>
      </c>
      <c r="C1122" t="s">
        <v>10139</v>
      </c>
      <c r="D1122" t="s">
        <v>2394</v>
      </c>
      <c r="E1122" t="s">
        <v>1211</v>
      </c>
      <c r="F1122" t="s">
        <v>1257</v>
      </c>
      <c r="G1122" t="s">
        <v>1261</v>
      </c>
      <c r="I1122" t="str">
        <f t="shared" si="68"/>
        <v>999</v>
      </c>
      <c r="J1122" t="str">
        <f t="shared" si="69"/>
        <v>BC</v>
      </c>
      <c r="K1122">
        <f t="shared" si="70"/>
        <v>-999</v>
      </c>
      <c r="L1122">
        <f t="shared" si="71"/>
        <v>-999</v>
      </c>
    </row>
    <row r="1123" spans="1:12" x14ac:dyDescent="0.35">
      <c r="A1123">
        <v>1136</v>
      </c>
      <c r="B1123" t="s">
        <v>1266</v>
      </c>
      <c r="C1123" t="s">
        <v>10068</v>
      </c>
      <c r="D1123" t="s">
        <v>2395</v>
      </c>
      <c r="E1123" t="s">
        <v>1211</v>
      </c>
      <c r="F1123" t="s">
        <v>1257</v>
      </c>
      <c r="G1123" t="s">
        <v>1261</v>
      </c>
      <c r="I1123" t="str">
        <f t="shared" si="68"/>
        <v>999</v>
      </c>
      <c r="J1123" t="str">
        <f t="shared" si="69"/>
        <v>BC</v>
      </c>
      <c r="K1123">
        <f t="shared" si="70"/>
        <v>-999</v>
      </c>
      <c r="L1123">
        <f t="shared" si="71"/>
        <v>-999</v>
      </c>
    </row>
    <row r="1124" spans="1:12" x14ac:dyDescent="0.35">
      <c r="A1124">
        <v>1137</v>
      </c>
      <c r="B1124" t="s">
        <v>2396</v>
      </c>
      <c r="C1124" t="s">
        <v>10271</v>
      </c>
      <c r="D1124" t="s">
        <v>2397</v>
      </c>
      <c r="E1124" t="s">
        <v>1211</v>
      </c>
      <c r="F1124" t="s">
        <v>1257</v>
      </c>
      <c r="G1124" t="s">
        <v>1261</v>
      </c>
      <c r="I1124" t="str">
        <f t="shared" si="68"/>
        <v>999</v>
      </c>
      <c r="J1124" t="str">
        <f t="shared" si="69"/>
        <v>BC</v>
      </c>
      <c r="K1124">
        <f t="shared" si="70"/>
        <v>-999</v>
      </c>
      <c r="L1124">
        <f t="shared" si="71"/>
        <v>-999</v>
      </c>
    </row>
    <row r="1125" spans="1:12" x14ac:dyDescent="0.35">
      <c r="A1125">
        <v>1138</v>
      </c>
      <c r="B1125" t="s">
        <v>2398</v>
      </c>
      <c r="C1125" t="s">
        <v>10140</v>
      </c>
      <c r="D1125" t="s">
        <v>2399</v>
      </c>
      <c r="E1125" t="s">
        <v>1211</v>
      </c>
      <c r="F1125" t="s">
        <v>1257</v>
      </c>
      <c r="G1125" t="s">
        <v>1272</v>
      </c>
      <c r="I1125" t="str">
        <f t="shared" si="68"/>
        <v>999</v>
      </c>
      <c r="J1125" t="str">
        <f t="shared" si="69"/>
        <v>BC</v>
      </c>
      <c r="K1125">
        <f t="shared" si="70"/>
        <v>-999</v>
      </c>
      <c r="L1125">
        <f t="shared" si="71"/>
        <v>-999</v>
      </c>
    </row>
    <row r="1126" spans="1:12" x14ac:dyDescent="0.35">
      <c r="A1126">
        <v>1139</v>
      </c>
      <c r="B1126" t="s">
        <v>1273</v>
      </c>
      <c r="C1126" t="s">
        <v>10141</v>
      </c>
      <c r="D1126" t="s">
        <v>2400</v>
      </c>
      <c r="E1126" t="s">
        <v>1211</v>
      </c>
      <c r="F1126" t="s">
        <v>1257</v>
      </c>
      <c r="G1126" t="s">
        <v>1292</v>
      </c>
      <c r="I1126" t="str">
        <f t="shared" si="68"/>
        <v>999</v>
      </c>
      <c r="J1126" t="str">
        <f t="shared" si="69"/>
        <v>BC</v>
      </c>
      <c r="K1126">
        <f t="shared" si="70"/>
        <v>-999</v>
      </c>
      <c r="L1126">
        <f t="shared" si="71"/>
        <v>-999</v>
      </c>
    </row>
    <row r="1127" spans="1:12" x14ac:dyDescent="0.35">
      <c r="A1127">
        <v>1140</v>
      </c>
      <c r="B1127" t="s">
        <v>1278</v>
      </c>
      <c r="C1127" t="s">
        <v>10242</v>
      </c>
      <c r="D1127" t="s">
        <v>2401</v>
      </c>
      <c r="E1127" t="s">
        <v>1280</v>
      </c>
      <c r="F1127" t="s">
        <v>1277</v>
      </c>
      <c r="G1127" t="s">
        <v>112</v>
      </c>
      <c r="I1127" t="str">
        <f t="shared" si="68"/>
        <v>999-990</v>
      </c>
      <c r="J1127" t="str">
        <f t="shared" si="69"/>
        <v>BC</v>
      </c>
      <c r="K1127">
        <f t="shared" si="70"/>
        <v>-999</v>
      </c>
      <c r="L1127">
        <f t="shared" si="71"/>
        <v>-990</v>
      </c>
    </row>
    <row r="1128" spans="1:12" x14ac:dyDescent="0.35">
      <c r="A1128">
        <v>1141</v>
      </c>
      <c r="B1128" t="s">
        <v>2402</v>
      </c>
      <c r="C1128" t="s">
        <v>11226</v>
      </c>
      <c r="D1128" t="s">
        <v>2403</v>
      </c>
      <c r="E1128" t="s">
        <v>1112</v>
      </c>
      <c r="F1128" t="s">
        <v>1277</v>
      </c>
      <c r="G1128" t="s">
        <v>112</v>
      </c>
      <c r="I1128" t="str">
        <f t="shared" si="68"/>
        <v>999-990</v>
      </c>
      <c r="J1128" t="str">
        <f t="shared" si="69"/>
        <v>BC</v>
      </c>
      <c r="K1128">
        <f t="shared" si="70"/>
        <v>-999</v>
      </c>
      <c r="L1128">
        <f t="shared" si="71"/>
        <v>-990</v>
      </c>
    </row>
    <row r="1129" spans="1:12" x14ac:dyDescent="0.35">
      <c r="A1129">
        <v>1142</v>
      </c>
      <c r="B1129" t="s">
        <v>2404</v>
      </c>
      <c r="C1129" t="s">
        <v>11382</v>
      </c>
      <c r="D1129" t="s">
        <v>2405</v>
      </c>
      <c r="E1129" t="s">
        <v>2337</v>
      </c>
      <c r="F1129" t="s">
        <v>1434</v>
      </c>
      <c r="G1129" t="s">
        <v>1435</v>
      </c>
      <c r="I1129" t="str">
        <f t="shared" si="68"/>
        <v>969</v>
      </c>
      <c r="J1129" t="str">
        <f t="shared" si="69"/>
        <v>BC</v>
      </c>
      <c r="K1129">
        <f t="shared" si="70"/>
        <v>-969</v>
      </c>
      <c r="L1129">
        <f t="shared" si="71"/>
        <v>-969</v>
      </c>
    </row>
    <row r="1130" spans="1:12" x14ac:dyDescent="0.35">
      <c r="A1130">
        <v>1143</v>
      </c>
      <c r="B1130" t="s">
        <v>2406</v>
      </c>
      <c r="C1130" t="s">
        <v>10272</v>
      </c>
      <c r="D1130" t="s">
        <v>2405</v>
      </c>
      <c r="E1130" t="s">
        <v>1211</v>
      </c>
      <c r="F1130" t="s">
        <v>1434</v>
      </c>
      <c r="G1130" t="s">
        <v>2407</v>
      </c>
      <c r="I1130" t="str">
        <f t="shared" si="68"/>
        <v>969</v>
      </c>
      <c r="J1130" t="str">
        <f t="shared" si="69"/>
        <v>BC</v>
      </c>
      <c r="K1130">
        <f t="shared" si="70"/>
        <v>-969</v>
      </c>
      <c r="L1130">
        <f t="shared" si="71"/>
        <v>-969</v>
      </c>
    </row>
    <row r="1131" spans="1:12" x14ac:dyDescent="0.35">
      <c r="A1131">
        <v>1144</v>
      </c>
      <c r="B1131" t="s">
        <v>2408</v>
      </c>
      <c r="C1131" t="s">
        <v>10169</v>
      </c>
      <c r="D1131" t="s">
        <v>2409</v>
      </c>
      <c r="E1131" t="s">
        <v>1211</v>
      </c>
      <c r="F1131" t="s">
        <v>1434</v>
      </c>
      <c r="G1131" t="s">
        <v>12473</v>
      </c>
      <c r="I1131" t="str">
        <f t="shared" si="68"/>
        <v>969</v>
      </c>
      <c r="J1131" t="str">
        <f t="shared" si="69"/>
        <v>BC</v>
      </c>
      <c r="K1131">
        <f t="shared" si="70"/>
        <v>-969</v>
      </c>
      <c r="L1131">
        <f t="shared" si="71"/>
        <v>-969</v>
      </c>
    </row>
    <row r="1132" spans="1:12" x14ac:dyDescent="0.35">
      <c r="A1132">
        <v>1145</v>
      </c>
      <c r="B1132" t="s">
        <v>2410</v>
      </c>
      <c r="C1132" t="s">
        <v>10146</v>
      </c>
      <c r="D1132" t="s">
        <v>2409</v>
      </c>
      <c r="E1132" t="s">
        <v>1211</v>
      </c>
      <c r="F1132" t="s">
        <v>1434</v>
      </c>
      <c r="G1132" t="s">
        <v>1292</v>
      </c>
      <c r="I1132" t="str">
        <f t="shared" si="68"/>
        <v>969</v>
      </c>
      <c r="J1132" t="str">
        <f t="shared" si="69"/>
        <v>BC</v>
      </c>
      <c r="K1132">
        <f t="shared" si="70"/>
        <v>-969</v>
      </c>
      <c r="L1132">
        <f t="shared" si="71"/>
        <v>-969</v>
      </c>
    </row>
    <row r="1133" spans="1:12" x14ac:dyDescent="0.35">
      <c r="A1133">
        <v>1146</v>
      </c>
      <c r="B1133" t="s">
        <v>2411</v>
      </c>
      <c r="C1133" t="s">
        <v>11290</v>
      </c>
      <c r="D1133" t="s">
        <v>2412</v>
      </c>
      <c r="E1133" t="s">
        <v>1211</v>
      </c>
      <c r="F1133" t="s">
        <v>1434</v>
      </c>
      <c r="G1133" t="s">
        <v>12474</v>
      </c>
      <c r="I1133" t="str">
        <f t="shared" si="68"/>
        <v>969</v>
      </c>
      <c r="J1133" t="str">
        <f t="shared" si="69"/>
        <v>BC</v>
      </c>
      <c r="K1133">
        <f t="shared" si="70"/>
        <v>-969</v>
      </c>
      <c r="L1133">
        <f t="shared" si="71"/>
        <v>-969</v>
      </c>
    </row>
    <row r="1134" spans="1:12" x14ac:dyDescent="0.35">
      <c r="A1134">
        <v>1147</v>
      </c>
      <c r="B1134" t="s">
        <v>1443</v>
      </c>
      <c r="C1134" t="s">
        <v>10273</v>
      </c>
      <c r="D1134" t="s">
        <v>2413</v>
      </c>
      <c r="E1134" t="s">
        <v>1211</v>
      </c>
      <c r="F1134" t="s">
        <v>1434</v>
      </c>
      <c r="G1134" t="s">
        <v>1292</v>
      </c>
      <c r="I1134" t="str">
        <f t="shared" si="68"/>
        <v>969</v>
      </c>
      <c r="J1134" t="str">
        <f t="shared" si="69"/>
        <v>BC</v>
      </c>
      <c r="K1134">
        <f t="shared" si="70"/>
        <v>-969</v>
      </c>
      <c r="L1134">
        <f t="shared" si="71"/>
        <v>-969</v>
      </c>
    </row>
    <row r="1135" spans="1:12" x14ac:dyDescent="0.35">
      <c r="A1135">
        <v>1148</v>
      </c>
      <c r="B1135" t="s">
        <v>2414</v>
      </c>
      <c r="C1135" t="s">
        <v>10049</v>
      </c>
      <c r="D1135" t="s">
        <v>2415</v>
      </c>
      <c r="E1135" t="s">
        <v>1052</v>
      </c>
      <c r="F1135" t="s">
        <v>1434</v>
      </c>
      <c r="G1135" t="s">
        <v>112</v>
      </c>
      <c r="I1135" t="str">
        <f t="shared" si="68"/>
        <v>969</v>
      </c>
      <c r="J1135" t="str">
        <f t="shared" si="69"/>
        <v>BC</v>
      </c>
      <c r="K1135">
        <f t="shared" si="70"/>
        <v>-969</v>
      </c>
      <c r="L1135">
        <f t="shared" si="71"/>
        <v>-969</v>
      </c>
    </row>
    <row r="1136" spans="1:12" x14ac:dyDescent="0.35">
      <c r="A1136">
        <v>1149</v>
      </c>
      <c r="B1136" t="s">
        <v>2416</v>
      </c>
      <c r="C1136" t="s">
        <v>11139</v>
      </c>
      <c r="D1136" t="s">
        <v>2415</v>
      </c>
      <c r="E1136" t="s">
        <v>1052</v>
      </c>
      <c r="F1136" t="s">
        <v>1434</v>
      </c>
      <c r="G1136" t="s">
        <v>112</v>
      </c>
      <c r="I1136" t="str">
        <f t="shared" si="68"/>
        <v>969</v>
      </c>
      <c r="J1136" t="str">
        <f t="shared" si="69"/>
        <v>BC</v>
      </c>
      <c r="K1136">
        <f t="shared" si="70"/>
        <v>-969</v>
      </c>
      <c r="L1136">
        <f t="shared" si="71"/>
        <v>-969</v>
      </c>
    </row>
    <row r="1137" spans="1:12" x14ac:dyDescent="0.35">
      <c r="A1137">
        <v>1150</v>
      </c>
      <c r="B1137" t="s">
        <v>2417</v>
      </c>
      <c r="C1137" t="s">
        <v>11126</v>
      </c>
      <c r="D1137" t="s">
        <v>2418</v>
      </c>
      <c r="E1137" t="s">
        <v>1211</v>
      </c>
      <c r="F1137" t="s">
        <v>1434</v>
      </c>
      <c r="G1137" t="s">
        <v>63</v>
      </c>
      <c r="I1137" t="str">
        <f t="shared" si="68"/>
        <v>969</v>
      </c>
      <c r="J1137" t="str">
        <f t="shared" si="69"/>
        <v>BC</v>
      </c>
      <c r="K1137">
        <f t="shared" si="70"/>
        <v>-969</v>
      </c>
      <c r="L1137">
        <f t="shared" si="71"/>
        <v>-969</v>
      </c>
    </row>
    <row r="1138" spans="1:12" x14ac:dyDescent="0.35">
      <c r="A1138">
        <v>1151</v>
      </c>
      <c r="B1138" t="s">
        <v>2419</v>
      </c>
      <c r="C1138" t="s">
        <v>10053</v>
      </c>
      <c r="D1138" t="s">
        <v>2418</v>
      </c>
      <c r="E1138" t="s">
        <v>1211</v>
      </c>
      <c r="F1138" t="s">
        <v>1434</v>
      </c>
      <c r="G1138" t="s">
        <v>112</v>
      </c>
      <c r="I1138" t="str">
        <f t="shared" si="68"/>
        <v>969</v>
      </c>
      <c r="J1138" t="str">
        <f t="shared" si="69"/>
        <v>BC</v>
      </c>
      <c r="K1138">
        <f t="shared" si="70"/>
        <v>-969</v>
      </c>
      <c r="L1138">
        <f t="shared" si="71"/>
        <v>-969</v>
      </c>
    </row>
    <row r="1139" spans="1:12" x14ac:dyDescent="0.35">
      <c r="A1139">
        <v>1152</v>
      </c>
      <c r="B1139" t="s">
        <v>2420</v>
      </c>
      <c r="C1139" t="s">
        <v>10274</v>
      </c>
      <c r="D1139" t="s">
        <v>2421</v>
      </c>
      <c r="E1139" t="s">
        <v>2422</v>
      </c>
      <c r="F1139" t="s">
        <v>1434</v>
      </c>
      <c r="G1139" t="s">
        <v>63</v>
      </c>
      <c r="I1139" t="str">
        <f t="shared" si="68"/>
        <v>969</v>
      </c>
      <c r="J1139" t="str">
        <f t="shared" si="69"/>
        <v>BC</v>
      </c>
      <c r="K1139">
        <f t="shared" si="70"/>
        <v>-969</v>
      </c>
      <c r="L1139">
        <f t="shared" si="71"/>
        <v>-969</v>
      </c>
    </row>
    <row r="1140" spans="1:12" x14ac:dyDescent="0.35">
      <c r="A1140">
        <v>1153</v>
      </c>
      <c r="B1140" t="s">
        <v>2423</v>
      </c>
      <c r="C1140" t="s">
        <v>10052</v>
      </c>
      <c r="D1140" t="s">
        <v>2424</v>
      </c>
      <c r="E1140" t="s">
        <v>1211</v>
      </c>
      <c r="F1140" t="s">
        <v>1434</v>
      </c>
      <c r="G1140" t="s">
        <v>112</v>
      </c>
      <c r="I1140" t="str">
        <f t="shared" ref="I1140:I1203" si="72">SUBSTITUTE(SUBSTITUTE(SUBSTITUTE(F1140,"c. ","")," BC","")," AD","")</f>
        <v>969</v>
      </c>
      <c r="J1140" t="str">
        <f t="shared" si="69"/>
        <v>BC</v>
      </c>
      <c r="K1140">
        <f t="shared" si="70"/>
        <v>-969</v>
      </c>
      <c r="L1140">
        <f t="shared" si="71"/>
        <v>-969</v>
      </c>
    </row>
    <row r="1141" spans="1:12" x14ac:dyDescent="0.35">
      <c r="A1141">
        <v>1154</v>
      </c>
      <c r="B1141" t="s">
        <v>2425</v>
      </c>
      <c r="C1141" t="s">
        <v>11383</v>
      </c>
      <c r="D1141" t="s">
        <v>2424</v>
      </c>
      <c r="E1141" t="s">
        <v>1211</v>
      </c>
      <c r="F1141" t="s">
        <v>1434</v>
      </c>
      <c r="G1141" t="s">
        <v>63</v>
      </c>
      <c r="I1141" t="str">
        <f t="shared" si="72"/>
        <v>969</v>
      </c>
      <c r="J1141" t="str">
        <f t="shared" si="69"/>
        <v>BC</v>
      </c>
      <c r="K1141">
        <f t="shared" si="70"/>
        <v>-969</v>
      </c>
      <c r="L1141">
        <f t="shared" si="71"/>
        <v>-969</v>
      </c>
    </row>
    <row r="1142" spans="1:12" x14ac:dyDescent="0.35">
      <c r="A1142">
        <v>1155</v>
      </c>
      <c r="B1142" t="s">
        <v>2426</v>
      </c>
      <c r="C1142" t="s">
        <v>10041</v>
      </c>
      <c r="D1142" t="s">
        <v>2427</v>
      </c>
      <c r="E1142" t="s">
        <v>1211</v>
      </c>
      <c r="F1142" t="s">
        <v>1434</v>
      </c>
      <c r="G1142" t="s">
        <v>1292</v>
      </c>
      <c r="I1142" t="str">
        <f t="shared" si="72"/>
        <v>969</v>
      </c>
      <c r="J1142" t="str">
        <f t="shared" si="69"/>
        <v>BC</v>
      </c>
      <c r="K1142">
        <f t="shared" si="70"/>
        <v>-969</v>
      </c>
      <c r="L1142">
        <f t="shared" si="71"/>
        <v>-969</v>
      </c>
    </row>
    <row r="1143" spans="1:12" x14ac:dyDescent="0.35">
      <c r="A1143">
        <v>1156</v>
      </c>
      <c r="B1143" t="s">
        <v>2428</v>
      </c>
      <c r="C1143" t="s">
        <v>11176</v>
      </c>
      <c r="D1143" t="s">
        <v>2429</v>
      </c>
      <c r="E1143" t="s">
        <v>1211</v>
      </c>
      <c r="F1143" t="s">
        <v>1434</v>
      </c>
      <c r="G1143" t="s">
        <v>2430</v>
      </c>
      <c r="I1143" t="str">
        <f t="shared" si="72"/>
        <v>969</v>
      </c>
      <c r="J1143" t="str">
        <f t="shared" si="69"/>
        <v>BC</v>
      </c>
      <c r="K1143">
        <f t="shared" si="70"/>
        <v>-969</v>
      </c>
      <c r="L1143">
        <f t="shared" si="71"/>
        <v>-969</v>
      </c>
    </row>
    <row r="1144" spans="1:12" x14ac:dyDescent="0.35">
      <c r="A1144">
        <v>1157</v>
      </c>
      <c r="B1144" t="s">
        <v>2431</v>
      </c>
      <c r="C1144" t="s">
        <v>11212</v>
      </c>
      <c r="D1144" t="s">
        <v>2429</v>
      </c>
      <c r="E1144" t="s">
        <v>2422</v>
      </c>
      <c r="F1144" t="s">
        <v>1434</v>
      </c>
      <c r="G1144" t="s">
        <v>12474</v>
      </c>
      <c r="I1144" t="str">
        <f t="shared" si="72"/>
        <v>969</v>
      </c>
      <c r="J1144" t="str">
        <f t="shared" si="69"/>
        <v>BC</v>
      </c>
      <c r="K1144">
        <f t="shared" si="70"/>
        <v>-969</v>
      </c>
      <c r="L1144">
        <f t="shared" si="71"/>
        <v>-969</v>
      </c>
    </row>
    <row r="1145" spans="1:12" x14ac:dyDescent="0.35">
      <c r="A1145">
        <v>1158</v>
      </c>
      <c r="B1145" t="s">
        <v>2432</v>
      </c>
      <c r="C1145" t="s">
        <v>10178</v>
      </c>
      <c r="D1145" t="s">
        <v>2433</v>
      </c>
      <c r="E1145" t="s">
        <v>2422</v>
      </c>
      <c r="F1145" t="s">
        <v>1434</v>
      </c>
      <c r="G1145" t="s">
        <v>112</v>
      </c>
      <c r="I1145" t="str">
        <f t="shared" si="72"/>
        <v>969</v>
      </c>
      <c r="J1145" t="str">
        <f t="shared" si="69"/>
        <v>BC</v>
      </c>
      <c r="K1145">
        <f t="shared" si="70"/>
        <v>-969</v>
      </c>
      <c r="L1145">
        <f t="shared" si="71"/>
        <v>-969</v>
      </c>
    </row>
    <row r="1146" spans="1:12" x14ac:dyDescent="0.35">
      <c r="A1146">
        <v>1159</v>
      </c>
      <c r="B1146" t="s">
        <v>2434</v>
      </c>
      <c r="C1146" t="s">
        <v>10767</v>
      </c>
      <c r="D1146" t="s">
        <v>2433</v>
      </c>
      <c r="E1146" t="s">
        <v>2422</v>
      </c>
      <c r="F1146" t="s">
        <v>1434</v>
      </c>
      <c r="G1146" t="s">
        <v>112</v>
      </c>
      <c r="I1146" t="str">
        <f t="shared" si="72"/>
        <v>969</v>
      </c>
      <c r="J1146" t="str">
        <f t="shared" si="69"/>
        <v>BC</v>
      </c>
      <c r="K1146">
        <f t="shared" si="70"/>
        <v>-969</v>
      </c>
      <c r="L1146">
        <f t="shared" si="71"/>
        <v>-969</v>
      </c>
    </row>
    <row r="1147" spans="1:12" x14ac:dyDescent="0.35">
      <c r="A1147">
        <v>1160</v>
      </c>
      <c r="B1147" t="s">
        <v>2435</v>
      </c>
      <c r="C1147" t="s">
        <v>11384</v>
      </c>
      <c r="D1147" t="s">
        <v>2436</v>
      </c>
      <c r="E1147" t="s">
        <v>1211</v>
      </c>
      <c r="F1147" t="s">
        <v>1434</v>
      </c>
      <c r="G1147" t="s">
        <v>112</v>
      </c>
      <c r="I1147" t="str">
        <f t="shared" si="72"/>
        <v>969</v>
      </c>
      <c r="J1147" t="str">
        <f t="shared" si="69"/>
        <v>BC</v>
      </c>
      <c r="K1147">
        <f t="shared" si="70"/>
        <v>-969</v>
      </c>
      <c r="L1147">
        <f t="shared" si="71"/>
        <v>-969</v>
      </c>
    </row>
    <row r="1148" spans="1:12" x14ac:dyDescent="0.35">
      <c r="A1148">
        <v>1161</v>
      </c>
      <c r="B1148" t="s">
        <v>2437</v>
      </c>
      <c r="C1148" t="s">
        <v>10275</v>
      </c>
      <c r="D1148" t="s">
        <v>2436</v>
      </c>
      <c r="E1148" t="s">
        <v>1211</v>
      </c>
      <c r="F1148" t="s">
        <v>1434</v>
      </c>
      <c r="G1148" t="s">
        <v>63</v>
      </c>
      <c r="I1148" t="str">
        <f t="shared" si="72"/>
        <v>969</v>
      </c>
      <c r="J1148" t="str">
        <f t="shared" si="69"/>
        <v>BC</v>
      </c>
      <c r="K1148">
        <f t="shared" si="70"/>
        <v>-969</v>
      </c>
      <c r="L1148">
        <f t="shared" si="71"/>
        <v>-969</v>
      </c>
    </row>
    <row r="1149" spans="1:12" x14ac:dyDescent="0.35">
      <c r="A1149">
        <v>1162</v>
      </c>
      <c r="B1149" t="s">
        <v>2438</v>
      </c>
      <c r="C1149" t="s">
        <v>10276</v>
      </c>
      <c r="D1149" t="s">
        <v>2439</v>
      </c>
      <c r="E1149" t="s">
        <v>2422</v>
      </c>
      <c r="F1149" t="s">
        <v>1434</v>
      </c>
      <c r="G1149" t="s">
        <v>2440</v>
      </c>
      <c r="I1149" t="str">
        <f t="shared" si="72"/>
        <v>969</v>
      </c>
      <c r="J1149" t="str">
        <f t="shared" si="69"/>
        <v>BC</v>
      </c>
      <c r="K1149">
        <f t="shared" si="70"/>
        <v>-969</v>
      </c>
      <c r="L1149">
        <f t="shared" si="71"/>
        <v>-969</v>
      </c>
    </row>
    <row r="1150" spans="1:12" x14ac:dyDescent="0.35">
      <c r="A1150">
        <v>1163</v>
      </c>
      <c r="B1150" t="s">
        <v>2441</v>
      </c>
      <c r="C1150" t="s">
        <v>11234</v>
      </c>
      <c r="D1150" t="s">
        <v>2442</v>
      </c>
      <c r="E1150" t="s">
        <v>2337</v>
      </c>
      <c r="F1150" t="s">
        <v>2443</v>
      </c>
      <c r="G1150" t="s">
        <v>112</v>
      </c>
      <c r="I1150" t="str">
        <f t="shared" si="72"/>
        <v>970-969</v>
      </c>
      <c r="J1150" t="str">
        <f t="shared" si="69"/>
        <v>BC</v>
      </c>
      <c r="K1150">
        <f t="shared" si="70"/>
        <v>-970</v>
      </c>
      <c r="L1150">
        <f t="shared" si="71"/>
        <v>-969</v>
      </c>
    </row>
    <row r="1151" spans="1:12" x14ac:dyDescent="0.35">
      <c r="A1151">
        <v>1164</v>
      </c>
      <c r="B1151" t="s">
        <v>2444</v>
      </c>
      <c r="C1151" t="s">
        <v>10068</v>
      </c>
      <c r="D1151" t="s">
        <v>2445</v>
      </c>
      <c r="E1151" t="s">
        <v>1211</v>
      </c>
      <c r="F1151" t="s">
        <v>1419</v>
      </c>
      <c r="G1151" t="s">
        <v>1292</v>
      </c>
      <c r="I1151" t="str">
        <f t="shared" si="72"/>
        <v>970</v>
      </c>
      <c r="J1151" t="str">
        <f t="shared" si="69"/>
        <v>BC</v>
      </c>
      <c r="K1151">
        <f t="shared" si="70"/>
        <v>-970</v>
      </c>
      <c r="L1151">
        <f t="shared" si="71"/>
        <v>-970</v>
      </c>
    </row>
    <row r="1152" spans="1:12" x14ac:dyDescent="0.35">
      <c r="A1152">
        <v>1165</v>
      </c>
      <c r="B1152" t="s">
        <v>2446</v>
      </c>
      <c r="C1152" t="s">
        <v>10139</v>
      </c>
      <c r="D1152" t="s">
        <v>2445</v>
      </c>
      <c r="E1152" t="s">
        <v>1211</v>
      </c>
      <c r="F1152" t="s">
        <v>1419</v>
      </c>
      <c r="G1152" t="s">
        <v>1292</v>
      </c>
      <c r="I1152" t="str">
        <f t="shared" si="72"/>
        <v>970</v>
      </c>
      <c r="J1152" t="str">
        <f t="shared" si="69"/>
        <v>BC</v>
      </c>
      <c r="K1152">
        <f t="shared" si="70"/>
        <v>-970</v>
      </c>
      <c r="L1152">
        <f t="shared" si="71"/>
        <v>-970</v>
      </c>
    </row>
    <row r="1153" spans="1:12" x14ac:dyDescent="0.35">
      <c r="A1153">
        <v>1166</v>
      </c>
      <c r="B1153" t="s">
        <v>2447</v>
      </c>
      <c r="C1153" t="s">
        <v>11197</v>
      </c>
      <c r="D1153" t="s">
        <v>2448</v>
      </c>
      <c r="E1153" t="s">
        <v>1211</v>
      </c>
      <c r="F1153" t="s">
        <v>1419</v>
      </c>
      <c r="G1153" t="s">
        <v>1533</v>
      </c>
      <c r="I1153" t="str">
        <f t="shared" si="72"/>
        <v>970</v>
      </c>
      <c r="J1153" t="str">
        <f t="shared" si="69"/>
        <v>BC</v>
      </c>
      <c r="K1153">
        <f t="shared" si="70"/>
        <v>-970</v>
      </c>
      <c r="L1153">
        <f t="shared" si="71"/>
        <v>-970</v>
      </c>
    </row>
    <row r="1154" spans="1:12" x14ac:dyDescent="0.35">
      <c r="A1154">
        <v>1167</v>
      </c>
      <c r="B1154" t="s">
        <v>2449</v>
      </c>
      <c r="C1154" t="s">
        <v>10277</v>
      </c>
      <c r="D1154" t="s">
        <v>2450</v>
      </c>
      <c r="E1154" t="s">
        <v>1211</v>
      </c>
      <c r="F1154" t="s">
        <v>1419</v>
      </c>
      <c r="G1154" t="s">
        <v>112</v>
      </c>
      <c r="I1154" t="str">
        <f t="shared" si="72"/>
        <v>970</v>
      </c>
      <c r="J1154" t="str">
        <f t="shared" ref="J1154:J1217" si="73">RIGHT(F1154, 2)</f>
        <v>BC</v>
      </c>
      <c r="K1154">
        <f t="shared" ref="K1154:K1217" si="74">IF(J1154="BC", 0-IF(ISERROR(FIND("-",I1154)),I1154,LEFT(I1154,FIND("-",I1154)-1)), IF(ISERROR(FIND("-",I1154)),I1154,LEFT(I1154,FIND("-",I1154)-1)))</f>
        <v>-970</v>
      </c>
      <c r="L1154">
        <f t="shared" ref="L1154:L1217" si="75">IF(J1154="BC", 0-IF(ISERROR(FIND("-",I1154)),I1154,RIGHT(I1154,FIND("-",I1154)-1)), IF(ISERROR(FIND("-",I1154)),I1154,RIGHT(I1154,FIND("-",I1154)-1)))</f>
        <v>-970</v>
      </c>
    </row>
    <row r="1155" spans="1:12" x14ac:dyDescent="0.35">
      <c r="A1155">
        <v>1168</v>
      </c>
      <c r="B1155" t="s">
        <v>2451</v>
      </c>
      <c r="C1155" t="s">
        <v>11385</v>
      </c>
      <c r="D1155" t="s">
        <v>2452</v>
      </c>
      <c r="E1155" t="s">
        <v>1211</v>
      </c>
      <c r="F1155" t="s">
        <v>1419</v>
      </c>
      <c r="G1155" t="s">
        <v>112</v>
      </c>
      <c r="I1155" t="str">
        <f t="shared" si="72"/>
        <v>970</v>
      </c>
      <c r="J1155" t="str">
        <f t="shared" si="73"/>
        <v>BC</v>
      </c>
      <c r="K1155">
        <f t="shared" si="74"/>
        <v>-970</v>
      </c>
      <c r="L1155">
        <f t="shared" si="75"/>
        <v>-970</v>
      </c>
    </row>
    <row r="1156" spans="1:12" x14ac:dyDescent="0.35">
      <c r="A1156">
        <v>1169</v>
      </c>
      <c r="B1156" t="s">
        <v>2453</v>
      </c>
      <c r="C1156" t="s">
        <v>10278</v>
      </c>
      <c r="D1156" t="s">
        <v>2454</v>
      </c>
      <c r="E1156" t="s">
        <v>1211</v>
      </c>
      <c r="F1156" t="s">
        <v>1419</v>
      </c>
      <c r="G1156" t="s">
        <v>2455</v>
      </c>
      <c r="I1156" t="str">
        <f t="shared" si="72"/>
        <v>970</v>
      </c>
      <c r="J1156" t="str">
        <f t="shared" si="73"/>
        <v>BC</v>
      </c>
      <c r="K1156">
        <f t="shared" si="74"/>
        <v>-970</v>
      </c>
      <c r="L1156">
        <f t="shared" si="75"/>
        <v>-970</v>
      </c>
    </row>
    <row r="1157" spans="1:12" x14ac:dyDescent="0.35">
      <c r="A1157">
        <v>1170</v>
      </c>
      <c r="B1157" t="s">
        <v>2456</v>
      </c>
      <c r="C1157" t="s">
        <v>10278</v>
      </c>
      <c r="D1157" t="s">
        <v>2457</v>
      </c>
      <c r="E1157" t="s">
        <v>1211</v>
      </c>
      <c r="F1157" t="s">
        <v>1419</v>
      </c>
      <c r="G1157" t="s">
        <v>1533</v>
      </c>
      <c r="I1157" t="str">
        <f t="shared" si="72"/>
        <v>970</v>
      </c>
      <c r="J1157" t="str">
        <f t="shared" si="73"/>
        <v>BC</v>
      </c>
      <c r="K1157">
        <f t="shared" si="74"/>
        <v>-970</v>
      </c>
      <c r="L1157">
        <f t="shared" si="75"/>
        <v>-970</v>
      </c>
    </row>
    <row r="1158" spans="1:12" x14ac:dyDescent="0.35">
      <c r="A1158">
        <v>1171</v>
      </c>
      <c r="B1158" t="s">
        <v>2458</v>
      </c>
      <c r="C1158" t="s">
        <v>10279</v>
      </c>
      <c r="D1158" t="s">
        <v>2459</v>
      </c>
      <c r="E1158" t="s">
        <v>1211</v>
      </c>
      <c r="F1158" t="s">
        <v>1419</v>
      </c>
      <c r="G1158" t="s">
        <v>112</v>
      </c>
      <c r="I1158" t="str">
        <f t="shared" si="72"/>
        <v>970</v>
      </c>
      <c r="J1158" t="str">
        <f t="shared" si="73"/>
        <v>BC</v>
      </c>
      <c r="K1158">
        <f t="shared" si="74"/>
        <v>-970</v>
      </c>
      <c r="L1158">
        <f t="shared" si="75"/>
        <v>-970</v>
      </c>
    </row>
    <row r="1159" spans="1:12" x14ac:dyDescent="0.35">
      <c r="A1159">
        <v>1172</v>
      </c>
      <c r="B1159" t="s">
        <v>2460</v>
      </c>
      <c r="C1159" t="s">
        <v>10280</v>
      </c>
      <c r="D1159" t="s">
        <v>2461</v>
      </c>
      <c r="E1159" t="s">
        <v>1211</v>
      </c>
      <c r="F1159" t="s">
        <v>1419</v>
      </c>
      <c r="G1159" t="s">
        <v>112</v>
      </c>
      <c r="I1159" t="str">
        <f t="shared" si="72"/>
        <v>970</v>
      </c>
      <c r="J1159" t="str">
        <f t="shared" si="73"/>
        <v>BC</v>
      </c>
      <c r="K1159">
        <f t="shared" si="74"/>
        <v>-970</v>
      </c>
      <c r="L1159">
        <f t="shared" si="75"/>
        <v>-970</v>
      </c>
    </row>
    <row r="1160" spans="1:12" x14ac:dyDescent="0.35">
      <c r="A1160">
        <v>1173</v>
      </c>
      <c r="B1160" t="s">
        <v>2462</v>
      </c>
      <c r="C1160" t="s">
        <v>11386</v>
      </c>
      <c r="D1160" t="s">
        <v>2463</v>
      </c>
      <c r="E1160" t="s">
        <v>1211</v>
      </c>
      <c r="F1160" t="s">
        <v>1419</v>
      </c>
      <c r="G1160" t="s">
        <v>1533</v>
      </c>
      <c r="I1160" t="str">
        <f t="shared" si="72"/>
        <v>970</v>
      </c>
      <c r="J1160" t="str">
        <f t="shared" si="73"/>
        <v>BC</v>
      </c>
      <c r="K1160">
        <f t="shared" si="74"/>
        <v>-970</v>
      </c>
      <c r="L1160">
        <f t="shared" si="75"/>
        <v>-970</v>
      </c>
    </row>
    <row r="1161" spans="1:12" x14ac:dyDescent="0.35">
      <c r="A1161">
        <v>1174</v>
      </c>
      <c r="B1161" t="s">
        <v>2464</v>
      </c>
      <c r="C1161" t="s">
        <v>10168</v>
      </c>
      <c r="D1161" t="s">
        <v>2465</v>
      </c>
      <c r="E1161" t="s">
        <v>1211</v>
      </c>
      <c r="F1161" t="s">
        <v>1419</v>
      </c>
      <c r="G1161" t="s">
        <v>12475</v>
      </c>
      <c r="I1161" t="str">
        <f t="shared" si="72"/>
        <v>970</v>
      </c>
      <c r="J1161" t="str">
        <f t="shared" si="73"/>
        <v>BC</v>
      </c>
      <c r="K1161">
        <f t="shared" si="74"/>
        <v>-970</v>
      </c>
      <c r="L1161">
        <f t="shared" si="75"/>
        <v>-970</v>
      </c>
    </row>
    <row r="1162" spans="1:12" x14ac:dyDescent="0.35">
      <c r="A1162">
        <v>1175</v>
      </c>
      <c r="B1162" t="s">
        <v>2466</v>
      </c>
      <c r="C1162" t="s">
        <v>10281</v>
      </c>
      <c r="D1162" t="s">
        <v>2467</v>
      </c>
      <c r="E1162" t="s">
        <v>1211</v>
      </c>
      <c r="F1162" t="s">
        <v>1419</v>
      </c>
      <c r="G1162" t="s">
        <v>112</v>
      </c>
      <c r="I1162" t="str">
        <f t="shared" si="72"/>
        <v>970</v>
      </c>
      <c r="J1162" t="str">
        <f t="shared" si="73"/>
        <v>BC</v>
      </c>
      <c r="K1162">
        <f t="shared" si="74"/>
        <v>-970</v>
      </c>
      <c r="L1162">
        <f t="shared" si="75"/>
        <v>-970</v>
      </c>
    </row>
    <row r="1163" spans="1:12" x14ac:dyDescent="0.35">
      <c r="A1163">
        <v>1176</v>
      </c>
      <c r="B1163" t="s">
        <v>2468</v>
      </c>
      <c r="C1163" t="s">
        <v>10282</v>
      </c>
      <c r="D1163" t="s">
        <v>2469</v>
      </c>
      <c r="E1163" t="s">
        <v>1211</v>
      </c>
      <c r="F1163" t="s">
        <v>1419</v>
      </c>
      <c r="G1163" t="s">
        <v>1533</v>
      </c>
      <c r="I1163" t="str">
        <f t="shared" si="72"/>
        <v>970</v>
      </c>
      <c r="J1163" t="str">
        <f t="shared" si="73"/>
        <v>BC</v>
      </c>
      <c r="K1163">
        <f t="shared" si="74"/>
        <v>-970</v>
      </c>
      <c r="L1163">
        <f t="shared" si="75"/>
        <v>-970</v>
      </c>
    </row>
    <row r="1164" spans="1:12" x14ac:dyDescent="0.35">
      <c r="A1164">
        <v>1177</v>
      </c>
      <c r="B1164" t="s">
        <v>2470</v>
      </c>
      <c r="C1164" t="s">
        <v>10059</v>
      </c>
      <c r="D1164" t="s">
        <v>2471</v>
      </c>
      <c r="E1164" t="s">
        <v>1211</v>
      </c>
      <c r="F1164" t="s">
        <v>1419</v>
      </c>
      <c r="G1164" t="s">
        <v>112</v>
      </c>
      <c r="I1164" t="str">
        <f t="shared" si="72"/>
        <v>970</v>
      </c>
      <c r="J1164" t="str">
        <f t="shared" si="73"/>
        <v>BC</v>
      </c>
      <c r="K1164">
        <f t="shared" si="74"/>
        <v>-970</v>
      </c>
      <c r="L1164">
        <f t="shared" si="75"/>
        <v>-970</v>
      </c>
    </row>
    <row r="1165" spans="1:12" x14ac:dyDescent="0.35">
      <c r="A1165">
        <v>1178</v>
      </c>
      <c r="B1165" t="s">
        <v>2472</v>
      </c>
      <c r="C1165" t="s">
        <v>11387</v>
      </c>
      <c r="D1165" t="s">
        <v>2473</v>
      </c>
      <c r="E1165" t="s">
        <v>1211</v>
      </c>
      <c r="F1165" t="s">
        <v>1419</v>
      </c>
      <c r="G1165" t="s">
        <v>112</v>
      </c>
      <c r="I1165" t="str">
        <f t="shared" si="72"/>
        <v>970</v>
      </c>
      <c r="J1165" t="str">
        <f t="shared" si="73"/>
        <v>BC</v>
      </c>
      <c r="K1165">
        <f t="shared" si="74"/>
        <v>-970</v>
      </c>
      <c r="L1165">
        <f t="shared" si="75"/>
        <v>-970</v>
      </c>
    </row>
    <row r="1166" spans="1:12" x14ac:dyDescent="0.35">
      <c r="A1166">
        <v>1179</v>
      </c>
      <c r="B1166" t="s">
        <v>2474</v>
      </c>
      <c r="C1166" t="s">
        <v>10283</v>
      </c>
      <c r="D1166" t="s">
        <v>2475</v>
      </c>
      <c r="E1166" t="s">
        <v>1211</v>
      </c>
      <c r="F1166" t="s">
        <v>1419</v>
      </c>
      <c r="G1166" t="s">
        <v>112</v>
      </c>
      <c r="I1166" t="str">
        <f t="shared" si="72"/>
        <v>970</v>
      </c>
      <c r="J1166" t="str">
        <f t="shared" si="73"/>
        <v>BC</v>
      </c>
      <c r="K1166">
        <f t="shared" si="74"/>
        <v>-970</v>
      </c>
      <c r="L1166">
        <f t="shared" si="75"/>
        <v>-970</v>
      </c>
    </row>
    <row r="1167" spans="1:12" x14ac:dyDescent="0.35">
      <c r="A1167">
        <v>1180</v>
      </c>
      <c r="B1167" t="s">
        <v>2476</v>
      </c>
      <c r="C1167" t="s">
        <v>11173</v>
      </c>
      <c r="D1167" t="s">
        <v>2477</v>
      </c>
      <c r="E1167" t="s">
        <v>1211</v>
      </c>
      <c r="F1167" t="s">
        <v>1419</v>
      </c>
      <c r="G1167" t="s">
        <v>1292</v>
      </c>
      <c r="I1167" t="str">
        <f t="shared" si="72"/>
        <v>970</v>
      </c>
      <c r="J1167" t="str">
        <f t="shared" si="73"/>
        <v>BC</v>
      </c>
      <c r="K1167">
        <f t="shared" si="74"/>
        <v>-970</v>
      </c>
      <c r="L1167">
        <f t="shared" si="75"/>
        <v>-970</v>
      </c>
    </row>
    <row r="1168" spans="1:12" x14ac:dyDescent="0.35">
      <c r="A1168">
        <v>1181</v>
      </c>
      <c r="B1168" t="s">
        <v>2478</v>
      </c>
      <c r="C1168" t="s">
        <v>11388</v>
      </c>
      <c r="D1168" t="s">
        <v>2479</v>
      </c>
      <c r="E1168" t="s">
        <v>1211</v>
      </c>
      <c r="F1168" t="s">
        <v>1419</v>
      </c>
      <c r="G1168" t="s">
        <v>112</v>
      </c>
      <c r="I1168" t="str">
        <f t="shared" si="72"/>
        <v>970</v>
      </c>
      <c r="J1168" t="str">
        <f t="shared" si="73"/>
        <v>BC</v>
      </c>
      <c r="K1168">
        <f t="shared" si="74"/>
        <v>-970</v>
      </c>
      <c r="L1168">
        <f t="shared" si="75"/>
        <v>-970</v>
      </c>
    </row>
    <row r="1169" spans="1:13" x14ac:dyDescent="0.35">
      <c r="A1169">
        <v>1182</v>
      </c>
      <c r="B1169" t="s">
        <v>2480</v>
      </c>
      <c r="C1169" t="s">
        <v>10284</v>
      </c>
      <c r="D1169" t="s">
        <v>2481</v>
      </c>
      <c r="E1169" t="s">
        <v>1211</v>
      </c>
      <c r="F1169" t="s">
        <v>1419</v>
      </c>
      <c r="G1169" t="s">
        <v>1292</v>
      </c>
      <c r="I1169" t="str">
        <f t="shared" si="72"/>
        <v>970</v>
      </c>
      <c r="J1169" t="str">
        <f t="shared" si="73"/>
        <v>BC</v>
      </c>
      <c r="K1169">
        <f t="shared" si="74"/>
        <v>-970</v>
      </c>
      <c r="L1169">
        <f t="shared" si="75"/>
        <v>-970</v>
      </c>
    </row>
    <row r="1170" spans="1:13" x14ac:dyDescent="0.35">
      <c r="A1170">
        <v>1183</v>
      </c>
      <c r="B1170" t="s">
        <v>2482</v>
      </c>
      <c r="C1170" t="s">
        <v>10387</v>
      </c>
      <c r="D1170" t="s">
        <v>2483</v>
      </c>
      <c r="E1170" t="s">
        <v>1211</v>
      </c>
      <c r="F1170" t="s">
        <v>1419</v>
      </c>
      <c r="G1170" t="s">
        <v>112</v>
      </c>
      <c r="I1170" t="str">
        <f t="shared" si="72"/>
        <v>970</v>
      </c>
      <c r="J1170" t="str">
        <f t="shared" si="73"/>
        <v>BC</v>
      </c>
      <c r="K1170">
        <f t="shared" si="74"/>
        <v>-970</v>
      </c>
      <c r="L1170">
        <f t="shared" si="75"/>
        <v>-970</v>
      </c>
    </row>
    <row r="1171" spans="1:13" x14ac:dyDescent="0.35">
      <c r="A1171">
        <v>1184</v>
      </c>
      <c r="B1171" t="s">
        <v>2484</v>
      </c>
      <c r="C1171" t="s">
        <v>11389</v>
      </c>
      <c r="D1171" t="s">
        <v>2485</v>
      </c>
      <c r="E1171" t="s">
        <v>1211</v>
      </c>
      <c r="F1171" t="s">
        <v>1419</v>
      </c>
      <c r="G1171" t="s">
        <v>112</v>
      </c>
      <c r="I1171" t="str">
        <f t="shared" si="72"/>
        <v>970</v>
      </c>
      <c r="J1171" t="str">
        <f t="shared" si="73"/>
        <v>BC</v>
      </c>
      <c r="K1171">
        <f t="shared" si="74"/>
        <v>-970</v>
      </c>
      <c r="L1171">
        <f t="shared" si="75"/>
        <v>-970</v>
      </c>
    </row>
    <row r="1172" spans="1:13" x14ac:dyDescent="0.35">
      <c r="A1172">
        <v>1185</v>
      </c>
      <c r="B1172" t="s">
        <v>2486</v>
      </c>
      <c r="C1172" t="s">
        <v>11390</v>
      </c>
      <c r="D1172" t="s">
        <v>2487</v>
      </c>
      <c r="E1172" t="s">
        <v>1211</v>
      </c>
      <c r="F1172" t="s">
        <v>1419</v>
      </c>
      <c r="G1172" t="s">
        <v>112</v>
      </c>
      <c r="I1172" t="str">
        <f t="shared" si="72"/>
        <v>970</v>
      </c>
      <c r="J1172" t="str">
        <f t="shared" si="73"/>
        <v>BC</v>
      </c>
      <c r="K1172">
        <f t="shared" si="74"/>
        <v>-970</v>
      </c>
      <c r="L1172">
        <f t="shared" si="75"/>
        <v>-970</v>
      </c>
    </row>
    <row r="1173" spans="1:13" x14ac:dyDescent="0.35">
      <c r="A1173">
        <v>1186</v>
      </c>
      <c r="B1173" t="s">
        <v>2488</v>
      </c>
      <c r="C1173" t="s">
        <v>10285</v>
      </c>
      <c r="D1173" t="s">
        <v>2489</v>
      </c>
      <c r="E1173" t="s">
        <v>1211</v>
      </c>
      <c r="F1173" t="s">
        <v>1419</v>
      </c>
      <c r="G1173" t="s">
        <v>112</v>
      </c>
      <c r="I1173" t="str">
        <f t="shared" si="72"/>
        <v>970</v>
      </c>
      <c r="J1173" t="str">
        <f t="shared" si="73"/>
        <v>BC</v>
      </c>
      <c r="K1173">
        <f t="shared" si="74"/>
        <v>-970</v>
      </c>
      <c r="L1173">
        <f t="shared" si="75"/>
        <v>-970</v>
      </c>
    </row>
    <row r="1174" spans="1:13" x14ac:dyDescent="0.35">
      <c r="A1174">
        <v>1187</v>
      </c>
      <c r="B1174" t="s">
        <v>2490</v>
      </c>
      <c r="C1174" t="s">
        <v>10286</v>
      </c>
      <c r="D1174" t="s">
        <v>2491</v>
      </c>
      <c r="E1174" t="s">
        <v>2337</v>
      </c>
      <c r="F1174" t="s">
        <v>1419</v>
      </c>
      <c r="G1174" t="s">
        <v>112</v>
      </c>
      <c r="I1174" t="str">
        <f t="shared" si="72"/>
        <v>970</v>
      </c>
      <c r="J1174" t="str">
        <f t="shared" si="73"/>
        <v>BC</v>
      </c>
      <c r="K1174">
        <f t="shared" si="74"/>
        <v>-970</v>
      </c>
      <c r="L1174">
        <f t="shared" si="75"/>
        <v>-970</v>
      </c>
    </row>
    <row r="1175" spans="1:13" x14ac:dyDescent="0.35">
      <c r="A1175">
        <v>1188</v>
      </c>
      <c r="B1175" t="s">
        <v>2492</v>
      </c>
      <c r="C1175" t="s">
        <v>10287</v>
      </c>
      <c r="D1175" t="s">
        <v>2491</v>
      </c>
      <c r="E1175" t="s">
        <v>2337</v>
      </c>
      <c r="F1175" t="s">
        <v>1419</v>
      </c>
      <c r="G1175" t="s">
        <v>112</v>
      </c>
      <c r="I1175" t="str">
        <f t="shared" si="72"/>
        <v>970</v>
      </c>
      <c r="J1175" t="str">
        <f t="shared" si="73"/>
        <v>BC</v>
      </c>
      <c r="K1175">
        <f t="shared" si="74"/>
        <v>-970</v>
      </c>
      <c r="L1175">
        <f t="shared" si="75"/>
        <v>-970</v>
      </c>
    </row>
    <row r="1176" spans="1:13" x14ac:dyDescent="0.35">
      <c r="A1176">
        <v>1189</v>
      </c>
      <c r="B1176" t="s">
        <v>1546</v>
      </c>
      <c r="C1176" t="s">
        <v>11292</v>
      </c>
      <c r="D1176" t="s">
        <v>2557</v>
      </c>
      <c r="E1176" t="s">
        <v>938</v>
      </c>
      <c r="F1176" t="s">
        <v>1434</v>
      </c>
      <c r="G1176" t="s">
        <v>112</v>
      </c>
      <c r="I1176" t="str">
        <f t="shared" si="72"/>
        <v>969</v>
      </c>
      <c r="J1176" t="str">
        <f t="shared" si="73"/>
        <v>BC</v>
      </c>
      <c r="K1176">
        <f t="shared" si="74"/>
        <v>-969</v>
      </c>
      <c r="L1176">
        <f t="shared" si="75"/>
        <v>-969</v>
      </c>
    </row>
    <row r="1177" spans="1:13" x14ac:dyDescent="0.35">
      <c r="A1177">
        <v>1190</v>
      </c>
      <c r="B1177" t="s">
        <v>2558</v>
      </c>
      <c r="C1177" t="s">
        <v>10054</v>
      </c>
      <c r="D1177" t="s">
        <v>2559</v>
      </c>
      <c r="E1177" t="s">
        <v>938</v>
      </c>
      <c r="F1177" t="s">
        <v>1434</v>
      </c>
      <c r="G1177" t="s">
        <v>1626</v>
      </c>
      <c r="I1177" t="str">
        <f t="shared" si="72"/>
        <v>969</v>
      </c>
      <c r="J1177" t="str">
        <f t="shared" si="73"/>
        <v>BC</v>
      </c>
      <c r="K1177">
        <f t="shared" si="74"/>
        <v>-969</v>
      </c>
      <c r="L1177">
        <f t="shared" si="75"/>
        <v>-969</v>
      </c>
    </row>
    <row r="1178" spans="1:13" x14ac:dyDescent="0.35">
      <c r="A1178">
        <v>1191</v>
      </c>
      <c r="B1178" t="s">
        <v>1550</v>
      </c>
      <c r="C1178" t="s">
        <v>11293</v>
      </c>
      <c r="D1178" t="s">
        <v>2560</v>
      </c>
      <c r="E1178" t="s">
        <v>938</v>
      </c>
      <c r="F1178" t="s">
        <v>1434</v>
      </c>
      <c r="G1178" t="s">
        <v>112</v>
      </c>
      <c r="I1178" t="str">
        <f t="shared" si="72"/>
        <v>969</v>
      </c>
      <c r="J1178" t="str">
        <f t="shared" si="73"/>
        <v>BC</v>
      </c>
      <c r="K1178">
        <f t="shared" si="74"/>
        <v>-969</v>
      </c>
      <c r="L1178">
        <f t="shared" si="75"/>
        <v>-969</v>
      </c>
    </row>
    <row r="1179" spans="1:13" x14ac:dyDescent="0.35">
      <c r="A1179">
        <v>1192</v>
      </c>
      <c r="B1179" t="s">
        <v>1621</v>
      </c>
      <c r="C1179" t="s">
        <v>10181</v>
      </c>
      <c r="D1179" t="s">
        <v>2561</v>
      </c>
      <c r="E1179" t="s">
        <v>2337</v>
      </c>
      <c r="F1179" t="s">
        <v>1560</v>
      </c>
      <c r="G1179" t="s">
        <v>112</v>
      </c>
      <c r="I1179" t="str">
        <f t="shared" si="72"/>
        <v>969-930</v>
      </c>
      <c r="J1179" t="str">
        <f t="shared" si="73"/>
        <v>BC</v>
      </c>
      <c r="K1179">
        <f t="shared" si="74"/>
        <v>-969</v>
      </c>
      <c r="L1179">
        <f t="shared" si="75"/>
        <v>-930</v>
      </c>
    </row>
    <row r="1180" spans="1:13" x14ac:dyDescent="0.35">
      <c r="A1180">
        <v>1193</v>
      </c>
      <c r="B1180" t="s">
        <v>2562</v>
      </c>
      <c r="C1180" t="s">
        <v>10288</v>
      </c>
      <c r="D1180" t="s">
        <v>2563</v>
      </c>
      <c r="E1180" t="s">
        <v>1211</v>
      </c>
      <c r="F1180" t="s">
        <v>1586</v>
      </c>
      <c r="G1180" t="s">
        <v>112</v>
      </c>
      <c r="I1180" t="str">
        <f t="shared" si="72"/>
        <v>959</v>
      </c>
      <c r="J1180" t="str">
        <f t="shared" si="73"/>
        <v>BC</v>
      </c>
      <c r="K1180">
        <f t="shared" si="74"/>
        <v>-959</v>
      </c>
      <c r="L1180">
        <f t="shared" si="75"/>
        <v>-959</v>
      </c>
      <c r="M1180" s="6"/>
    </row>
    <row r="1181" spans="1:13" x14ac:dyDescent="0.35">
      <c r="A1181">
        <v>1194</v>
      </c>
      <c r="B1181" t="s">
        <v>2564</v>
      </c>
      <c r="C1181" t="s">
        <v>10175</v>
      </c>
      <c r="D1181" t="s">
        <v>2565</v>
      </c>
      <c r="E1181" t="s">
        <v>2283</v>
      </c>
      <c r="F1181" t="s">
        <v>1586</v>
      </c>
      <c r="G1181" t="s">
        <v>112</v>
      </c>
      <c r="I1181" t="str">
        <f t="shared" si="72"/>
        <v>959</v>
      </c>
      <c r="J1181" t="str">
        <f t="shared" si="73"/>
        <v>BC</v>
      </c>
      <c r="K1181">
        <f t="shared" si="74"/>
        <v>-959</v>
      </c>
      <c r="L1181">
        <f t="shared" si="75"/>
        <v>-959</v>
      </c>
    </row>
    <row r="1182" spans="1:13" x14ac:dyDescent="0.35">
      <c r="A1182">
        <v>1195</v>
      </c>
      <c r="B1182" t="s">
        <v>1590</v>
      </c>
      <c r="C1182" t="s">
        <v>10289</v>
      </c>
      <c r="D1182" t="s">
        <v>2566</v>
      </c>
      <c r="E1182" t="s">
        <v>2283</v>
      </c>
      <c r="F1182" t="s">
        <v>1586</v>
      </c>
      <c r="G1182" t="s">
        <v>112</v>
      </c>
      <c r="I1182" t="str">
        <f t="shared" si="72"/>
        <v>959</v>
      </c>
      <c r="J1182" t="str">
        <f t="shared" si="73"/>
        <v>BC</v>
      </c>
      <c r="K1182">
        <f t="shared" si="74"/>
        <v>-959</v>
      </c>
      <c r="L1182">
        <f t="shared" si="75"/>
        <v>-959</v>
      </c>
    </row>
    <row r="1183" spans="1:13" x14ac:dyDescent="0.35">
      <c r="A1183">
        <v>1196</v>
      </c>
      <c r="B1183" t="s">
        <v>2567</v>
      </c>
      <c r="C1183" t="s">
        <v>10176</v>
      </c>
      <c r="D1183" t="s">
        <v>2566</v>
      </c>
      <c r="E1183" t="s">
        <v>2283</v>
      </c>
      <c r="F1183" t="s">
        <v>1586</v>
      </c>
      <c r="G1183" t="s">
        <v>112</v>
      </c>
      <c r="I1183" t="str">
        <f t="shared" si="72"/>
        <v>959</v>
      </c>
      <c r="J1183" t="str">
        <f t="shared" si="73"/>
        <v>BC</v>
      </c>
      <c r="K1183">
        <f t="shared" si="74"/>
        <v>-959</v>
      </c>
      <c r="L1183">
        <f t="shared" si="75"/>
        <v>-959</v>
      </c>
    </row>
    <row r="1184" spans="1:13" x14ac:dyDescent="0.35">
      <c r="A1184">
        <v>1197</v>
      </c>
      <c r="B1184" t="s">
        <v>2432</v>
      </c>
      <c r="C1184" t="s">
        <v>10178</v>
      </c>
      <c r="D1184" t="s">
        <v>2568</v>
      </c>
      <c r="E1184" t="s">
        <v>2283</v>
      </c>
      <c r="F1184" t="s">
        <v>1586</v>
      </c>
      <c r="G1184" t="s">
        <v>112</v>
      </c>
      <c r="I1184" t="str">
        <f t="shared" si="72"/>
        <v>959</v>
      </c>
      <c r="J1184" t="str">
        <f t="shared" si="73"/>
        <v>BC</v>
      </c>
      <c r="K1184">
        <f t="shared" si="74"/>
        <v>-959</v>
      </c>
      <c r="L1184">
        <f t="shared" si="75"/>
        <v>-959</v>
      </c>
    </row>
    <row r="1185" spans="1:12" x14ac:dyDescent="0.35">
      <c r="A1185">
        <v>1198</v>
      </c>
      <c r="B1185" t="s">
        <v>1598</v>
      </c>
      <c r="C1185" t="s">
        <v>10767</v>
      </c>
      <c r="D1185" t="s">
        <v>2568</v>
      </c>
      <c r="E1185" t="s">
        <v>2283</v>
      </c>
      <c r="F1185" t="s">
        <v>1586</v>
      </c>
      <c r="G1185" t="s">
        <v>112</v>
      </c>
      <c r="I1185" t="str">
        <f t="shared" si="72"/>
        <v>959</v>
      </c>
      <c r="J1185" t="str">
        <f t="shared" si="73"/>
        <v>BC</v>
      </c>
      <c r="K1185">
        <f t="shared" si="74"/>
        <v>-959</v>
      </c>
      <c r="L1185">
        <f t="shared" si="75"/>
        <v>-959</v>
      </c>
    </row>
    <row r="1186" spans="1:12" x14ac:dyDescent="0.35">
      <c r="A1186">
        <v>1199</v>
      </c>
      <c r="B1186" t="s">
        <v>2569</v>
      </c>
      <c r="C1186" t="s">
        <v>10175</v>
      </c>
      <c r="D1186" t="s">
        <v>2570</v>
      </c>
      <c r="E1186" t="s">
        <v>2283</v>
      </c>
      <c r="F1186" t="s">
        <v>1586</v>
      </c>
      <c r="G1186" t="s">
        <v>112</v>
      </c>
      <c r="I1186" t="str">
        <f t="shared" si="72"/>
        <v>959</v>
      </c>
      <c r="J1186" t="str">
        <f t="shared" si="73"/>
        <v>BC</v>
      </c>
      <c r="K1186">
        <f t="shared" si="74"/>
        <v>-959</v>
      </c>
      <c r="L1186">
        <f t="shared" si="75"/>
        <v>-959</v>
      </c>
    </row>
    <row r="1187" spans="1:12" x14ac:dyDescent="0.35">
      <c r="A1187">
        <v>1200</v>
      </c>
      <c r="B1187" t="s">
        <v>2571</v>
      </c>
      <c r="C1187" t="s">
        <v>10176</v>
      </c>
      <c r="D1187" t="s">
        <v>2572</v>
      </c>
      <c r="E1187" t="s">
        <v>2283</v>
      </c>
      <c r="F1187" t="s">
        <v>1586</v>
      </c>
      <c r="G1187" t="s">
        <v>112</v>
      </c>
      <c r="I1187" t="str">
        <f t="shared" si="72"/>
        <v>959</v>
      </c>
      <c r="J1187" t="str">
        <f t="shared" si="73"/>
        <v>BC</v>
      </c>
      <c r="K1187">
        <f t="shared" si="74"/>
        <v>-959</v>
      </c>
      <c r="L1187">
        <f t="shared" si="75"/>
        <v>-959</v>
      </c>
    </row>
    <row r="1188" spans="1:12" x14ac:dyDescent="0.35">
      <c r="A1188">
        <v>1201</v>
      </c>
      <c r="B1188" t="s">
        <v>2573</v>
      </c>
      <c r="C1188" t="s">
        <v>10290</v>
      </c>
      <c r="D1188" t="s">
        <v>2574</v>
      </c>
      <c r="E1188" t="s">
        <v>2283</v>
      </c>
      <c r="F1188" t="s">
        <v>1586</v>
      </c>
      <c r="G1188" t="s">
        <v>112</v>
      </c>
      <c r="I1188" t="str">
        <f t="shared" si="72"/>
        <v>959</v>
      </c>
      <c r="J1188" t="str">
        <f t="shared" si="73"/>
        <v>BC</v>
      </c>
      <c r="K1188">
        <f t="shared" si="74"/>
        <v>-959</v>
      </c>
      <c r="L1188">
        <f t="shared" si="75"/>
        <v>-959</v>
      </c>
    </row>
    <row r="1189" spans="1:12" x14ac:dyDescent="0.35">
      <c r="A1189">
        <v>1202</v>
      </c>
      <c r="B1189" t="s">
        <v>2575</v>
      </c>
      <c r="C1189" t="s">
        <v>10056</v>
      </c>
      <c r="D1189" t="s">
        <v>2574</v>
      </c>
      <c r="E1189" t="s">
        <v>2283</v>
      </c>
      <c r="F1189" t="s">
        <v>1586</v>
      </c>
      <c r="G1189" t="s">
        <v>12533</v>
      </c>
      <c r="I1189" t="str">
        <f t="shared" si="72"/>
        <v>959</v>
      </c>
      <c r="J1189" t="str">
        <f t="shared" si="73"/>
        <v>BC</v>
      </c>
      <c r="K1189">
        <f t="shared" si="74"/>
        <v>-959</v>
      </c>
      <c r="L1189">
        <f t="shared" si="75"/>
        <v>-959</v>
      </c>
    </row>
    <row r="1190" spans="1:12" x14ac:dyDescent="0.35">
      <c r="A1190">
        <v>1203</v>
      </c>
      <c r="B1190" t="s">
        <v>2576</v>
      </c>
      <c r="C1190" t="s">
        <v>11187</v>
      </c>
      <c r="D1190" t="s">
        <v>2577</v>
      </c>
      <c r="E1190" t="s">
        <v>1211</v>
      </c>
      <c r="F1190" t="s">
        <v>1604</v>
      </c>
      <c r="G1190" t="s">
        <v>112</v>
      </c>
      <c r="I1190" t="str">
        <f t="shared" si="72"/>
        <v>958</v>
      </c>
      <c r="J1190" t="str">
        <f t="shared" si="73"/>
        <v>BC</v>
      </c>
      <c r="K1190">
        <f t="shared" si="74"/>
        <v>-958</v>
      </c>
      <c r="L1190">
        <f t="shared" si="75"/>
        <v>-958</v>
      </c>
    </row>
    <row r="1191" spans="1:12" x14ac:dyDescent="0.35">
      <c r="A1191">
        <v>1204</v>
      </c>
      <c r="B1191" t="s">
        <v>2578</v>
      </c>
      <c r="C1191" t="s">
        <v>11300</v>
      </c>
      <c r="D1191" t="s">
        <v>2577</v>
      </c>
      <c r="E1191" t="s">
        <v>1211</v>
      </c>
      <c r="F1191" t="s">
        <v>1604</v>
      </c>
      <c r="G1191" t="s">
        <v>112</v>
      </c>
      <c r="I1191" t="str">
        <f t="shared" si="72"/>
        <v>958</v>
      </c>
      <c r="J1191" t="str">
        <f t="shared" si="73"/>
        <v>BC</v>
      </c>
      <c r="K1191">
        <f t="shared" si="74"/>
        <v>-958</v>
      </c>
      <c r="L1191">
        <f t="shared" si="75"/>
        <v>-958</v>
      </c>
    </row>
    <row r="1192" spans="1:12" x14ac:dyDescent="0.35">
      <c r="A1192">
        <v>1205</v>
      </c>
      <c r="B1192" t="s">
        <v>2579</v>
      </c>
      <c r="C1192" t="s">
        <v>11391</v>
      </c>
      <c r="D1192" t="s">
        <v>2577</v>
      </c>
      <c r="E1192" t="s">
        <v>2283</v>
      </c>
      <c r="F1192" t="s">
        <v>1604</v>
      </c>
      <c r="G1192" t="s">
        <v>112</v>
      </c>
      <c r="I1192" t="str">
        <f t="shared" si="72"/>
        <v>958</v>
      </c>
      <c r="J1192" t="str">
        <f t="shared" si="73"/>
        <v>BC</v>
      </c>
      <c r="K1192">
        <f t="shared" si="74"/>
        <v>-958</v>
      </c>
      <c r="L1192">
        <f t="shared" si="75"/>
        <v>-958</v>
      </c>
    </row>
    <row r="1193" spans="1:12" x14ac:dyDescent="0.35">
      <c r="A1193">
        <v>1206</v>
      </c>
      <c r="B1193" t="s">
        <v>2580</v>
      </c>
      <c r="C1193" t="s">
        <v>10139</v>
      </c>
      <c r="D1193" t="s">
        <v>2581</v>
      </c>
      <c r="E1193" t="s">
        <v>2283</v>
      </c>
      <c r="F1193" t="s">
        <v>1604</v>
      </c>
      <c r="G1193" t="s">
        <v>112</v>
      </c>
      <c r="I1193" t="str">
        <f t="shared" si="72"/>
        <v>958</v>
      </c>
      <c r="J1193" t="str">
        <f t="shared" si="73"/>
        <v>BC</v>
      </c>
      <c r="K1193">
        <f t="shared" si="74"/>
        <v>-958</v>
      </c>
      <c r="L1193">
        <f t="shared" si="75"/>
        <v>-958</v>
      </c>
    </row>
    <row r="1194" spans="1:12" x14ac:dyDescent="0.35">
      <c r="A1194">
        <v>1207</v>
      </c>
      <c r="B1194" t="s">
        <v>2582</v>
      </c>
      <c r="C1194" t="s">
        <v>10139</v>
      </c>
      <c r="D1194" t="s">
        <v>2583</v>
      </c>
      <c r="E1194" t="s">
        <v>1211</v>
      </c>
      <c r="F1194" t="s">
        <v>1604</v>
      </c>
      <c r="G1194" t="s">
        <v>112</v>
      </c>
      <c r="I1194" t="str">
        <f t="shared" si="72"/>
        <v>958</v>
      </c>
      <c r="J1194" t="str">
        <f t="shared" si="73"/>
        <v>BC</v>
      </c>
      <c r="K1194">
        <f t="shared" si="74"/>
        <v>-958</v>
      </c>
      <c r="L1194">
        <f t="shared" si="75"/>
        <v>-958</v>
      </c>
    </row>
    <row r="1195" spans="1:12" x14ac:dyDescent="0.35">
      <c r="A1195">
        <v>1208</v>
      </c>
      <c r="B1195" t="s">
        <v>2584</v>
      </c>
      <c r="C1195" t="s">
        <v>11174</v>
      </c>
      <c r="D1195" t="s">
        <v>2585</v>
      </c>
      <c r="E1195" t="s">
        <v>1211</v>
      </c>
      <c r="F1195" t="s">
        <v>1604</v>
      </c>
      <c r="G1195" t="s">
        <v>112</v>
      </c>
      <c r="I1195" t="str">
        <f t="shared" si="72"/>
        <v>958</v>
      </c>
      <c r="J1195" t="str">
        <f t="shared" si="73"/>
        <v>BC</v>
      </c>
      <c r="K1195">
        <f t="shared" si="74"/>
        <v>-958</v>
      </c>
      <c r="L1195">
        <f t="shared" si="75"/>
        <v>-958</v>
      </c>
    </row>
    <row r="1196" spans="1:12" x14ac:dyDescent="0.35">
      <c r="A1196">
        <v>1209</v>
      </c>
      <c r="B1196" t="s">
        <v>2586</v>
      </c>
      <c r="C1196" t="s">
        <v>11251</v>
      </c>
      <c r="D1196" t="s">
        <v>2587</v>
      </c>
      <c r="E1196" t="s">
        <v>1211</v>
      </c>
      <c r="F1196" t="s">
        <v>1614</v>
      </c>
      <c r="G1196" t="s">
        <v>1620</v>
      </c>
      <c r="I1196" t="str">
        <f t="shared" si="72"/>
        <v>950</v>
      </c>
      <c r="J1196" t="str">
        <f t="shared" si="73"/>
        <v>BC</v>
      </c>
      <c r="K1196">
        <f t="shared" si="74"/>
        <v>-950</v>
      </c>
      <c r="L1196">
        <f t="shared" si="75"/>
        <v>-950</v>
      </c>
    </row>
    <row r="1197" spans="1:12" x14ac:dyDescent="0.35">
      <c r="A1197">
        <v>1210</v>
      </c>
      <c r="B1197" t="s">
        <v>1618</v>
      </c>
      <c r="C1197" t="s">
        <v>10291</v>
      </c>
      <c r="D1197" t="s">
        <v>2587</v>
      </c>
      <c r="E1197" t="s">
        <v>1211</v>
      </c>
      <c r="F1197" t="s">
        <v>1614</v>
      </c>
      <c r="G1197" t="s">
        <v>1615</v>
      </c>
      <c r="I1197" t="str">
        <f t="shared" si="72"/>
        <v>950</v>
      </c>
      <c r="J1197" t="str">
        <f t="shared" si="73"/>
        <v>BC</v>
      </c>
      <c r="K1197">
        <f t="shared" si="74"/>
        <v>-950</v>
      </c>
      <c r="L1197">
        <f t="shared" si="75"/>
        <v>-950</v>
      </c>
    </row>
    <row r="1198" spans="1:12" x14ac:dyDescent="0.35">
      <c r="A1198">
        <v>1211</v>
      </c>
      <c r="B1198" t="s">
        <v>2588</v>
      </c>
      <c r="C1198" t="s">
        <v>10292</v>
      </c>
      <c r="D1198" t="s">
        <v>2589</v>
      </c>
      <c r="E1198" t="s">
        <v>1112</v>
      </c>
      <c r="F1198" t="s">
        <v>1625</v>
      </c>
      <c r="G1198" t="s">
        <v>112</v>
      </c>
      <c r="I1198" t="str">
        <f t="shared" si="72"/>
        <v>940-930</v>
      </c>
      <c r="J1198" t="str">
        <f t="shared" si="73"/>
        <v>BC</v>
      </c>
      <c r="K1198">
        <f t="shared" si="74"/>
        <v>-940</v>
      </c>
      <c r="L1198">
        <f t="shared" si="75"/>
        <v>-930</v>
      </c>
    </row>
    <row r="1199" spans="1:12" x14ac:dyDescent="0.35">
      <c r="A1199">
        <v>1212</v>
      </c>
      <c r="B1199" t="s">
        <v>2590</v>
      </c>
      <c r="C1199" t="s">
        <v>11392</v>
      </c>
      <c r="D1199" t="s">
        <v>2591</v>
      </c>
      <c r="E1199" t="s">
        <v>1644</v>
      </c>
      <c r="F1199" t="s">
        <v>1629</v>
      </c>
      <c r="G1199" t="s">
        <v>1648</v>
      </c>
      <c r="I1199" t="str">
        <f t="shared" si="72"/>
        <v>935</v>
      </c>
      <c r="J1199" t="str">
        <f t="shared" si="73"/>
        <v>BC</v>
      </c>
      <c r="K1199">
        <f t="shared" si="74"/>
        <v>-935</v>
      </c>
      <c r="L1199">
        <f t="shared" si="75"/>
        <v>-935</v>
      </c>
    </row>
    <row r="1200" spans="1:12" x14ac:dyDescent="0.35">
      <c r="A1200">
        <v>1213</v>
      </c>
      <c r="B1200" t="s">
        <v>2592</v>
      </c>
      <c r="C1200" t="s">
        <v>10184</v>
      </c>
      <c r="D1200" t="s">
        <v>2591</v>
      </c>
      <c r="E1200" t="s">
        <v>183</v>
      </c>
      <c r="F1200" t="s">
        <v>1661</v>
      </c>
      <c r="G1200" t="s">
        <v>112</v>
      </c>
      <c r="I1200" t="str">
        <f t="shared" si="72"/>
        <v>930</v>
      </c>
      <c r="J1200" t="str">
        <f t="shared" si="73"/>
        <v>BC</v>
      </c>
      <c r="K1200">
        <f t="shared" si="74"/>
        <v>-930</v>
      </c>
      <c r="L1200">
        <f t="shared" si="75"/>
        <v>-930</v>
      </c>
    </row>
    <row r="1201" spans="1:12" x14ac:dyDescent="0.35">
      <c r="A1201">
        <v>1214</v>
      </c>
      <c r="B1201" t="s">
        <v>2593</v>
      </c>
      <c r="C1201" t="s">
        <v>11201</v>
      </c>
      <c r="D1201" t="s">
        <v>2594</v>
      </c>
      <c r="E1201" t="s">
        <v>1211</v>
      </c>
      <c r="F1201" t="s">
        <v>1661</v>
      </c>
      <c r="G1201" t="s">
        <v>1673</v>
      </c>
      <c r="I1201" t="str">
        <f t="shared" si="72"/>
        <v>930</v>
      </c>
      <c r="J1201" t="str">
        <f t="shared" si="73"/>
        <v>BC</v>
      </c>
      <c r="K1201">
        <f t="shared" si="74"/>
        <v>-930</v>
      </c>
      <c r="L1201">
        <f t="shared" si="75"/>
        <v>-930</v>
      </c>
    </row>
    <row r="1202" spans="1:12" x14ac:dyDescent="0.35">
      <c r="A1202">
        <v>1215</v>
      </c>
      <c r="B1202" t="s">
        <v>2595</v>
      </c>
      <c r="C1202" t="s">
        <v>11307</v>
      </c>
      <c r="D1202" t="s">
        <v>2594</v>
      </c>
      <c r="E1202" t="s">
        <v>1211</v>
      </c>
      <c r="F1202" t="s">
        <v>1661</v>
      </c>
      <c r="G1202" t="s">
        <v>1673</v>
      </c>
      <c r="I1202" t="str">
        <f t="shared" si="72"/>
        <v>930</v>
      </c>
      <c r="J1202" t="str">
        <f t="shared" si="73"/>
        <v>BC</v>
      </c>
      <c r="K1202">
        <f t="shared" si="74"/>
        <v>-930</v>
      </c>
      <c r="L1202">
        <f t="shared" si="75"/>
        <v>-930</v>
      </c>
    </row>
    <row r="1203" spans="1:12" x14ac:dyDescent="0.35">
      <c r="A1203">
        <v>1216</v>
      </c>
      <c r="B1203" t="s">
        <v>2596</v>
      </c>
      <c r="C1203" t="s">
        <v>10185</v>
      </c>
      <c r="D1203" t="s">
        <v>2597</v>
      </c>
      <c r="E1203" t="s">
        <v>1211</v>
      </c>
      <c r="F1203" t="s">
        <v>1661</v>
      </c>
      <c r="G1203" t="s">
        <v>12536</v>
      </c>
      <c r="I1203" t="str">
        <f t="shared" si="72"/>
        <v>930</v>
      </c>
      <c r="J1203" t="str">
        <f t="shared" si="73"/>
        <v>BC</v>
      </c>
      <c r="K1203">
        <f t="shared" si="74"/>
        <v>-930</v>
      </c>
      <c r="L1203">
        <f t="shared" si="75"/>
        <v>-930</v>
      </c>
    </row>
    <row r="1204" spans="1:12" x14ac:dyDescent="0.35">
      <c r="A1204">
        <v>1217</v>
      </c>
      <c r="B1204" t="s">
        <v>2598</v>
      </c>
      <c r="C1204" t="s">
        <v>11393</v>
      </c>
      <c r="D1204" t="s">
        <v>2599</v>
      </c>
      <c r="E1204" t="s">
        <v>1750</v>
      </c>
      <c r="F1204" t="s">
        <v>2600</v>
      </c>
      <c r="G1204" t="s">
        <v>112</v>
      </c>
      <c r="I1204" t="str">
        <f t="shared" ref="I1204:I1267" si="76">SUBSTITUTE(SUBSTITUTE(SUBSTITUTE(F1204,"c. ","")," BC","")," AD","")</f>
        <v>930-925</v>
      </c>
      <c r="J1204" t="str">
        <f t="shared" si="73"/>
        <v>BC</v>
      </c>
      <c r="K1204">
        <f t="shared" si="74"/>
        <v>-930</v>
      </c>
      <c r="L1204">
        <f t="shared" si="75"/>
        <v>-925</v>
      </c>
    </row>
    <row r="1205" spans="1:12" x14ac:dyDescent="0.35">
      <c r="A1205">
        <v>1218</v>
      </c>
      <c r="B1205" t="s">
        <v>2601</v>
      </c>
      <c r="C1205" t="s">
        <v>11394</v>
      </c>
      <c r="D1205" t="s">
        <v>2602</v>
      </c>
      <c r="E1205" t="s">
        <v>2603</v>
      </c>
      <c r="F1205" t="s">
        <v>1733</v>
      </c>
      <c r="G1205" t="s">
        <v>12476</v>
      </c>
      <c r="I1205" t="str">
        <f t="shared" si="76"/>
        <v>925</v>
      </c>
      <c r="J1205" t="str">
        <f t="shared" si="73"/>
        <v>BC</v>
      </c>
      <c r="K1205">
        <f t="shared" si="74"/>
        <v>-925</v>
      </c>
      <c r="L1205">
        <f t="shared" si="75"/>
        <v>-925</v>
      </c>
    </row>
    <row r="1206" spans="1:12" x14ac:dyDescent="0.35">
      <c r="A1206">
        <v>1219</v>
      </c>
      <c r="B1206" t="s">
        <v>2604</v>
      </c>
      <c r="C1206" t="s">
        <v>10182</v>
      </c>
      <c r="D1206" t="s">
        <v>2605</v>
      </c>
      <c r="E1206" t="s">
        <v>1211</v>
      </c>
      <c r="F1206" t="s">
        <v>1733</v>
      </c>
      <c r="G1206" t="s">
        <v>1673</v>
      </c>
      <c r="I1206" t="str">
        <f t="shared" si="76"/>
        <v>925</v>
      </c>
      <c r="J1206" t="str">
        <f t="shared" si="73"/>
        <v>BC</v>
      </c>
      <c r="K1206">
        <f t="shared" si="74"/>
        <v>-925</v>
      </c>
      <c r="L1206">
        <f t="shared" si="75"/>
        <v>-925</v>
      </c>
    </row>
    <row r="1207" spans="1:12" x14ac:dyDescent="0.35">
      <c r="A1207">
        <v>1220</v>
      </c>
      <c r="B1207" t="s">
        <v>2606</v>
      </c>
      <c r="C1207" t="s">
        <v>10293</v>
      </c>
      <c r="D1207" t="s">
        <v>2607</v>
      </c>
      <c r="E1207" t="s">
        <v>1211</v>
      </c>
      <c r="F1207" t="s">
        <v>1733</v>
      </c>
      <c r="G1207" t="s">
        <v>12537</v>
      </c>
      <c r="I1207" t="str">
        <f t="shared" si="76"/>
        <v>925</v>
      </c>
      <c r="J1207" t="str">
        <f t="shared" si="73"/>
        <v>BC</v>
      </c>
      <c r="K1207">
        <f t="shared" si="74"/>
        <v>-925</v>
      </c>
      <c r="L1207">
        <f t="shared" si="75"/>
        <v>-925</v>
      </c>
    </row>
    <row r="1208" spans="1:12" x14ac:dyDescent="0.35">
      <c r="A1208">
        <v>1221</v>
      </c>
      <c r="B1208" t="s">
        <v>2608</v>
      </c>
      <c r="C1208" t="s">
        <v>10053</v>
      </c>
      <c r="D1208" t="s">
        <v>2609</v>
      </c>
      <c r="E1208" t="s">
        <v>1211</v>
      </c>
      <c r="F1208" t="s">
        <v>1733</v>
      </c>
      <c r="G1208" t="s">
        <v>112</v>
      </c>
      <c r="I1208" t="str">
        <f t="shared" si="76"/>
        <v>925</v>
      </c>
      <c r="J1208" t="str">
        <f t="shared" si="73"/>
        <v>BC</v>
      </c>
      <c r="K1208">
        <f t="shared" si="74"/>
        <v>-925</v>
      </c>
      <c r="L1208">
        <f t="shared" si="75"/>
        <v>-925</v>
      </c>
    </row>
    <row r="1209" spans="1:12" x14ac:dyDescent="0.35">
      <c r="A1209">
        <v>1222</v>
      </c>
      <c r="B1209" t="s">
        <v>2610</v>
      </c>
      <c r="C1209" t="s">
        <v>10294</v>
      </c>
      <c r="D1209" t="s">
        <v>2609</v>
      </c>
      <c r="E1209" t="s">
        <v>1211</v>
      </c>
      <c r="F1209" t="s">
        <v>1733</v>
      </c>
      <c r="G1209" t="s">
        <v>112</v>
      </c>
      <c r="I1209" t="str">
        <f t="shared" si="76"/>
        <v>925</v>
      </c>
      <c r="J1209" t="str">
        <f t="shared" si="73"/>
        <v>BC</v>
      </c>
      <c r="K1209">
        <f t="shared" si="74"/>
        <v>-925</v>
      </c>
      <c r="L1209">
        <f t="shared" si="75"/>
        <v>-925</v>
      </c>
    </row>
    <row r="1210" spans="1:12" x14ac:dyDescent="0.35">
      <c r="A1210">
        <v>1223</v>
      </c>
      <c r="B1210" t="s">
        <v>2611</v>
      </c>
      <c r="C1210" t="s">
        <v>10194</v>
      </c>
      <c r="D1210" t="s">
        <v>2612</v>
      </c>
      <c r="E1210" t="s">
        <v>1211</v>
      </c>
      <c r="F1210" t="s">
        <v>1733</v>
      </c>
      <c r="G1210" t="s">
        <v>112</v>
      </c>
      <c r="I1210" t="str">
        <f t="shared" si="76"/>
        <v>925</v>
      </c>
      <c r="J1210" t="str">
        <f t="shared" si="73"/>
        <v>BC</v>
      </c>
      <c r="K1210">
        <f t="shared" si="74"/>
        <v>-925</v>
      </c>
      <c r="L1210">
        <f t="shared" si="75"/>
        <v>-925</v>
      </c>
    </row>
    <row r="1211" spans="1:12" x14ac:dyDescent="0.35">
      <c r="A1211">
        <v>1224</v>
      </c>
      <c r="B1211" t="s">
        <v>2613</v>
      </c>
      <c r="C1211" t="s">
        <v>10059</v>
      </c>
      <c r="D1211" t="s">
        <v>2614</v>
      </c>
      <c r="E1211" t="s">
        <v>1750</v>
      </c>
      <c r="F1211" t="s">
        <v>2615</v>
      </c>
      <c r="G1211" t="s">
        <v>112</v>
      </c>
      <c r="I1211" t="str">
        <f t="shared" si="76"/>
        <v>896</v>
      </c>
      <c r="J1211" t="str">
        <f t="shared" si="73"/>
        <v>BC</v>
      </c>
      <c r="K1211">
        <f t="shared" si="74"/>
        <v>-896</v>
      </c>
      <c r="L1211">
        <f t="shared" si="75"/>
        <v>-896</v>
      </c>
    </row>
    <row r="1212" spans="1:12" x14ac:dyDescent="0.35">
      <c r="A1212">
        <v>1225</v>
      </c>
      <c r="B1212" t="s">
        <v>2616</v>
      </c>
      <c r="C1212" t="s">
        <v>11240</v>
      </c>
      <c r="D1212" t="s">
        <v>2617</v>
      </c>
      <c r="E1212" t="s">
        <v>2618</v>
      </c>
      <c r="F1212" t="s">
        <v>2615</v>
      </c>
      <c r="G1212" t="s">
        <v>12477</v>
      </c>
      <c r="I1212" t="str">
        <f t="shared" si="76"/>
        <v>896</v>
      </c>
      <c r="J1212" t="str">
        <f t="shared" si="73"/>
        <v>BC</v>
      </c>
      <c r="K1212">
        <f t="shared" si="74"/>
        <v>-896</v>
      </c>
      <c r="L1212">
        <f t="shared" si="75"/>
        <v>-896</v>
      </c>
    </row>
    <row r="1213" spans="1:12" x14ac:dyDescent="0.35">
      <c r="A1213">
        <v>1226</v>
      </c>
      <c r="B1213" t="s">
        <v>2619</v>
      </c>
      <c r="C1213" t="s">
        <v>11395</v>
      </c>
      <c r="D1213" t="s">
        <v>2620</v>
      </c>
      <c r="E1213" t="s">
        <v>1750</v>
      </c>
      <c r="F1213" t="s">
        <v>2615</v>
      </c>
      <c r="G1213" t="s">
        <v>12477</v>
      </c>
      <c r="I1213" t="str">
        <f t="shared" si="76"/>
        <v>896</v>
      </c>
      <c r="J1213" t="str">
        <f t="shared" si="73"/>
        <v>BC</v>
      </c>
      <c r="K1213">
        <f t="shared" si="74"/>
        <v>-896</v>
      </c>
      <c r="L1213">
        <f t="shared" si="75"/>
        <v>-896</v>
      </c>
    </row>
    <row r="1214" spans="1:12" x14ac:dyDescent="0.35">
      <c r="A1214">
        <v>1227</v>
      </c>
      <c r="B1214" t="s">
        <v>2621</v>
      </c>
      <c r="C1214" t="s">
        <v>10295</v>
      </c>
      <c r="D1214" t="s">
        <v>2622</v>
      </c>
      <c r="E1214" t="s">
        <v>1750</v>
      </c>
      <c r="F1214" t="s">
        <v>2615</v>
      </c>
      <c r="G1214" t="s">
        <v>12538</v>
      </c>
      <c r="I1214" t="str">
        <f t="shared" si="76"/>
        <v>896</v>
      </c>
      <c r="J1214" t="str">
        <f t="shared" si="73"/>
        <v>BC</v>
      </c>
      <c r="K1214">
        <f t="shared" si="74"/>
        <v>-896</v>
      </c>
      <c r="L1214">
        <f t="shared" si="75"/>
        <v>-896</v>
      </c>
    </row>
    <row r="1215" spans="1:12" x14ac:dyDescent="0.35">
      <c r="A1215">
        <v>1228</v>
      </c>
      <c r="B1215" t="s">
        <v>2623</v>
      </c>
      <c r="C1215" t="s">
        <v>10296</v>
      </c>
      <c r="D1215" t="s">
        <v>2624</v>
      </c>
      <c r="E1215" t="s">
        <v>1211</v>
      </c>
      <c r="F1215" t="s">
        <v>2625</v>
      </c>
      <c r="G1215" t="s">
        <v>2626</v>
      </c>
      <c r="I1215" t="str">
        <f t="shared" si="76"/>
        <v>895</v>
      </c>
      <c r="J1215" t="str">
        <f t="shared" si="73"/>
        <v>BC</v>
      </c>
      <c r="K1215">
        <f t="shared" si="74"/>
        <v>-895</v>
      </c>
      <c r="L1215">
        <f t="shared" si="75"/>
        <v>-895</v>
      </c>
    </row>
    <row r="1216" spans="1:12" x14ac:dyDescent="0.35">
      <c r="A1216">
        <v>1229</v>
      </c>
      <c r="B1216" t="s">
        <v>2627</v>
      </c>
      <c r="C1216" t="s">
        <v>11396</v>
      </c>
      <c r="D1216" t="s">
        <v>2628</v>
      </c>
      <c r="E1216" t="s">
        <v>1750</v>
      </c>
      <c r="F1216" t="s">
        <v>2625</v>
      </c>
      <c r="G1216" t="s">
        <v>112</v>
      </c>
      <c r="I1216" t="str">
        <f t="shared" si="76"/>
        <v>895</v>
      </c>
      <c r="J1216" t="str">
        <f t="shared" si="73"/>
        <v>BC</v>
      </c>
      <c r="K1216">
        <f t="shared" si="74"/>
        <v>-895</v>
      </c>
      <c r="L1216">
        <f t="shared" si="75"/>
        <v>-895</v>
      </c>
    </row>
    <row r="1217" spans="1:12" x14ac:dyDescent="0.35">
      <c r="A1217">
        <v>1230</v>
      </c>
      <c r="B1217" t="s">
        <v>2629</v>
      </c>
      <c r="C1217" t="s">
        <v>11234</v>
      </c>
      <c r="D1217" t="s">
        <v>2628</v>
      </c>
      <c r="E1217" t="s">
        <v>1750</v>
      </c>
      <c r="F1217" t="s">
        <v>2625</v>
      </c>
      <c r="G1217" t="s">
        <v>112</v>
      </c>
      <c r="I1217" t="str">
        <f t="shared" si="76"/>
        <v>895</v>
      </c>
      <c r="J1217" t="str">
        <f t="shared" si="73"/>
        <v>BC</v>
      </c>
      <c r="K1217">
        <f t="shared" si="74"/>
        <v>-895</v>
      </c>
      <c r="L1217">
        <f t="shared" si="75"/>
        <v>-895</v>
      </c>
    </row>
    <row r="1218" spans="1:12" x14ac:dyDescent="0.35">
      <c r="A1218">
        <v>1231</v>
      </c>
      <c r="B1218" t="s">
        <v>2630</v>
      </c>
      <c r="C1218" t="s">
        <v>11397</v>
      </c>
      <c r="D1218" t="s">
        <v>2631</v>
      </c>
      <c r="E1218" t="s">
        <v>1211</v>
      </c>
      <c r="F1218" t="s">
        <v>2632</v>
      </c>
      <c r="G1218" t="s">
        <v>12478</v>
      </c>
      <c r="I1218" t="str">
        <f t="shared" si="76"/>
        <v>885</v>
      </c>
      <c r="J1218" t="str">
        <f t="shared" ref="J1218:J1281" si="77">RIGHT(F1218, 2)</f>
        <v>BC</v>
      </c>
      <c r="K1218">
        <f t="shared" ref="K1218:K1281" si="78">IF(J1218="BC", 0-IF(ISERROR(FIND("-",I1218)),I1218,LEFT(I1218,FIND("-",I1218)-1)), IF(ISERROR(FIND("-",I1218)),I1218,LEFT(I1218,FIND("-",I1218)-1)))</f>
        <v>-885</v>
      </c>
      <c r="L1218">
        <f t="shared" ref="L1218:L1281" si="79">IF(J1218="BC", 0-IF(ISERROR(FIND("-",I1218)),I1218,RIGHT(I1218,FIND("-",I1218)-1)), IF(ISERROR(FIND("-",I1218)),I1218,RIGHT(I1218,FIND("-",I1218)-1)))</f>
        <v>-885</v>
      </c>
    </row>
    <row r="1219" spans="1:12" x14ac:dyDescent="0.35">
      <c r="A1219">
        <v>1232</v>
      </c>
      <c r="B1219" t="s">
        <v>2633</v>
      </c>
      <c r="C1219" t="s">
        <v>10297</v>
      </c>
      <c r="D1219" t="s">
        <v>2634</v>
      </c>
      <c r="E1219" t="s">
        <v>2635</v>
      </c>
      <c r="F1219" t="s">
        <v>2632</v>
      </c>
      <c r="G1219" t="s">
        <v>112</v>
      </c>
      <c r="I1219" t="str">
        <f t="shared" si="76"/>
        <v>885</v>
      </c>
      <c r="J1219" t="str">
        <f t="shared" si="77"/>
        <v>BC</v>
      </c>
      <c r="K1219">
        <f t="shared" si="78"/>
        <v>-885</v>
      </c>
      <c r="L1219">
        <f t="shared" si="79"/>
        <v>-885</v>
      </c>
    </row>
    <row r="1220" spans="1:12" x14ac:dyDescent="0.35">
      <c r="A1220">
        <v>1233</v>
      </c>
      <c r="B1220" t="s">
        <v>2636</v>
      </c>
      <c r="C1220" t="s">
        <v>11231</v>
      </c>
      <c r="D1220" t="s">
        <v>2634</v>
      </c>
      <c r="E1220" t="s">
        <v>1750</v>
      </c>
      <c r="F1220" t="s">
        <v>2632</v>
      </c>
      <c r="G1220" t="s">
        <v>12478</v>
      </c>
      <c r="I1220" t="str">
        <f t="shared" si="76"/>
        <v>885</v>
      </c>
      <c r="J1220" t="str">
        <f t="shared" si="77"/>
        <v>BC</v>
      </c>
      <c r="K1220">
        <f t="shared" si="78"/>
        <v>-885</v>
      </c>
      <c r="L1220">
        <f t="shared" si="79"/>
        <v>-885</v>
      </c>
    </row>
    <row r="1221" spans="1:12" x14ac:dyDescent="0.35">
      <c r="A1221">
        <v>1234</v>
      </c>
      <c r="B1221" t="s">
        <v>2637</v>
      </c>
      <c r="C1221" t="s">
        <v>11275</v>
      </c>
      <c r="D1221" t="s">
        <v>2638</v>
      </c>
      <c r="E1221" t="s">
        <v>1211</v>
      </c>
      <c r="F1221" t="s">
        <v>2639</v>
      </c>
      <c r="G1221" t="s">
        <v>112</v>
      </c>
      <c r="I1221" t="str">
        <f t="shared" si="76"/>
        <v>887</v>
      </c>
      <c r="J1221" t="str">
        <f t="shared" si="77"/>
        <v>BC</v>
      </c>
      <c r="K1221">
        <f t="shared" si="78"/>
        <v>-887</v>
      </c>
      <c r="L1221">
        <f t="shared" si="79"/>
        <v>-887</v>
      </c>
    </row>
    <row r="1222" spans="1:12" x14ac:dyDescent="0.35">
      <c r="A1222">
        <v>1235</v>
      </c>
      <c r="B1222" t="s">
        <v>2640</v>
      </c>
      <c r="C1222" t="s">
        <v>10059</v>
      </c>
      <c r="D1222" t="s">
        <v>2641</v>
      </c>
      <c r="E1222" t="s">
        <v>1211</v>
      </c>
      <c r="F1222" t="s">
        <v>1799</v>
      </c>
      <c r="G1222" t="s">
        <v>112</v>
      </c>
      <c r="I1222" t="str">
        <f t="shared" si="76"/>
        <v>870</v>
      </c>
      <c r="J1222" t="str">
        <f t="shared" si="77"/>
        <v>BC</v>
      </c>
      <c r="K1222">
        <f t="shared" si="78"/>
        <v>-870</v>
      </c>
      <c r="L1222">
        <f t="shared" si="79"/>
        <v>-870</v>
      </c>
    </row>
    <row r="1223" spans="1:12" x14ac:dyDescent="0.35">
      <c r="A1223">
        <v>1236</v>
      </c>
      <c r="B1223" t="s">
        <v>2642</v>
      </c>
      <c r="C1223" t="s">
        <v>10298</v>
      </c>
      <c r="D1223" t="s">
        <v>2643</v>
      </c>
      <c r="E1223" t="s">
        <v>1211</v>
      </c>
      <c r="F1223" t="s">
        <v>1799</v>
      </c>
      <c r="G1223" t="s">
        <v>12479</v>
      </c>
      <c r="I1223" t="str">
        <f t="shared" si="76"/>
        <v>870</v>
      </c>
      <c r="J1223" t="str">
        <f t="shared" si="77"/>
        <v>BC</v>
      </c>
      <c r="K1223">
        <f t="shared" si="78"/>
        <v>-870</v>
      </c>
      <c r="L1223">
        <f t="shared" si="79"/>
        <v>-870</v>
      </c>
    </row>
    <row r="1224" spans="1:12" x14ac:dyDescent="0.35">
      <c r="A1224">
        <v>1237</v>
      </c>
      <c r="B1224" t="s">
        <v>2644</v>
      </c>
      <c r="C1224" t="s">
        <v>10069</v>
      </c>
      <c r="D1224" t="s">
        <v>2645</v>
      </c>
      <c r="E1224" t="s">
        <v>1211</v>
      </c>
      <c r="F1224" t="s">
        <v>1799</v>
      </c>
      <c r="G1224" t="s">
        <v>12479</v>
      </c>
      <c r="I1224" t="str">
        <f t="shared" si="76"/>
        <v>870</v>
      </c>
      <c r="J1224" t="str">
        <f t="shared" si="77"/>
        <v>BC</v>
      </c>
      <c r="K1224">
        <f t="shared" si="78"/>
        <v>-870</v>
      </c>
      <c r="L1224">
        <f t="shared" si="79"/>
        <v>-870</v>
      </c>
    </row>
    <row r="1225" spans="1:12" x14ac:dyDescent="0.35">
      <c r="A1225">
        <v>1238</v>
      </c>
      <c r="B1225" t="s">
        <v>2646</v>
      </c>
      <c r="C1225" t="s">
        <v>11398</v>
      </c>
      <c r="D1225" t="s">
        <v>2647</v>
      </c>
      <c r="E1225" t="s">
        <v>1211</v>
      </c>
      <c r="F1225" t="s">
        <v>1799</v>
      </c>
      <c r="G1225" t="s">
        <v>12533</v>
      </c>
      <c r="I1225" t="str">
        <f t="shared" si="76"/>
        <v>870</v>
      </c>
      <c r="J1225" t="str">
        <f t="shared" si="77"/>
        <v>BC</v>
      </c>
      <c r="K1225">
        <f t="shared" si="78"/>
        <v>-870</v>
      </c>
      <c r="L1225">
        <f t="shared" si="79"/>
        <v>-870</v>
      </c>
    </row>
    <row r="1226" spans="1:12" x14ac:dyDescent="0.35">
      <c r="A1226">
        <v>1239</v>
      </c>
      <c r="B1226" t="s">
        <v>2648</v>
      </c>
      <c r="C1226" t="s">
        <v>10095</v>
      </c>
      <c r="D1226" t="s">
        <v>2649</v>
      </c>
      <c r="E1226" t="s">
        <v>2650</v>
      </c>
      <c r="F1226" t="s">
        <v>1799</v>
      </c>
      <c r="G1226" t="s">
        <v>112</v>
      </c>
      <c r="I1226" t="str">
        <f t="shared" si="76"/>
        <v>870</v>
      </c>
      <c r="J1226" t="str">
        <f t="shared" si="77"/>
        <v>BC</v>
      </c>
      <c r="K1226">
        <f t="shared" si="78"/>
        <v>-870</v>
      </c>
      <c r="L1226">
        <f t="shared" si="79"/>
        <v>-870</v>
      </c>
    </row>
    <row r="1227" spans="1:12" x14ac:dyDescent="0.35">
      <c r="A1227">
        <v>1240</v>
      </c>
      <c r="B1227" t="s">
        <v>2651</v>
      </c>
      <c r="C1227" t="s">
        <v>11399</v>
      </c>
      <c r="D1227" t="s">
        <v>2652</v>
      </c>
      <c r="E1227" t="s">
        <v>2650</v>
      </c>
      <c r="F1227" t="s">
        <v>1799</v>
      </c>
      <c r="G1227" t="s">
        <v>112</v>
      </c>
      <c r="I1227" t="str">
        <f t="shared" si="76"/>
        <v>870</v>
      </c>
      <c r="J1227" t="str">
        <f t="shared" si="77"/>
        <v>BC</v>
      </c>
      <c r="K1227">
        <f t="shared" si="78"/>
        <v>-870</v>
      </c>
      <c r="L1227">
        <f t="shared" si="79"/>
        <v>-870</v>
      </c>
    </row>
    <row r="1228" spans="1:12" x14ac:dyDescent="0.35">
      <c r="A1228">
        <v>1241</v>
      </c>
      <c r="B1228" t="s">
        <v>2653</v>
      </c>
      <c r="C1228" t="s">
        <v>10299</v>
      </c>
      <c r="D1228" t="s">
        <v>2654</v>
      </c>
      <c r="E1228" t="s">
        <v>2655</v>
      </c>
      <c r="F1228" t="s">
        <v>1799</v>
      </c>
      <c r="G1228" t="s">
        <v>112</v>
      </c>
      <c r="I1228" t="str">
        <f t="shared" si="76"/>
        <v>870</v>
      </c>
      <c r="J1228" t="str">
        <f t="shared" si="77"/>
        <v>BC</v>
      </c>
      <c r="K1228">
        <f t="shared" si="78"/>
        <v>-870</v>
      </c>
      <c r="L1228">
        <f t="shared" si="79"/>
        <v>-870</v>
      </c>
    </row>
    <row r="1229" spans="1:12" x14ac:dyDescent="0.35">
      <c r="A1229">
        <v>1242</v>
      </c>
      <c r="B1229" t="s">
        <v>2656</v>
      </c>
      <c r="C1229" t="s">
        <v>11400</v>
      </c>
      <c r="D1229" t="s">
        <v>2657</v>
      </c>
      <c r="E1229" t="s">
        <v>2655</v>
      </c>
      <c r="F1229" t="s">
        <v>1799</v>
      </c>
      <c r="G1229" t="s">
        <v>559</v>
      </c>
      <c r="I1229" t="str">
        <f t="shared" si="76"/>
        <v>870</v>
      </c>
      <c r="J1229" t="str">
        <f t="shared" si="77"/>
        <v>BC</v>
      </c>
      <c r="K1229">
        <f t="shared" si="78"/>
        <v>-870</v>
      </c>
      <c r="L1229">
        <f t="shared" si="79"/>
        <v>-870</v>
      </c>
    </row>
    <row r="1230" spans="1:12" x14ac:dyDescent="0.35">
      <c r="A1230">
        <v>1243</v>
      </c>
      <c r="B1230" t="s">
        <v>2658</v>
      </c>
      <c r="C1230" t="s">
        <v>10267</v>
      </c>
      <c r="D1230" t="s">
        <v>2659</v>
      </c>
      <c r="E1230" t="s">
        <v>2660</v>
      </c>
      <c r="F1230" t="s">
        <v>1799</v>
      </c>
      <c r="G1230" t="s">
        <v>112</v>
      </c>
      <c r="I1230" t="str">
        <f t="shared" si="76"/>
        <v>870</v>
      </c>
      <c r="J1230" t="str">
        <f t="shared" si="77"/>
        <v>BC</v>
      </c>
      <c r="K1230">
        <f t="shared" si="78"/>
        <v>-870</v>
      </c>
      <c r="L1230">
        <f t="shared" si="79"/>
        <v>-870</v>
      </c>
    </row>
    <row r="1231" spans="1:12" x14ac:dyDescent="0.35">
      <c r="A1231">
        <v>1244</v>
      </c>
      <c r="B1231" t="s">
        <v>2661</v>
      </c>
      <c r="C1231" t="s">
        <v>11234</v>
      </c>
      <c r="D1231" t="s">
        <v>2662</v>
      </c>
      <c r="E1231" t="s">
        <v>1750</v>
      </c>
      <c r="F1231" t="s">
        <v>1978</v>
      </c>
      <c r="G1231" t="s">
        <v>112</v>
      </c>
      <c r="I1231" t="str">
        <f t="shared" si="76"/>
        <v>873-848</v>
      </c>
      <c r="J1231" t="str">
        <f t="shared" si="77"/>
        <v>BC</v>
      </c>
      <c r="K1231">
        <f t="shared" si="78"/>
        <v>-873</v>
      </c>
      <c r="L1231">
        <f t="shared" si="79"/>
        <v>-848</v>
      </c>
    </row>
    <row r="1232" spans="1:12" x14ac:dyDescent="0.35">
      <c r="A1232">
        <v>1245</v>
      </c>
      <c r="B1232" t="s">
        <v>2663</v>
      </c>
      <c r="C1232" t="s">
        <v>10300</v>
      </c>
      <c r="D1232" t="s">
        <v>2664</v>
      </c>
      <c r="E1232" t="s">
        <v>1211</v>
      </c>
      <c r="F1232" t="s">
        <v>1803</v>
      </c>
      <c r="G1232" t="s">
        <v>12480</v>
      </c>
      <c r="I1232" t="str">
        <f t="shared" si="76"/>
        <v>869</v>
      </c>
      <c r="J1232" t="str">
        <f t="shared" si="77"/>
        <v>BC</v>
      </c>
      <c r="K1232">
        <f t="shared" si="78"/>
        <v>-869</v>
      </c>
      <c r="L1232">
        <f t="shared" si="79"/>
        <v>-869</v>
      </c>
    </row>
    <row r="1233" spans="1:12" x14ac:dyDescent="0.35">
      <c r="A1233">
        <v>1246</v>
      </c>
      <c r="B1233" t="s">
        <v>2665</v>
      </c>
      <c r="C1233" t="s">
        <v>11401</v>
      </c>
      <c r="D1233" t="s">
        <v>2666</v>
      </c>
      <c r="E1233" t="s">
        <v>1211</v>
      </c>
      <c r="F1233" t="s">
        <v>1803</v>
      </c>
      <c r="G1233" t="s">
        <v>12480</v>
      </c>
      <c r="I1233" t="str">
        <f t="shared" si="76"/>
        <v>869</v>
      </c>
      <c r="J1233" t="str">
        <f t="shared" si="77"/>
        <v>BC</v>
      </c>
      <c r="K1233">
        <f t="shared" si="78"/>
        <v>-869</v>
      </c>
      <c r="L1233">
        <f t="shared" si="79"/>
        <v>-869</v>
      </c>
    </row>
    <row r="1234" spans="1:12" x14ac:dyDescent="0.35">
      <c r="A1234">
        <v>1247</v>
      </c>
      <c r="B1234" t="s">
        <v>2667</v>
      </c>
      <c r="C1234" t="s">
        <v>11126</v>
      </c>
      <c r="D1234" t="s">
        <v>2668</v>
      </c>
      <c r="E1234" t="s">
        <v>2669</v>
      </c>
      <c r="F1234" t="s">
        <v>1938</v>
      </c>
      <c r="G1234" t="s">
        <v>12481</v>
      </c>
      <c r="I1234" t="str">
        <f t="shared" si="76"/>
        <v>853</v>
      </c>
      <c r="J1234" t="str">
        <f t="shared" si="77"/>
        <v>BC</v>
      </c>
      <c r="K1234">
        <f t="shared" si="78"/>
        <v>-853</v>
      </c>
      <c r="L1234">
        <f t="shared" si="79"/>
        <v>-853</v>
      </c>
    </row>
    <row r="1235" spans="1:12" x14ac:dyDescent="0.35">
      <c r="A1235">
        <v>1248</v>
      </c>
      <c r="B1235" t="s">
        <v>2670</v>
      </c>
      <c r="C1235" t="s">
        <v>10037</v>
      </c>
      <c r="D1235" t="s">
        <v>2668</v>
      </c>
      <c r="E1235" t="s">
        <v>1750</v>
      </c>
      <c r="F1235" t="s">
        <v>1938</v>
      </c>
      <c r="G1235" t="s">
        <v>12481</v>
      </c>
      <c r="I1235" t="str">
        <f t="shared" si="76"/>
        <v>853</v>
      </c>
      <c r="J1235" t="str">
        <f t="shared" si="77"/>
        <v>BC</v>
      </c>
      <c r="K1235">
        <f t="shared" si="78"/>
        <v>-853</v>
      </c>
      <c r="L1235">
        <f t="shared" si="79"/>
        <v>-853</v>
      </c>
    </row>
    <row r="1236" spans="1:12" x14ac:dyDescent="0.35">
      <c r="A1236">
        <v>1249</v>
      </c>
      <c r="B1236" t="s">
        <v>2671</v>
      </c>
      <c r="C1236" t="s">
        <v>10059</v>
      </c>
      <c r="D1236" t="s">
        <v>2672</v>
      </c>
      <c r="E1236" t="s">
        <v>1211</v>
      </c>
      <c r="F1236" t="s">
        <v>2673</v>
      </c>
      <c r="G1236" t="s">
        <v>112</v>
      </c>
      <c r="I1236" t="str">
        <f t="shared" si="76"/>
        <v>796</v>
      </c>
      <c r="J1236" t="str">
        <f t="shared" si="77"/>
        <v>BC</v>
      </c>
      <c r="K1236">
        <f t="shared" si="78"/>
        <v>-796</v>
      </c>
      <c r="L1236">
        <f t="shared" si="79"/>
        <v>-796</v>
      </c>
    </row>
    <row r="1237" spans="1:12" x14ac:dyDescent="0.35">
      <c r="A1237">
        <v>1250</v>
      </c>
      <c r="B1237" t="s">
        <v>2674</v>
      </c>
      <c r="C1237" t="s">
        <v>10300</v>
      </c>
      <c r="D1237" t="s">
        <v>2672</v>
      </c>
      <c r="E1237" t="s">
        <v>2675</v>
      </c>
      <c r="F1237" t="s">
        <v>2673</v>
      </c>
      <c r="G1237" t="s">
        <v>5773</v>
      </c>
      <c r="I1237" t="str">
        <f t="shared" si="76"/>
        <v>796</v>
      </c>
      <c r="J1237" t="str">
        <f t="shared" si="77"/>
        <v>BC</v>
      </c>
      <c r="K1237">
        <f t="shared" si="78"/>
        <v>-796</v>
      </c>
      <c r="L1237">
        <f t="shared" si="79"/>
        <v>-796</v>
      </c>
    </row>
    <row r="1238" spans="1:12" x14ac:dyDescent="0.35">
      <c r="A1238">
        <v>1251</v>
      </c>
      <c r="B1238" t="s">
        <v>2676</v>
      </c>
      <c r="C1238" t="s">
        <v>10301</v>
      </c>
      <c r="D1238" t="s">
        <v>2672</v>
      </c>
      <c r="E1238" t="s">
        <v>1750</v>
      </c>
      <c r="F1238" t="s">
        <v>2673</v>
      </c>
      <c r="G1238" t="s">
        <v>5773</v>
      </c>
      <c r="I1238" t="str">
        <f t="shared" si="76"/>
        <v>796</v>
      </c>
      <c r="J1238" t="str">
        <f t="shared" si="77"/>
        <v>BC</v>
      </c>
      <c r="K1238">
        <f t="shared" si="78"/>
        <v>-796</v>
      </c>
      <c r="L1238">
        <f t="shared" si="79"/>
        <v>-796</v>
      </c>
    </row>
    <row r="1239" spans="1:12" x14ac:dyDescent="0.35">
      <c r="A1239">
        <v>1252</v>
      </c>
      <c r="B1239" t="s">
        <v>2677</v>
      </c>
      <c r="C1239" t="s">
        <v>10302</v>
      </c>
      <c r="D1239" t="s">
        <v>2678</v>
      </c>
      <c r="E1239" t="s">
        <v>2283</v>
      </c>
      <c r="F1239" t="s">
        <v>2673</v>
      </c>
      <c r="G1239" t="s">
        <v>559</v>
      </c>
      <c r="I1239" t="str">
        <f t="shared" si="76"/>
        <v>796</v>
      </c>
      <c r="J1239" t="str">
        <f t="shared" si="77"/>
        <v>BC</v>
      </c>
      <c r="K1239">
        <f t="shared" si="78"/>
        <v>-796</v>
      </c>
      <c r="L1239">
        <f t="shared" si="79"/>
        <v>-796</v>
      </c>
    </row>
    <row r="1240" spans="1:12" x14ac:dyDescent="0.35">
      <c r="A1240">
        <v>1253</v>
      </c>
      <c r="B1240" t="s">
        <v>2679</v>
      </c>
      <c r="C1240" t="s">
        <v>10303</v>
      </c>
      <c r="D1240" t="s">
        <v>2680</v>
      </c>
      <c r="E1240" t="s">
        <v>2283</v>
      </c>
      <c r="F1240" t="s">
        <v>2673</v>
      </c>
      <c r="G1240" t="s">
        <v>5773</v>
      </c>
      <c r="I1240" t="str">
        <f t="shared" si="76"/>
        <v>796</v>
      </c>
      <c r="J1240" t="str">
        <f t="shared" si="77"/>
        <v>BC</v>
      </c>
      <c r="K1240">
        <f t="shared" si="78"/>
        <v>-796</v>
      </c>
      <c r="L1240">
        <f t="shared" si="79"/>
        <v>-796</v>
      </c>
    </row>
    <row r="1241" spans="1:12" x14ac:dyDescent="0.35">
      <c r="A1241">
        <v>1254</v>
      </c>
      <c r="B1241" t="s">
        <v>2681</v>
      </c>
      <c r="C1241" t="s">
        <v>11313</v>
      </c>
      <c r="D1241" t="s">
        <v>2682</v>
      </c>
      <c r="E1241" t="s">
        <v>1750</v>
      </c>
      <c r="F1241" t="s">
        <v>2673</v>
      </c>
      <c r="G1241" t="s">
        <v>2683</v>
      </c>
      <c r="I1241" t="str">
        <f t="shared" si="76"/>
        <v>796</v>
      </c>
      <c r="J1241" t="str">
        <f t="shared" si="77"/>
        <v>BC</v>
      </c>
      <c r="K1241">
        <f t="shared" si="78"/>
        <v>-796</v>
      </c>
      <c r="L1241">
        <f t="shared" si="79"/>
        <v>-796</v>
      </c>
    </row>
    <row r="1242" spans="1:12" x14ac:dyDescent="0.35">
      <c r="A1242">
        <v>1255</v>
      </c>
      <c r="B1242" t="s">
        <v>2684</v>
      </c>
      <c r="C1242" t="s">
        <v>11190</v>
      </c>
      <c r="D1242" t="s">
        <v>2685</v>
      </c>
      <c r="E1242" t="s">
        <v>1750</v>
      </c>
      <c r="F1242" t="s">
        <v>2673</v>
      </c>
      <c r="G1242" t="s">
        <v>1641</v>
      </c>
      <c r="I1242" t="str">
        <f t="shared" si="76"/>
        <v>796</v>
      </c>
      <c r="J1242" t="str">
        <f t="shared" si="77"/>
        <v>BC</v>
      </c>
      <c r="K1242">
        <f t="shared" si="78"/>
        <v>-796</v>
      </c>
      <c r="L1242">
        <f t="shared" si="79"/>
        <v>-796</v>
      </c>
    </row>
    <row r="1243" spans="1:12" x14ac:dyDescent="0.35">
      <c r="A1243">
        <v>1256</v>
      </c>
      <c r="B1243" t="s">
        <v>2686</v>
      </c>
      <c r="C1243" t="s">
        <v>11402</v>
      </c>
      <c r="D1243" t="s">
        <v>2685</v>
      </c>
      <c r="E1243" t="s">
        <v>1750</v>
      </c>
      <c r="F1243" t="s">
        <v>2673</v>
      </c>
      <c r="G1243" t="s">
        <v>112</v>
      </c>
      <c r="I1243" t="str">
        <f t="shared" si="76"/>
        <v>796</v>
      </c>
      <c r="J1243" t="str">
        <f t="shared" si="77"/>
        <v>BC</v>
      </c>
      <c r="K1243">
        <f t="shared" si="78"/>
        <v>-796</v>
      </c>
      <c r="L1243">
        <f t="shared" si="79"/>
        <v>-796</v>
      </c>
    </row>
    <row r="1244" spans="1:12" x14ac:dyDescent="0.35">
      <c r="A1244">
        <v>1257</v>
      </c>
      <c r="B1244" t="s">
        <v>2687</v>
      </c>
      <c r="C1244" t="s">
        <v>10101</v>
      </c>
      <c r="D1244" t="s">
        <v>2688</v>
      </c>
      <c r="E1244" t="s">
        <v>1211</v>
      </c>
      <c r="F1244" t="s">
        <v>2673</v>
      </c>
      <c r="G1244" t="s">
        <v>112</v>
      </c>
      <c r="I1244" t="str">
        <f t="shared" si="76"/>
        <v>796</v>
      </c>
      <c r="J1244" t="str">
        <f t="shared" si="77"/>
        <v>BC</v>
      </c>
      <c r="K1244">
        <f t="shared" si="78"/>
        <v>-796</v>
      </c>
      <c r="L1244">
        <f t="shared" si="79"/>
        <v>-796</v>
      </c>
    </row>
    <row r="1245" spans="1:12" x14ac:dyDescent="0.35">
      <c r="A1245">
        <v>1258</v>
      </c>
      <c r="B1245" t="s">
        <v>2689</v>
      </c>
      <c r="C1245" t="s">
        <v>10300</v>
      </c>
      <c r="D1245" t="s">
        <v>2690</v>
      </c>
      <c r="E1245" t="s">
        <v>1211</v>
      </c>
      <c r="F1245" t="s">
        <v>2164</v>
      </c>
      <c r="G1245" t="s">
        <v>1910</v>
      </c>
      <c r="I1245" t="str">
        <f t="shared" si="76"/>
        <v>790</v>
      </c>
      <c r="J1245" t="str">
        <f t="shared" si="77"/>
        <v>BC</v>
      </c>
      <c r="K1245">
        <f t="shared" si="78"/>
        <v>-790</v>
      </c>
      <c r="L1245">
        <f t="shared" si="79"/>
        <v>-790</v>
      </c>
    </row>
    <row r="1246" spans="1:12" x14ac:dyDescent="0.35">
      <c r="A1246">
        <v>1259</v>
      </c>
      <c r="B1246" t="s">
        <v>2691</v>
      </c>
      <c r="C1246" t="s">
        <v>10300</v>
      </c>
      <c r="D1246" t="s">
        <v>2692</v>
      </c>
      <c r="E1246" t="s">
        <v>1211</v>
      </c>
      <c r="F1246" t="s">
        <v>2164</v>
      </c>
      <c r="G1246" t="s">
        <v>12462</v>
      </c>
      <c r="I1246" t="str">
        <f t="shared" si="76"/>
        <v>790</v>
      </c>
      <c r="J1246" t="str">
        <f t="shared" si="77"/>
        <v>BC</v>
      </c>
      <c r="K1246">
        <f t="shared" si="78"/>
        <v>-790</v>
      </c>
      <c r="L1246">
        <f t="shared" si="79"/>
        <v>-790</v>
      </c>
    </row>
    <row r="1247" spans="1:12" x14ac:dyDescent="0.35">
      <c r="A1247">
        <v>1260</v>
      </c>
      <c r="B1247" t="s">
        <v>2693</v>
      </c>
      <c r="C1247" t="s">
        <v>10304</v>
      </c>
      <c r="D1247" t="s">
        <v>2694</v>
      </c>
      <c r="E1247" t="s">
        <v>1211</v>
      </c>
      <c r="F1247" t="s">
        <v>2164</v>
      </c>
      <c r="G1247" t="s">
        <v>2695</v>
      </c>
      <c r="I1247" t="str">
        <f t="shared" si="76"/>
        <v>790</v>
      </c>
      <c r="J1247" t="str">
        <f t="shared" si="77"/>
        <v>BC</v>
      </c>
      <c r="K1247">
        <f t="shared" si="78"/>
        <v>-790</v>
      </c>
      <c r="L1247">
        <f t="shared" si="79"/>
        <v>-790</v>
      </c>
    </row>
    <row r="1248" spans="1:12" x14ac:dyDescent="0.35">
      <c r="A1248">
        <v>1261</v>
      </c>
      <c r="B1248" t="s">
        <v>2696</v>
      </c>
      <c r="C1248" t="s">
        <v>10037</v>
      </c>
      <c r="D1248" t="s">
        <v>2694</v>
      </c>
      <c r="E1248" t="s">
        <v>1211</v>
      </c>
      <c r="F1248" t="s">
        <v>2164</v>
      </c>
      <c r="G1248" t="s">
        <v>12462</v>
      </c>
      <c r="I1248" t="str">
        <f t="shared" si="76"/>
        <v>790</v>
      </c>
      <c r="J1248" t="str">
        <f t="shared" si="77"/>
        <v>BC</v>
      </c>
      <c r="K1248">
        <f t="shared" si="78"/>
        <v>-790</v>
      </c>
      <c r="L1248">
        <f t="shared" si="79"/>
        <v>-790</v>
      </c>
    </row>
    <row r="1249" spans="1:12" x14ac:dyDescent="0.35">
      <c r="A1249">
        <v>1262</v>
      </c>
      <c r="B1249" t="s">
        <v>2697</v>
      </c>
      <c r="C1249" t="s">
        <v>10184</v>
      </c>
      <c r="D1249" t="s">
        <v>2698</v>
      </c>
      <c r="E1249" t="s">
        <v>1211</v>
      </c>
      <c r="F1249" t="s">
        <v>2164</v>
      </c>
      <c r="G1249" t="s">
        <v>112</v>
      </c>
      <c r="I1249" t="str">
        <f t="shared" si="76"/>
        <v>790</v>
      </c>
      <c r="J1249" t="str">
        <f t="shared" si="77"/>
        <v>BC</v>
      </c>
      <c r="K1249">
        <f t="shared" si="78"/>
        <v>-790</v>
      </c>
      <c r="L1249">
        <f t="shared" si="79"/>
        <v>-790</v>
      </c>
    </row>
    <row r="1250" spans="1:12" x14ac:dyDescent="0.35">
      <c r="A1250">
        <v>1263</v>
      </c>
      <c r="B1250" t="s">
        <v>2699</v>
      </c>
      <c r="C1250" t="s">
        <v>11190</v>
      </c>
      <c r="D1250" t="s">
        <v>2698</v>
      </c>
      <c r="E1250" t="s">
        <v>87</v>
      </c>
      <c r="F1250" t="s">
        <v>2164</v>
      </c>
      <c r="G1250" t="s">
        <v>112</v>
      </c>
      <c r="I1250" t="str">
        <f t="shared" si="76"/>
        <v>790</v>
      </c>
      <c r="J1250" t="str">
        <f t="shared" si="77"/>
        <v>BC</v>
      </c>
      <c r="K1250">
        <f t="shared" si="78"/>
        <v>-790</v>
      </c>
      <c r="L1250">
        <f t="shared" si="79"/>
        <v>-790</v>
      </c>
    </row>
    <row r="1251" spans="1:12" x14ac:dyDescent="0.35">
      <c r="A1251">
        <v>1264</v>
      </c>
      <c r="B1251" t="s">
        <v>2700</v>
      </c>
      <c r="C1251" t="s">
        <v>11403</v>
      </c>
      <c r="D1251" t="s">
        <v>2701</v>
      </c>
      <c r="E1251" t="s">
        <v>2283</v>
      </c>
      <c r="F1251" t="s">
        <v>2195</v>
      </c>
      <c r="G1251" t="s">
        <v>2702</v>
      </c>
      <c r="I1251" t="str">
        <f t="shared" si="76"/>
        <v>750</v>
      </c>
      <c r="J1251" t="str">
        <f t="shared" si="77"/>
        <v>BC</v>
      </c>
      <c r="K1251">
        <f t="shared" si="78"/>
        <v>-750</v>
      </c>
      <c r="L1251">
        <f t="shared" si="79"/>
        <v>-750</v>
      </c>
    </row>
    <row r="1252" spans="1:12" x14ac:dyDescent="0.35">
      <c r="A1252">
        <v>1265</v>
      </c>
      <c r="B1252" t="s">
        <v>2703</v>
      </c>
      <c r="C1252" t="s">
        <v>11258</v>
      </c>
      <c r="D1252" t="s">
        <v>2704</v>
      </c>
      <c r="E1252" t="s">
        <v>2283</v>
      </c>
      <c r="F1252" t="s">
        <v>2195</v>
      </c>
      <c r="G1252" t="s">
        <v>112</v>
      </c>
      <c r="I1252" t="str">
        <f t="shared" si="76"/>
        <v>750</v>
      </c>
      <c r="J1252" t="str">
        <f t="shared" si="77"/>
        <v>BC</v>
      </c>
      <c r="K1252">
        <f t="shared" si="78"/>
        <v>-750</v>
      </c>
      <c r="L1252">
        <f t="shared" si="79"/>
        <v>-750</v>
      </c>
    </row>
    <row r="1253" spans="1:12" x14ac:dyDescent="0.35">
      <c r="A1253">
        <v>1266</v>
      </c>
      <c r="B1253" t="s">
        <v>2705</v>
      </c>
      <c r="C1253" t="s">
        <v>11404</v>
      </c>
      <c r="D1253" t="s">
        <v>2706</v>
      </c>
      <c r="E1253" t="s">
        <v>2283</v>
      </c>
      <c r="F1253" t="s">
        <v>2195</v>
      </c>
      <c r="G1253" t="s">
        <v>112</v>
      </c>
      <c r="I1253" t="str">
        <f t="shared" si="76"/>
        <v>750</v>
      </c>
      <c r="J1253" t="str">
        <f t="shared" si="77"/>
        <v>BC</v>
      </c>
      <c r="K1253">
        <f t="shared" si="78"/>
        <v>-750</v>
      </c>
      <c r="L1253">
        <f t="shared" si="79"/>
        <v>-750</v>
      </c>
    </row>
    <row r="1254" spans="1:12" x14ac:dyDescent="0.35">
      <c r="A1254">
        <v>1267</v>
      </c>
      <c r="B1254" t="s">
        <v>2707</v>
      </c>
      <c r="C1254" t="s">
        <v>10305</v>
      </c>
      <c r="D1254" t="s">
        <v>2708</v>
      </c>
      <c r="E1254" t="s">
        <v>2283</v>
      </c>
      <c r="F1254" t="s">
        <v>2195</v>
      </c>
      <c r="G1254" t="s">
        <v>2709</v>
      </c>
      <c r="I1254" t="str">
        <f t="shared" si="76"/>
        <v>750</v>
      </c>
      <c r="J1254" t="str">
        <f t="shared" si="77"/>
        <v>BC</v>
      </c>
      <c r="K1254">
        <f t="shared" si="78"/>
        <v>-750</v>
      </c>
      <c r="L1254">
        <f t="shared" si="79"/>
        <v>-750</v>
      </c>
    </row>
    <row r="1255" spans="1:12" x14ac:dyDescent="0.35">
      <c r="A1255">
        <v>1268</v>
      </c>
      <c r="B1255" t="s">
        <v>2710</v>
      </c>
      <c r="C1255" t="s">
        <v>10306</v>
      </c>
      <c r="D1255" t="s">
        <v>2711</v>
      </c>
      <c r="E1255" t="s">
        <v>1211</v>
      </c>
      <c r="F1255" t="s">
        <v>2712</v>
      </c>
      <c r="G1255" t="s">
        <v>112</v>
      </c>
      <c r="I1255" t="str">
        <f t="shared" si="76"/>
        <v>750-740</v>
      </c>
      <c r="J1255" t="str">
        <f t="shared" si="77"/>
        <v>BC</v>
      </c>
      <c r="K1255">
        <f t="shared" si="78"/>
        <v>-750</v>
      </c>
      <c r="L1255">
        <f t="shared" si="79"/>
        <v>-740</v>
      </c>
    </row>
    <row r="1256" spans="1:12" x14ac:dyDescent="0.35">
      <c r="A1256">
        <v>1269</v>
      </c>
      <c r="B1256" t="s">
        <v>2713</v>
      </c>
      <c r="C1256" t="s">
        <v>10264</v>
      </c>
      <c r="D1256" t="s">
        <v>2714</v>
      </c>
      <c r="E1256" t="s">
        <v>2178</v>
      </c>
      <c r="F1256" t="s">
        <v>2715</v>
      </c>
      <c r="G1256" t="s">
        <v>112</v>
      </c>
      <c r="I1256" t="str">
        <f t="shared" si="76"/>
        <v>792-750</v>
      </c>
      <c r="J1256" t="str">
        <f t="shared" si="77"/>
        <v>BC</v>
      </c>
      <c r="K1256">
        <f t="shared" si="78"/>
        <v>-792</v>
      </c>
      <c r="L1256">
        <f t="shared" si="79"/>
        <v>-750</v>
      </c>
    </row>
    <row r="1257" spans="1:12" x14ac:dyDescent="0.35">
      <c r="A1257">
        <v>1270</v>
      </c>
      <c r="B1257" t="s">
        <v>2716</v>
      </c>
      <c r="C1257" t="s">
        <v>10307</v>
      </c>
      <c r="D1257" t="s">
        <v>2717</v>
      </c>
      <c r="E1257" t="s">
        <v>2718</v>
      </c>
      <c r="F1257" t="s">
        <v>2715</v>
      </c>
      <c r="G1257" t="s">
        <v>112</v>
      </c>
      <c r="I1257" t="str">
        <f t="shared" si="76"/>
        <v>792-750</v>
      </c>
      <c r="J1257" t="str">
        <f t="shared" si="77"/>
        <v>BC</v>
      </c>
      <c r="K1257">
        <f t="shared" si="78"/>
        <v>-792</v>
      </c>
      <c r="L1257">
        <f t="shared" si="79"/>
        <v>-750</v>
      </c>
    </row>
    <row r="1258" spans="1:12" x14ac:dyDescent="0.35">
      <c r="A1258">
        <v>1271</v>
      </c>
      <c r="B1258" t="s">
        <v>2719</v>
      </c>
      <c r="C1258" t="s">
        <v>11393</v>
      </c>
      <c r="D1258" t="s">
        <v>2720</v>
      </c>
      <c r="E1258" t="s">
        <v>1750</v>
      </c>
      <c r="F1258" t="s">
        <v>2715</v>
      </c>
      <c r="G1258" t="s">
        <v>112</v>
      </c>
      <c r="I1258" t="str">
        <f t="shared" si="76"/>
        <v>792-750</v>
      </c>
      <c r="J1258" t="str">
        <f t="shared" si="77"/>
        <v>BC</v>
      </c>
      <c r="K1258">
        <f t="shared" si="78"/>
        <v>-792</v>
      </c>
      <c r="L1258">
        <f t="shared" si="79"/>
        <v>-750</v>
      </c>
    </row>
    <row r="1259" spans="1:12" x14ac:dyDescent="0.35">
      <c r="A1259">
        <v>1272</v>
      </c>
      <c r="B1259" t="s">
        <v>2721</v>
      </c>
      <c r="C1259" t="s">
        <v>11397</v>
      </c>
      <c r="D1259" t="s">
        <v>2722</v>
      </c>
      <c r="E1259" t="s">
        <v>1787</v>
      </c>
      <c r="F1259" t="s">
        <v>2210</v>
      </c>
      <c r="G1259" t="s">
        <v>12482</v>
      </c>
      <c r="I1259" t="str">
        <f t="shared" si="76"/>
        <v>735</v>
      </c>
      <c r="J1259" t="str">
        <f t="shared" si="77"/>
        <v>BC</v>
      </c>
      <c r="K1259">
        <f t="shared" si="78"/>
        <v>-735</v>
      </c>
      <c r="L1259">
        <f t="shared" si="79"/>
        <v>-735</v>
      </c>
    </row>
    <row r="1260" spans="1:12" x14ac:dyDescent="0.35">
      <c r="A1260">
        <v>1273</v>
      </c>
      <c r="B1260" t="s">
        <v>2723</v>
      </c>
      <c r="C1260" t="s">
        <v>10308</v>
      </c>
      <c r="D1260" t="s">
        <v>2724</v>
      </c>
      <c r="E1260" t="s">
        <v>1682</v>
      </c>
      <c r="F1260" t="s">
        <v>2210</v>
      </c>
      <c r="G1260" t="s">
        <v>12482</v>
      </c>
      <c r="I1260" t="str">
        <f t="shared" si="76"/>
        <v>735</v>
      </c>
      <c r="J1260" t="str">
        <f t="shared" si="77"/>
        <v>BC</v>
      </c>
      <c r="K1260">
        <f t="shared" si="78"/>
        <v>-735</v>
      </c>
      <c r="L1260">
        <f t="shared" si="79"/>
        <v>-735</v>
      </c>
    </row>
    <row r="1261" spans="1:12" x14ac:dyDescent="0.35">
      <c r="A1261">
        <v>1274</v>
      </c>
      <c r="B1261" t="s">
        <v>2725</v>
      </c>
      <c r="C1261" t="s">
        <v>11174</v>
      </c>
      <c r="D1261" t="s">
        <v>2726</v>
      </c>
      <c r="E1261" t="s">
        <v>1787</v>
      </c>
      <c r="F1261" t="s">
        <v>2210</v>
      </c>
      <c r="G1261" t="s">
        <v>12482</v>
      </c>
      <c r="I1261" t="str">
        <f t="shared" si="76"/>
        <v>735</v>
      </c>
      <c r="J1261" t="str">
        <f t="shared" si="77"/>
        <v>BC</v>
      </c>
      <c r="K1261">
        <f t="shared" si="78"/>
        <v>-735</v>
      </c>
      <c r="L1261">
        <f t="shared" si="79"/>
        <v>-735</v>
      </c>
    </row>
    <row r="1262" spans="1:12" x14ac:dyDescent="0.35">
      <c r="A1262">
        <v>1275</v>
      </c>
      <c r="B1262" t="s">
        <v>2727</v>
      </c>
      <c r="C1262" t="s">
        <v>10309</v>
      </c>
      <c r="D1262" t="s">
        <v>2728</v>
      </c>
      <c r="E1262" t="s">
        <v>1787</v>
      </c>
      <c r="F1262" t="s">
        <v>2210</v>
      </c>
      <c r="G1262" t="s">
        <v>12537</v>
      </c>
      <c r="I1262" t="str">
        <f t="shared" si="76"/>
        <v>735</v>
      </c>
      <c r="J1262" t="str">
        <f t="shared" si="77"/>
        <v>BC</v>
      </c>
      <c r="K1262">
        <f t="shared" si="78"/>
        <v>-735</v>
      </c>
      <c r="L1262">
        <f t="shared" si="79"/>
        <v>-735</v>
      </c>
    </row>
    <row r="1263" spans="1:12" x14ac:dyDescent="0.35">
      <c r="A1263">
        <v>1276</v>
      </c>
      <c r="B1263" t="s">
        <v>2729</v>
      </c>
      <c r="C1263" t="s">
        <v>10310</v>
      </c>
      <c r="D1263" t="s">
        <v>2730</v>
      </c>
      <c r="E1263" t="s">
        <v>1750</v>
      </c>
      <c r="F1263" t="s">
        <v>2731</v>
      </c>
      <c r="G1263" t="s">
        <v>112</v>
      </c>
      <c r="I1263" t="str">
        <f t="shared" si="76"/>
        <v>735-715</v>
      </c>
      <c r="J1263" t="str">
        <f t="shared" si="77"/>
        <v>BC</v>
      </c>
      <c r="K1263">
        <f t="shared" si="78"/>
        <v>-735</v>
      </c>
      <c r="L1263">
        <f t="shared" si="79"/>
        <v>-715</v>
      </c>
    </row>
    <row r="1264" spans="1:12" x14ac:dyDescent="0.35">
      <c r="A1264">
        <v>1277</v>
      </c>
      <c r="B1264" t="s">
        <v>2732</v>
      </c>
      <c r="C1264" t="s">
        <v>10311</v>
      </c>
      <c r="D1264" t="s">
        <v>2733</v>
      </c>
      <c r="E1264" t="s">
        <v>1211</v>
      </c>
      <c r="F1264" t="s">
        <v>2275</v>
      </c>
      <c r="G1264" t="s">
        <v>112</v>
      </c>
      <c r="I1264" t="str">
        <f t="shared" si="76"/>
        <v>702</v>
      </c>
      <c r="J1264" t="str">
        <f t="shared" si="77"/>
        <v>BC</v>
      </c>
      <c r="K1264">
        <f t="shared" si="78"/>
        <v>-702</v>
      </c>
      <c r="L1264">
        <f t="shared" si="79"/>
        <v>-702</v>
      </c>
    </row>
    <row r="1265" spans="1:12" x14ac:dyDescent="0.35">
      <c r="A1265">
        <v>1278</v>
      </c>
      <c r="B1265" t="s">
        <v>2734</v>
      </c>
      <c r="C1265" t="s">
        <v>10312</v>
      </c>
      <c r="D1265" t="s">
        <v>2733</v>
      </c>
      <c r="E1265" t="s">
        <v>1211</v>
      </c>
      <c r="F1265" t="s">
        <v>2275</v>
      </c>
      <c r="G1265" t="s">
        <v>112</v>
      </c>
      <c r="I1265" t="str">
        <f t="shared" si="76"/>
        <v>702</v>
      </c>
      <c r="J1265" t="str">
        <f t="shared" si="77"/>
        <v>BC</v>
      </c>
      <c r="K1265">
        <f t="shared" si="78"/>
        <v>-702</v>
      </c>
      <c r="L1265">
        <f t="shared" si="79"/>
        <v>-702</v>
      </c>
    </row>
    <row r="1266" spans="1:12" x14ac:dyDescent="0.35">
      <c r="A1266">
        <v>1279</v>
      </c>
      <c r="B1266" t="s">
        <v>2735</v>
      </c>
      <c r="C1266" t="s">
        <v>10293</v>
      </c>
      <c r="D1266" t="s">
        <v>2736</v>
      </c>
      <c r="E1266" t="s">
        <v>1211</v>
      </c>
      <c r="F1266" t="s">
        <v>2275</v>
      </c>
      <c r="G1266" t="s">
        <v>12539</v>
      </c>
      <c r="I1266" t="str">
        <f t="shared" si="76"/>
        <v>702</v>
      </c>
      <c r="J1266" t="str">
        <f t="shared" si="77"/>
        <v>BC</v>
      </c>
      <c r="K1266">
        <f t="shared" si="78"/>
        <v>-702</v>
      </c>
      <c r="L1266">
        <f t="shared" si="79"/>
        <v>-702</v>
      </c>
    </row>
    <row r="1267" spans="1:12" x14ac:dyDescent="0.35">
      <c r="A1267">
        <v>1280</v>
      </c>
      <c r="B1267" t="s">
        <v>2737</v>
      </c>
      <c r="C1267" t="s">
        <v>10215</v>
      </c>
      <c r="D1267" t="s">
        <v>2736</v>
      </c>
      <c r="E1267" t="s">
        <v>1750</v>
      </c>
      <c r="F1267" t="s">
        <v>2235</v>
      </c>
      <c r="G1267" t="s">
        <v>112</v>
      </c>
      <c r="I1267" t="str">
        <f t="shared" si="76"/>
        <v>715-686</v>
      </c>
      <c r="J1267" t="str">
        <f t="shared" si="77"/>
        <v>BC</v>
      </c>
      <c r="K1267">
        <f t="shared" si="78"/>
        <v>-715</v>
      </c>
      <c r="L1267">
        <f t="shared" si="79"/>
        <v>-686</v>
      </c>
    </row>
    <row r="1268" spans="1:12" x14ac:dyDescent="0.35">
      <c r="A1268">
        <v>1281</v>
      </c>
      <c r="B1268" t="s">
        <v>2738</v>
      </c>
      <c r="C1268" t="s">
        <v>10181</v>
      </c>
      <c r="D1268" t="s">
        <v>2739</v>
      </c>
      <c r="E1268" t="s">
        <v>1211</v>
      </c>
      <c r="F1268" t="s">
        <v>2235</v>
      </c>
      <c r="G1268" t="s">
        <v>112</v>
      </c>
      <c r="I1268" t="str">
        <f t="shared" ref="I1268:I1331" si="80">SUBSTITUTE(SUBSTITUTE(SUBSTITUTE(F1268,"c. ","")," BC","")," AD","")</f>
        <v>715-686</v>
      </c>
      <c r="J1268" t="str">
        <f t="shared" si="77"/>
        <v>BC</v>
      </c>
      <c r="K1268">
        <f t="shared" si="78"/>
        <v>-715</v>
      </c>
      <c r="L1268">
        <f t="shared" si="79"/>
        <v>-686</v>
      </c>
    </row>
    <row r="1269" spans="1:12" x14ac:dyDescent="0.35">
      <c r="A1269">
        <v>1282</v>
      </c>
      <c r="B1269" t="s">
        <v>2740</v>
      </c>
      <c r="C1269" t="s">
        <v>10313</v>
      </c>
      <c r="D1269" t="s">
        <v>2741</v>
      </c>
      <c r="E1269" t="s">
        <v>1750</v>
      </c>
      <c r="F1269" t="s">
        <v>2235</v>
      </c>
      <c r="G1269" t="s">
        <v>112</v>
      </c>
      <c r="I1269" t="str">
        <f t="shared" si="80"/>
        <v>715-686</v>
      </c>
      <c r="J1269" t="str">
        <f t="shared" si="77"/>
        <v>BC</v>
      </c>
      <c r="K1269">
        <f t="shared" si="78"/>
        <v>-715</v>
      </c>
      <c r="L1269">
        <f t="shared" si="79"/>
        <v>-686</v>
      </c>
    </row>
    <row r="1270" spans="1:12" x14ac:dyDescent="0.35">
      <c r="A1270">
        <v>1283</v>
      </c>
      <c r="B1270" t="s">
        <v>2742</v>
      </c>
      <c r="C1270" t="s">
        <v>11405</v>
      </c>
      <c r="D1270" t="s">
        <v>2743</v>
      </c>
      <c r="E1270" t="s">
        <v>1211</v>
      </c>
      <c r="F1270" t="s">
        <v>2239</v>
      </c>
      <c r="G1270" t="s">
        <v>2744</v>
      </c>
      <c r="I1270" t="str">
        <f t="shared" si="80"/>
        <v>701</v>
      </c>
      <c r="J1270" t="str">
        <f t="shared" si="77"/>
        <v>BC</v>
      </c>
      <c r="K1270">
        <f t="shared" si="78"/>
        <v>-701</v>
      </c>
      <c r="L1270">
        <f t="shared" si="79"/>
        <v>-701</v>
      </c>
    </row>
    <row r="1271" spans="1:12" x14ac:dyDescent="0.35">
      <c r="A1271">
        <v>1284</v>
      </c>
      <c r="B1271" t="s">
        <v>2745</v>
      </c>
      <c r="C1271" t="s">
        <v>10270</v>
      </c>
      <c r="D1271" t="s">
        <v>2743</v>
      </c>
      <c r="E1271" t="s">
        <v>1750</v>
      </c>
      <c r="F1271" t="s">
        <v>2235</v>
      </c>
      <c r="G1271" t="s">
        <v>112</v>
      </c>
      <c r="I1271" t="str">
        <f t="shared" si="80"/>
        <v>715-686</v>
      </c>
      <c r="J1271" t="str">
        <f t="shared" si="77"/>
        <v>BC</v>
      </c>
      <c r="K1271">
        <f t="shared" si="78"/>
        <v>-715</v>
      </c>
      <c r="L1271">
        <f t="shared" si="79"/>
        <v>-686</v>
      </c>
    </row>
    <row r="1272" spans="1:12" x14ac:dyDescent="0.35">
      <c r="A1272">
        <v>1285</v>
      </c>
      <c r="B1272" t="s">
        <v>2286</v>
      </c>
      <c r="C1272" t="s">
        <v>10037</v>
      </c>
      <c r="D1272" t="s">
        <v>2746</v>
      </c>
      <c r="E1272" t="s">
        <v>1211</v>
      </c>
      <c r="F1272" t="s">
        <v>2284</v>
      </c>
      <c r="G1272" t="s">
        <v>12471</v>
      </c>
      <c r="I1272" t="str">
        <f t="shared" si="80"/>
        <v>622</v>
      </c>
      <c r="J1272" t="str">
        <f t="shared" si="77"/>
        <v>BC</v>
      </c>
      <c r="K1272">
        <f t="shared" si="78"/>
        <v>-622</v>
      </c>
      <c r="L1272">
        <f t="shared" si="79"/>
        <v>-622</v>
      </c>
    </row>
    <row r="1273" spans="1:12" x14ac:dyDescent="0.35">
      <c r="A1273">
        <v>1286</v>
      </c>
      <c r="B1273" t="s">
        <v>2288</v>
      </c>
      <c r="C1273" t="s">
        <v>10256</v>
      </c>
      <c r="D1273" t="s">
        <v>2747</v>
      </c>
      <c r="E1273" t="s">
        <v>1211</v>
      </c>
      <c r="F1273" t="s">
        <v>2284</v>
      </c>
      <c r="G1273" t="s">
        <v>12471</v>
      </c>
      <c r="I1273" t="str">
        <f t="shared" si="80"/>
        <v>622</v>
      </c>
      <c r="J1273" t="str">
        <f t="shared" si="77"/>
        <v>BC</v>
      </c>
      <c r="K1273">
        <f t="shared" si="78"/>
        <v>-622</v>
      </c>
      <c r="L1273">
        <f t="shared" si="79"/>
        <v>-622</v>
      </c>
    </row>
    <row r="1274" spans="1:12" x14ac:dyDescent="0.35">
      <c r="A1274">
        <v>1287</v>
      </c>
      <c r="B1274" t="s">
        <v>2748</v>
      </c>
      <c r="C1274" t="s">
        <v>11269</v>
      </c>
      <c r="D1274" t="s">
        <v>2749</v>
      </c>
      <c r="E1274" t="s">
        <v>1211</v>
      </c>
      <c r="F1274" t="s">
        <v>2284</v>
      </c>
      <c r="G1274" t="s">
        <v>2750</v>
      </c>
      <c r="I1274" t="str">
        <f t="shared" si="80"/>
        <v>622</v>
      </c>
      <c r="J1274" t="str">
        <f t="shared" si="77"/>
        <v>BC</v>
      </c>
      <c r="K1274">
        <f t="shared" si="78"/>
        <v>-622</v>
      </c>
      <c r="L1274">
        <f t="shared" si="79"/>
        <v>-622</v>
      </c>
    </row>
    <row r="1275" spans="1:12" x14ac:dyDescent="0.35">
      <c r="A1275">
        <v>1288</v>
      </c>
      <c r="B1275" t="s">
        <v>2751</v>
      </c>
      <c r="C1275" t="s">
        <v>10719</v>
      </c>
      <c r="D1275" t="s">
        <v>2752</v>
      </c>
      <c r="E1275" t="s">
        <v>2753</v>
      </c>
      <c r="F1275" t="s">
        <v>2754</v>
      </c>
      <c r="G1275" t="s">
        <v>12483</v>
      </c>
      <c r="I1275" t="str">
        <f t="shared" si="80"/>
        <v>609</v>
      </c>
      <c r="J1275" t="str">
        <f t="shared" si="77"/>
        <v>BC</v>
      </c>
      <c r="K1275">
        <f t="shared" si="78"/>
        <v>-609</v>
      </c>
      <c r="L1275">
        <f t="shared" si="79"/>
        <v>-609</v>
      </c>
    </row>
    <row r="1276" spans="1:12" x14ac:dyDescent="0.35">
      <c r="A1276">
        <v>1289</v>
      </c>
      <c r="B1276" t="s">
        <v>2755</v>
      </c>
      <c r="C1276" t="s">
        <v>10314</v>
      </c>
      <c r="D1276" t="s">
        <v>2756</v>
      </c>
      <c r="E1276" t="s">
        <v>2753</v>
      </c>
      <c r="F1276" t="s">
        <v>2754</v>
      </c>
      <c r="G1276" t="s">
        <v>2292</v>
      </c>
      <c r="I1276" t="str">
        <f t="shared" si="80"/>
        <v>609</v>
      </c>
      <c r="J1276" t="str">
        <f t="shared" si="77"/>
        <v>BC</v>
      </c>
      <c r="K1276">
        <f t="shared" si="78"/>
        <v>-609</v>
      </c>
      <c r="L1276">
        <f t="shared" si="79"/>
        <v>-609</v>
      </c>
    </row>
    <row r="1277" spans="1:12" x14ac:dyDescent="0.35">
      <c r="A1277">
        <v>1290</v>
      </c>
      <c r="B1277" t="s">
        <v>2757</v>
      </c>
      <c r="C1277" t="s">
        <v>11139</v>
      </c>
      <c r="D1277" t="s">
        <v>2758</v>
      </c>
      <c r="E1277" t="s">
        <v>2753</v>
      </c>
      <c r="F1277" t="s">
        <v>2754</v>
      </c>
      <c r="G1277" t="s">
        <v>112</v>
      </c>
      <c r="I1277" t="str">
        <f t="shared" si="80"/>
        <v>609</v>
      </c>
      <c r="J1277" t="str">
        <f t="shared" si="77"/>
        <v>BC</v>
      </c>
      <c r="K1277">
        <f t="shared" si="78"/>
        <v>-609</v>
      </c>
      <c r="L1277">
        <f t="shared" si="79"/>
        <v>-609</v>
      </c>
    </row>
    <row r="1278" spans="1:12" x14ac:dyDescent="0.35">
      <c r="A1278">
        <v>1291</v>
      </c>
      <c r="B1278" t="s">
        <v>2759</v>
      </c>
      <c r="C1278" t="s">
        <v>10315</v>
      </c>
      <c r="D1278" t="s">
        <v>2760</v>
      </c>
      <c r="E1278" t="s">
        <v>2761</v>
      </c>
      <c r="F1278" t="s">
        <v>2762</v>
      </c>
      <c r="G1278" t="s">
        <v>112</v>
      </c>
      <c r="H1278" t="s">
        <v>10869</v>
      </c>
      <c r="I1278" t="str">
        <f t="shared" si="80"/>
        <v>538</v>
      </c>
      <c r="J1278" t="str">
        <f t="shared" si="77"/>
        <v>BC</v>
      </c>
      <c r="K1278">
        <f t="shared" si="78"/>
        <v>-538</v>
      </c>
      <c r="L1278">
        <f t="shared" si="79"/>
        <v>-538</v>
      </c>
    </row>
    <row r="1279" spans="1:12" x14ac:dyDescent="0.35">
      <c r="A1279">
        <v>1292</v>
      </c>
      <c r="B1279" t="s">
        <v>2763</v>
      </c>
      <c r="C1279" t="s">
        <v>11406</v>
      </c>
      <c r="D1279" t="s">
        <v>2764</v>
      </c>
      <c r="E1279" t="s">
        <v>2765</v>
      </c>
      <c r="F1279" t="s">
        <v>2762</v>
      </c>
      <c r="G1279" t="s">
        <v>2766</v>
      </c>
      <c r="I1279" t="str">
        <f t="shared" si="80"/>
        <v>538</v>
      </c>
      <c r="J1279" t="str">
        <f t="shared" si="77"/>
        <v>BC</v>
      </c>
      <c r="K1279">
        <f t="shared" si="78"/>
        <v>-538</v>
      </c>
      <c r="L1279">
        <f t="shared" si="79"/>
        <v>-538</v>
      </c>
    </row>
    <row r="1280" spans="1:12" x14ac:dyDescent="0.35">
      <c r="A1280">
        <v>1293</v>
      </c>
      <c r="B1280" t="s">
        <v>2767</v>
      </c>
      <c r="C1280" t="s">
        <v>10246</v>
      </c>
      <c r="D1280" t="s">
        <v>2768</v>
      </c>
      <c r="E1280" t="s">
        <v>2769</v>
      </c>
      <c r="F1280" t="s">
        <v>2762</v>
      </c>
      <c r="G1280" t="s">
        <v>112</v>
      </c>
      <c r="I1280" t="str">
        <f t="shared" si="80"/>
        <v>538</v>
      </c>
      <c r="J1280" t="str">
        <f t="shared" si="77"/>
        <v>BC</v>
      </c>
      <c r="K1280">
        <f t="shared" si="78"/>
        <v>-538</v>
      </c>
      <c r="L1280">
        <f t="shared" si="79"/>
        <v>-538</v>
      </c>
    </row>
    <row r="1281" spans="1:12" x14ac:dyDescent="0.35">
      <c r="A1281">
        <v>1294</v>
      </c>
      <c r="B1281" t="s">
        <v>3126</v>
      </c>
      <c r="C1281" t="s">
        <v>10315</v>
      </c>
      <c r="D1281" t="s">
        <v>3127</v>
      </c>
      <c r="E1281" t="s">
        <v>2761</v>
      </c>
      <c r="F1281" t="s">
        <v>2762</v>
      </c>
      <c r="G1281" t="s">
        <v>112</v>
      </c>
      <c r="H1281" t="s">
        <v>10869</v>
      </c>
      <c r="I1281" t="str">
        <f t="shared" si="80"/>
        <v>538</v>
      </c>
      <c r="J1281" t="str">
        <f t="shared" si="77"/>
        <v>BC</v>
      </c>
      <c r="K1281">
        <f t="shared" si="78"/>
        <v>-538</v>
      </c>
      <c r="L1281">
        <f t="shared" si="79"/>
        <v>-538</v>
      </c>
    </row>
    <row r="1282" spans="1:12" x14ac:dyDescent="0.35">
      <c r="A1282">
        <v>1295</v>
      </c>
      <c r="B1282" t="s">
        <v>3128</v>
      </c>
      <c r="C1282" t="s">
        <v>11407</v>
      </c>
      <c r="D1282" t="s">
        <v>3129</v>
      </c>
      <c r="E1282" t="s">
        <v>2761</v>
      </c>
      <c r="F1282" t="s">
        <v>2762</v>
      </c>
      <c r="G1282" t="s">
        <v>12484</v>
      </c>
      <c r="I1282" t="str">
        <f t="shared" si="80"/>
        <v>538</v>
      </c>
      <c r="J1282" t="str">
        <f t="shared" ref="J1282:J1345" si="81">RIGHT(F1282, 2)</f>
        <v>BC</v>
      </c>
      <c r="K1282">
        <f t="shared" ref="K1282:K1345" si="82">IF(J1282="BC", 0-IF(ISERROR(FIND("-",I1282)),I1282,LEFT(I1282,FIND("-",I1282)-1)), IF(ISERROR(FIND("-",I1282)),I1282,LEFT(I1282,FIND("-",I1282)-1)))</f>
        <v>-538</v>
      </c>
      <c r="L1282">
        <f t="shared" ref="L1282:L1345" si="83">IF(J1282="BC", 0-IF(ISERROR(FIND("-",I1282)),I1282,RIGHT(I1282,FIND("-",I1282)-1)), IF(ISERROR(FIND("-",I1282)),I1282,RIGHT(I1282,FIND("-",I1282)-1)))</f>
        <v>-538</v>
      </c>
    </row>
    <row r="1283" spans="1:12" x14ac:dyDescent="0.35">
      <c r="A1283">
        <v>1296</v>
      </c>
      <c r="B1283" t="s">
        <v>2767</v>
      </c>
      <c r="C1283" t="s">
        <v>10246</v>
      </c>
      <c r="D1283" t="s">
        <v>3127</v>
      </c>
      <c r="E1283" t="s">
        <v>3130</v>
      </c>
      <c r="F1283" t="s">
        <v>2762</v>
      </c>
      <c r="G1283" t="s">
        <v>112</v>
      </c>
      <c r="I1283" t="str">
        <f t="shared" si="80"/>
        <v>538</v>
      </c>
      <c r="J1283" t="str">
        <f t="shared" si="81"/>
        <v>BC</v>
      </c>
      <c r="K1283">
        <f t="shared" si="82"/>
        <v>-538</v>
      </c>
      <c r="L1283">
        <f t="shared" si="83"/>
        <v>-538</v>
      </c>
    </row>
    <row r="1284" spans="1:12" x14ac:dyDescent="0.35">
      <c r="A1284">
        <v>1297</v>
      </c>
      <c r="B1284" t="s">
        <v>3131</v>
      </c>
      <c r="C1284" t="s">
        <v>11408</v>
      </c>
      <c r="D1284" t="s">
        <v>3132</v>
      </c>
      <c r="E1284" t="s">
        <v>3133</v>
      </c>
      <c r="F1284" t="s">
        <v>2762</v>
      </c>
      <c r="G1284" t="s">
        <v>112</v>
      </c>
      <c r="I1284" t="str">
        <f t="shared" si="80"/>
        <v>538</v>
      </c>
      <c r="J1284" t="str">
        <f t="shared" si="81"/>
        <v>BC</v>
      </c>
      <c r="K1284">
        <f t="shared" si="82"/>
        <v>-538</v>
      </c>
      <c r="L1284">
        <f t="shared" si="83"/>
        <v>-538</v>
      </c>
    </row>
    <row r="1285" spans="1:12" x14ac:dyDescent="0.35">
      <c r="A1285">
        <v>1298</v>
      </c>
      <c r="B1285" t="s">
        <v>3134</v>
      </c>
      <c r="C1285" t="s">
        <v>10315</v>
      </c>
      <c r="D1285" t="s">
        <v>3132</v>
      </c>
      <c r="E1285" t="s">
        <v>3133</v>
      </c>
      <c r="F1285" t="s">
        <v>2762</v>
      </c>
      <c r="G1285" t="s">
        <v>112</v>
      </c>
      <c r="I1285" t="str">
        <f t="shared" si="80"/>
        <v>538</v>
      </c>
      <c r="J1285" t="str">
        <f t="shared" si="81"/>
        <v>BC</v>
      </c>
      <c r="K1285">
        <f t="shared" si="82"/>
        <v>-538</v>
      </c>
      <c r="L1285">
        <f t="shared" si="83"/>
        <v>-538</v>
      </c>
    </row>
    <row r="1286" spans="1:12" x14ac:dyDescent="0.35">
      <c r="A1286">
        <v>1299</v>
      </c>
      <c r="B1286" t="s">
        <v>3135</v>
      </c>
      <c r="C1286" t="s">
        <v>10316</v>
      </c>
      <c r="D1286" t="s">
        <v>3136</v>
      </c>
      <c r="E1286" t="s">
        <v>3137</v>
      </c>
      <c r="F1286" t="s">
        <v>2762</v>
      </c>
      <c r="G1286" t="s">
        <v>112</v>
      </c>
      <c r="I1286" t="str">
        <f t="shared" si="80"/>
        <v>538</v>
      </c>
      <c r="J1286" t="str">
        <f t="shared" si="81"/>
        <v>BC</v>
      </c>
      <c r="K1286">
        <f t="shared" si="82"/>
        <v>-538</v>
      </c>
      <c r="L1286">
        <f t="shared" si="83"/>
        <v>-538</v>
      </c>
    </row>
    <row r="1287" spans="1:12" x14ac:dyDescent="0.35">
      <c r="A1287">
        <v>1300</v>
      </c>
      <c r="B1287" t="s">
        <v>3138</v>
      </c>
      <c r="C1287" t="s">
        <v>11409</v>
      </c>
      <c r="D1287" t="s">
        <v>3139</v>
      </c>
      <c r="E1287" t="s">
        <v>3140</v>
      </c>
      <c r="F1287" t="s">
        <v>2762</v>
      </c>
      <c r="G1287" t="s">
        <v>112</v>
      </c>
      <c r="I1287" t="str">
        <f t="shared" si="80"/>
        <v>538</v>
      </c>
      <c r="J1287" t="str">
        <f t="shared" si="81"/>
        <v>BC</v>
      </c>
      <c r="K1287">
        <f t="shared" si="82"/>
        <v>-538</v>
      </c>
      <c r="L1287">
        <f t="shared" si="83"/>
        <v>-538</v>
      </c>
    </row>
    <row r="1288" spans="1:12" x14ac:dyDescent="0.35">
      <c r="A1288">
        <v>1301</v>
      </c>
      <c r="B1288" t="s">
        <v>3141</v>
      </c>
      <c r="C1288" t="s">
        <v>11410</v>
      </c>
      <c r="D1288" t="s">
        <v>3142</v>
      </c>
      <c r="E1288" t="s">
        <v>3143</v>
      </c>
      <c r="F1288" t="s">
        <v>2762</v>
      </c>
      <c r="G1288" t="s">
        <v>112</v>
      </c>
      <c r="I1288" t="str">
        <f t="shared" si="80"/>
        <v>538</v>
      </c>
      <c r="J1288" t="str">
        <f t="shared" si="81"/>
        <v>BC</v>
      </c>
      <c r="K1288">
        <f t="shared" si="82"/>
        <v>-538</v>
      </c>
      <c r="L1288">
        <f t="shared" si="83"/>
        <v>-538</v>
      </c>
    </row>
    <row r="1289" spans="1:12" x14ac:dyDescent="0.35">
      <c r="A1289">
        <v>1302</v>
      </c>
      <c r="B1289" t="s">
        <v>3144</v>
      </c>
      <c r="C1289" t="s">
        <v>11411</v>
      </c>
      <c r="D1289" t="s">
        <v>3145</v>
      </c>
      <c r="E1289" t="s">
        <v>1211</v>
      </c>
      <c r="F1289" t="s">
        <v>3146</v>
      </c>
      <c r="G1289" t="s">
        <v>12485</v>
      </c>
      <c r="I1289" t="str">
        <f t="shared" si="80"/>
        <v>537</v>
      </c>
      <c r="J1289" t="str">
        <f t="shared" si="81"/>
        <v>BC</v>
      </c>
      <c r="K1289">
        <f t="shared" si="82"/>
        <v>-537</v>
      </c>
      <c r="L1289">
        <f t="shared" si="83"/>
        <v>-537</v>
      </c>
    </row>
    <row r="1290" spans="1:12" x14ac:dyDescent="0.35">
      <c r="A1290">
        <v>1303</v>
      </c>
      <c r="B1290" t="s">
        <v>3147</v>
      </c>
      <c r="C1290" t="s">
        <v>10317</v>
      </c>
      <c r="D1290" t="s">
        <v>3148</v>
      </c>
      <c r="E1290" t="s">
        <v>1211</v>
      </c>
      <c r="F1290" t="s">
        <v>3146</v>
      </c>
      <c r="G1290" t="s">
        <v>12486</v>
      </c>
      <c r="I1290" t="str">
        <f t="shared" si="80"/>
        <v>537</v>
      </c>
      <c r="J1290" t="str">
        <f t="shared" si="81"/>
        <v>BC</v>
      </c>
      <c r="K1290">
        <f t="shared" si="82"/>
        <v>-537</v>
      </c>
      <c r="L1290">
        <f t="shared" si="83"/>
        <v>-537</v>
      </c>
    </row>
    <row r="1291" spans="1:12" x14ac:dyDescent="0.35">
      <c r="A1291">
        <v>1304</v>
      </c>
      <c r="B1291" t="s">
        <v>3149</v>
      </c>
      <c r="C1291" t="s">
        <v>11412</v>
      </c>
      <c r="D1291" t="s">
        <v>3150</v>
      </c>
      <c r="E1291" t="s">
        <v>1211</v>
      </c>
      <c r="F1291" t="s">
        <v>3151</v>
      </c>
      <c r="G1291" t="s">
        <v>3152</v>
      </c>
      <c r="I1291" t="str">
        <f t="shared" si="80"/>
        <v>536</v>
      </c>
      <c r="J1291" t="str">
        <f t="shared" si="81"/>
        <v>BC</v>
      </c>
      <c r="K1291">
        <f t="shared" si="82"/>
        <v>-536</v>
      </c>
      <c r="L1291">
        <f t="shared" si="83"/>
        <v>-536</v>
      </c>
    </row>
    <row r="1292" spans="1:12" x14ac:dyDescent="0.35">
      <c r="A1292">
        <v>1305</v>
      </c>
      <c r="B1292" t="s">
        <v>3153</v>
      </c>
      <c r="C1292" t="s">
        <v>10318</v>
      </c>
      <c r="D1292" t="s">
        <v>3154</v>
      </c>
      <c r="E1292" t="s">
        <v>1211</v>
      </c>
      <c r="F1292" t="s">
        <v>3151</v>
      </c>
      <c r="G1292" t="s">
        <v>12487</v>
      </c>
      <c r="I1292" t="str">
        <f t="shared" si="80"/>
        <v>536</v>
      </c>
      <c r="J1292" t="str">
        <f t="shared" si="81"/>
        <v>BC</v>
      </c>
      <c r="K1292">
        <f t="shared" si="82"/>
        <v>-536</v>
      </c>
      <c r="L1292">
        <f t="shared" si="83"/>
        <v>-536</v>
      </c>
    </row>
    <row r="1293" spans="1:12" x14ac:dyDescent="0.35">
      <c r="A1293">
        <v>1306</v>
      </c>
      <c r="B1293" t="s">
        <v>3155</v>
      </c>
      <c r="C1293" t="s">
        <v>11413</v>
      </c>
      <c r="D1293" t="s">
        <v>3156</v>
      </c>
      <c r="E1293" t="s">
        <v>1211</v>
      </c>
      <c r="F1293" t="s">
        <v>3157</v>
      </c>
      <c r="G1293" t="s">
        <v>3158</v>
      </c>
      <c r="I1293" t="str">
        <f t="shared" si="80"/>
        <v>530-522</v>
      </c>
      <c r="J1293" t="str">
        <f t="shared" si="81"/>
        <v>BC</v>
      </c>
      <c r="K1293">
        <f t="shared" si="82"/>
        <v>-530</v>
      </c>
      <c r="L1293">
        <f t="shared" si="83"/>
        <v>-522</v>
      </c>
    </row>
    <row r="1294" spans="1:12" x14ac:dyDescent="0.35">
      <c r="A1294">
        <v>1307</v>
      </c>
      <c r="B1294" t="s">
        <v>3159</v>
      </c>
      <c r="C1294" t="s">
        <v>11414</v>
      </c>
      <c r="D1294" t="s">
        <v>3160</v>
      </c>
      <c r="E1294" t="s">
        <v>1211</v>
      </c>
      <c r="F1294" t="s">
        <v>3161</v>
      </c>
      <c r="G1294" t="s">
        <v>3162</v>
      </c>
      <c r="I1294" t="str">
        <f t="shared" si="80"/>
        <v>464-520</v>
      </c>
      <c r="J1294" t="str">
        <f t="shared" si="81"/>
        <v>BC</v>
      </c>
      <c r="K1294">
        <f t="shared" si="82"/>
        <v>-464</v>
      </c>
      <c r="L1294">
        <f t="shared" si="83"/>
        <v>-520</v>
      </c>
    </row>
    <row r="1295" spans="1:12" x14ac:dyDescent="0.35">
      <c r="A1295">
        <v>1308</v>
      </c>
      <c r="B1295" t="s">
        <v>3163</v>
      </c>
      <c r="C1295" t="s">
        <v>11240</v>
      </c>
      <c r="D1295" t="s">
        <v>3164</v>
      </c>
      <c r="E1295" t="s">
        <v>1211</v>
      </c>
      <c r="F1295" t="s">
        <v>3165</v>
      </c>
      <c r="G1295" t="s">
        <v>12468</v>
      </c>
      <c r="I1295" t="str">
        <f t="shared" si="80"/>
        <v>520</v>
      </c>
      <c r="J1295" t="str">
        <f t="shared" si="81"/>
        <v>BC</v>
      </c>
      <c r="K1295">
        <f t="shared" si="82"/>
        <v>-520</v>
      </c>
      <c r="L1295">
        <f t="shared" si="83"/>
        <v>-520</v>
      </c>
    </row>
    <row r="1296" spans="1:12" x14ac:dyDescent="0.35">
      <c r="A1296">
        <v>1309</v>
      </c>
      <c r="B1296" t="s">
        <v>3166</v>
      </c>
      <c r="C1296" t="s">
        <v>10319</v>
      </c>
      <c r="D1296" t="s">
        <v>3167</v>
      </c>
      <c r="E1296" t="s">
        <v>1211</v>
      </c>
      <c r="F1296" t="s">
        <v>3165</v>
      </c>
      <c r="G1296" t="s">
        <v>112</v>
      </c>
      <c r="I1296" t="str">
        <f t="shared" si="80"/>
        <v>520</v>
      </c>
      <c r="J1296" t="str">
        <f t="shared" si="81"/>
        <v>BC</v>
      </c>
      <c r="K1296">
        <f t="shared" si="82"/>
        <v>-520</v>
      </c>
      <c r="L1296">
        <f t="shared" si="83"/>
        <v>-520</v>
      </c>
    </row>
    <row r="1297" spans="1:13" x14ac:dyDescent="0.35">
      <c r="A1297">
        <v>1310</v>
      </c>
      <c r="B1297" t="s">
        <v>3168</v>
      </c>
      <c r="C1297" t="s">
        <v>11415</v>
      </c>
      <c r="D1297" t="s">
        <v>3167</v>
      </c>
      <c r="E1297" t="s">
        <v>1211</v>
      </c>
      <c r="F1297" t="s">
        <v>3165</v>
      </c>
      <c r="G1297" t="s">
        <v>12468</v>
      </c>
      <c r="I1297" t="str">
        <f t="shared" si="80"/>
        <v>520</v>
      </c>
      <c r="J1297" t="str">
        <f t="shared" si="81"/>
        <v>BC</v>
      </c>
      <c r="K1297">
        <f t="shared" si="82"/>
        <v>-520</v>
      </c>
      <c r="L1297">
        <f t="shared" si="83"/>
        <v>-520</v>
      </c>
    </row>
    <row r="1298" spans="1:13" x14ac:dyDescent="0.35">
      <c r="A1298">
        <v>1311</v>
      </c>
      <c r="B1298" t="s">
        <v>3169</v>
      </c>
      <c r="C1298" t="s">
        <v>11416</v>
      </c>
      <c r="D1298" t="s">
        <v>3170</v>
      </c>
      <c r="E1298" t="s">
        <v>1211</v>
      </c>
      <c r="F1298" t="s">
        <v>3165</v>
      </c>
      <c r="G1298" t="s">
        <v>112</v>
      </c>
      <c r="I1298" t="str">
        <f t="shared" si="80"/>
        <v>520</v>
      </c>
      <c r="J1298" t="str">
        <f t="shared" si="81"/>
        <v>BC</v>
      </c>
      <c r="K1298">
        <f t="shared" si="82"/>
        <v>-520</v>
      </c>
      <c r="L1298">
        <f t="shared" si="83"/>
        <v>-520</v>
      </c>
    </row>
    <row r="1299" spans="1:13" x14ac:dyDescent="0.35">
      <c r="A1299">
        <v>1312</v>
      </c>
      <c r="B1299" t="s">
        <v>3171</v>
      </c>
      <c r="C1299" t="s">
        <v>11417</v>
      </c>
      <c r="D1299" t="s">
        <v>3170</v>
      </c>
      <c r="E1299" t="s">
        <v>1211</v>
      </c>
      <c r="F1299" t="s">
        <v>3165</v>
      </c>
      <c r="G1299" t="s">
        <v>112</v>
      </c>
      <c r="I1299" t="str">
        <f t="shared" si="80"/>
        <v>520</v>
      </c>
      <c r="J1299" t="str">
        <f t="shared" si="81"/>
        <v>BC</v>
      </c>
      <c r="K1299">
        <f t="shared" si="82"/>
        <v>-520</v>
      </c>
      <c r="L1299">
        <f t="shared" si="83"/>
        <v>-520</v>
      </c>
    </row>
    <row r="1300" spans="1:13" x14ac:dyDescent="0.35">
      <c r="A1300">
        <v>1313</v>
      </c>
      <c r="B1300" t="s">
        <v>3172</v>
      </c>
      <c r="C1300" t="s">
        <v>11418</v>
      </c>
      <c r="D1300" t="s">
        <v>3173</v>
      </c>
      <c r="E1300" t="s">
        <v>3174</v>
      </c>
      <c r="F1300" t="s">
        <v>3175</v>
      </c>
      <c r="G1300" t="s">
        <v>112</v>
      </c>
      <c r="I1300" t="str">
        <f t="shared" si="80"/>
        <v>519</v>
      </c>
      <c r="J1300" t="str">
        <f t="shared" si="81"/>
        <v>BC</v>
      </c>
      <c r="K1300">
        <f t="shared" si="82"/>
        <v>-519</v>
      </c>
      <c r="L1300">
        <f t="shared" si="83"/>
        <v>-519</v>
      </c>
    </row>
    <row r="1301" spans="1:13" x14ac:dyDescent="0.35">
      <c r="A1301">
        <v>1314</v>
      </c>
      <c r="B1301" t="s">
        <v>3176</v>
      </c>
      <c r="C1301" t="s">
        <v>10320</v>
      </c>
      <c r="D1301" t="s">
        <v>3177</v>
      </c>
      <c r="E1301" t="s">
        <v>2761</v>
      </c>
      <c r="F1301" t="s">
        <v>3175</v>
      </c>
      <c r="G1301" t="s">
        <v>3178</v>
      </c>
      <c r="I1301" t="str">
        <f t="shared" si="80"/>
        <v>519</v>
      </c>
      <c r="J1301" t="str">
        <f t="shared" si="81"/>
        <v>BC</v>
      </c>
      <c r="K1301">
        <f t="shared" si="82"/>
        <v>-519</v>
      </c>
      <c r="L1301">
        <f t="shared" si="83"/>
        <v>-519</v>
      </c>
    </row>
    <row r="1302" spans="1:13" x14ac:dyDescent="0.35">
      <c r="A1302">
        <v>1315</v>
      </c>
      <c r="B1302" t="s">
        <v>3179</v>
      </c>
      <c r="C1302" t="s">
        <v>10321</v>
      </c>
      <c r="D1302" t="s">
        <v>3180</v>
      </c>
      <c r="E1302" t="s">
        <v>3181</v>
      </c>
      <c r="F1302" t="s">
        <v>3175</v>
      </c>
      <c r="G1302" t="s">
        <v>3182</v>
      </c>
      <c r="I1302" t="str">
        <f t="shared" si="80"/>
        <v>519</v>
      </c>
      <c r="J1302" t="str">
        <f t="shared" si="81"/>
        <v>BC</v>
      </c>
      <c r="K1302">
        <f t="shared" si="82"/>
        <v>-519</v>
      </c>
      <c r="L1302">
        <f t="shared" si="83"/>
        <v>-519</v>
      </c>
    </row>
    <row r="1303" spans="1:13" x14ac:dyDescent="0.35">
      <c r="A1303">
        <v>1316</v>
      </c>
      <c r="B1303" t="s">
        <v>3183</v>
      </c>
      <c r="C1303" t="s">
        <v>11419</v>
      </c>
      <c r="D1303" t="s">
        <v>3184</v>
      </c>
      <c r="E1303" t="s">
        <v>2765</v>
      </c>
      <c r="F1303" t="s">
        <v>3175</v>
      </c>
      <c r="G1303" t="s">
        <v>3185</v>
      </c>
      <c r="I1303" t="str">
        <f t="shared" si="80"/>
        <v>519</v>
      </c>
      <c r="J1303" t="str">
        <f t="shared" si="81"/>
        <v>BC</v>
      </c>
      <c r="K1303">
        <f t="shared" si="82"/>
        <v>-519</v>
      </c>
      <c r="L1303">
        <f t="shared" si="83"/>
        <v>-519</v>
      </c>
    </row>
    <row r="1304" spans="1:13" x14ac:dyDescent="0.35">
      <c r="A1304">
        <v>1317</v>
      </c>
      <c r="B1304" t="s">
        <v>3186</v>
      </c>
      <c r="C1304" t="s">
        <v>10322</v>
      </c>
      <c r="D1304" t="s">
        <v>3187</v>
      </c>
      <c r="E1304" t="s">
        <v>3188</v>
      </c>
      <c r="F1304" t="s">
        <v>3175</v>
      </c>
      <c r="G1304" t="s">
        <v>3189</v>
      </c>
      <c r="I1304" t="str">
        <f t="shared" si="80"/>
        <v>519</v>
      </c>
      <c r="J1304" t="str">
        <f t="shared" si="81"/>
        <v>BC</v>
      </c>
      <c r="K1304">
        <f t="shared" si="82"/>
        <v>-519</v>
      </c>
      <c r="L1304">
        <f t="shared" si="83"/>
        <v>-519</v>
      </c>
    </row>
    <row r="1305" spans="1:13" x14ac:dyDescent="0.35">
      <c r="A1305">
        <v>1318</v>
      </c>
      <c r="B1305" t="s">
        <v>3190</v>
      </c>
      <c r="C1305" t="s">
        <v>10066</v>
      </c>
      <c r="D1305" t="s">
        <v>3191</v>
      </c>
      <c r="E1305" t="s">
        <v>1211</v>
      </c>
      <c r="F1305" t="s">
        <v>3192</v>
      </c>
      <c r="G1305" t="s">
        <v>12468</v>
      </c>
      <c r="I1305" t="str">
        <f t="shared" si="80"/>
        <v>520-516</v>
      </c>
      <c r="J1305" t="str">
        <f t="shared" si="81"/>
        <v>BC</v>
      </c>
      <c r="K1305">
        <f t="shared" si="82"/>
        <v>-520</v>
      </c>
      <c r="L1305">
        <f t="shared" si="83"/>
        <v>-516</v>
      </c>
    </row>
    <row r="1306" spans="1:13" x14ac:dyDescent="0.35">
      <c r="A1306">
        <v>1319</v>
      </c>
      <c r="B1306" t="s">
        <v>3193</v>
      </c>
      <c r="C1306" t="s">
        <v>10288</v>
      </c>
      <c r="D1306" t="s">
        <v>3191</v>
      </c>
      <c r="E1306" t="s">
        <v>1211</v>
      </c>
      <c r="F1306" t="s">
        <v>3194</v>
      </c>
      <c r="G1306" t="s">
        <v>112</v>
      </c>
      <c r="I1306" t="str">
        <f t="shared" si="80"/>
        <v>516</v>
      </c>
      <c r="J1306" t="str">
        <f t="shared" si="81"/>
        <v>BC</v>
      </c>
      <c r="K1306">
        <f t="shared" si="82"/>
        <v>-516</v>
      </c>
      <c r="L1306">
        <f t="shared" si="83"/>
        <v>-516</v>
      </c>
      <c r="M1306" s="6">
        <v>3388</v>
      </c>
    </row>
    <row r="1307" spans="1:13" x14ac:dyDescent="0.35">
      <c r="A1307">
        <v>1320</v>
      </c>
      <c r="B1307" t="s">
        <v>3195</v>
      </c>
      <c r="C1307" t="s">
        <v>11420</v>
      </c>
      <c r="D1307" t="s">
        <v>3191</v>
      </c>
      <c r="E1307" t="s">
        <v>1211</v>
      </c>
      <c r="F1307" t="s">
        <v>3194</v>
      </c>
      <c r="G1307" t="s">
        <v>12488</v>
      </c>
      <c r="I1307" t="str">
        <f t="shared" si="80"/>
        <v>516</v>
      </c>
      <c r="J1307" t="str">
        <f t="shared" si="81"/>
        <v>BC</v>
      </c>
      <c r="K1307">
        <f t="shared" si="82"/>
        <v>-516</v>
      </c>
      <c r="L1307">
        <f t="shared" si="83"/>
        <v>-516</v>
      </c>
    </row>
    <row r="1308" spans="1:13" x14ac:dyDescent="0.35">
      <c r="A1308">
        <v>1321</v>
      </c>
      <c r="B1308" t="s">
        <v>3196</v>
      </c>
      <c r="C1308" t="s">
        <v>10174</v>
      </c>
      <c r="D1308" t="s">
        <v>3197</v>
      </c>
      <c r="E1308" t="s">
        <v>1211</v>
      </c>
      <c r="F1308" t="s">
        <v>3198</v>
      </c>
      <c r="G1308" t="s">
        <v>112</v>
      </c>
      <c r="H1308" t="s">
        <v>10870</v>
      </c>
      <c r="I1308" t="str">
        <f t="shared" si="80"/>
        <v>March 12, 515</v>
      </c>
      <c r="J1308" t="str">
        <f t="shared" si="81"/>
        <v>BC</v>
      </c>
      <c r="K1308" t="e">
        <f t="shared" si="82"/>
        <v>#VALUE!</v>
      </c>
      <c r="L1308" t="e">
        <f t="shared" si="83"/>
        <v>#VALUE!</v>
      </c>
    </row>
    <row r="1309" spans="1:13" x14ac:dyDescent="0.35">
      <c r="A1309">
        <v>1322</v>
      </c>
      <c r="B1309" t="s">
        <v>3199</v>
      </c>
      <c r="C1309" t="s">
        <v>11421</v>
      </c>
      <c r="D1309" t="s">
        <v>3200</v>
      </c>
      <c r="E1309" t="s">
        <v>1211</v>
      </c>
      <c r="F1309" t="s">
        <v>3201</v>
      </c>
      <c r="G1309" t="s">
        <v>112</v>
      </c>
      <c r="I1309" t="str">
        <f t="shared" si="80"/>
        <v>April 515</v>
      </c>
      <c r="J1309" t="str">
        <f t="shared" si="81"/>
        <v>BC</v>
      </c>
      <c r="K1309" t="e">
        <f t="shared" si="82"/>
        <v>#VALUE!</v>
      </c>
      <c r="L1309" t="e">
        <f t="shared" si="83"/>
        <v>#VALUE!</v>
      </c>
    </row>
    <row r="1310" spans="1:13" x14ac:dyDescent="0.35">
      <c r="A1310">
        <v>1323</v>
      </c>
      <c r="B1310" t="s">
        <v>3202</v>
      </c>
      <c r="C1310" t="s">
        <v>11422</v>
      </c>
      <c r="D1310" t="s">
        <v>3200</v>
      </c>
      <c r="E1310" t="s">
        <v>2765</v>
      </c>
      <c r="F1310" t="s">
        <v>3203</v>
      </c>
      <c r="G1310" t="s">
        <v>112</v>
      </c>
      <c r="I1310" t="str">
        <f t="shared" si="80"/>
        <v>515</v>
      </c>
      <c r="J1310" t="str">
        <f t="shared" si="81"/>
        <v>BC</v>
      </c>
      <c r="K1310">
        <f t="shared" si="82"/>
        <v>-515</v>
      </c>
      <c r="L1310">
        <f t="shared" si="83"/>
        <v>-515</v>
      </c>
    </row>
    <row r="1311" spans="1:13" x14ac:dyDescent="0.35">
      <c r="A1311">
        <v>1324</v>
      </c>
      <c r="B1311" t="s">
        <v>3204</v>
      </c>
      <c r="C1311" t="s">
        <v>11423</v>
      </c>
      <c r="D1311" t="s">
        <v>3200</v>
      </c>
      <c r="E1311" t="s">
        <v>1211</v>
      </c>
      <c r="F1311" t="s">
        <v>3203</v>
      </c>
      <c r="G1311" t="s">
        <v>3205</v>
      </c>
      <c r="I1311" t="str">
        <f t="shared" si="80"/>
        <v>515</v>
      </c>
      <c r="J1311" t="str">
        <f t="shared" si="81"/>
        <v>BC</v>
      </c>
      <c r="K1311">
        <f t="shared" si="82"/>
        <v>-515</v>
      </c>
      <c r="L1311">
        <f t="shared" si="83"/>
        <v>-515</v>
      </c>
    </row>
    <row r="1312" spans="1:13" x14ac:dyDescent="0.35">
      <c r="A1312">
        <v>1325</v>
      </c>
      <c r="B1312" t="s">
        <v>3206</v>
      </c>
      <c r="C1312" t="s">
        <v>11424</v>
      </c>
      <c r="D1312" t="s">
        <v>3207</v>
      </c>
      <c r="E1312" t="s">
        <v>3133</v>
      </c>
      <c r="F1312" t="s">
        <v>3208</v>
      </c>
      <c r="G1312" t="s">
        <v>112</v>
      </c>
      <c r="I1312" t="str">
        <f t="shared" si="80"/>
        <v>458</v>
      </c>
      <c r="J1312" t="str">
        <f t="shared" si="81"/>
        <v>BC</v>
      </c>
      <c r="K1312">
        <f t="shared" si="82"/>
        <v>-458</v>
      </c>
      <c r="L1312">
        <f t="shared" si="83"/>
        <v>-458</v>
      </c>
    </row>
    <row r="1313" spans="1:12" x14ac:dyDescent="0.35">
      <c r="A1313">
        <v>1326</v>
      </c>
      <c r="B1313" t="s">
        <v>3209</v>
      </c>
      <c r="C1313" t="s">
        <v>10323</v>
      </c>
      <c r="D1313" t="s">
        <v>3210</v>
      </c>
      <c r="E1313" t="s">
        <v>2761</v>
      </c>
      <c r="F1313" t="s">
        <v>3208</v>
      </c>
      <c r="G1313" t="s">
        <v>3211</v>
      </c>
      <c r="I1313" t="str">
        <f t="shared" si="80"/>
        <v>458</v>
      </c>
      <c r="J1313" t="str">
        <f t="shared" si="81"/>
        <v>BC</v>
      </c>
      <c r="K1313">
        <f t="shared" si="82"/>
        <v>-458</v>
      </c>
      <c r="L1313">
        <f t="shared" si="83"/>
        <v>-458</v>
      </c>
    </row>
    <row r="1314" spans="1:12" x14ac:dyDescent="0.35">
      <c r="A1314">
        <v>1327</v>
      </c>
      <c r="B1314" t="s">
        <v>3212</v>
      </c>
      <c r="C1314" t="s">
        <v>10324</v>
      </c>
      <c r="D1314" t="s">
        <v>3213</v>
      </c>
      <c r="E1314" t="s">
        <v>3137</v>
      </c>
      <c r="F1314" t="s">
        <v>3208</v>
      </c>
      <c r="G1314" t="s">
        <v>112</v>
      </c>
      <c r="I1314" t="str">
        <f t="shared" si="80"/>
        <v>458</v>
      </c>
      <c r="J1314" t="str">
        <f t="shared" si="81"/>
        <v>BC</v>
      </c>
      <c r="K1314">
        <f t="shared" si="82"/>
        <v>-458</v>
      </c>
      <c r="L1314">
        <f t="shared" si="83"/>
        <v>-458</v>
      </c>
    </row>
    <row r="1315" spans="1:12" x14ac:dyDescent="0.35">
      <c r="A1315">
        <v>1328</v>
      </c>
      <c r="B1315" t="s">
        <v>3214</v>
      </c>
      <c r="C1315" t="s">
        <v>10325</v>
      </c>
      <c r="D1315" t="s">
        <v>3215</v>
      </c>
      <c r="E1315" t="s">
        <v>2761</v>
      </c>
      <c r="F1315" t="s">
        <v>3208</v>
      </c>
      <c r="G1315" t="s">
        <v>3216</v>
      </c>
      <c r="I1315" t="str">
        <f t="shared" si="80"/>
        <v>458</v>
      </c>
      <c r="J1315" t="str">
        <f t="shared" si="81"/>
        <v>BC</v>
      </c>
      <c r="K1315">
        <f t="shared" si="82"/>
        <v>-458</v>
      </c>
      <c r="L1315">
        <f t="shared" si="83"/>
        <v>-458</v>
      </c>
    </row>
    <row r="1316" spans="1:12" x14ac:dyDescent="0.35">
      <c r="A1316">
        <v>1329</v>
      </c>
      <c r="B1316" t="s">
        <v>3217</v>
      </c>
      <c r="C1316" t="s">
        <v>11425</v>
      </c>
      <c r="D1316" t="s">
        <v>3218</v>
      </c>
      <c r="E1316" t="s">
        <v>2761</v>
      </c>
      <c r="F1316" t="s">
        <v>3208</v>
      </c>
      <c r="G1316" t="s">
        <v>3219</v>
      </c>
      <c r="I1316" t="str">
        <f t="shared" si="80"/>
        <v>458</v>
      </c>
      <c r="J1316" t="str">
        <f t="shared" si="81"/>
        <v>BC</v>
      </c>
      <c r="K1316">
        <f t="shared" si="82"/>
        <v>-458</v>
      </c>
      <c r="L1316">
        <f t="shared" si="83"/>
        <v>-458</v>
      </c>
    </row>
    <row r="1317" spans="1:12" x14ac:dyDescent="0.35">
      <c r="A1317">
        <v>1330</v>
      </c>
      <c r="B1317" t="s">
        <v>3220</v>
      </c>
      <c r="C1317" t="s">
        <v>11426</v>
      </c>
      <c r="D1317" t="s">
        <v>3221</v>
      </c>
      <c r="E1317" t="s">
        <v>3181</v>
      </c>
      <c r="F1317" t="s">
        <v>3208</v>
      </c>
      <c r="G1317" t="s">
        <v>3222</v>
      </c>
      <c r="I1317" t="str">
        <f t="shared" si="80"/>
        <v>458</v>
      </c>
      <c r="J1317" t="str">
        <f t="shared" si="81"/>
        <v>BC</v>
      </c>
      <c r="K1317">
        <f t="shared" si="82"/>
        <v>-458</v>
      </c>
      <c r="L1317">
        <f t="shared" si="83"/>
        <v>-458</v>
      </c>
    </row>
    <row r="1318" spans="1:12" x14ac:dyDescent="0.35">
      <c r="A1318">
        <v>1331</v>
      </c>
      <c r="B1318" t="s">
        <v>3223</v>
      </c>
      <c r="C1318" t="s">
        <v>10181</v>
      </c>
      <c r="D1318" t="s">
        <v>3224</v>
      </c>
      <c r="E1318" t="s">
        <v>1211</v>
      </c>
      <c r="F1318" t="s">
        <v>3208</v>
      </c>
      <c r="G1318" t="s">
        <v>112</v>
      </c>
      <c r="I1318" t="str">
        <f t="shared" si="80"/>
        <v>458</v>
      </c>
      <c r="J1318" t="str">
        <f t="shared" si="81"/>
        <v>BC</v>
      </c>
      <c r="K1318">
        <f t="shared" si="82"/>
        <v>-458</v>
      </c>
      <c r="L1318">
        <f t="shared" si="83"/>
        <v>-458</v>
      </c>
    </row>
    <row r="1319" spans="1:12" x14ac:dyDescent="0.35">
      <c r="A1319">
        <v>1332</v>
      </c>
      <c r="B1319" t="s">
        <v>3225</v>
      </c>
      <c r="C1319" t="s">
        <v>11427</v>
      </c>
      <c r="D1319" t="s">
        <v>3226</v>
      </c>
      <c r="E1319" t="s">
        <v>1211</v>
      </c>
      <c r="F1319" t="s">
        <v>3208</v>
      </c>
      <c r="G1319" t="s">
        <v>3227</v>
      </c>
      <c r="I1319" t="str">
        <f t="shared" si="80"/>
        <v>458</v>
      </c>
      <c r="J1319" t="str">
        <f t="shared" si="81"/>
        <v>BC</v>
      </c>
      <c r="K1319">
        <f t="shared" si="82"/>
        <v>-458</v>
      </c>
      <c r="L1319">
        <f t="shared" si="83"/>
        <v>-458</v>
      </c>
    </row>
    <row r="1320" spans="1:12" x14ac:dyDescent="0.35">
      <c r="A1320">
        <v>1333</v>
      </c>
      <c r="B1320" t="s">
        <v>3228</v>
      </c>
      <c r="C1320" t="s">
        <v>11428</v>
      </c>
      <c r="D1320" t="s">
        <v>3229</v>
      </c>
      <c r="E1320" t="s">
        <v>2761</v>
      </c>
      <c r="F1320" t="s">
        <v>3208</v>
      </c>
      <c r="G1320" t="s">
        <v>112</v>
      </c>
      <c r="I1320" t="str">
        <f t="shared" si="80"/>
        <v>458</v>
      </c>
      <c r="J1320" t="str">
        <f t="shared" si="81"/>
        <v>BC</v>
      </c>
      <c r="K1320">
        <f t="shared" si="82"/>
        <v>-458</v>
      </c>
      <c r="L1320">
        <f t="shared" si="83"/>
        <v>-458</v>
      </c>
    </row>
    <row r="1321" spans="1:12" x14ac:dyDescent="0.35">
      <c r="A1321">
        <v>1334</v>
      </c>
      <c r="B1321" t="s">
        <v>3230</v>
      </c>
      <c r="C1321" t="s">
        <v>10342</v>
      </c>
      <c r="D1321" t="s">
        <v>3229</v>
      </c>
      <c r="E1321" t="s">
        <v>3133</v>
      </c>
      <c r="F1321" t="s">
        <v>3208</v>
      </c>
      <c r="G1321" t="s">
        <v>112</v>
      </c>
      <c r="I1321" t="str">
        <f t="shared" si="80"/>
        <v>458</v>
      </c>
      <c r="J1321" t="str">
        <f t="shared" si="81"/>
        <v>BC</v>
      </c>
      <c r="K1321">
        <f t="shared" si="82"/>
        <v>-458</v>
      </c>
      <c r="L1321">
        <f t="shared" si="83"/>
        <v>-458</v>
      </c>
    </row>
    <row r="1322" spans="1:12" x14ac:dyDescent="0.35">
      <c r="A1322">
        <v>1335</v>
      </c>
      <c r="B1322" t="s">
        <v>3231</v>
      </c>
      <c r="C1322" t="s">
        <v>10326</v>
      </c>
      <c r="D1322" t="s">
        <v>3232</v>
      </c>
      <c r="E1322" t="s">
        <v>3133</v>
      </c>
      <c r="F1322" t="s">
        <v>3208</v>
      </c>
      <c r="G1322" t="s">
        <v>11079</v>
      </c>
      <c r="I1322" t="str">
        <f t="shared" si="80"/>
        <v>458</v>
      </c>
      <c r="J1322" t="str">
        <f t="shared" si="81"/>
        <v>BC</v>
      </c>
      <c r="K1322">
        <f t="shared" si="82"/>
        <v>-458</v>
      </c>
      <c r="L1322">
        <f t="shared" si="83"/>
        <v>-458</v>
      </c>
    </row>
    <row r="1323" spans="1:12" x14ac:dyDescent="0.35">
      <c r="A1323">
        <v>1336</v>
      </c>
      <c r="B1323" t="s">
        <v>3233</v>
      </c>
      <c r="C1323" t="s">
        <v>11429</v>
      </c>
      <c r="D1323" t="s">
        <v>3234</v>
      </c>
      <c r="E1323" t="s">
        <v>3235</v>
      </c>
      <c r="F1323" t="s">
        <v>3208</v>
      </c>
      <c r="G1323" t="s">
        <v>112</v>
      </c>
      <c r="I1323" t="str">
        <f t="shared" si="80"/>
        <v>458</v>
      </c>
      <c r="J1323" t="str">
        <f t="shared" si="81"/>
        <v>BC</v>
      </c>
      <c r="K1323">
        <f t="shared" si="82"/>
        <v>-458</v>
      </c>
      <c r="L1323">
        <f t="shared" si="83"/>
        <v>-458</v>
      </c>
    </row>
    <row r="1324" spans="1:12" x14ac:dyDescent="0.35">
      <c r="A1324">
        <v>1337</v>
      </c>
      <c r="B1324" t="s">
        <v>3236</v>
      </c>
      <c r="C1324" t="s">
        <v>11430</v>
      </c>
      <c r="D1324" t="s">
        <v>3237</v>
      </c>
      <c r="E1324" t="s">
        <v>3235</v>
      </c>
      <c r="F1324" t="s">
        <v>3208</v>
      </c>
      <c r="G1324" t="s">
        <v>112</v>
      </c>
      <c r="I1324" t="str">
        <f t="shared" si="80"/>
        <v>458</v>
      </c>
      <c r="J1324" t="str">
        <f t="shared" si="81"/>
        <v>BC</v>
      </c>
      <c r="K1324">
        <f t="shared" si="82"/>
        <v>-458</v>
      </c>
      <c r="L1324">
        <f t="shared" si="83"/>
        <v>-458</v>
      </c>
    </row>
    <row r="1325" spans="1:12" x14ac:dyDescent="0.35">
      <c r="A1325">
        <v>1338</v>
      </c>
      <c r="B1325" t="s">
        <v>3238</v>
      </c>
      <c r="C1325" t="s">
        <v>10327</v>
      </c>
      <c r="D1325" t="s">
        <v>3239</v>
      </c>
      <c r="E1325" t="s">
        <v>3240</v>
      </c>
      <c r="F1325" t="s">
        <v>3208</v>
      </c>
      <c r="G1325" t="s">
        <v>112</v>
      </c>
      <c r="I1325" t="str">
        <f t="shared" si="80"/>
        <v>458</v>
      </c>
      <c r="J1325" t="str">
        <f t="shared" si="81"/>
        <v>BC</v>
      </c>
      <c r="K1325">
        <f t="shared" si="82"/>
        <v>-458</v>
      </c>
      <c r="L1325">
        <f t="shared" si="83"/>
        <v>-458</v>
      </c>
    </row>
    <row r="1326" spans="1:12" x14ac:dyDescent="0.35">
      <c r="A1326">
        <v>1339</v>
      </c>
      <c r="B1326" t="s">
        <v>3241</v>
      </c>
      <c r="C1326" t="s">
        <v>11431</v>
      </c>
      <c r="D1326" t="s">
        <v>3242</v>
      </c>
      <c r="E1326" t="s">
        <v>3140</v>
      </c>
      <c r="F1326" t="s">
        <v>3208</v>
      </c>
      <c r="G1326" t="s">
        <v>112</v>
      </c>
      <c r="I1326" t="str">
        <f t="shared" si="80"/>
        <v>458</v>
      </c>
      <c r="J1326" t="str">
        <f t="shared" si="81"/>
        <v>BC</v>
      </c>
      <c r="K1326">
        <f t="shared" si="82"/>
        <v>-458</v>
      </c>
      <c r="L1326">
        <f t="shared" si="83"/>
        <v>-458</v>
      </c>
    </row>
    <row r="1327" spans="1:12" x14ac:dyDescent="0.35">
      <c r="A1327">
        <v>1340</v>
      </c>
      <c r="B1327" t="s">
        <v>3243</v>
      </c>
      <c r="C1327" t="s">
        <v>11432</v>
      </c>
      <c r="D1327" t="s">
        <v>3244</v>
      </c>
      <c r="E1327" t="s">
        <v>1211</v>
      </c>
      <c r="F1327" t="s">
        <v>3245</v>
      </c>
      <c r="G1327" t="s">
        <v>112</v>
      </c>
      <c r="I1327" t="str">
        <f t="shared" si="80"/>
        <v>July 458</v>
      </c>
      <c r="J1327" t="str">
        <f t="shared" si="81"/>
        <v>BC</v>
      </c>
      <c r="K1327" t="e">
        <f t="shared" si="82"/>
        <v>#VALUE!</v>
      </c>
      <c r="L1327" t="e">
        <f t="shared" si="83"/>
        <v>#VALUE!</v>
      </c>
    </row>
    <row r="1328" spans="1:12" x14ac:dyDescent="0.35">
      <c r="A1328">
        <v>1341</v>
      </c>
      <c r="B1328" t="s">
        <v>3246</v>
      </c>
      <c r="C1328" t="s">
        <v>10321</v>
      </c>
      <c r="D1328" t="s">
        <v>3247</v>
      </c>
      <c r="E1328" t="s">
        <v>3188</v>
      </c>
      <c r="F1328" t="s">
        <v>3208</v>
      </c>
      <c r="G1328" t="s">
        <v>12489</v>
      </c>
      <c r="I1328" t="str">
        <f t="shared" si="80"/>
        <v>458</v>
      </c>
      <c r="J1328" t="str">
        <f t="shared" si="81"/>
        <v>BC</v>
      </c>
      <c r="K1328">
        <f t="shared" si="82"/>
        <v>-458</v>
      </c>
      <c r="L1328">
        <f t="shared" si="83"/>
        <v>-458</v>
      </c>
    </row>
    <row r="1329" spans="1:12" x14ac:dyDescent="0.35">
      <c r="A1329">
        <v>1342</v>
      </c>
      <c r="B1329" t="s">
        <v>3248</v>
      </c>
      <c r="C1329" t="s">
        <v>10328</v>
      </c>
      <c r="D1329" t="s">
        <v>3249</v>
      </c>
      <c r="E1329" t="s">
        <v>1211</v>
      </c>
      <c r="F1329" t="s">
        <v>3208</v>
      </c>
      <c r="G1329" t="s">
        <v>12473</v>
      </c>
      <c r="I1329" t="str">
        <f t="shared" si="80"/>
        <v>458</v>
      </c>
      <c r="J1329" t="str">
        <f t="shared" si="81"/>
        <v>BC</v>
      </c>
      <c r="K1329">
        <f t="shared" si="82"/>
        <v>-458</v>
      </c>
      <c r="L1329">
        <f t="shared" si="83"/>
        <v>-458</v>
      </c>
    </row>
    <row r="1330" spans="1:12" x14ac:dyDescent="0.35">
      <c r="A1330">
        <v>1343</v>
      </c>
      <c r="B1330" t="s">
        <v>3250</v>
      </c>
      <c r="C1330" t="s">
        <v>11433</v>
      </c>
      <c r="D1330" t="s">
        <v>3251</v>
      </c>
      <c r="E1330" t="s">
        <v>1211</v>
      </c>
      <c r="F1330" t="s">
        <v>3208</v>
      </c>
      <c r="G1330" t="s">
        <v>112</v>
      </c>
      <c r="I1330" t="str">
        <f t="shared" si="80"/>
        <v>458</v>
      </c>
      <c r="J1330" t="str">
        <f t="shared" si="81"/>
        <v>BC</v>
      </c>
      <c r="K1330">
        <f t="shared" si="82"/>
        <v>-458</v>
      </c>
      <c r="L1330">
        <f t="shared" si="83"/>
        <v>-458</v>
      </c>
    </row>
    <row r="1331" spans="1:12" x14ac:dyDescent="0.35">
      <c r="A1331">
        <v>1344</v>
      </c>
      <c r="B1331" t="s">
        <v>3252</v>
      </c>
      <c r="C1331" t="s">
        <v>11287</v>
      </c>
      <c r="D1331" t="s">
        <v>3251</v>
      </c>
      <c r="E1331" t="s">
        <v>1750</v>
      </c>
      <c r="F1331" t="s">
        <v>3208</v>
      </c>
      <c r="G1331" t="s">
        <v>112</v>
      </c>
      <c r="I1331" t="str">
        <f t="shared" si="80"/>
        <v>458</v>
      </c>
      <c r="J1331" t="str">
        <f t="shared" si="81"/>
        <v>BC</v>
      </c>
      <c r="K1331">
        <f t="shared" si="82"/>
        <v>-458</v>
      </c>
      <c r="L1331">
        <f t="shared" si="83"/>
        <v>-458</v>
      </c>
    </row>
    <row r="1332" spans="1:12" x14ac:dyDescent="0.35">
      <c r="A1332">
        <v>1345</v>
      </c>
      <c r="B1332" t="s">
        <v>3253</v>
      </c>
      <c r="C1332" t="s">
        <v>10329</v>
      </c>
      <c r="D1332" t="s">
        <v>3254</v>
      </c>
      <c r="E1332" t="s">
        <v>1211</v>
      </c>
      <c r="F1332" t="s">
        <v>3208</v>
      </c>
      <c r="G1332" t="s">
        <v>3255</v>
      </c>
      <c r="I1332" t="str">
        <f t="shared" ref="I1332:I1395" si="84">SUBSTITUTE(SUBSTITUTE(SUBSTITUTE(F1332,"c. ","")," BC","")," AD","")</f>
        <v>458</v>
      </c>
      <c r="J1332" t="str">
        <f t="shared" si="81"/>
        <v>BC</v>
      </c>
      <c r="K1332">
        <f t="shared" si="82"/>
        <v>-458</v>
      </c>
      <c r="L1332">
        <f t="shared" si="83"/>
        <v>-458</v>
      </c>
    </row>
    <row r="1333" spans="1:12" x14ac:dyDescent="0.35">
      <c r="A1333">
        <v>1346</v>
      </c>
      <c r="B1333" t="s">
        <v>3256</v>
      </c>
      <c r="C1333" t="s">
        <v>11434</v>
      </c>
      <c r="D1333" t="s">
        <v>3257</v>
      </c>
      <c r="E1333" t="s">
        <v>3258</v>
      </c>
      <c r="F1333" t="s">
        <v>3208</v>
      </c>
      <c r="G1333" t="s">
        <v>3259</v>
      </c>
      <c r="I1333" t="str">
        <f t="shared" si="84"/>
        <v>458</v>
      </c>
      <c r="J1333" t="str">
        <f t="shared" si="81"/>
        <v>BC</v>
      </c>
      <c r="K1333">
        <f t="shared" si="82"/>
        <v>-458</v>
      </c>
      <c r="L1333">
        <f t="shared" si="83"/>
        <v>-458</v>
      </c>
    </row>
    <row r="1334" spans="1:12" x14ac:dyDescent="0.35">
      <c r="A1334">
        <v>1347</v>
      </c>
      <c r="B1334" t="s">
        <v>3260</v>
      </c>
      <c r="C1334" t="s">
        <v>10330</v>
      </c>
      <c r="D1334" t="s">
        <v>3261</v>
      </c>
      <c r="E1334" t="s">
        <v>1211</v>
      </c>
      <c r="F1334" t="s">
        <v>3262</v>
      </c>
      <c r="G1334" t="s">
        <v>3263</v>
      </c>
      <c r="I1334" t="str">
        <f t="shared" si="84"/>
        <v>December 19, 458</v>
      </c>
      <c r="J1334" t="str">
        <f t="shared" si="81"/>
        <v>BC</v>
      </c>
      <c r="K1334" t="e">
        <f t="shared" si="82"/>
        <v>#VALUE!</v>
      </c>
      <c r="L1334" t="e">
        <f t="shared" si="83"/>
        <v>#VALUE!</v>
      </c>
    </row>
    <row r="1335" spans="1:12" x14ac:dyDescent="0.35">
      <c r="A1335">
        <v>1348</v>
      </c>
      <c r="B1335" t="s">
        <v>3264</v>
      </c>
      <c r="C1335" t="s">
        <v>11435</v>
      </c>
      <c r="D1335" t="s">
        <v>3265</v>
      </c>
      <c r="E1335" t="s">
        <v>1211</v>
      </c>
      <c r="F1335" t="s">
        <v>3266</v>
      </c>
      <c r="G1335" t="s">
        <v>3267</v>
      </c>
      <c r="I1335" t="str">
        <f t="shared" si="84"/>
        <v>December 458</v>
      </c>
      <c r="J1335" t="str">
        <f t="shared" si="81"/>
        <v>BC</v>
      </c>
      <c r="K1335" t="e">
        <f t="shared" si="82"/>
        <v>#VALUE!</v>
      </c>
      <c r="L1335" t="e">
        <f t="shared" si="83"/>
        <v>#VALUE!</v>
      </c>
    </row>
    <row r="1336" spans="1:12" x14ac:dyDescent="0.35">
      <c r="A1336">
        <v>1349</v>
      </c>
      <c r="B1336" t="s">
        <v>3268</v>
      </c>
      <c r="C1336" t="s">
        <v>11436</v>
      </c>
      <c r="D1336" t="s">
        <v>3269</v>
      </c>
      <c r="E1336" t="s">
        <v>1211</v>
      </c>
      <c r="F1336" t="s">
        <v>3270</v>
      </c>
      <c r="G1336" t="s">
        <v>12490</v>
      </c>
      <c r="I1336" t="str">
        <f t="shared" si="84"/>
        <v>March 27, 457</v>
      </c>
      <c r="J1336" t="str">
        <f t="shared" si="81"/>
        <v>BC</v>
      </c>
      <c r="K1336" t="e">
        <f t="shared" si="82"/>
        <v>#VALUE!</v>
      </c>
      <c r="L1336" t="e">
        <f t="shared" si="83"/>
        <v>#VALUE!</v>
      </c>
    </row>
    <row r="1337" spans="1:12" x14ac:dyDescent="0.35">
      <c r="A1337">
        <v>1350</v>
      </c>
      <c r="B1337" t="s">
        <v>3271</v>
      </c>
      <c r="C1337" t="s">
        <v>11437</v>
      </c>
      <c r="D1337" t="s">
        <v>3272</v>
      </c>
      <c r="E1337" t="s">
        <v>3143</v>
      </c>
      <c r="F1337" t="s">
        <v>3273</v>
      </c>
      <c r="G1337" t="s">
        <v>12491</v>
      </c>
      <c r="I1337" t="str">
        <f t="shared" si="84"/>
        <v>457</v>
      </c>
      <c r="J1337" t="str">
        <f t="shared" si="81"/>
        <v>BC</v>
      </c>
      <c r="K1337">
        <f t="shared" si="82"/>
        <v>-457</v>
      </c>
      <c r="L1337">
        <f t="shared" si="83"/>
        <v>-457</v>
      </c>
    </row>
    <row r="1338" spans="1:12" x14ac:dyDescent="0.35">
      <c r="A1338">
        <v>1351</v>
      </c>
      <c r="B1338" t="s">
        <v>3318</v>
      </c>
      <c r="C1338" t="s">
        <v>10331</v>
      </c>
      <c r="D1338" t="s">
        <v>3319</v>
      </c>
      <c r="E1338" t="s">
        <v>3320</v>
      </c>
      <c r="F1338" t="s">
        <v>3321</v>
      </c>
      <c r="G1338" t="s">
        <v>112</v>
      </c>
      <c r="I1338" t="str">
        <f t="shared" si="84"/>
        <v>445</v>
      </c>
      <c r="J1338" t="str">
        <f t="shared" si="81"/>
        <v>BC</v>
      </c>
      <c r="K1338">
        <f t="shared" si="82"/>
        <v>-445</v>
      </c>
      <c r="L1338">
        <f t="shared" si="83"/>
        <v>-445</v>
      </c>
    </row>
    <row r="1339" spans="1:12" x14ac:dyDescent="0.35">
      <c r="A1339">
        <v>1352</v>
      </c>
      <c r="B1339" t="s">
        <v>3322</v>
      </c>
      <c r="C1339" t="s">
        <v>10234</v>
      </c>
      <c r="D1339" t="s">
        <v>3323</v>
      </c>
      <c r="E1339" t="s">
        <v>3324</v>
      </c>
      <c r="F1339" t="s">
        <v>3321</v>
      </c>
      <c r="G1339" t="s">
        <v>11080</v>
      </c>
      <c r="I1339" t="str">
        <f t="shared" si="84"/>
        <v>445</v>
      </c>
      <c r="J1339" t="str">
        <f t="shared" si="81"/>
        <v>BC</v>
      </c>
      <c r="K1339">
        <f t="shared" si="82"/>
        <v>-445</v>
      </c>
      <c r="L1339">
        <f t="shared" si="83"/>
        <v>-445</v>
      </c>
    </row>
    <row r="1340" spans="1:12" x14ac:dyDescent="0.35">
      <c r="A1340">
        <v>1353</v>
      </c>
      <c r="B1340" t="s">
        <v>3325</v>
      </c>
      <c r="C1340" t="s">
        <v>10332</v>
      </c>
      <c r="D1340" t="s">
        <v>3326</v>
      </c>
      <c r="E1340" t="s">
        <v>3327</v>
      </c>
      <c r="F1340" t="s">
        <v>3321</v>
      </c>
      <c r="G1340" t="s">
        <v>112</v>
      </c>
      <c r="I1340" t="str">
        <f t="shared" si="84"/>
        <v>445</v>
      </c>
      <c r="J1340" t="str">
        <f t="shared" si="81"/>
        <v>BC</v>
      </c>
      <c r="K1340">
        <f t="shared" si="82"/>
        <v>-445</v>
      </c>
      <c r="L1340">
        <f t="shared" si="83"/>
        <v>-445</v>
      </c>
    </row>
    <row r="1341" spans="1:12" x14ac:dyDescent="0.35">
      <c r="A1341">
        <v>1354</v>
      </c>
      <c r="B1341" t="s">
        <v>3328</v>
      </c>
      <c r="C1341" t="s">
        <v>10323</v>
      </c>
      <c r="D1341" t="s">
        <v>3329</v>
      </c>
      <c r="E1341" t="s">
        <v>3327</v>
      </c>
      <c r="F1341" t="s">
        <v>3321</v>
      </c>
      <c r="G1341" t="s">
        <v>3211</v>
      </c>
      <c r="I1341" t="str">
        <f t="shared" si="84"/>
        <v>445</v>
      </c>
      <c r="J1341" t="str">
        <f t="shared" si="81"/>
        <v>BC</v>
      </c>
      <c r="K1341">
        <f t="shared" si="82"/>
        <v>-445</v>
      </c>
      <c r="L1341">
        <f t="shared" si="83"/>
        <v>-445</v>
      </c>
    </row>
    <row r="1342" spans="1:12" x14ac:dyDescent="0.35">
      <c r="A1342">
        <v>1355</v>
      </c>
      <c r="B1342" t="s">
        <v>3330</v>
      </c>
      <c r="C1342" t="s">
        <v>10324</v>
      </c>
      <c r="D1342" t="s">
        <v>3331</v>
      </c>
      <c r="E1342" t="s">
        <v>3332</v>
      </c>
      <c r="F1342" t="s">
        <v>3321</v>
      </c>
      <c r="G1342" t="s">
        <v>112</v>
      </c>
      <c r="I1342" t="str">
        <f t="shared" si="84"/>
        <v>445</v>
      </c>
      <c r="J1342" t="str">
        <f t="shared" si="81"/>
        <v>BC</v>
      </c>
      <c r="K1342">
        <f t="shared" si="82"/>
        <v>-445</v>
      </c>
      <c r="L1342">
        <f t="shared" si="83"/>
        <v>-445</v>
      </c>
    </row>
    <row r="1343" spans="1:12" x14ac:dyDescent="0.35">
      <c r="A1343">
        <v>1356</v>
      </c>
      <c r="B1343" t="s">
        <v>3333</v>
      </c>
      <c r="C1343" t="s">
        <v>10333</v>
      </c>
      <c r="D1343" t="s">
        <v>3334</v>
      </c>
      <c r="E1343" t="s">
        <v>2765</v>
      </c>
      <c r="F1343" t="s">
        <v>3321</v>
      </c>
      <c r="G1343" t="s">
        <v>3216</v>
      </c>
      <c r="I1343" t="str">
        <f t="shared" si="84"/>
        <v>445</v>
      </c>
      <c r="J1343" t="str">
        <f t="shared" si="81"/>
        <v>BC</v>
      </c>
      <c r="K1343">
        <f t="shared" si="82"/>
        <v>-445</v>
      </c>
      <c r="L1343">
        <f t="shared" si="83"/>
        <v>-445</v>
      </c>
    </row>
    <row r="1344" spans="1:12" x14ac:dyDescent="0.35">
      <c r="A1344">
        <v>1357</v>
      </c>
      <c r="B1344" t="s">
        <v>3335</v>
      </c>
      <c r="C1344" t="s">
        <v>11438</v>
      </c>
      <c r="D1344" t="s">
        <v>3336</v>
      </c>
      <c r="E1344" t="s">
        <v>3140</v>
      </c>
      <c r="F1344" t="s">
        <v>3321</v>
      </c>
      <c r="G1344" t="s">
        <v>3337</v>
      </c>
      <c r="I1344" t="str">
        <f t="shared" si="84"/>
        <v>445</v>
      </c>
      <c r="J1344" t="str">
        <f t="shared" si="81"/>
        <v>BC</v>
      </c>
      <c r="K1344">
        <f t="shared" si="82"/>
        <v>-445</v>
      </c>
      <c r="L1344">
        <f t="shared" si="83"/>
        <v>-445</v>
      </c>
    </row>
    <row r="1345" spans="1:12" x14ac:dyDescent="0.35">
      <c r="A1345">
        <v>1358</v>
      </c>
      <c r="B1345" t="s">
        <v>3338</v>
      </c>
      <c r="C1345" t="s">
        <v>10334</v>
      </c>
      <c r="D1345" t="s">
        <v>3339</v>
      </c>
      <c r="E1345" t="s">
        <v>1211</v>
      </c>
      <c r="F1345" t="s">
        <v>3321</v>
      </c>
      <c r="G1345" t="s">
        <v>112</v>
      </c>
      <c r="I1345" t="str">
        <f t="shared" si="84"/>
        <v>445</v>
      </c>
      <c r="J1345" t="str">
        <f t="shared" si="81"/>
        <v>BC</v>
      </c>
      <c r="K1345">
        <f t="shared" si="82"/>
        <v>-445</v>
      </c>
      <c r="L1345">
        <f t="shared" si="83"/>
        <v>-445</v>
      </c>
    </row>
    <row r="1346" spans="1:12" x14ac:dyDescent="0.35">
      <c r="A1346">
        <v>1359</v>
      </c>
      <c r="B1346" t="s">
        <v>3340</v>
      </c>
      <c r="C1346" t="s">
        <v>10335</v>
      </c>
      <c r="D1346" t="s">
        <v>3341</v>
      </c>
      <c r="E1346" t="s">
        <v>1211</v>
      </c>
      <c r="F1346" t="s">
        <v>3321</v>
      </c>
      <c r="G1346" t="s">
        <v>3342</v>
      </c>
      <c r="I1346" t="str">
        <f t="shared" si="84"/>
        <v>445</v>
      </c>
      <c r="J1346" t="str">
        <f t="shared" ref="J1346:J1409" si="85">RIGHT(F1346, 2)</f>
        <v>BC</v>
      </c>
      <c r="K1346">
        <f t="shared" ref="K1346:K1409" si="86">IF(J1346="BC", 0-IF(ISERROR(FIND("-",I1346)),I1346,LEFT(I1346,FIND("-",I1346)-1)), IF(ISERROR(FIND("-",I1346)),I1346,LEFT(I1346,FIND("-",I1346)-1)))</f>
        <v>-445</v>
      </c>
      <c r="L1346">
        <f t="shared" ref="L1346:L1409" si="87">IF(J1346="BC", 0-IF(ISERROR(FIND("-",I1346)),I1346,RIGHT(I1346,FIND("-",I1346)-1)), IF(ISERROR(FIND("-",I1346)),I1346,RIGHT(I1346,FIND("-",I1346)-1)))</f>
        <v>-445</v>
      </c>
    </row>
    <row r="1347" spans="1:12" x14ac:dyDescent="0.35">
      <c r="A1347">
        <v>1360</v>
      </c>
      <c r="B1347" t="s">
        <v>3343</v>
      </c>
      <c r="C1347" t="s">
        <v>10336</v>
      </c>
      <c r="D1347" t="s">
        <v>3344</v>
      </c>
      <c r="E1347" t="s">
        <v>1211</v>
      </c>
      <c r="F1347" t="s">
        <v>3321</v>
      </c>
      <c r="G1347" t="s">
        <v>112</v>
      </c>
      <c r="I1347" t="str">
        <f t="shared" si="84"/>
        <v>445</v>
      </c>
      <c r="J1347" t="str">
        <f t="shared" si="85"/>
        <v>BC</v>
      </c>
      <c r="K1347">
        <f t="shared" si="86"/>
        <v>-445</v>
      </c>
      <c r="L1347">
        <f t="shared" si="87"/>
        <v>-445</v>
      </c>
    </row>
    <row r="1348" spans="1:12" x14ac:dyDescent="0.35">
      <c r="A1348">
        <v>1361</v>
      </c>
      <c r="B1348" t="s">
        <v>3345</v>
      </c>
      <c r="C1348" t="s">
        <v>10336</v>
      </c>
      <c r="D1348" t="s">
        <v>3346</v>
      </c>
      <c r="E1348" t="s">
        <v>1211</v>
      </c>
      <c r="F1348" t="s">
        <v>3321</v>
      </c>
      <c r="G1348" t="s">
        <v>112</v>
      </c>
      <c r="I1348" t="str">
        <f t="shared" si="84"/>
        <v>445</v>
      </c>
      <c r="J1348" t="str">
        <f t="shared" si="85"/>
        <v>BC</v>
      </c>
      <c r="K1348">
        <f t="shared" si="86"/>
        <v>-445</v>
      </c>
      <c r="L1348">
        <f t="shared" si="87"/>
        <v>-445</v>
      </c>
    </row>
    <row r="1349" spans="1:12" x14ac:dyDescent="0.35">
      <c r="A1349">
        <v>1362</v>
      </c>
      <c r="B1349" t="s">
        <v>3347</v>
      </c>
      <c r="C1349" t="s">
        <v>11439</v>
      </c>
      <c r="D1349" t="s">
        <v>3348</v>
      </c>
      <c r="E1349" t="s">
        <v>3349</v>
      </c>
      <c r="F1349" t="s">
        <v>3321</v>
      </c>
      <c r="G1349" t="s">
        <v>112</v>
      </c>
      <c r="I1349" t="str">
        <f t="shared" si="84"/>
        <v>445</v>
      </c>
      <c r="J1349" t="str">
        <f t="shared" si="85"/>
        <v>BC</v>
      </c>
      <c r="K1349">
        <f t="shared" si="86"/>
        <v>-445</v>
      </c>
      <c r="L1349">
        <f t="shared" si="87"/>
        <v>-445</v>
      </c>
    </row>
    <row r="1350" spans="1:12" x14ac:dyDescent="0.35">
      <c r="A1350">
        <v>1363</v>
      </c>
      <c r="B1350" t="s">
        <v>3350</v>
      </c>
      <c r="C1350" t="s">
        <v>10337</v>
      </c>
      <c r="D1350" t="s">
        <v>3351</v>
      </c>
      <c r="E1350" t="s">
        <v>1211</v>
      </c>
      <c r="F1350" t="s">
        <v>3352</v>
      </c>
      <c r="G1350" t="s">
        <v>112</v>
      </c>
      <c r="I1350" t="str">
        <f t="shared" si="84"/>
        <v>September 25, 445</v>
      </c>
      <c r="J1350" t="str">
        <f t="shared" si="85"/>
        <v>BC</v>
      </c>
      <c r="K1350" t="e">
        <f t="shared" si="86"/>
        <v>#VALUE!</v>
      </c>
      <c r="L1350" t="e">
        <f t="shared" si="87"/>
        <v>#VALUE!</v>
      </c>
    </row>
    <row r="1351" spans="1:12" x14ac:dyDescent="0.35">
      <c r="A1351">
        <v>1364</v>
      </c>
      <c r="B1351" t="s">
        <v>3353</v>
      </c>
      <c r="C1351" t="s">
        <v>10338</v>
      </c>
      <c r="D1351" t="s">
        <v>3354</v>
      </c>
      <c r="E1351" t="s">
        <v>2660</v>
      </c>
      <c r="F1351" t="s">
        <v>3321</v>
      </c>
      <c r="G1351" t="s">
        <v>3355</v>
      </c>
      <c r="I1351" t="str">
        <f t="shared" si="84"/>
        <v>445</v>
      </c>
      <c r="J1351" t="str">
        <f t="shared" si="85"/>
        <v>BC</v>
      </c>
      <c r="K1351">
        <f t="shared" si="86"/>
        <v>-445</v>
      </c>
      <c r="L1351">
        <f t="shared" si="87"/>
        <v>-445</v>
      </c>
    </row>
    <row r="1352" spans="1:12" x14ac:dyDescent="0.35">
      <c r="A1352">
        <v>1365</v>
      </c>
      <c r="B1352" t="s">
        <v>3356</v>
      </c>
      <c r="C1352" t="s">
        <v>10339</v>
      </c>
      <c r="D1352" t="s">
        <v>3354</v>
      </c>
      <c r="E1352" t="s">
        <v>2660</v>
      </c>
      <c r="F1352" t="s">
        <v>3321</v>
      </c>
      <c r="G1352" t="s">
        <v>112</v>
      </c>
      <c r="I1352" t="str">
        <f t="shared" si="84"/>
        <v>445</v>
      </c>
      <c r="J1352" t="str">
        <f t="shared" si="85"/>
        <v>BC</v>
      </c>
      <c r="K1352">
        <f t="shared" si="86"/>
        <v>-445</v>
      </c>
      <c r="L1352">
        <f t="shared" si="87"/>
        <v>-445</v>
      </c>
    </row>
    <row r="1353" spans="1:12" x14ac:dyDescent="0.35">
      <c r="A1353">
        <v>1366</v>
      </c>
      <c r="B1353" t="s">
        <v>3357</v>
      </c>
      <c r="C1353" t="s">
        <v>10340</v>
      </c>
      <c r="D1353" t="s">
        <v>3358</v>
      </c>
      <c r="E1353" t="s">
        <v>1211</v>
      </c>
      <c r="F1353" t="s">
        <v>3321</v>
      </c>
      <c r="G1353" t="s">
        <v>112</v>
      </c>
      <c r="I1353" t="str">
        <f t="shared" si="84"/>
        <v>445</v>
      </c>
      <c r="J1353" t="str">
        <f t="shared" si="85"/>
        <v>BC</v>
      </c>
      <c r="K1353">
        <f t="shared" si="86"/>
        <v>-445</v>
      </c>
      <c r="L1353">
        <f t="shared" si="87"/>
        <v>-445</v>
      </c>
    </row>
    <row r="1354" spans="1:12" x14ac:dyDescent="0.35">
      <c r="A1354">
        <v>1367</v>
      </c>
      <c r="B1354" t="s">
        <v>3359</v>
      </c>
      <c r="C1354" t="s">
        <v>10341</v>
      </c>
      <c r="D1354" t="s">
        <v>3360</v>
      </c>
      <c r="E1354" t="s">
        <v>3361</v>
      </c>
      <c r="F1354" t="s">
        <v>3321</v>
      </c>
      <c r="G1354" t="s">
        <v>11079</v>
      </c>
      <c r="I1354" t="str">
        <f t="shared" si="84"/>
        <v>445</v>
      </c>
      <c r="J1354" t="str">
        <f t="shared" si="85"/>
        <v>BC</v>
      </c>
      <c r="K1354">
        <f t="shared" si="86"/>
        <v>-445</v>
      </c>
      <c r="L1354">
        <f t="shared" si="87"/>
        <v>-445</v>
      </c>
    </row>
    <row r="1355" spans="1:12" x14ac:dyDescent="0.35">
      <c r="A1355">
        <v>1368</v>
      </c>
      <c r="B1355" t="s">
        <v>3362</v>
      </c>
      <c r="C1355" t="s">
        <v>11440</v>
      </c>
      <c r="D1355" t="s">
        <v>3363</v>
      </c>
      <c r="E1355" t="s">
        <v>1211</v>
      </c>
      <c r="F1355" t="s">
        <v>3321</v>
      </c>
      <c r="G1355" t="s">
        <v>112</v>
      </c>
      <c r="I1355" t="str">
        <f t="shared" si="84"/>
        <v>445</v>
      </c>
      <c r="J1355" t="str">
        <f t="shared" si="85"/>
        <v>BC</v>
      </c>
      <c r="K1355">
        <f t="shared" si="86"/>
        <v>-445</v>
      </c>
      <c r="L1355">
        <f t="shared" si="87"/>
        <v>-445</v>
      </c>
    </row>
    <row r="1356" spans="1:12" x14ac:dyDescent="0.35">
      <c r="A1356">
        <v>1369</v>
      </c>
      <c r="B1356" t="s">
        <v>3364</v>
      </c>
      <c r="C1356" t="s">
        <v>11441</v>
      </c>
      <c r="D1356" t="s">
        <v>3365</v>
      </c>
      <c r="E1356" t="s">
        <v>1211</v>
      </c>
      <c r="F1356" t="s">
        <v>3321</v>
      </c>
      <c r="G1356" t="s">
        <v>11080</v>
      </c>
      <c r="I1356" t="str">
        <f t="shared" si="84"/>
        <v>445</v>
      </c>
      <c r="J1356" t="str">
        <f t="shared" si="85"/>
        <v>BC</v>
      </c>
      <c r="K1356">
        <f t="shared" si="86"/>
        <v>-445</v>
      </c>
      <c r="L1356">
        <f t="shared" si="87"/>
        <v>-445</v>
      </c>
    </row>
    <row r="1357" spans="1:12" x14ac:dyDescent="0.35">
      <c r="A1357">
        <v>1370</v>
      </c>
      <c r="B1357" t="s">
        <v>3366</v>
      </c>
      <c r="C1357" t="s">
        <v>10342</v>
      </c>
      <c r="D1357" t="s">
        <v>3367</v>
      </c>
      <c r="E1357" t="s">
        <v>1211</v>
      </c>
      <c r="F1357" t="s">
        <v>3321</v>
      </c>
      <c r="G1357" t="s">
        <v>12487</v>
      </c>
      <c r="I1357" t="str">
        <f t="shared" si="84"/>
        <v>445</v>
      </c>
      <c r="J1357" t="str">
        <f t="shared" si="85"/>
        <v>BC</v>
      </c>
      <c r="K1357">
        <f t="shared" si="86"/>
        <v>-445</v>
      </c>
      <c r="L1357">
        <f t="shared" si="87"/>
        <v>-445</v>
      </c>
    </row>
    <row r="1358" spans="1:12" x14ac:dyDescent="0.35">
      <c r="A1358">
        <v>1371</v>
      </c>
      <c r="B1358" t="s">
        <v>3368</v>
      </c>
      <c r="C1358" t="s">
        <v>10341</v>
      </c>
      <c r="D1358" t="s">
        <v>3369</v>
      </c>
      <c r="E1358" t="s">
        <v>1211</v>
      </c>
      <c r="F1358" t="s">
        <v>3321</v>
      </c>
      <c r="G1358" t="s">
        <v>12492</v>
      </c>
      <c r="I1358" t="str">
        <f t="shared" si="84"/>
        <v>445</v>
      </c>
      <c r="J1358" t="str">
        <f t="shared" si="85"/>
        <v>BC</v>
      </c>
      <c r="K1358">
        <f t="shared" si="86"/>
        <v>-445</v>
      </c>
      <c r="L1358">
        <f t="shared" si="87"/>
        <v>-445</v>
      </c>
    </row>
    <row r="1359" spans="1:12" x14ac:dyDescent="0.35">
      <c r="A1359">
        <v>1372</v>
      </c>
      <c r="B1359" t="s">
        <v>3370</v>
      </c>
      <c r="C1359" t="s">
        <v>11421</v>
      </c>
      <c r="D1359" t="s">
        <v>3371</v>
      </c>
      <c r="E1359" t="s">
        <v>1211</v>
      </c>
      <c r="F1359" t="s">
        <v>3321</v>
      </c>
      <c r="G1359" t="s">
        <v>112</v>
      </c>
      <c r="I1359" t="str">
        <f t="shared" si="84"/>
        <v>445</v>
      </c>
      <c r="J1359" t="str">
        <f t="shared" si="85"/>
        <v>BC</v>
      </c>
      <c r="K1359">
        <f t="shared" si="86"/>
        <v>-445</v>
      </c>
      <c r="L1359">
        <f t="shared" si="87"/>
        <v>-445</v>
      </c>
    </row>
    <row r="1360" spans="1:12" x14ac:dyDescent="0.35">
      <c r="A1360">
        <v>1373</v>
      </c>
      <c r="B1360" t="s">
        <v>3372</v>
      </c>
      <c r="C1360" t="s">
        <v>10343</v>
      </c>
      <c r="D1360" t="s">
        <v>3371</v>
      </c>
      <c r="E1360" t="s">
        <v>1211</v>
      </c>
      <c r="F1360" t="s">
        <v>3321</v>
      </c>
      <c r="G1360" t="s">
        <v>112</v>
      </c>
      <c r="I1360" t="str">
        <f t="shared" si="84"/>
        <v>445</v>
      </c>
      <c r="J1360" t="str">
        <f t="shared" si="85"/>
        <v>BC</v>
      </c>
      <c r="K1360">
        <f t="shared" si="86"/>
        <v>-445</v>
      </c>
      <c r="L1360">
        <f t="shared" si="87"/>
        <v>-445</v>
      </c>
    </row>
    <row r="1361" spans="1:12" x14ac:dyDescent="0.35">
      <c r="A1361">
        <v>1374</v>
      </c>
      <c r="B1361" t="s">
        <v>3373</v>
      </c>
      <c r="C1361" t="s">
        <v>10344</v>
      </c>
      <c r="D1361" t="s">
        <v>3374</v>
      </c>
      <c r="E1361" t="s">
        <v>1211</v>
      </c>
      <c r="F1361" t="s">
        <v>3321</v>
      </c>
      <c r="G1361" t="s">
        <v>3375</v>
      </c>
      <c r="I1361" t="str">
        <f t="shared" si="84"/>
        <v>445</v>
      </c>
      <c r="J1361" t="str">
        <f t="shared" si="85"/>
        <v>BC</v>
      </c>
      <c r="K1361">
        <f t="shared" si="86"/>
        <v>-445</v>
      </c>
      <c r="L1361">
        <f t="shared" si="87"/>
        <v>-445</v>
      </c>
    </row>
    <row r="1362" spans="1:12" x14ac:dyDescent="0.35">
      <c r="A1362">
        <v>1375</v>
      </c>
      <c r="B1362" t="s">
        <v>3376</v>
      </c>
      <c r="C1362" t="s">
        <v>11442</v>
      </c>
      <c r="D1362" t="s">
        <v>3377</v>
      </c>
      <c r="E1362" t="s">
        <v>3378</v>
      </c>
      <c r="F1362" t="s">
        <v>1424</v>
      </c>
      <c r="G1362" t="s">
        <v>112</v>
      </c>
      <c r="I1362" t="str">
        <f t="shared" si="84"/>
        <v>Various times</v>
      </c>
      <c r="J1362" t="str">
        <f t="shared" si="85"/>
        <v>es</v>
      </c>
      <c r="K1362" t="str">
        <f t="shared" si="86"/>
        <v>Various times</v>
      </c>
      <c r="L1362" t="str">
        <f t="shared" si="87"/>
        <v>Various times</v>
      </c>
    </row>
    <row r="1363" spans="1:12" x14ac:dyDescent="0.35">
      <c r="A1363">
        <v>1376</v>
      </c>
      <c r="B1363" t="s">
        <v>3379</v>
      </c>
      <c r="C1363" t="s">
        <v>10345</v>
      </c>
      <c r="D1363" t="s">
        <v>3380</v>
      </c>
      <c r="E1363" t="s">
        <v>3378</v>
      </c>
      <c r="F1363" t="s">
        <v>1424</v>
      </c>
      <c r="G1363" t="s">
        <v>112</v>
      </c>
      <c r="I1363" t="str">
        <f t="shared" si="84"/>
        <v>Various times</v>
      </c>
      <c r="J1363" t="str">
        <f t="shared" si="85"/>
        <v>es</v>
      </c>
      <c r="K1363" t="str">
        <f t="shared" si="86"/>
        <v>Various times</v>
      </c>
      <c r="L1363" t="str">
        <f t="shared" si="87"/>
        <v>Various times</v>
      </c>
    </row>
    <row r="1364" spans="1:12" x14ac:dyDescent="0.35">
      <c r="A1364">
        <v>1377</v>
      </c>
      <c r="B1364" t="s">
        <v>3381</v>
      </c>
      <c r="C1364" t="s">
        <v>10346</v>
      </c>
      <c r="D1364" t="s">
        <v>3382</v>
      </c>
      <c r="E1364" t="s">
        <v>3383</v>
      </c>
      <c r="F1364" t="s">
        <v>3384</v>
      </c>
      <c r="G1364" t="s">
        <v>112</v>
      </c>
      <c r="I1364" t="str">
        <f t="shared" si="84"/>
        <v>1440</v>
      </c>
      <c r="J1364" t="str">
        <f t="shared" si="85"/>
        <v>BC</v>
      </c>
      <c r="K1364">
        <f t="shared" si="86"/>
        <v>-1440</v>
      </c>
      <c r="L1364">
        <f t="shared" si="87"/>
        <v>-1440</v>
      </c>
    </row>
    <row r="1365" spans="1:12" x14ac:dyDescent="0.35">
      <c r="A1365">
        <v>1378</v>
      </c>
      <c r="B1365" t="s">
        <v>3385</v>
      </c>
      <c r="C1365" t="s">
        <v>10725</v>
      </c>
      <c r="D1365" t="s">
        <v>3386</v>
      </c>
      <c r="E1365" t="s">
        <v>3383</v>
      </c>
      <c r="F1365" t="s">
        <v>3384</v>
      </c>
      <c r="G1365" t="s">
        <v>112</v>
      </c>
      <c r="I1365" t="str">
        <f t="shared" si="84"/>
        <v>1440</v>
      </c>
      <c r="J1365" t="str">
        <f t="shared" si="85"/>
        <v>BC</v>
      </c>
      <c r="K1365">
        <f t="shared" si="86"/>
        <v>-1440</v>
      </c>
      <c r="L1365">
        <f t="shared" si="87"/>
        <v>-1440</v>
      </c>
    </row>
    <row r="1366" spans="1:12" x14ac:dyDescent="0.35">
      <c r="A1366">
        <v>1379</v>
      </c>
      <c r="B1366" t="s">
        <v>3387</v>
      </c>
      <c r="C1366" t="s">
        <v>11443</v>
      </c>
      <c r="D1366" t="s">
        <v>3388</v>
      </c>
      <c r="E1366" t="s">
        <v>1211</v>
      </c>
      <c r="F1366" t="s">
        <v>3321</v>
      </c>
      <c r="G1366" t="s">
        <v>559</v>
      </c>
      <c r="I1366" t="str">
        <f t="shared" si="84"/>
        <v>445</v>
      </c>
      <c r="J1366" t="str">
        <f t="shared" si="85"/>
        <v>BC</v>
      </c>
      <c r="K1366">
        <f t="shared" si="86"/>
        <v>-445</v>
      </c>
      <c r="L1366">
        <f t="shared" si="87"/>
        <v>-445</v>
      </c>
    </row>
    <row r="1367" spans="1:12" x14ac:dyDescent="0.35">
      <c r="A1367">
        <v>1380</v>
      </c>
      <c r="B1367" t="s">
        <v>3389</v>
      </c>
      <c r="C1367" t="s">
        <v>10278</v>
      </c>
      <c r="D1367" t="s">
        <v>3390</v>
      </c>
      <c r="E1367" t="s">
        <v>1211</v>
      </c>
      <c r="F1367" t="s">
        <v>3321</v>
      </c>
      <c r="G1367" t="s">
        <v>112</v>
      </c>
      <c r="I1367" t="str">
        <f t="shared" si="84"/>
        <v>445</v>
      </c>
      <c r="J1367" t="str">
        <f t="shared" si="85"/>
        <v>BC</v>
      </c>
      <c r="K1367">
        <f t="shared" si="86"/>
        <v>-445</v>
      </c>
      <c r="L1367">
        <f t="shared" si="87"/>
        <v>-445</v>
      </c>
    </row>
    <row r="1368" spans="1:12" x14ac:dyDescent="0.35">
      <c r="A1368">
        <v>1381</v>
      </c>
      <c r="B1368" t="s">
        <v>3391</v>
      </c>
      <c r="C1368" t="s">
        <v>11444</v>
      </c>
      <c r="D1368" t="s">
        <v>3392</v>
      </c>
      <c r="E1368" t="s">
        <v>1211</v>
      </c>
      <c r="F1368" t="s">
        <v>3321</v>
      </c>
      <c r="G1368" t="s">
        <v>112</v>
      </c>
      <c r="I1368" t="str">
        <f t="shared" si="84"/>
        <v>445</v>
      </c>
      <c r="J1368" t="str">
        <f t="shared" si="85"/>
        <v>BC</v>
      </c>
      <c r="K1368">
        <f t="shared" si="86"/>
        <v>-445</v>
      </c>
      <c r="L1368">
        <f t="shared" si="87"/>
        <v>-445</v>
      </c>
    </row>
    <row r="1369" spans="1:12" x14ac:dyDescent="0.35">
      <c r="A1369">
        <v>1382</v>
      </c>
      <c r="B1369" t="s">
        <v>3393</v>
      </c>
      <c r="C1369" t="s">
        <v>11421</v>
      </c>
      <c r="D1369" t="s">
        <v>3392</v>
      </c>
      <c r="E1369" t="s">
        <v>1211</v>
      </c>
      <c r="F1369" t="s">
        <v>3321</v>
      </c>
      <c r="G1369" t="s">
        <v>112</v>
      </c>
      <c r="I1369" t="str">
        <f t="shared" si="84"/>
        <v>445</v>
      </c>
      <c r="J1369" t="str">
        <f t="shared" si="85"/>
        <v>BC</v>
      </c>
      <c r="K1369">
        <f t="shared" si="86"/>
        <v>-445</v>
      </c>
      <c r="L1369">
        <f t="shared" si="87"/>
        <v>-445</v>
      </c>
    </row>
    <row r="1370" spans="1:12" x14ac:dyDescent="0.35">
      <c r="A1370">
        <v>1383</v>
      </c>
      <c r="B1370" t="s">
        <v>3394</v>
      </c>
      <c r="C1370" t="s">
        <v>11445</v>
      </c>
      <c r="D1370" t="s">
        <v>3392</v>
      </c>
      <c r="E1370" t="s">
        <v>1211</v>
      </c>
      <c r="F1370" t="s">
        <v>3321</v>
      </c>
      <c r="G1370" t="s">
        <v>112</v>
      </c>
      <c r="I1370" t="str">
        <f t="shared" si="84"/>
        <v>445</v>
      </c>
      <c r="J1370" t="str">
        <f t="shared" si="85"/>
        <v>BC</v>
      </c>
      <c r="K1370">
        <f t="shared" si="86"/>
        <v>-445</v>
      </c>
      <c r="L1370">
        <f t="shared" si="87"/>
        <v>-445</v>
      </c>
    </row>
    <row r="1371" spans="1:12" x14ac:dyDescent="0.35">
      <c r="A1371">
        <v>1384</v>
      </c>
      <c r="B1371" t="s">
        <v>3395</v>
      </c>
      <c r="C1371" t="s">
        <v>10347</v>
      </c>
      <c r="D1371" t="s">
        <v>3392</v>
      </c>
      <c r="E1371" t="s">
        <v>3188</v>
      </c>
      <c r="F1371" t="s">
        <v>3321</v>
      </c>
      <c r="G1371" t="s">
        <v>112</v>
      </c>
      <c r="I1371" t="str">
        <f t="shared" si="84"/>
        <v>445</v>
      </c>
      <c r="J1371" t="str">
        <f t="shared" si="85"/>
        <v>BC</v>
      </c>
      <c r="K1371">
        <f t="shared" si="86"/>
        <v>-445</v>
      </c>
      <c r="L1371">
        <f t="shared" si="87"/>
        <v>-445</v>
      </c>
    </row>
    <row r="1372" spans="1:12" x14ac:dyDescent="0.35">
      <c r="A1372">
        <v>1385</v>
      </c>
      <c r="B1372" t="s">
        <v>3396</v>
      </c>
      <c r="C1372" t="s">
        <v>11446</v>
      </c>
      <c r="D1372" t="s">
        <v>3397</v>
      </c>
      <c r="E1372" t="s">
        <v>1211</v>
      </c>
      <c r="F1372" t="s">
        <v>3398</v>
      </c>
      <c r="G1372" t="s">
        <v>112</v>
      </c>
      <c r="I1372" t="str">
        <f t="shared" si="84"/>
        <v>432</v>
      </c>
      <c r="J1372" t="str">
        <f t="shared" si="85"/>
        <v>BC</v>
      </c>
      <c r="K1372">
        <f t="shared" si="86"/>
        <v>-432</v>
      </c>
      <c r="L1372">
        <f t="shared" si="87"/>
        <v>-432</v>
      </c>
    </row>
    <row r="1373" spans="1:12" x14ac:dyDescent="0.35">
      <c r="A1373">
        <v>1386</v>
      </c>
      <c r="B1373" t="s">
        <v>3399</v>
      </c>
      <c r="C1373" t="s">
        <v>11447</v>
      </c>
      <c r="D1373" t="s">
        <v>3397</v>
      </c>
      <c r="E1373" t="s">
        <v>1211</v>
      </c>
      <c r="F1373" t="s">
        <v>3398</v>
      </c>
      <c r="G1373" t="s">
        <v>11080</v>
      </c>
      <c r="I1373" t="str">
        <f t="shared" si="84"/>
        <v>432</v>
      </c>
      <c r="J1373" t="str">
        <f t="shared" si="85"/>
        <v>BC</v>
      </c>
      <c r="K1373">
        <f t="shared" si="86"/>
        <v>-432</v>
      </c>
      <c r="L1373">
        <f t="shared" si="87"/>
        <v>-432</v>
      </c>
    </row>
    <row r="1374" spans="1:12" x14ac:dyDescent="0.35">
      <c r="A1374">
        <v>1387</v>
      </c>
      <c r="B1374" t="s">
        <v>3400</v>
      </c>
      <c r="C1374" t="s">
        <v>11448</v>
      </c>
      <c r="D1374" t="s">
        <v>3401</v>
      </c>
      <c r="E1374" t="s">
        <v>1211</v>
      </c>
      <c r="F1374" t="s">
        <v>3398</v>
      </c>
      <c r="G1374" t="s">
        <v>11080</v>
      </c>
      <c r="I1374" t="str">
        <f t="shared" si="84"/>
        <v>432</v>
      </c>
      <c r="J1374" t="str">
        <f t="shared" si="85"/>
        <v>BC</v>
      </c>
      <c r="K1374">
        <f t="shared" si="86"/>
        <v>-432</v>
      </c>
      <c r="L1374">
        <f t="shared" si="87"/>
        <v>-432</v>
      </c>
    </row>
    <row r="1375" spans="1:12" x14ac:dyDescent="0.35">
      <c r="A1375">
        <v>1388</v>
      </c>
      <c r="B1375" t="s">
        <v>3402</v>
      </c>
      <c r="C1375" t="s">
        <v>10348</v>
      </c>
      <c r="D1375" t="s">
        <v>3403</v>
      </c>
      <c r="E1375" t="s">
        <v>1211</v>
      </c>
      <c r="F1375" t="s">
        <v>3398</v>
      </c>
      <c r="G1375" t="s">
        <v>11080</v>
      </c>
      <c r="I1375" t="str">
        <f t="shared" si="84"/>
        <v>432</v>
      </c>
      <c r="J1375" t="str">
        <f t="shared" si="85"/>
        <v>BC</v>
      </c>
      <c r="K1375">
        <f t="shared" si="86"/>
        <v>-432</v>
      </c>
      <c r="L1375">
        <f t="shared" si="87"/>
        <v>-432</v>
      </c>
    </row>
    <row r="1376" spans="1:12" x14ac:dyDescent="0.35">
      <c r="A1376">
        <v>1389</v>
      </c>
      <c r="B1376" t="s">
        <v>3404</v>
      </c>
      <c r="C1376" t="s">
        <v>11447</v>
      </c>
      <c r="D1376" t="s">
        <v>3405</v>
      </c>
      <c r="E1376" t="s">
        <v>1211</v>
      </c>
      <c r="F1376" t="s">
        <v>3398</v>
      </c>
      <c r="G1376" t="s">
        <v>11080</v>
      </c>
      <c r="I1376" t="str">
        <f t="shared" si="84"/>
        <v>432</v>
      </c>
      <c r="J1376" t="str">
        <f t="shared" si="85"/>
        <v>BC</v>
      </c>
      <c r="K1376">
        <f t="shared" si="86"/>
        <v>-432</v>
      </c>
      <c r="L1376">
        <f t="shared" si="87"/>
        <v>-432</v>
      </c>
    </row>
    <row r="1377" spans="1:12" x14ac:dyDescent="0.35">
      <c r="A1377">
        <v>1390</v>
      </c>
      <c r="B1377" t="s">
        <v>3406</v>
      </c>
      <c r="C1377" t="s">
        <v>11449</v>
      </c>
      <c r="D1377" t="s">
        <v>3407</v>
      </c>
      <c r="E1377" t="s">
        <v>3327</v>
      </c>
      <c r="F1377" t="s">
        <v>3408</v>
      </c>
      <c r="G1377" t="s">
        <v>112</v>
      </c>
      <c r="I1377" t="str">
        <f t="shared" si="84"/>
        <v>479</v>
      </c>
      <c r="J1377" t="str">
        <f t="shared" si="85"/>
        <v>BC</v>
      </c>
      <c r="K1377">
        <f t="shared" si="86"/>
        <v>-479</v>
      </c>
      <c r="L1377">
        <f t="shared" si="87"/>
        <v>-479</v>
      </c>
    </row>
    <row r="1378" spans="1:12" x14ac:dyDescent="0.35">
      <c r="A1378">
        <v>1391</v>
      </c>
      <c r="B1378" t="s">
        <v>3409</v>
      </c>
      <c r="C1378" t="s">
        <v>10349</v>
      </c>
      <c r="D1378" t="s">
        <v>3410</v>
      </c>
      <c r="E1378" t="s">
        <v>3327</v>
      </c>
      <c r="F1378" t="s">
        <v>3408</v>
      </c>
      <c r="G1378" t="s">
        <v>112</v>
      </c>
      <c r="I1378" t="str">
        <f t="shared" si="84"/>
        <v>479</v>
      </c>
      <c r="J1378" t="str">
        <f t="shared" si="85"/>
        <v>BC</v>
      </c>
      <c r="K1378">
        <f t="shared" si="86"/>
        <v>-479</v>
      </c>
      <c r="L1378">
        <f t="shared" si="87"/>
        <v>-479</v>
      </c>
    </row>
    <row r="1379" spans="1:12" x14ac:dyDescent="0.35">
      <c r="A1379">
        <v>1392</v>
      </c>
      <c r="B1379" t="s">
        <v>3411</v>
      </c>
      <c r="C1379" t="s">
        <v>10350</v>
      </c>
      <c r="D1379" t="s">
        <v>3412</v>
      </c>
      <c r="E1379" t="s">
        <v>3327</v>
      </c>
      <c r="F1379" t="s">
        <v>3408</v>
      </c>
      <c r="G1379" t="s">
        <v>112</v>
      </c>
      <c r="I1379" t="str">
        <f t="shared" si="84"/>
        <v>479</v>
      </c>
      <c r="J1379" t="str">
        <f t="shared" si="85"/>
        <v>BC</v>
      </c>
      <c r="K1379">
        <f t="shared" si="86"/>
        <v>-479</v>
      </c>
      <c r="L1379">
        <f t="shared" si="87"/>
        <v>-479</v>
      </c>
    </row>
    <row r="1380" spans="1:12" x14ac:dyDescent="0.35">
      <c r="A1380">
        <v>1393</v>
      </c>
      <c r="B1380" t="s">
        <v>3413</v>
      </c>
      <c r="C1380" t="s">
        <v>11450</v>
      </c>
      <c r="D1380" t="s">
        <v>3414</v>
      </c>
      <c r="E1380" t="s">
        <v>3327</v>
      </c>
      <c r="F1380" t="s">
        <v>3415</v>
      </c>
      <c r="G1380" t="s">
        <v>12493</v>
      </c>
      <c r="I1380" t="str">
        <f t="shared" si="84"/>
        <v>475</v>
      </c>
      <c r="J1380" t="str">
        <f t="shared" si="85"/>
        <v>BC</v>
      </c>
      <c r="K1380">
        <f t="shared" si="86"/>
        <v>-475</v>
      </c>
      <c r="L1380">
        <f t="shared" si="87"/>
        <v>-475</v>
      </c>
    </row>
    <row r="1381" spans="1:12" x14ac:dyDescent="0.35">
      <c r="A1381">
        <v>1394</v>
      </c>
      <c r="B1381" t="s">
        <v>3416</v>
      </c>
      <c r="C1381" t="s">
        <v>10351</v>
      </c>
      <c r="D1381" t="s">
        <v>3417</v>
      </c>
      <c r="E1381" t="s">
        <v>3327</v>
      </c>
      <c r="F1381" t="s">
        <v>3415</v>
      </c>
      <c r="G1381" t="s">
        <v>112</v>
      </c>
      <c r="I1381" t="str">
        <f t="shared" si="84"/>
        <v>475</v>
      </c>
      <c r="J1381" t="str">
        <f t="shared" si="85"/>
        <v>BC</v>
      </c>
      <c r="K1381">
        <f t="shared" si="86"/>
        <v>-475</v>
      </c>
      <c r="L1381">
        <f t="shared" si="87"/>
        <v>-475</v>
      </c>
    </row>
    <row r="1382" spans="1:12" x14ac:dyDescent="0.35">
      <c r="A1382">
        <v>1395</v>
      </c>
      <c r="B1382" t="s">
        <v>3418</v>
      </c>
      <c r="C1382" t="s">
        <v>11451</v>
      </c>
      <c r="D1382" t="s">
        <v>3419</v>
      </c>
      <c r="E1382" t="s">
        <v>3324</v>
      </c>
      <c r="F1382" t="s">
        <v>3420</v>
      </c>
      <c r="G1382" t="s">
        <v>112</v>
      </c>
      <c r="I1382" t="str">
        <f t="shared" si="84"/>
        <v>474</v>
      </c>
      <c r="J1382" t="str">
        <f t="shared" si="85"/>
        <v>BC</v>
      </c>
      <c r="K1382">
        <f t="shared" si="86"/>
        <v>-474</v>
      </c>
      <c r="L1382">
        <f t="shared" si="87"/>
        <v>-474</v>
      </c>
    </row>
    <row r="1383" spans="1:12" x14ac:dyDescent="0.35">
      <c r="A1383">
        <v>1396</v>
      </c>
      <c r="B1383" t="s">
        <v>3421</v>
      </c>
      <c r="C1383" t="s">
        <v>10352</v>
      </c>
      <c r="D1383" t="s">
        <v>3419</v>
      </c>
      <c r="E1383" t="s">
        <v>3324</v>
      </c>
      <c r="F1383" t="s">
        <v>3420</v>
      </c>
      <c r="G1383" t="s">
        <v>112</v>
      </c>
      <c r="I1383" t="str">
        <f t="shared" si="84"/>
        <v>474</v>
      </c>
      <c r="J1383" t="str">
        <f t="shared" si="85"/>
        <v>BC</v>
      </c>
      <c r="K1383">
        <f t="shared" si="86"/>
        <v>-474</v>
      </c>
      <c r="L1383">
        <f t="shared" si="87"/>
        <v>-474</v>
      </c>
    </row>
    <row r="1384" spans="1:12" x14ac:dyDescent="0.35">
      <c r="A1384">
        <v>1397</v>
      </c>
      <c r="B1384" t="s">
        <v>3422</v>
      </c>
      <c r="C1384" t="s">
        <v>10353</v>
      </c>
      <c r="D1384" t="s">
        <v>3423</v>
      </c>
      <c r="E1384" t="s">
        <v>3324</v>
      </c>
      <c r="F1384" t="s">
        <v>3420</v>
      </c>
      <c r="G1384" t="s">
        <v>3424</v>
      </c>
      <c r="I1384" t="str">
        <f t="shared" si="84"/>
        <v>474</v>
      </c>
      <c r="J1384" t="str">
        <f t="shared" si="85"/>
        <v>BC</v>
      </c>
      <c r="K1384">
        <f t="shared" si="86"/>
        <v>-474</v>
      </c>
      <c r="L1384">
        <f t="shared" si="87"/>
        <v>-474</v>
      </c>
    </row>
    <row r="1385" spans="1:12" x14ac:dyDescent="0.35">
      <c r="A1385">
        <v>1398</v>
      </c>
      <c r="B1385" t="s">
        <v>3425</v>
      </c>
      <c r="C1385" t="s">
        <v>10354</v>
      </c>
      <c r="D1385" t="s">
        <v>3426</v>
      </c>
      <c r="E1385" t="s">
        <v>3324</v>
      </c>
      <c r="F1385" t="s">
        <v>3420</v>
      </c>
      <c r="G1385" t="s">
        <v>3427</v>
      </c>
      <c r="I1385" t="str">
        <f t="shared" si="84"/>
        <v>474</v>
      </c>
      <c r="J1385" t="str">
        <f t="shared" si="85"/>
        <v>BC</v>
      </c>
      <c r="K1385">
        <f t="shared" si="86"/>
        <v>-474</v>
      </c>
      <c r="L1385">
        <f t="shared" si="87"/>
        <v>-474</v>
      </c>
    </row>
    <row r="1386" spans="1:12" x14ac:dyDescent="0.35">
      <c r="A1386">
        <v>1399</v>
      </c>
      <c r="B1386" t="s">
        <v>3428</v>
      </c>
      <c r="C1386" t="s">
        <v>11452</v>
      </c>
      <c r="D1386" t="s">
        <v>3426</v>
      </c>
      <c r="E1386" t="s">
        <v>3324</v>
      </c>
      <c r="F1386" t="s">
        <v>3420</v>
      </c>
      <c r="G1386" t="s">
        <v>3424</v>
      </c>
      <c r="I1386" t="str">
        <f t="shared" si="84"/>
        <v>474</v>
      </c>
      <c r="J1386" t="str">
        <f t="shared" si="85"/>
        <v>BC</v>
      </c>
      <c r="K1386">
        <f t="shared" si="86"/>
        <v>-474</v>
      </c>
      <c r="L1386">
        <f t="shared" si="87"/>
        <v>-474</v>
      </c>
    </row>
    <row r="1387" spans="1:12" x14ac:dyDescent="0.35">
      <c r="A1387">
        <v>1400</v>
      </c>
      <c r="B1387" t="s">
        <v>3429</v>
      </c>
      <c r="C1387" t="s">
        <v>10355</v>
      </c>
      <c r="D1387" t="s">
        <v>3430</v>
      </c>
      <c r="E1387" t="s">
        <v>3324</v>
      </c>
      <c r="F1387" t="s">
        <v>3420</v>
      </c>
      <c r="G1387" t="s">
        <v>3431</v>
      </c>
      <c r="I1387" t="str">
        <f t="shared" si="84"/>
        <v>474</v>
      </c>
      <c r="J1387" t="str">
        <f t="shared" si="85"/>
        <v>BC</v>
      </c>
      <c r="K1387">
        <f t="shared" si="86"/>
        <v>-474</v>
      </c>
      <c r="L1387">
        <f t="shared" si="87"/>
        <v>-474</v>
      </c>
    </row>
    <row r="1388" spans="1:12" x14ac:dyDescent="0.35">
      <c r="A1388">
        <v>1401</v>
      </c>
      <c r="B1388" t="s">
        <v>3432</v>
      </c>
      <c r="C1388" t="s">
        <v>10356</v>
      </c>
      <c r="D1388" t="s">
        <v>3433</v>
      </c>
      <c r="E1388" t="s">
        <v>3327</v>
      </c>
      <c r="F1388" t="s">
        <v>3420</v>
      </c>
      <c r="G1388" t="s">
        <v>112</v>
      </c>
      <c r="I1388" t="str">
        <f t="shared" si="84"/>
        <v>474</v>
      </c>
      <c r="J1388" t="str">
        <f t="shared" si="85"/>
        <v>BC</v>
      </c>
      <c r="K1388">
        <f t="shared" si="86"/>
        <v>-474</v>
      </c>
      <c r="L1388">
        <f t="shared" si="87"/>
        <v>-474</v>
      </c>
    </row>
    <row r="1389" spans="1:12" x14ac:dyDescent="0.35">
      <c r="A1389">
        <v>1402</v>
      </c>
      <c r="B1389" t="s">
        <v>3434</v>
      </c>
      <c r="C1389" t="s">
        <v>11453</v>
      </c>
      <c r="D1389" t="s">
        <v>3433</v>
      </c>
      <c r="E1389" t="s">
        <v>3327</v>
      </c>
      <c r="F1389" t="s">
        <v>3420</v>
      </c>
      <c r="G1389" t="s">
        <v>3435</v>
      </c>
      <c r="I1389" t="str">
        <f t="shared" si="84"/>
        <v>474</v>
      </c>
      <c r="J1389" t="str">
        <f t="shared" si="85"/>
        <v>BC</v>
      </c>
      <c r="K1389">
        <f t="shared" si="86"/>
        <v>-474</v>
      </c>
      <c r="L1389">
        <f t="shared" si="87"/>
        <v>-474</v>
      </c>
    </row>
    <row r="1390" spans="1:12" x14ac:dyDescent="0.35">
      <c r="A1390">
        <v>1403</v>
      </c>
      <c r="B1390" t="s">
        <v>3436</v>
      </c>
      <c r="C1390" t="s">
        <v>11454</v>
      </c>
      <c r="D1390" t="s">
        <v>3437</v>
      </c>
      <c r="E1390" t="s">
        <v>3327</v>
      </c>
      <c r="F1390" t="s">
        <v>3420</v>
      </c>
      <c r="G1390" t="s">
        <v>112</v>
      </c>
      <c r="I1390" t="str">
        <f t="shared" si="84"/>
        <v>474</v>
      </c>
      <c r="J1390" t="str">
        <f t="shared" si="85"/>
        <v>BC</v>
      </c>
      <c r="K1390">
        <f t="shared" si="86"/>
        <v>-474</v>
      </c>
      <c r="L1390">
        <f t="shared" si="87"/>
        <v>-474</v>
      </c>
    </row>
    <row r="1391" spans="1:12" x14ac:dyDescent="0.35">
      <c r="A1391">
        <v>1404</v>
      </c>
      <c r="B1391" t="s">
        <v>3438</v>
      </c>
      <c r="C1391" t="s">
        <v>11455</v>
      </c>
      <c r="D1391" t="s">
        <v>3439</v>
      </c>
      <c r="E1391" t="s">
        <v>3327</v>
      </c>
      <c r="F1391" t="s">
        <v>3420</v>
      </c>
      <c r="G1391" t="s">
        <v>112</v>
      </c>
      <c r="I1391" t="str">
        <f t="shared" si="84"/>
        <v>474</v>
      </c>
      <c r="J1391" t="str">
        <f t="shared" si="85"/>
        <v>BC</v>
      </c>
      <c r="K1391">
        <f t="shared" si="86"/>
        <v>-474</v>
      </c>
      <c r="L1391">
        <f t="shared" si="87"/>
        <v>-474</v>
      </c>
    </row>
    <row r="1392" spans="1:12" x14ac:dyDescent="0.35">
      <c r="A1392">
        <v>1405</v>
      </c>
      <c r="B1392" t="s">
        <v>3440</v>
      </c>
      <c r="C1392" t="s">
        <v>11456</v>
      </c>
      <c r="D1392" t="s">
        <v>3441</v>
      </c>
      <c r="E1392" t="s">
        <v>3324</v>
      </c>
      <c r="F1392" t="s">
        <v>3420</v>
      </c>
      <c r="G1392" t="s">
        <v>112</v>
      </c>
      <c r="I1392" t="str">
        <f t="shared" si="84"/>
        <v>474</v>
      </c>
      <c r="J1392" t="str">
        <f t="shared" si="85"/>
        <v>BC</v>
      </c>
      <c r="K1392">
        <f t="shared" si="86"/>
        <v>-474</v>
      </c>
      <c r="L1392">
        <f t="shared" si="87"/>
        <v>-474</v>
      </c>
    </row>
    <row r="1393" spans="1:12" x14ac:dyDescent="0.35">
      <c r="A1393">
        <v>1406</v>
      </c>
      <c r="B1393" t="s">
        <v>3442</v>
      </c>
      <c r="C1393" t="s">
        <v>10037</v>
      </c>
      <c r="D1393" t="s">
        <v>3443</v>
      </c>
      <c r="E1393" t="s">
        <v>3444</v>
      </c>
      <c r="F1393" t="s">
        <v>3420</v>
      </c>
      <c r="G1393" t="s">
        <v>3445</v>
      </c>
      <c r="I1393" t="str">
        <f t="shared" si="84"/>
        <v>474</v>
      </c>
      <c r="J1393" t="str">
        <f t="shared" si="85"/>
        <v>BC</v>
      </c>
      <c r="K1393">
        <f t="shared" si="86"/>
        <v>-474</v>
      </c>
      <c r="L1393">
        <f t="shared" si="87"/>
        <v>-474</v>
      </c>
    </row>
    <row r="1394" spans="1:12" x14ac:dyDescent="0.35">
      <c r="A1394">
        <v>1407</v>
      </c>
      <c r="B1394" t="s">
        <v>3446</v>
      </c>
      <c r="C1394" t="s">
        <v>11457</v>
      </c>
      <c r="D1394" t="s">
        <v>3447</v>
      </c>
      <c r="E1394" t="s">
        <v>3444</v>
      </c>
      <c r="F1394" t="s">
        <v>3420</v>
      </c>
      <c r="G1394" t="s">
        <v>112</v>
      </c>
      <c r="I1394" t="str">
        <f t="shared" si="84"/>
        <v>474</v>
      </c>
      <c r="J1394" t="str">
        <f t="shared" si="85"/>
        <v>BC</v>
      </c>
      <c r="K1394">
        <f t="shared" si="86"/>
        <v>-474</v>
      </c>
      <c r="L1394">
        <f t="shared" si="87"/>
        <v>-474</v>
      </c>
    </row>
    <row r="1395" spans="1:12" x14ac:dyDescent="0.35">
      <c r="A1395">
        <v>1408</v>
      </c>
      <c r="B1395" t="s">
        <v>3448</v>
      </c>
      <c r="C1395" t="s">
        <v>10357</v>
      </c>
      <c r="D1395" t="s">
        <v>3449</v>
      </c>
      <c r="E1395" t="s">
        <v>3327</v>
      </c>
      <c r="F1395" t="s">
        <v>3420</v>
      </c>
      <c r="G1395" t="s">
        <v>112</v>
      </c>
      <c r="I1395" t="str">
        <f t="shared" si="84"/>
        <v>474</v>
      </c>
      <c r="J1395" t="str">
        <f t="shared" si="85"/>
        <v>BC</v>
      </c>
      <c r="K1395">
        <f t="shared" si="86"/>
        <v>-474</v>
      </c>
      <c r="L1395">
        <f t="shared" si="87"/>
        <v>-474</v>
      </c>
    </row>
    <row r="1396" spans="1:12" x14ac:dyDescent="0.35">
      <c r="A1396">
        <v>1409</v>
      </c>
      <c r="B1396" t="s">
        <v>3450</v>
      </c>
      <c r="C1396" t="s">
        <v>10232</v>
      </c>
      <c r="D1396" t="s">
        <v>3451</v>
      </c>
      <c r="E1396" t="s">
        <v>3327</v>
      </c>
      <c r="F1396" t="s">
        <v>3420</v>
      </c>
      <c r="G1396" t="s">
        <v>112</v>
      </c>
      <c r="I1396" t="str">
        <f t="shared" ref="I1396:I1459" si="88">SUBSTITUTE(SUBSTITUTE(SUBSTITUTE(F1396,"c. ","")," BC","")," AD","")</f>
        <v>474</v>
      </c>
      <c r="J1396" t="str">
        <f t="shared" si="85"/>
        <v>BC</v>
      </c>
      <c r="K1396">
        <f t="shared" si="86"/>
        <v>-474</v>
      </c>
      <c r="L1396">
        <f t="shared" si="87"/>
        <v>-474</v>
      </c>
    </row>
    <row r="1397" spans="1:12" x14ac:dyDescent="0.35">
      <c r="A1397">
        <v>1410</v>
      </c>
      <c r="B1397" t="s">
        <v>3452</v>
      </c>
      <c r="C1397" t="s">
        <v>11458</v>
      </c>
      <c r="D1397" t="s">
        <v>3453</v>
      </c>
      <c r="E1397" t="s">
        <v>3454</v>
      </c>
      <c r="F1397" t="s">
        <v>3420</v>
      </c>
      <c r="G1397" t="s">
        <v>112</v>
      </c>
      <c r="I1397" t="str">
        <f t="shared" si="88"/>
        <v>474</v>
      </c>
      <c r="J1397" t="str">
        <f t="shared" si="85"/>
        <v>BC</v>
      </c>
      <c r="K1397">
        <f t="shared" si="86"/>
        <v>-474</v>
      </c>
      <c r="L1397">
        <f t="shared" si="87"/>
        <v>-474</v>
      </c>
    </row>
    <row r="1398" spans="1:12" x14ac:dyDescent="0.35">
      <c r="A1398">
        <v>1411</v>
      </c>
      <c r="B1398" t="s">
        <v>3455</v>
      </c>
      <c r="C1398" t="s">
        <v>10358</v>
      </c>
      <c r="D1398" t="s">
        <v>3456</v>
      </c>
      <c r="E1398" t="s">
        <v>3324</v>
      </c>
      <c r="F1398" t="s">
        <v>3420</v>
      </c>
      <c r="G1398" t="s">
        <v>112</v>
      </c>
      <c r="I1398" t="str">
        <f t="shared" si="88"/>
        <v>474</v>
      </c>
      <c r="J1398" t="str">
        <f t="shared" si="85"/>
        <v>BC</v>
      </c>
      <c r="K1398">
        <f t="shared" si="86"/>
        <v>-474</v>
      </c>
      <c r="L1398">
        <f t="shared" si="87"/>
        <v>-474</v>
      </c>
    </row>
    <row r="1399" spans="1:12" x14ac:dyDescent="0.35">
      <c r="A1399">
        <v>1412</v>
      </c>
      <c r="B1399" t="s">
        <v>3457</v>
      </c>
      <c r="C1399" t="s">
        <v>10359</v>
      </c>
      <c r="D1399" t="s">
        <v>3458</v>
      </c>
      <c r="E1399" t="s">
        <v>3327</v>
      </c>
      <c r="F1399" t="s">
        <v>3420</v>
      </c>
      <c r="G1399" t="s">
        <v>112</v>
      </c>
      <c r="I1399" t="str">
        <f t="shared" si="88"/>
        <v>474</v>
      </c>
      <c r="J1399" t="str">
        <f t="shared" si="85"/>
        <v>BC</v>
      </c>
      <c r="K1399">
        <f t="shared" si="86"/>
        <v>-474</v>
      </c>
      <c r="L1399">
        <f t="shared" si="87"/>
        <v>-474</v>
      </c>
    </row>
    <row r="1400" spans="1:12" x14ac:dyDescent="0.35">
      <c r="A1400">
        <v>1413</v>
      </c>
      <c r="B1400" t="s">
        <v>3459</v>
      </c>
      <c r="C1400" t="s">
        <v>10360</v>
      </c>
      <c r="D1400" t="s">
        <v>3460</v>
      </c>
      <c r="E1400" t="s">
        <v>3327</v>
      </c>
      <c r="F1400" t="s">
        <v>3420</v>
      </c>
      <c r="G1400" t="s">
        <v>3205</v>
      </c>
      <c r="I1400" t="str">
        <f t="shared" si="88"/>
        <v>474</v>
      </c>
      <c r="J1400" t="str">
        <f t="shared" si="85"/>
        <v>BC</v>
      </c>
      <c r="K1400">
        <f t="shared" si="86"/>
        <v>-474</v>
      </c>
      <c r="L1400">
        <f t="shared" si="87"/>
        <v>-474</v>
      </c>
    </row>
    <row r="1401" spans="1:12" x14ac:dyDescent="0.35">
      <c r="A1401">
        <v>1414</v>
      </c>
      <c r="B1401" t="s">
        <v>3461</v>
      </c>
      <c r="C1401" t="s">
        <v>11459</v>
      </c>
      <c r="D1401" t="s">
        <v>3462</v>
      </c>
      <c r="E1401" t="s">
        <v>2765</v>
      </c>
      <c r="F1401" t="s">
        <v>3420</v>
      </c>
      <c r="G1401" t="s">
        <v>12494</v>
      </c>
      <c r="I1401" t="str">
        <f t="shared" si="88"/>
        <v>474</v>
      </c>
      <c r="J1401" t="str">
        <f t="shared" si="85"/>
        <v>BC</v>
      </c>
      <c r="K1401">
        <f t="shared" si="86"/>
        <v>-474</v>
      </c>
      <c r="L1401">
        <f t="shared" si="87"/>
        <v>-474</v>
      </c>
    </row>
    <row r="1402" spans="1:12" x14ac:dyDescent="0.35">
      <c r="A1402">
        <v>1415</v>
      </c>
      <c r="B1402" t="s">
        <v>3463</v>
      </c>
      <c r="C1402" t="s">
        <v>11444</v>
      </c>
      <c r="D1402" t="s">
        <v>3464</v>
      </c>
      <c r="E1402" t="s">
        <v>3324</v>
      </c>
      <c r="F1402" t="s">
        <v>3420</v>
      </c>
      <c r="G1402" t="s">
        <v>3465</v>
      </c>
      <c r="I1402" t="str">
        <f t="shared" si="88"/>
        <v>474</v>
      </c>
      <c r="J1402" t="str">
        <f t="shared" si="85"/>
        <v>BC</v>
      </c>
      <c r="K1402">
        <f t="shared" si="86"/>
        <v>-474</v>
      </c>
      <c r="L1402">
        <f t="shared" si="87"/>
        <v>-474</v>
      </c>
    </row>
    <row r="1403" spans="1:12" x14ac:dyDescent="0.35">
      <c r="A1403">
        <v>1416</v>
      </c>
      <c r="B1403" t="s">
        <v>3466</v>
      </c>
      <c r="C1403" t="s">
        <v>10361</v>
      </c>
      <c r="D1403" t="s">
        <v>3467</v>
      </c>
      <c r="E1403" t="s">
        <v>3468</v>
      </c>
      <c r="F1403" t="s">
        <v>3420</v>
      </c>
      <c r="G1403" t="s">
        <v>3469</v>
      </c>
      <c r="I1403" t="str">
        <f t="shared" si="88"/>
        <v>474</v>
      </c>
      <c r="J1403" t="str">
        <f t="shared" si="85"/>
        <v>BC</v>
      </c>
      <c r="K1403">
        <f t="shared" si="86"/>
        <v>-474</v>
      </c>
      <c r="L1403">
        <f t="shared" si="87"/>
        <v>-474</v>
      </c>
    </row>
    <row r="1404" spans="1:12" x14ac:dyDescent="0.35">
      <c r="A1404">
        <v>1417</v>
      </c>
      <c r="B1404" t="s">
        <v>3470</v>
      </c>
      <c r="C1404" t="s">
        <v>11460</v>
      </c>
      <c r="D1404" t="s">
        <v>3471</v>
      </c>
      <c r="E1404" t="s">
        <v>3468</v>
      </c>
      <c r="F1404" t="s">
        <v>3472</v>
      </c>
      <c r="G1404" t="s">
        <v>112</v>
      </c>
      <c r="I1404" t="str">
        <f t="shared" si="88"/>
        <v>March 7, 473</v>
      </c>
      <c r="J1404" t="str">
        <f t="shared" si="85"/>
        <v>BC</v>
      </c>
      <c r="K1404" t="e">
        <f t="shared" si="86"/>
        <v>#VALUE!</v>
      </c>
      <c r="L1404" t="e">
        <f t="shared" si="87"/>
        <v>#VALUE!</v>
      </c>
    </row>
    <row r="1405" spans="1:12" x14ac:dyDescent="0.35">
      <c r="A1405">
        <v>1418</v>
      </c>
      <c r="B1405" t="s">
        <v>3473</v>
      </c>
      <c r="C1405" t="s">
        <v>10267</v>
      </c>
      <c r="D1405" t="s">
        <v>3474</v>
      </c>
      <c r="E1405" t="s">
        <v>3468</v>
      </c>
      <c r="F1405" t="s">
        <v>3472</v>
      </c>
      <c r="G1405" t="s">
        <v>112</v>
      </c>
      <c r="I1405" t="str">
        <f t="shared" si="88"/>
        <v>March 7, 473</v>
      </c>
      <c r="J1405" t="str">
        <f t="shared" si="85"/>
        <v>BC</v>
      </c>
      <c r="K1405" t="e">
        <f t="shared" si="86"/>
        <v>#VALUE!</v>
      </c>
      <c r="L1405" t="e">
        <f t="shared" si="87"/>
        <v>#VALUE!</v>
      </c>
    </row>
    <row r="1406" spans="1:12" x14ac:dyDescent="0.35">
      <c r="A1406">
        <v>1419</v>
      </c>
      <c r="B1406" t="s">
        <v>3475</v>
      </c>
      <c r="C1406" t="s">
        <v>11461</v>
      </c>
      <c r="D1406" t="s">
        <v>3476</v>
      </c>
      <c r="E1406" t="s">
        <v>3468</v>
      </c>
      <c r="F1406" t="s">
        <v>3472</v>
      </c>
      <c r="G1406" t="s">
        <v>3477</v>
      </c>
      <c r="I1406" t="str">
        <f t="shared" si="88"/>
        <v>March 7, 473</v>
      </c>
      <c r="J1406" t="str">
        <f t="shared" si="85"/>
        <v>BC</v>
      </c>
      <c r="K1406" t="e">
        <f t="shared" si="86"/>
        <v>#VALUE!</v>
      </c>
      <c r="L1406" t="e">
        <f t="shared" si="87"/>
        <v>#VALUE!</v>
      </c>
    </row>
    <row r="1407" spans="1:12" x14ac:dyDescent="0.35">
      <c r="A1407">
        <v>1420</v>
      </c>
      <c r="B1407" t="s">
        <v>3478</v>
      </c>
      <c r="C1407" t="s">
        <v>11462</v>
      </c>
      <c r="D1407" t="s">
        <v>3479</v>
      </c>
      <c r="E1407" t="s">
        <v>3468</v>
      </c>
      <c r="F1407" t="s">
        <v>3480</v>
      </c>
      <c r="G1407" t="s">
        <v>3481</v>
      </c>
      <c r="I1407" t="str">
        <f t="shared" si="88"/>
        <v>March 7-8, 473</v>
      </c>
      <c r="J1407" t="str">
        <f t="shared" si="85"/>
        <v>BC</v>
      </c>
      <c r="K1407">
        <f t="shared" si="86"/>
        <v>-45723</v>
      </c>
      <c r="L1407" t="e">
        <f t="shared" si="87"/>
        <v>#VALUE!</v>
      </c>
    </row>
    <row r="1408" spans="1:12" x14ac:dyDescent="0.35">
      <c r="A1408">
        <v>1421</v>
      </c>
      <c r="B1408" t="s">
        <v>3482</v>
      </c>
      <c r="C1408" t="s">
        <v>11463</v>
      </c>
      <c r="D1408" t="s">
        <v>3483</v>
      </c>
      <c r="E1408" t="s">
        <v>3324</v>
      </c>
      <c r="F1408" t="s">
        <v>3472</v>
      </c>
      <c r="G1408" t="s">
        <v>112</v>
      </c>
      <c r="I1408" t="str">
        <f t="shared" si="88"/>
        <v>March 7, 473</v>
      </c>
      <c r="J1408" t="str">
        <f t="shared" si="85"/>
        <v>BC</v>
      </c>
      <c r="K1408" t="e">
        <f t="shared" si="86"/>
        <v>#VALUE!</v>
      </c>
      <c r="L1408" t="e">
        <f t="shared" si="87"/>
        <v>#VALUE!</v>
      </c>
    </row>
    <row r="1409" spans="1:12" x14ac:dyDescent="0.35">
      <c r="A1409">
        <v>1422</v>
      </c>
      <c r="B1409" t="s">
        <v>3484</v>
      </c>
      <c r="C1409" t="s">
        <v>10362</v>
      </c>
      <c r="D1409" t="s">
        <v>3485</v>
      </c>
      <c r="E1409" t="s">
        <v>3468</v>
      </c>
      <c r="F1409" t="s">
        <v>3486</v>
      </c>
      <c r="G1409" t="s">
        <v>12540</v>
      </c>
      <c r="I1409" t="str">
        <f t="shared" si="88"/>
        <v>March 8-9, 473</v>
      </c>
      <c r="J1409" t="str">
        <f t="shared" si="85"/>
        <v>BC</v>
      </c>
      <c r="K1409">
        <f t="shared" si="86"/>
        <v>-45724</v>
      </c>
      <c r="L1409" t="e">
        <f t="shared" si="87"/>
        <v>#VALUE!</v>
      </c>
    </row>
    <row r="1410" spans="1:12" x14ac:dyDescent="0.35">
      <c r="A1410">
        <v>1423</v>
      </c>
      <c r="B1410" t="s">
        <v>3487</v>
      </c>
      <c r="C1410" t="s">
        <v>10363</v>
      </c>
      <c r="D1410" t="s">
        <v>3488</v>
      </c>
      <c r="E1410" t="s">
        <v>3468</v>
      </c>
      <c r="F1410" t="s">
        <v>3489</v>
      </c>
      <c r="G1410" t="s">
        <v>3490</v>
      </c>
      <c r="I1410" t="str">
        <f t="shared" si="88"/>
        <v>March 473</v>
      </c>
      <c r="J1410" t="str">
        <f t="shared" ref="J1410:J1473" si="89">RIGHT(F1410, 2)</f>
        <v>BC</v>
      </c>
      <c r="K1410" t="e">
        <f t="shared" ref="K1410:K1473" si="90">IF(J1410="BC", 0-IF(ISERROR(FIND("-",I1410)),I1410,LEFT(I1410,FIND("-",I1410)-1)), IF(ISERROR(FIND("-",I1410)),I1410,LEFT(I1410,FIND("-",I1410)-1)))</f>
        <v>#VALUE!</v>
      </c>
      <c r="L1410" t="e">
        <f t="shared" ref="L1410:L1473" si="91">IF(J1410="BC", 0-IF(ISERROR(FIND("-",I1410)),I1410,RIGHT(I1410,FIND("-",I1410)-1)), IF(ISERROR(FIND("-",I1410)),I1410,RIGHT(I1410,FIND("-",I1410)-1)))</f>
        <v>#VALUE!</v>
      </c>
    </row>
    <row r="1411" spans="1:12" x14ac:dyDescent="0.35">
      <c r="A1411">
        <v>1424</v>
      </c>
      <c r="B1411" t="s">
        <v>3491</v>
      </c>
      <c r="C1411" t="s">
        <v>10364</v>
      </c>
      <c r="D1411" t="s">
        <v>3492</v>
      </c>
      <c r="E1411" t="s">
        <v>2765</v>
      </c>
      <c r="F1411" t="s">
        <v>3493</v>
      </c>
      <c r="G1411" t="s">
        <v>12493</v>
      </c>
      <c r="I1411" t="str">
        <f t="shared" si="88"/>
        <v>473</v>
      </c>
      <c r="J1411" t="str">
        <f t="shared" si="89"/>
        <v>BC</v>
      </c>
      <c r="K1411">
        <f t="shared" si="90"/>
        <v>-473</v>
      </c>
      <c r="L1411">
        <f t="shared" si="91"/>
        <v>-473</v>
      </c>
    </row>
    <row r="1412" spans="1:12" x14ac:dyDescent="0.35">
      <c r="A1412">
        <v>1425</v>
      </c>
      <c r="B1412" t="s">
        <v>3577</v>
      </c>
      <c r="C1412" t="s">
        <v>11325</v>
      </c>
      <c r="D1412" t="s">
        <v>3578</v>
      </c>
      <c r="E1412" t="s">
        <v>3579</v>
      </c>
      <c r="F1412" t="s">
        <v>3580</v>
      </c>
      <c r="G1412" t="s">
        <v>112</v>
      </c>
      <c r="I1412" t="str">
        <f t="shared" si="88"/>
        <v>2000-1500</v>
      </c>
      <c r="J1412" t="str">
        <f t="shared" si="89"/>
        <v>BC</v>
      </c>
      <c r="K1412">
        <f t="shared" si="90"/>
        <v>-2000</v>
      </c>
      <c r="L1412">
        <f t="shared" si="91"/>
        <v>-1500</v>
      </c>
    </row>
    <row r="1413" spans="1:12" x14ac:dyDescent="0.35">
      <c r="A1413">
        <v>1426</v>
      </c>
      <c r="B1413" t="s">
        <v>3581</v>
      </c>
      <c r="C1413" t="s">
        <v>10720</v>
      </c>
      <c r="D1413" t="s">
        <v>3582</v>
      </c>
      <c r="E1413" t="s">
        <v>3579</v>
      </c>
      <c r="F1413" t="s">
        <v>3580</v>
      </c>
      <c r="G1413" t="s">
        <v>112</v>
      </c>
      <c r="I1413" t="str">
        <f t="shared" si="88"/>
        <v>2000-1500</v>
      </c>
      <c r="J1413" t="str">
        <f t="shared" si="89"/>
        <v>BC</v>
      </c>
      <c r="K1413">
        <f t="shared" si="90"/>
        <v>-2000</v>
      </c>
      <c r="L1413">
        <f t="shared" si="91"/>
        <v>-1500</v>
      </c>
    </row>
    <row r="1414" spans="1:12" x14ac:dyDescent="0.35">
      <c r="A1414">
        <v>1427</v>
      </c>
      <c r="B1414" t="s">
        <v>3583</v>
      </c>
      <c r="C1414" t="s">
        <v>10365</v>
      </c>
      <c r="D1414" t="s">
        <v>3584</v>
      </c>
      <c r="E1414" t="s">
        <v>3579</v>
      </c>
      <c r="F1414" t="s">
        <v>3580</v>
      </c>
      <c r="G1414" t="s">
        <v>112</v>
      </c>
      <c r="I1414" t="str">
        <f t="shared" si="88"/>
        <v>2000-1500</v>
      </c>
      <c r="J1414" t="str">
        <f t="shared" si="89"/>
        <v>BC</v>
      </c>
      <c r="K1414">
        <f t="shared" si="90"/>
        <v>-2000</v>
      </c>
      <c r="L1414">
        <f t="shared" si="91"/>
        <v>-1500</v>
      </c>
    </row>
    <row r="1415" spans="1:12" x14ac:dyDescent="0.35">
      <c r="A1415">
        <v>1428</v>
      </c>
      <c r="B1415" t="s">
        <v>3585</v>
      </c>
      <c r="C1415" t="s">
        <v>11464</v>
      </c>
      <c r="D1415" t="s">
        <v>3584</v>
      </c>
      <c r="E1415" t="s">
        <v>3579</v>
      </c>
      <c r="F1415" t="s">
        <v>3580</v>
      </c>
      <c r="G1415" t="s">
        <v>112</v>
      </c>
      <c r="I1415" t="str">
        <f t="shared" si="88"/>
        <v>2000-1500</v>
      </c>
      <c r="J1415" t="str">
        <f t="shared" si="89"/>
        <v>BC</v>
      </c>
      <c r="K1415">
        <f t="shared" si="90"/>
        <v>-2000</v>
      </c>
      <c r="L1415">
        <f t="shared" si="91"/>
        <v>-1500</v>
      </c>
    </row>
    <row r="1416" spans="1:12" x14ac:dyDescent="0.35">
      <c r="A1416">
        <v>1429</v>
      </c>
      <c r="B1416" t="s">
        <v>3586</v>
      </c>
      <c r="C1416" t="s">
        <v>10220</v>
      </c>
      <c r="D1416" t="s">
        <v>3587</v>
      </c>
      <c r="E1416" t="s">
        <v>3588</v>
      </c>
      <c r="F1416" t="s">
        <v>3580</v>
      </c>
      <c r="G1416" t="s">
        <v>112</v>
      </c>
      <c r="I1416" t="str">
        <f t="shared" si="88"/>
        <v>2000-1500</v>
      </c>
      <c r="J1416" t="str">
        <f t="shared" si="89"/>
        <v>BC</v>
      </c>
      <c r="K1416">
        <f t="shared" si="90"/>
        <v>-2000</v>
      </c>
      <c r="L1416">
        <f t="shared" si="91"/>
        <v>-1500</v>
      </c>
    </row>
    <row r="1417" spans="1:12" x14ac:dyDescent="0.35">
      <c r="A1417">
        <v>1430</v>
      </c>
      <c r="B1417" t="s">
        <v>3589</v>
      </c>
      <c r="C1417" t="s">
        <v>10366</v>
      </c>
      <c r="D1417" t="s">
        <v>3590</v>
      </c>
      <c r="E1417" t="s">
        <v>3591</v>
      </c>
      <c r="F1417" t="s">
        <v>3580</v>
      </c>
      <c r="G1417" t="s">
        <v>12495</v>
      </c>
      <c r="I1417" t="str">
        <f t="shared" si="88"/>
        <v>2000-1500</v>
      </c>
      <c r="J1417" t="str">
        <f t="shared" si="89"/>
        <v>BC</v>
      </c>
      <c r="K1417">
        <f t="shared" si="90"/>
        <v>-2000</v>
      </c>
      <c r="L1417">
        <f t="shared" si="91"/>
        <v>-1500</v>
      </c>
    </row>
    <row r="1418" spans="1:12" x14ac:dyDescent="0.35">
      <c r="A1418">
        <v>1431</v>
      </c>
      <c r="B1418" t="s">
        <v>3592</v>
      </c>
      <c r="C1418" t="s">
        <v>10720</v>
      </c>
      <c r="D1418" t="s">
        <v>3593</v>
      </c>
      <c r="E1418" t="s">
        <v>3579</v>
      </c>
      <c r="F1418" t="s">
        <v>3580</v>
      </c>
      <c r="G1418" t="s">
        <v>112</v>
      </c>
      <c r="I1418" t="str">
        <f t="shared" si="88"/>
        <v>2000-1500</v>
      </c>
      <c r="J1418" t="str">
        <f t="shared" si="89"/>
        <v>BC</v>
      </c>
      <c r="K1418">
        <f t="shared" si="90"/>
        <v>-2000</v>
      </c>
      <c r="L1418">
        <f t="shared" si="91"/>
        <v>-1500</v>
      </c>
    </row>
    <row r="1419" spans="1:12" x14ac:dyDescent="0.35">
      <c r="A1419">
        <v>1432</v>
      </c>
      <c r="B1419" t="s">
        <v>3594</v>
      </c>
      <c r="C1419" t="s">
        <v>11465</v>
      </c>
      <c r="D1419" t="s">
        <v>3593</v>
      </c>
      <c r="E1419" t="s">
        <v>3579</v>
      </c>
      <c r="F1419" t="s">
        <v>3580</v>
      </c>
      <c r="G1419" t="s">
        <v>112</v>
      </c>
      <c r="I1419" t="str">
        <f t="shared" si="88"/>
        <v>2000-1500</v>
      </c>
      <c r="J1419" t="str">
        <f t="shared" si="89"/>
        <v>BC</v>
      </c>
      <c r="K1419">
        <f t="shared" si="90"/>
        <v>-2000</v>
      </c>
      <c r="L1419">
        <f t="shared" si="91"/>
        <v>-1500</v>
      </c>
    </row>
    <row r="1420" spans="1:12" x14ac:dyDescent="0.35">
      <c r="A1420">
        <v>1433</v>
      </c>
      <c r="B1420" t="s">
        <v>3595</v>
      </c>
      <c r="C1420" t="s">
        <v>10365</v>
      </c>
      <c r="D1420" t="s">
        <v>3596</v>
      </c>
      <c r="E1420" t="s">
        <v>3579</v>
      </c>
      <c r="F1420" t="s">
        <v>3580</v>
      </c>
      <c r="G1420" t="s">
        <v>112</v>
      </c>
      <c r="I1420" t="str">
        <f t="shared" si="88"/>
        <v>2000-1500</v>
      </c>
      <c r="J1420" t="str">
        <f t="shared" si="89"/>
        <v>BC</v>
      </c>
      <c r="K1420">
        <f t="shared" si="90"/>
        <v>-2000</v>
      </c>
      <c r="L1420">
        <f t="shared" si="91"/>
        <v>-1500</v>
      </c>
    </row>
    <row r="1421" spans="1:12" x14ac:dyDescent="0.35">
      <c r="A1421">
        <v>1434</v>
      </c>
      <c r="B1421" t="s">
        <v>3597</v>
      </c>
      <c r="C1421" t="s">
        <v>11466</v>
      </c>
      <c r="D1421" t="s">
        <v>3596</v>
      </c>
      <c r="E1421" t="s">
        <v>3579</v>
      </c>
      <c r="F1421" t="s">
        <v>3580</v>
      </c>
      <c r="G1421" t="s">
        <v>112</v>
      </c>
      <c r="I1421" t="str">
        <f t="shared" si="88"/>
        <v>2000-1500</v>
      </c>
      <c r="J1421" t="str">
        <f t="shared" si="89"/>
        <v>BC</v>
      </c>
      <c r="K1421">
        <f t="shared" si="90"/>
        <v>-2000</v>
      </c>
      <c r="L1421">
        <f t="shared" si="91"/>
        <v>-1500</v>
      </c>
    </row>
    <row r="1422" spans="1:12" x14ac:dyDescent="0.35">
      <c r="A1422">
        <v>1435</v>
      </c>
      <c r="B1422" t="s">
        <v>3598</v>
      </c>
      <c r="C1422" t="s">
        <v>11467</v>
      </c>
      <c r="D1422" t="s">
        <v>3599</v>
      </c>
      <c r="E1422" t="s">
        <v>3600</v>
      </c>
      <c r="F1422" t="s">
        <v>3580</v>
      </c>
      <c r="G1422" t="s">
        <v>3601</v>
      </c>
      <c r="I1422" t="str">
        <f t="shared" si="88"/>
        <v>2000-1500</v>
      </c>
      <c r="J1422" t="str">
        <f t="shared" si="89"/>
        <v>BC</v>
      </c>
      <c r="K1422">
        <f t="shared" si="90"/>
        <v>-2000</v>
      </c>
      <c r="L1422">
        <f t="shared" si="91"/>
        <v>-1500</v>
      </c>
    </row>
    <row r="1423" spans="1:12" x14ac:dyDescent="0.35">
      <c r="A1423">
        <v>1436</v>
      </c>
      <c r="B1423" t="s">
        <v>3602</v>
      </c>
      <c r="C1423" t="s">
        <v>10367</v>
      </c>
      <c r="D1423" t="s">
        <v>3603</v>
      </c>
      <c r="E1423" t="s">
        <v>3604</v>
      </c>
      <c r="F1423" t="s">
        <v>3580</v>
      </c>
      <c r="G1423" t="s">
        <v>12496</v>
      </c>
      <c r="I1423" t="str">
        <f t="shared" si="88"/>
        <v>2000-1500</v>
      </c>
      <c r="J1423" t="str">
        <f t="shared" si="89"/>
        <v>BC</v>
      </c>
      <c r="K1423">
        <f t="shared" si="90"/>
        <v>-2000</v>
      </c>
      <c r="L1423">
        <f t="shared" si="91"/>
        <v>-1500</v>
      </c>
    </row>
    <row r="1424" spans="1:12" x14ac:dyDescent="0.35">
      <c r="A1424">
        <v>1437</v>
      </c>
      <c r="B1424" t="s">
        <v>3605</v>
      </c>
      <c r="C1424" t="s">
        <v>10368</v>
      </c>
      <c r="D1424" t="s">
        <v>3606</v>
      </c>
      <c r="E1424" t="s">
        <v>3604</v>
      </c>
      <c r="F1424" t="s">
        <v>3580</v>
      </c>
      <c r="G1424" t="s">
        <v>12496</v>
      </c>
      <c r="I1424" t="str">
        <f t="shared" si="88"/>
        <v>2000-1500</v>
      </c>
      <c r="J1424" t="str">
        <f t="shared" si="89"/>
        <v>BC</v>
      </c>
      <c r="K1424">
        <f t="shared" si="90"/>
        <v>-2000</v>
      </c>
      <c r="L1424">
        <f t="shared" si="91"/>
        <v>-1500</v>
      </c>
    </row>
    <row r="1425" spans="1:12" x14ac:dyDescent="0.35">
      <c r="A1425">
        <v>1438</v>
      </c>
      <c r="B1425" t="s">
        <v>3607</v>
      </c>
      <c r="C1425" t="s">
        <v>10369</v>
      </c>
      <c r="D1425" t="s">
        <v>3608</v>
      </c>
      <c r="E1425" t="s">
        <v>1112</v>
      </c>
      <c r="F1425" t="s">
        <v>1424</v>
      </c>
      <c r="G1425" t="s">
        <v>112</v>
      </c>
      <c r="I1425" t="str">
        <f t="shared" si="88"/>
        <v>Various times</v>
      </c>
      <c r="J1425" t="str">
        <f t="shared" si="89"/>
        <v>es</v>
      </c>
      <c r="K1425" t="str">
        <f t="shared" si="90"/>
        <v>Various times</v>
      </c>
      <c r="L1425" t="str">
        <f t="shared" si="91"/>
        <v>Various times</v>
      </c>
    </row>
    <row r="1426" spans="1:12" x14ac:dyDescent="0.35">
      <c r="A1426">
        <v>1439</v>
      </c>
      <c r="B1426" t="s">
        <v>3609</v>
      </c>
      <c r="C1426" t="s">
        <v>10341</v>
      </c>
      <c r="D1426" t="s">
        <v>3610</v>
      </c>
      <c r="E1426" t="s">
        <v>1112</v>
      </c>
      <c r="F1426" t="s">
        <v>1424</v>
      </c>
      <c r="G1426" t="s">
        <v>112</v>
      </c>
      <c r="I1426" t="str">
        <f t="shared" si="88"/>
        <v>Various times</v>
      </c>
      <c r="J1426" t="str">
        <f t="shared" si="89"/>
        <v>es</v>
      </c>
      <c r="K1426" t="str">
        <f t="shared" si="90"/>
        <v>Various times</v>
      </c>
      <c r="L1426" t="str">
        <f t="shared" si="91"/>
        <v>Various times</v>
      </c>
    </row>
    <row r="1427" spans="1:12" x14ac:dyDescent="0.35">
      <c r="A1427">
        <v>1440</v>
      </c>
      <c r="B1427" t="s">
        <v>3611</v>
      </c>
      <c r="C1427" t="s">
        <v>10243</v>
      </c>
      <c r="D1427" t="s">
        <v>3612</v>
      </c>
      <c r="E1427" t="s">
        <v>3613</v>
      </c>
      <c r="F1427" t="s">
        <v>1424</v>
      </c>
      <c r="G1427" t="s">
        <v>112</v>
      </c>
      <c r="I1427" t="str">
        <f t="shared" si="88"/>
        <v>Various times</v>
      </c>
      <c r="J1427" t="str">
        <f t="shared" si="89"/>
        <v>es</v>
      </c>
      <c r="K1427" t="str">
        <f t="shared" si="90"/>
        <v>Various times</v>
      </c>
      <c r="L1427" t="str">
        <f t="shared" si="91"/>
        <v>Various times</v>
      </c>
    </row>
    <row r="1428" spans="1:12" x14ac:dyDescent="0.35">
      <c r="A1428">
        <v>1441</v>
      </c>
      <c r="B1428" t="s">
        <v>3614</v>
      </c>
      <c r="C1428" t="s">
        <v>10370</v>
      </c>
      <c r="D1428" t="s">
        <v>3615</v>
      </c>
      <c r="E1428" t="s">
        <v>3579</v>
      </c>
      <c r="F1428" t="s">
        <v>1424</v>
      </c>
      <c r="G1428" t="s">
        <v>3616</v>
      </c>
      <c r="I1428" t="str">
        <f t="shared" si="88"/>
        <v>Various times</v>
      </c>
      <c r="J1428" t="str">
        <f t="shared" si="89"/>
        <v>es</v>
      </c>
      <c r="K1428" t="str">
        <f t="shared" si="90"/>
        <v>Various times</v>
      </c>
      <c r="L1428" t="str">
        <f t="shared" si="91"/>
        <v>Various times</v>
      </c>
    </row>
    <row r="1429" spans="1:12" x14ac:dyDescent="0.35">
      <c r="A1429">
        <v>1442</v>
      </c>
      <c r="B1429" t="s">
        <v>3617</v>
      </c>
      <c r="C1429" t="s">
        <v>10371</v>
      </c>
      <c r="D1429" t="s">
        <v>3618</v>
      </c>
      <c r="E1429" t="s">
        <v>1112</v>
      </c>
      <c r="F1429" t="s">
        <v>1424</v>
      </c>
      <c r="G1429" t="s">
        <v>112</v>
      </c>
      <c r="I1429" t="str">
        <f t="shared" si="88"/>
        <v>Various times</v>
      </c>
      <c r="J1429" t="str">
        <f t="shared" si="89"/>
        <v>es</v>
      </c>
      <c r="K1429" t="str">
        <f t="shared" si="90"/>
        <v>Various times</v>
      </c>
      <c r="L1429" t="str">
        <f t="shared" si="91"/>
        <v>Various times</v>
      </c>
    </row>
    <row r="1430" spans="1:12" x14ac:dyDescent="0.35">
      <c r="A1430">
        <v>1443</v>
      </c>
      <c r="B1430" t="s">
        <v>3619</v>
      </c>
      <c r="C1430" t="s">
        <v>11468</v>
      </c>
      <c r="D1430" t="s">
        <v>3620</v>
      </c>
      <c r="E1430" t="s">
        <v>1112</v>
      </c>
      <c r="F1430" t="s">
        <v>1424</v>
      </c>
      <c r="G1430" t="s">
        <v>112</v>
      </c>
      <c r="I1430" t="str">
        <f t="shared" si="88"/>
        <v>Various times</v>
      </c>
      <c r="J1430" t="str">
        <f t="shared" si="89"/>
        <v>es</v>
      </c>
      <c r="K1430" t="str">
        <f t="shared" si="90"/>
        <v>Various times</v>
      </c>
      <c r="L1430" t="str">
        <f t="shared" si="91"/>
        <v>Various times</v>
      </c>
    </row>
    <row r="1431" spans="1:12" x14ac:dyDescent="0.35">
      <c r="A1431">
        <v>1444</v>
      </c>
      <c r="B1431" t="s">
        <v>3621</v>
      </c>
      <c r="C1431" t="s">
        <v>10372</v>
      </c>
      <c r="D1431" t="s">
        <v>3622</v>
      </c>
      <c r="E1431" t="s">
        <v>3613</v>
      </c>
      <c r="F1431" t="s">
        <v>1424</v>
      </c>
      <c r="G1431" t="s">
        <v>112</v>
      </c>
      <c r="I1431" t="str">
        <f t="shared" si="88"/>
        <v>Various times</v>
      </c>
      <c r="J1431" t="str">
        <f t="shared" si="89"/>
        <v>es</v>
      </c>
      <c r="K1431" t="str">
        <f t="shared" si="90"/>
        <v>Various times</v>
      </c>
      <c r="L1431" t="str">
        <f t="shared" si="91"/>
        <v>Various times</v>
      </c>
    </row>
    <row r="1432" spans="1:12" x14ac:dyDescent="0.35">
      <c r="A1432">
        <v>1445</v>
      </c>
      <c r="B1432" t="s">
        <v>3623</v>
      </c>
      <c r="C1432" t="s">
        <v>11469</v>
      </c>
      <c r="D1432" t="s">
        <v>3624</v>
      </c>
      <c r="E1432" t="s">
        <v>1112</v>
      </c>
      <c r="F1432" t="s">
        <v>1424</v>
      </c>
      <c r="G1432" t="s">
        <v>112</v>
      </c>
      <c r="I1432" t="str">
        <f t="shared" si="88"/>
        <v>Various times</v>
      </c>
      <c r="J1432" t="str">
        <f t="shared" si="89"/>
        <v>es</v>
      </c>
      <c r="K1432" t="str">
        <f t="shared" si="90"/>
        <v>Various times</v>
      </c>
      <c r="L1432" t="str">
        <f t="shared" si="91"/>
        <v>Various times</v>
      </c>
    </row>
    <row r="1433" spans="1:12" x14ac:dyDescent="0.35">
      <c r="A1433">
        <v>1446</v>
      </c>
      <c r="B1433" t="s">
        <v>3625</v>
      </c>
      <c r="C1433" t="s">
        <v>11470</v>
      </c>
      <c r="D1433" t="s">
        <v>3626</v>
      </c>
      <c r="E1433" t="s">
        <v>1112</v>
      </c>
      <c r="F1433" t="s">
        <v>1424</v>
      </c>
      <c r="G1433" t="s">
        <v>112</v>
      </c>
      <c r="I1433" t="str">
        <f t="shared" si="88"/>
        <v>Various times</v>
      </c>
      <c r="J1433" t="str">
        <f t="shared" si="89"/>
        <v>es</v>
      </c>
      <c r="K1433" t="str">
        <f t="shared" si="90"/>
        <v>Various times</v>
      </c>
      <c r="L1433" t="str">
        <f t="shared" si="91"/>
        <v>Various times</v>
      </c>
    </row>
    <row r="1434" spans="1:12" x14ac:dyDescent="0.35">
      <c r="A1434">
        <v>1447</v>
      </c>
      <c r="B1434" t="s">
        <v>3627</v>
      </c>
      <c r="C1434" t="s">
        <v>10373</v>
      </c>
      <c r="D1434" t="s">
        <v>3628</v>
      </c>
      <c r="E1434" t="s">
        <v>1112</v>
      </c>
      <c r="F1434" t="s">
        <v>1424</v>
      </c>
      <c r="G1434" t="s">
        <v>112</v>
      </c>
      <c r="I1434" t="str">
        <f t="shared" si="88"/>
        <v>Various times</v>
      </c>
      <c r="J1434" t="str">
        <f t="shared" si="89"/>
        <v>es</v>
      </c>
      <c r="K1434" t="str">
        <f t="shared" si="90"/>
        <v>Various times</v>
      </c>
      <c r="L1434" t="str">
        <f t="shared" si="91"/>
        <v>Various times</v>
      </c>
    </row>
    <row r="1435" spans="1:12" x14ac:dyDescent="0.35">
      <c r="A1435">
        <v>1448</v>
      </c>
      <c r="B1435" t="s">
        <v>3629</v>
      </c>
      <c r="C1435" t="s">
        <v>11471</v>
      </c>
      <c r="D1435" t="s">
        <v>3630</v>
      </c>
      <c r="E1435" t="s">
        <v>1112</v>
      </c>
      <c r="F1435" t="s">
        <v>1424</v>
      </c>
      <c r="G1435" t="s">
        <v>112</v>
      </c>
      <c r="I1435" t="str">
        <f t="shared" si="88"/>
        <v>Various times</v>
      </c>
      <c r="J1435" t="str">
        <f t="shared" si="89"/>
        <v>es</v>
      </c>
      <c r="K1435" t="str">
        <f t="shared" si="90"/>
        <v>Various times</v>
      </c>
      <c r="L1435" t="str">
        <f t="shared" si="91"/>
        <v>Various times</v>
      </c>
    </row>
    <row r="1436" spans="1:12" x14ac:dyDescent="0.35">
      <c r="A1436">
        <v>1449</v>
      </c>
      <c r="B1436" t="s">
        <v>3631</v>
      </c>
      <c r="C1436" t="s">
        <v>10374</v>
      </c>
      <c r="D1436" t="s">
        <v>3630</v>
      </c>
      <c r="E1436" t="s">
        <v>1112</v>
      </c>
      <c r="F1436" t="s">
        <v>1424</v>
      </c>
      <c r="G1436" t="s">
        <v>112</v>
      </c>
      <c r="I1436" t="str">
        <f t="shared" si="88"/>
        <v>Various times</v>
      </c>
      <c r="J1436" t="str">
        <f t="shared" si="89"/>
        <v>es</v>
      </c>
      <c r="K1436" t="str">
        <f t="shared" si="90"/>
        <v>Various times</v>
      </c>
      <c r="L1436" t="str">
        <f t="shared" si="91"/>
        <v>Various times</v>
      </c>
    </row>
    <row r="1437" spans="1:12" x14ac:dyDescent="0.35">
      <c r="A1437">
        <v>1450</v>
      </c>
      <c r="B1437" t="s">
        <v>3632</v>
      </c>
      <c r="C1437" t="s">
        <v>10375</v>
      </c>
      <c r="D1437" t="s">
        <v>3633</v>
      </c>
      <c r="E1437" t="s">
        <v>115</v>
      </c>
      <c r="F1437" t="s">
        <v>1424</v>
      </c>
      <c r="G1437" t="s">
        <v>112</v>
      </c>
      <c r="I1437" t="str">
        <f t="shared" si="88"/>
        <v>Various times</v>
      </c>
      <c r="J1437" t="str">
        <f t="shared" si="89"/>
        <v>es</v>
      </c>
      <c r="K1437" t="str">
        <f t="shared" si="90"/>
        <v>Various times</v>
      </c>
      <c r="L1437" t="str">
        <f t="shared" si="91"/>
        <v>Various times</v>
      </c>
    </row>
    <row r="1438" spans="1:12" x14ac:dyDescent="0.35">
      <c r="A1438">
        <v>1451</v>
      </c>
      <c r="B1438" t="s">
        <v>3634</v>
      </c>
      <c r="C1438" t="s">
        <v>11472</v>
      </c>
      <c r="D1438" t="s">
        <v>3635</v>
      </c>
      <c r="E1438" t="s">
        <v>115</v>
      </c>
      <c r="F1438" t="s">
        <v>1424</v>
      </c>
      <c r="G1438" t="s">
        <v>112</v>
      </c>
      <c r="I1438" t="str">
        <f t="shared" si="88"/>
        <v>Various times</v>
      </c>
      <c r="J1438" t="str">
        <f t="shared" si="89"/>
        <v>es</v>
      </c>
      <c r="K1438" t="str">
        <f t="shared" si="90"/>
        <v>Various times</v>
      </c>
      <c r="L1438" t="str">
        <f t="shared" si="91"/>
        <v>Various times</v>
      </c>
    </row>
    <row r="1439" spans="1:12" x14ac:dyDescent="0.35">
      <c r="A1439">
        <v>1452</v>
      </c>
      <c r="B1439" t="s">
        <v>3636</v>
      </c>
      <c r="C1439" t="s">
        <v>10376</v>
      </c>
      <c r="D1439" t="s">
        <v>3637</v>
      </c>
      <c r="E1439" t="s">
        <v>115</v>
      </c>
      <c r="F1439" t="s">
        <v>1424</v>
      </c>
      <c r="G1439" t="s">
        <v>112</v>
      </c>
      <c r="I1439" t="str">
        <f t="shared" si="88"/>
        <v>Various times</v>
      </c>
      <c r="J1439" t="str">
        <f t="shared" si="89"/>
        <v>es</v>
      </c>
      <c r="K1439" t="str">
        <f t="shared" si="90"/>
        <v>Various times</v>
      </c>
      <c r="L1439" t="str">
        <f t="shared" si="91"/>
        <v>Various times</v>
      </c>
    </row>
    <row r="1440" spans="1:12" x14ac:dyDescent="0.35">
      <c r="A1440">
        <v>1453</v>
      </c>
      <c r="B1440" t="s">
        <v>3638</v>
      </c>
      <c r="C1440" t="s">
        <v>10375</v>
      </c>
      <c r="D1440" t="s">
        <v>3639</v>
      </c>
      <c r="E1440" t="s">
        <v>3640</v>
      </c>
      <c r="F1440" t="s">
        <v>1424</v>
      </c>
      <c r="G1440" t="s">
        <v>112</v>
      </c>
      <c r="I1440" t="str">
        <f t="shared" si="88"/>
        <v>Various times</v>
      </c>
      <c r="J1440" t="str">
        <f t="shared" si="89"/>
        <v>es</v>
      </c>
      <c r="K1440" t="str">
        <f t="shared" si="90"/>
        <v>Various times</v>
      </c>
      <c r="L1440" t="str">
        <f t="shared" si="91"/>
        <v>Various times</v>
      </c>
    </row>
    <row r="1441" spans="1:12" x14ac:dyDescent="0.35">
      <c r="A1441">
        <v>1454</v>
      </c>
      <c r="B1441" t="s">
        <v>3641</v>
      </c>
      <c r="C1441" t="s">
        <v>11473</v>
      </c>
      <c r="D1441" t="s">
        <v>3642</v>
      </c>
      <c r="E1441" t="s">
        <v>3640</v>
      </c>
      <c r="F1441" t="s">
        <v>1424</v>
      </c>
      <c r="G1441" t="s">
        <v>112</v>
      </c>
      <c r="I1441" t="str">
        <f t="shared" si="88"/>
        <v>Various times</v>
      </c>
      <c r="J1441" t="str">
        <f t="shared" si="89"/>
        <v>es</v>
      </c>
      <c r="K1441" t="str">
        <f t="shared" si="90"/>
        <v>Various times</v>
      </c>
      <c r="L1441" t="str">
        <f t="shared" si="91"/>
        <v>Various times</v>
      </c>
    </row>
    <row r="1442" spans="1:12" x14ac:dyDescent="0.35">
      <c r="A1442">
        <v>1455</v>
      </c>
      <c r="B1442" t="s">
        <v>3643</v>
      </c>
      <c r="C1442" t="s">
        <v>10377</v>
      </c>
      <c r="D1442" t="s">
        <v>3644</v>
      </c>
      <c r="E1442" t="s">
        <v>115</v>
      </c>
      <c r="F1442" t="s">
        <v>1424</v>
      </c>
      <c r="G1442" t="s">
        <v>112</v>
      </c>
      <c r="I1442" t="str">
        <f t="shared" si="88"/>
        <v>Various times</v>
      </c>
      <c r="J1442" t="str">
        <f t="shared" si="89"/>
        <v>es</v>
      </c>
      <c r="K1442" t="str">
        <f t="shared" si="90"/>
        <v>Various times</v>
      </c>
      <c r="L1442" t="str">
        <f t="shared" si="91"/>
        <v>Various times</v>
      </c>
    </row>
    <row r="1443" spans="1:12" x14ac:dyDescent="0.35">
      <c r="A1443">
        <v>1456</v>
      </c>
      <c r="B1443" t="s">
        <v>3645</v>
      </c>
      <c r="C1443" t="s">
        <v>10511</v>
      </c>
      <c r="D1443" t="s">
        <v>3646</v>
      </c>
      <c r="E1443" t="s">
        <v>3604</v>
      </c>
      <c r="F1443" t="s">
        <v>3580</v>
      </c>
      <c r="G1443" t="s">
        <v>112</v>
      </c>
      <c r="I1443" t="str">
        <f t="shared" si="88"/>
        <v>2000-1500</v>
      </c>
      <c r="J1443" t="str">
        <f t="shared" si="89"/>
        <v>BC</v>
      </c>
      <c r="K1443">
        <f t="shared" si="90"/>
        <v>-2000</v>
      </c>
      <c r="L1443">
        <f t="shared" si="91"/>
        <v>-1500</v>
      </c>
    </row>
    <row r="1444" spans="1:12" x14ac:dyDescent="0.35">
      <c r="A1444">
        <v>1457</v>
      </c>
      <c r="B1444" t="s">
        <v>3647</v>
      </c>
      <c r="C1444" t="s">
        <v>11474</v>
      </c>
      <c r="D1444" t="s">
        <v>3648</v>
      </c>
      <c r="E1444" t="s">
        <v>3604</v>
      </c>
      <c r="F1444" t="s">
        <v>3580</v>
      </c>
      <c r="G1444" t="s">
        <v>112</v>
      </c>
      <c r="I1444" t="str">
        <f t="shared" si="88"/>
        <v>2000-1500</v>
      </c>
      <c r="J1444" t="str">
        <f t="shared" si="89"/>
        <v>BC</v>
      </c>
      <c r="K1444">
        <f t="shared" si="90"/>
        <v>-2000</v>
      </c>
      <c r="L1444">
        <f t="shared" si="91"/>
        <v>-1500</v>
      </c>
    </row>
    <row r="1445" spans="1:12" x14ac:dyDescent="0.35">
      <c r="A1445">
        <v>1458</v>
      </c>
      <c r="B1445" t="s">
        <v>3649</v>
      </c>
      <c r="C1445" t="s">
        <v>11108</v>
      </c>
      <c r="D1445" t="s">
        <v>3650</v>
      </c>
      <c r="E1445" t="s">
        <v>3604</v>
      </c>
      <c r="F1445" t="s">
        <v>3580</v>
      </c>
      <c r="G1445" t="s">
        <v>112</v>
      </c>
      <c r="I1445" t="str">
        <f t="shared" si="88"/>
        <v>2000-1500</v>
      </c>
      <c r="J1445" t="str">
        <f t="shared" si="89"/>
        <v>BC</v>
      </c>
      <c r="K1445">
        <f t="shared" si="90"/>
        <v>-2000</v>
      </c>
      <c r="L1445">
        <f t="shared" si="91"/>
        <v>-1500</v>
      </c>
    </row>
    <row r="1446" spans="1:12" x14ac:dyDescent="0.35">
      <c r="A1446">
        <v>1459</v>
      </c>
      <c r="B1446" t="s">
        <v>3651</v>
      </c>
      <c r="C1446" t="s">
        <v>11475</v>
      </c>
      <c r="D1446" t="s">
        <v>3652</v>
      </c>
      <c r="E1446" t="s">
        <v>3653</v>
      </c>
      <c r="F1446" t="s">
        <v>111</v>
      </c>
      <c r="G1446" t="s">
        <v>3654</v>
      </c>
      <c r="I1446" t="str">
        <f t="shared" si="88"/>
        <v>Beginning of time</v>
      </c>
      <c r="J1446" t="str">
        <f t="shared" si="89"/>
        <v>me</v>
      </c>
      <c r="K1446" t="str">
        <f t="shared" si="90"/>
        <v>Beginning of time</v>
      </c>
      <c r="L1446" t="str">
        <f t="shared" si="91"/>
        <v>Beginning of time</v>
      </c>
    </row>
    <row r="1447" spans="1:12" x14ac:dyDescent="0.35">
      <c r="A1447">
        <v>1460</v>
      </c>
      <c r="B1447" t="s">
        <v>3655</v>
      </c>
      <c r="C1447" t="s">
        <v>10378</v>
      </c>
      <c r="D1447" t="s">
        <v>3652</v>
      </c>
      <c r="E1447" t="s">
        <v>3653</v>
      </c>
      <c r="F1447" t="s">
        <v>111</v>
      </c>
      <c r="G1447" t="s">
        <v>3656</v>
      </c>
      <c r="I1447" t="str">
        <f t="shared" si="88"/>
        <v>Beginning of time</v>
      </c>
      <c r="J1447" t="str">
        <f t="shared" si="89"/>
        <v>me</v>
      </c>
      <c r="K1447" t="str">
        <f t="shared" si="90"/>
        <v>Beginning of time</v>
      </c>
      <c r="L1447" t="str">
        <f t="shared" si="91"/>
        <v>Beginning of time</v>
      </c>
    </row>
    <row r="1448" spans="1:12" x14ac:dyDescent="0.35">
      <c r="A1448">
        <v>1461</v>
      </c>
      <c r="B1448" t="s">
        <v>3657</v>
      </c>
      <c r="C1448" t="s">
        <v>10379</v>
      </c>
      <c r="D1448" t="s">
        <v>3658</v>
      </c>
      <c r="E1448" t="s">
        <v>3659</v>
      </c>
      <c r="F1448" t="s">
        <v>111</v>
      </c>
      <c r="G1448" t="s">
        <v>112</v>
      </c>
      <c r="I1448" t="str">
        <f t="shared" si="88"/>
        <v>Beginning of time</v>
      </c>
      <c r="J1448" t="str">
        <f t="shared" si="89"/>
        <v>me</v>
      </c>
      <c r="K1448" t="str">
        <f t="shared" si="90"/>
        <v>Beginning of time</v>
      </c>
      <c r="L1448" t="str">
        <f t="shared" si="91"/>
        <v>Beginning of time</v>
      </c>
    </row>
    <row r="1449" spans="1:12" x14ac:dyDescent="0.35">
      <c r="A1449">
        <v>1462</v>
      </c>
      <c r="B1449" t="s">
        <v>3660</v>
      </c>
      <c r="C1449" t="s">
        <v>10379</v>
      </c>
      <c r="D1449" t="s">
        <v>3661</v>
      </c>
      <c r="E1449" t="s">
        <v>3662</v>
      </c>
      <c r="F1449" t="s">
        <v>111</v>
      </c>
      <c r="G1449" t="s">
        <v>112</v>
      </c>
      <c r="I1449" t="str">
        <f t="shared" si="88"/>
        <v>Beginning of time</v>
      </c>
      <c r="J1449" t="str">
        <f t="shared" si="89"/>
        <v>me</v>
      </c>
      <c r="K1449" t="str">
        <f t="shared" si="90"/>
        <v>Beginning of time</v>
      </c>
      <c r="L1449" t="str">
        <f t="shared" si="91"/>
        <v>Beginning of time</v>
      </c>
    </row>
    <row r="1450" spans="1:12" x14ac:dyDescent="0.35">
      <c r="A1450">
        <v>1463</v>
      </c>
      <c r="B1450" t="s">
        <v>3663</v>
      </c>
      <c r="C1450" t="s">
        <v>11476</v>
      </c>
      <c r="D1450" t="s">
        <v>3664</v>
      </c>
      <c r="E1450" t="s">
        <v>115</v>
      </c>
      <c r="F1450" t="s">
        <v>3665</v>
      </c>
      <c r="G1450" t="s">
        <v>112</v>
      </c>
      <c r="I1450" t="str">
        <f t="shared" si="88"/>
        <v>Daily</v>
      </c>
      <c r="J1450" t="str">
        <f t="shared" si="89"/>
        <v>ly</v>
      </c>
      <c r="K1450" t="str">
        <f t="shared" si="90"/>
        <v>Daily</v>
      </c>
      <c r="L1450" t="str">
        <f t="shared" si="91"/>
        <v>Daily</v>
      </c>
    </row>
    <row r="1451" spans="1:12" x14ac:dyDescent="0.35">
      <c r="A1451">
        <v>1464</v>
      </c>
      <c r="B1451" t="s">
        <v>3666</v>
      </c>
      <c r="C1451" t="s">
        <v>11477</v>
      </c>
      <c r="D1451" t="s">
        <v>3667</v>
      </c>
      <c r="E1451" t="s">
        <v>3668</v>
      </c>
      <c r="F1451" t="s">
        <v>1424</v>
      </c>
      <c r="G1451" t="s">
        <v>112</v>
      </c>
      <c r="I1451" t="str">
        <f t="shared" si="88"/>
        <v>Various times</v>
      </c>
      <c r="J1451" t="str">
        <f t="shared" si="89"/>
        <v>es</v>
      </c>
      <c r="K1451" t="str">
        <f t="shared" si="90"/>
        <v>Various times</v>
      </c>
      <c r="L1451" t="str">
        <f t="shared" si="91"/>
        <v>Various times</v>
      </c>
    </row>
    <row r="1452" spans="1:12" x14ac:dyDescent="0.35">
      <c r="A1452">
        <v>1465</v>
      </c>
      <c r="B1452" t="s">
        <v>3669</v>
      </c>
      <c r="C1452" t="s">
        <v>11323</v>
      </c>
      <c r="D1452" t="s">
        <v>3670</v>
      </c>
      <c r="E1452" t="s">
        <v>337</v>
      </c>
      <c r="F1452" t="s">
        <v>1424</v>
      </c>
      <c r="G1452" t="s">
        <v>112</v>
      </c>
      <c r="I1452" t="str">
        <f t="shared" si="88"/>
        <v>Various times</v>
      </c>
      <c r="J1452" t="str">
        <f t="shared" si="89"/>
        <v>es</v>
      </c>
      <c r="K1452" t="str">
        <f t="shared" si="90"/>
        <v>Various times</v>
      </c>
      <c r="L1452" t="str">
        <f t="shared" si="91"/>
        <v>Various times</v>
      </c>
    </row>
    <row r="1453" spans="1:12" x14ac:dyDescent="0.35">
      <c r="A1453">
        <v>1466</v>
      </c>
      <c r="B1453" t="s">
        <v>3671</v>
      </c>
      <c r="C1453" t="s">
        <v>10380</v>
      </c>
      <c r="D1453" t="s">
        <v>3672</v>
      </c>
      <c r="E1453" t="s">
        <v>3640</v>
      </c>
      <c r="F1453" t="s">
        <v>1424</v>
      </c>
      <c r="G1453" t="s">
        <v>3673</v>
      </c>
      <c r="I1453" t="str">
        <f t="shared" si="88"/>
        <v>Various times</v>
      </c>
      <c r="J1453" t="str">
        <f t="shared" si="89"/>
        <v>es</v>
      </c>
      <c r="K1453" t="str">
        <f t="shared" si="90"/>
        <v>Various times</v>
      </c>
      <c r="L1453" t="str">
        <f t="shared" si="91"/>
        <v>Various times</v>
      </c>
    </row>
    <row r="1454" spans="1:12" x14ac:dyDescent="0.35">
      <c r="A1454">
        <v>1467</v>
      </c>
      <c r="B1454" t="s">
        <v>3674</v>
      </c>
      <c r="C1454" t="s">
        <v>11478</v>
      </c>
      <c r="D1454" t="s">
        <v>3675</v>
      </c>
      <c r="E1454" t="s">
        <v>337</v>
      </c>
      <c r="F1454" t="s">
        <v>1424</v>
      </c>
      <c r="G1454" t="s">
        <v>112</v>
      </c>
      <c r="I1454" t="str">
        <f t="shared" si="88"/>
        <v>Various times</v>
      </c>
      <c r="J1454" t="str">
        <f t="shared" si="89"/>
        <v>es</v>
      </c>
      <c r="K1454" t="str">
        <f t="shared" si="90"/>
        <v>Various times</v>
      </c>
      <c r="L1454" t="str">
        <f t="shared" si="91"/>
        <v>Various times</v>
      </c>
    </row>
    <row r="1455" spans="1:12" x14ac:dyDescent="0.35">
      <c r="A1455">
        <v>1468</v>
      </c>
      <c r="B1455" t="s">
        <v>3676</v>
      </c>
      <c r="C1455" t="s">
        <v>11323</v>
      </c>
      <c r="D1455" t="s">
        <v>3677</v>
      </c>
      <c r="E1455" t="s">
        <v>1112</v>
      </c>
      <c r="F1455" t="s">
        <v>1424</v>
      </c>
      <c r="G1455" t="s">
        <v>112</v>
      </c>
      <c r="I1455" t="str">
        <f t="shared" si="88"/>
        <v>Various times</v>
      </c>
      <c r="J1455" t="str">
        <f t="shared" si="89"/>
        <v>es</v>
      </c>
      <c r="K1455" t="str">
        <f t="shared" si="90"/>
        <v>Various times</v>
      </c>
      <c r="L1455" t="str">
        <f t="shared" si="91"/>
        <v>Various times</v>
      </c>
    </row>
    <row r="1456" spans="1:12" x14ac:dyDescent="0.35">
      <c r="A1456">
        <v>1469</v>
      </c>
      <c r="B1456" t="s">
        <v>3678</v>
      </c>
      <c r="C1456" t="s">
        <v>10381</v>
      </c>
      <c r="D1456" t="s">
        <v>3679</v>
      </c>
      <c r="E1456" t="s">
        <v>3680</v>
      </c>
      <c r="F1456" t="s">
        <v>1424</v>
      </c>
      <c r="G1456" t="s">
        <v>112</v>
      </c>
      <c r="I1456" t="str">
        <f t="shared" si="88"/>
        <v>Various times</v>
      </c>
      <c r="J1456" t="str">
        <f t="shared" si="89"/>
        <v>es</v>
      </c>
      <c r="K1456" t="str">
        <f t="shared" si="90"/>
        <v>Various times</v>
      </c>
      <c r="L1456" t="str">
        <f t="shared" si="91"/>
        <v>Various times</v>
      </c>
    </row>
    <row r="1457" spans="1:12" x14ac:dyDescent="0.35">
      <c r="A1457">
        <v>1470</v>
      </c>
      <c r="B1457" t="s">
        <v>3681</v>
      </c>
      <c r="C1457" t="s">
        <v>10382</v>
      </c>
      <c r="D1457" t="s">
        <v>3682</v>
      </c>
      <c r="E1457" t="s">
        <v>337</v>
      </c>
      <c r="F1457" t="s">
        <v>3683</v>
      </c>
      <c r="G1457" t="s">
        <v>112</v>
      </c>
      <c r="I1457" t="str">
        <f t="shared" si="88"/>
        <v>Creation/various times</v>
      </c>
      <c r="J1457" t="str">
        <f t="shared" si="89"/>
        <v>es</v>
      </c>
      <c r="K1457" t="str">
        <f t="shared" si="90"/>
        <v>Creation/various times</v>
      </c>
      <c r="L1457" t="str">
        <f t="shared" si="91"/>
        <v>Creation/various times</v>
      </c>
    </row>
    <row r="1458" spans="1:12" x14ac:dyDescent="0.35">
      <c r="A1458">
        <v>1471</v>
      </c>
      <c r="B1458" t="s">
        <v>3684</v>
      </c>
      <c r="C1458" t="s">
        <v>10383</v>
      </c>
      <c r="D1458" t="s">
        <v>3685</v>
      </c>
      <c r="E1458" t="s">
        <v>3686</v>
      </c>
      <c r="F1458" t="s">
        <v>1424</v>
      </c>
      <c r="G1458" t="s">
        <v>112</v>
      </c>
      <c r="I1458" t="str">
        <f t="shared" si="88"/>
        <v>Various times</v>
      </c>
      <c r="J1458" t="str">
        <f t="shared" si="89"/>
        <v>es</v>
      </c>
      <c r="K1458" t="str">
        <f t="shared" si="90"/>
        <v>Various times</v>
      </c>
      <c r="L1458" t="str">
        <f t="shared" si="91"/>
        <v>Various times</v>
      </c>
    </row>
    <row r="1459" spans="1:12" x14ac:dyDescent="0.35">
      <c r="A1459">
        <v>1472</v>
      </c>
      <c r="B1459" t="s">
        <v>3687</v>
      </c>
      <c r="C1459" t="s">
        <v>10384</v>
      </c>
      <c r="D1459" t="s">
        <v>3688</v>
      </c>
      <c r="E1459" t="s">
        <v>1112</v>
      </c>
      <c r="F1459" t="s">
        <v>1424</v>
      </c>
      <c r="G1459" t="s">
        <v>112</v>
      </c>
      <c r="I1459" t="str">
        <f t="shared" si="88"/>
        <v>Various times</v>
      </c>
      <c r="J1459" t="str">
        <f t="shared" si="89"/>
        <v>es</v>
      </c>
      <c r="K1459" t="str">
        <f t="shared" si="90"/>
        <v>Various times</v>
      </c>
      <c r="L1459" t="str">
        <f t="shared" si="91"/>
        <v>Various times</v>
      </c>
    </row>
    <row r="1460" spans="1:12" x14ac:dyDescent="0.35">
      <c r="A1460">
        <v>1473</v>
      </c>
      <c r="B1460" t="s">
        <v>3689</v>
      </c>
      <c r="C1460" t="s">
        <v>11479</v>
      </c>
      <c r="D1460" t="s">
        <v>3690</v>
      </c>
      <c r="E1460" t="s">
        <v>3691</v>
      </c>
      <c r="F1460" t="s">
        <v>1424</v>
      </c>
      <c r="G1460" t="s">
        <v>3692</v>
      </c>
      <c r="I1460" t="str">
        <f t="shared" ref="I1460:I1523" si="92">SUBSTITUTE(SUBSTITUTE(SUBSTITUTE(F1460,"c. ","")," BC","")," AD","")</f>
        <v>Various times</v>
      </c>
      <c r="J1460" t="str">
        <f t="shared" si="89"/>
        <v>es</v>
      </c>
      <c r="K1460" t="str">
        <f t="shared" si="90"/>
        <v>Various times</v>
      </c>
      <c r="L1460" t="str">
        <f t="shared" si="91"/>
        <v>Various times</v>
      </c>
    </row>
    <row r="1461" spans="1:12" x14ac:dyDescent="0.35">
      <c r="A1461">
        <v>1474</v>
      </c>
      <c r="B1461" t="s">
        <v>3693</v>
      </c>
      <c r="C1461" t="s">
        <v>11474</v>
      </c>
      <c r="D1461" t="s">
        <v>3694</v>
      </c>
      <c r="E1461" t="s">
        <v>3604</v>
      </c>
      <c r="F1461" t="s">
        <v>3580</v>
      </c>
      <c r="G1461" t="s">
        <v>112</v>
      </c>
      <c r="I1461" t="str">
        <f t="shared" si="92"/>
        <v>2000-1500</v>
      </c>
      <c r="J1461" t="str">
        <f t="shared" si="89"/>
        <v>BC</v>
      </c>
      <c r="K1461">
        <f t="shared" si="90"/>
        <v>-2000</v>
      </c>
      <c r="L1461">
        <f t="shared" si="91"/>
        <v>-1500</v>
      </c>
    </row>
    <row r="1462" spans="1:12" x14ac:dyDescent="0.35">
      <c r="A1462">
        <v>1475</v>
      </c>
      <c r="B1462" t="s">
        <v>3695</v>
      </c>
      <c r="C1462" t="s">
        <v>10511</v>
      </c>
      <c r="D1462" t="s">
        <v>3696</v>
      </c>
      <c r="E1462" t="s">
        <v>3604</v>
      </c>
      <c r="F1462" t="s">
        <v>3580</v>
      </c>
      <c r="G1462" t="s">
        <v>112</v>
      </c>
      <c r="I1462" t="str">
        <f t="shared" si="92"/>
        <v>2000-1500</v>
      </c>
      <c r="J1462" t="str">
        <f t="shared" si="89"/>
        <v>BC</v>
      </c>
      <c r="K1462">
        <f t="shared" si="90"/>
        <v>-2000</v>
      </c>
      <c r="L1462">
        <f t="shared" si="91"/>
        <v>-1500</v>
      </c>
    </row>
    <row r="1463" spans="1:12" x14ac:dyDescent="0.35">
      <c r="A1463">
        <v>1476</v>
      </c>
      <c r="B1463" t="s">
        <v>3697</v>
      </c>
      <c r="C1463" t="s">
        <v>11474</v>
      </c>
      <c r="D1463" t="s">
        <v>3698</v>
      </c>
      <c r="E1463" t="s">
        <v>3604</v>
      </c>
      <c r="F1463" t="s">
        <v>3580</v>
      </c>
      <c r="G1463" t="s">
        <v>112</v>
      </c>
      <c r="I1463" t="str">
        <f t="shared" si="92"/>
        <v>2000-1500</v>
      </c>
      <c r="J1463" t="str">
        <f t="shared" si="89"/>
        <v>BC</v>
      </c>
      <c r="K1463">
        <f t="shared" si="90"/>
        <v>-2000</v>
      </c>
      <c r="L1463">
        <f t="shared" si="91"/>
        <v>-1500</v>
      </c>
    </row>
    <row r="1464" spans="1:12" x14ac:dyDescent="0.35">
      <c r="A1464">
        <v>1477</v>
      </c>
      <c r="B1464" t="s">
        <v>3699</v>
      </c>
      <c r="C1464" t="s">
        <v>11105</v>
      </c>
      <c r="D1464" t="s">
        <v>3700</v>
      </c>
      <c r="E1464" t="s">
        <v>3701</v>
      </c>
      <c r="F1464" t="s">
        <v>3580</v>
      </c>
      <c r="G1464" t="s">
        <v>112</v>
      </c>
      <c r="I1464" t="str">
        <f t="shared" si="92"/>
        <v>2000-1500</v>
      </c>
      <c r="J1464" t="str">
        <f t="shared" si="89"/>
        <v>BC</v>
      </c>
      <c r="K1464">
        <f t="shared" si="90"/>
        <v>-2000</v>
      </c>
      <c r="L1464">
        <f t="shared" si="91"/>
        <v>-1500</v>
      </c>
    </row>
    <row r="1465" spans="1:12" x14ac:dyDescent="0.35">
      <c r="A1465">
        <v>1478</v>
      </c>
      <c r="B1465" t="s">
        <v>3702</v>
      </c>
      <c r="C1465" t="s">
        <v>10385</v>
      </c>
      <c r="D1465" t="s">
        <v>3703</v>
      </c>
      <c r="E1465" t="s">
        <v>3653</v>
      </c>
      <c r="F1465" t="s">
        <v>3704</v>
      </c>
      <c r="G1465" t="s">
        <v>112</v>
      </c>
      <c r="I1465" t="str">
        <f t="shared" si="92"/>
        <v>Creation time</v>
      </c>
      <c r="J1465" t="str">
        <f t="shared" si="89"/>
        <v>me</v>
      </c>
      <c r="K1465" t="str">
        <f t="shared" si="90"/>
        <v>Creation time</v>
      </c>
      <c r="L1465" t="str">
        <f t="shared" si="91"/>
        <v>Creation time</v>
      </c>
    </row>
    <row r="1466" spans="1:12" x14ac:dyDescent="0.35">
      <c r="A1466">
        <v>1479</v>
      </c>
      <c r="B1466" t="s">
        <v>3705</v>
      </c>
      <c r="C1466" t="s">
        <v>11105</v>
      </c>
      <c r="D1466" t="s">
        <v>3706</v>
      </c>
      <c r="E1466" t="s">
        <v>3707</v>
      </c>
      <c r="F1466" t="s">
        <v>3580</v>
      </c>
      <c r="G1466" t="s">
        <v>112</v>
      </c>
      <c r="I1466" t="str">
        <f t="shared" si="92"/>
        <v>2000-1500</v>
      </c>
      <c r="J1466" t="str">
        <f t="shared" si="89"/>
        <v>BC</v>
      </c>
      <c r="K1466">
        <f t="shared" si="90"/>
        <v>-2000</v>
      </c>
      <c r="L1466">
        <f t="shared" si="91"/>
        <v>-1500</v>
      </c>
    </row>
    <row r="1467" spans="1:12" x14ac:dyDescent="0.35">
      <c r="A1467">
        <v>1480</v>
      </c>
      <c r="B1467" t="s">
        <v>3708</v>
      </c>
      <c r="C1467" t="s">
        <v>10386</v>
      </c>
      <c r="D1467" t="s">
        <v>3709</v>
      </c>
      <c r="E1467" t="s">
        <v>3710</v>
      </c>
      <c r="F1467" t="s">
        <v>3580</v>
      </c>
      <c r="G1467" t="s">
        <v>112</v>
      </c>
      <c r="I1467" t="str">
        <f t="shared" si="92"/>
        <v>2000-1500</v>
      </c>
      <c r="J1467" t="str">
        <f t="shared" si="89"/>
        <v>BC</v>
      </c>
      <c r="K1467">
        <f t="shared" si="90"/>
        <v>-2000</v>
      </c>
      <c r="L1467">
        <f t="shared" si="91"/>
        <v>-1500</v>
      </c>
    </row>
    <row r="1468" spans="1:12" x14ac:dyDescent="0.35">
      <c r="A1468">
        <v>1481</v>
      </c>
      <c r="B1468" t="s">
        <v>3711</v>
      </c>
      <c r="C1468" t="s">
        <v>10387</v>
      </c>
      <c r="D1468" t="s">
        <v>3712</v>
      </c>
      <c r="E1468" t="s">
        <v>3713</v>
      </c>
      <c r="F1468" t="s">
        <v>3714</v>
      </c>
      <c r="G1468" t="s">
        <v>112</v>
      </c>
      <c r="I1468" t="str">
        <f t="shared" si="92"/>
        <v>All time</v>
      </c>
      <c r="J1468" t="str">
        <f t="shared" si="89"/>
        <v>me</v>
      </c>
      <c r="K1468" t="str">
        <f t="shared" si="90"/>
        <v>All time</v>
      </c>
      <c r="L1468" t="str">
        <f t="shared" si="91"/>
        <v>All time</v>
      </c>
    </row>
    <row r="1469" spans="1:12" x14ac:dyDescent="0.35">
      <c r="A1469">
        <v>1482</v>
      </c>
      <c r="B1469" t="s">
        <v>3715</v>
      </c>
      <c r="C1469" t="s">
        <v>10067</v>
      </c>
      <c r="D1469" t="s">
        <v>3716</v>
      </c>
      <c r="E1469" t="s">
        <v>3604</v>
      </c>
      <c r="F1469" t="s">
        <v>3580</v>
      </c>
      <c r="G1469" t="s">
        <v>112</v>
      </c>
      <c r="I1469" t="str">
        <f t="shared" si="92"/>
        <v>2000-1500</v>
      </c>
      <c r="J1469" t="str">
        <f t="shared" si="89"/>
        <v>BC</v>
      </c>
      <c r="K1469">
        <f t="shared" si="90"/>
        <v>-2000</v>
      </c>
      <c r="L1469">
        <f t="shared" si="91"/>
        <v>-1500</v>
      </c>
    </row>
    <row r="1470" spans="1:12" x14ac:dyDescent="0.35">
      <c r="A1470">
        <v>1483</v>
      </c>
      <c r="B1470" t="s">
        <v>3717</v>
      </c>
      <c r="C1470" t="s">
        <v>11203</v>
      </c>
      <c r="D1470" t="s">
        <v>3718</v>
      </c>
      <c r="E1470" t="s">
        <v>3604</v>
      </c>
      <c r="F1470" t="s">
        <v>3580</v>
      </c>
      <c r="G1470" t="s">
        <v>112</v>
      </c>
      <c r="I1470" t="str">
        <f t="shared" si="92"/>
        <v>2000-1500</v>
      </c>
      <c r="J1470" t="str">
        <f t="shared" si="89"/>
        <v>BC</v>
      </c>
      <c r="K1470">
        <f t="shared" si="90"/>
        <v>-2000</v>
      </c>
      <c r="L1470">
        <f t="shared" si="91"/>
        <v>-1500</v>
      </c>
    </row>
    <row r="1471" spans="1:12" x14ac:dyDescent="0.35">
      <c r="A1471">
        <v>1484</v>
      </c>
      <c r="B1471" t="s">
        <v>3719</v>
      </c>
      <c r="C1471" t="s">
        <v>11480</v>
      </c>
      <c r="D1471" t="s">
        <v>3720</v>
      </c>
      <c r="E1471" t="s">
        <v>3604</v>
      </c>
      <c r="F1471" t="s">
        <v>3580</v>
      </c>
      <c r="G1471" t="s">
        <v>112</v>
      </c>
      <c r="I1471" t="str">
        <f t="shared" si="92"/>
        <v>2000-1500</v>
      </c>
      <c r="J1471" t="str">
        <f t="shared" si="89"/>
        <v>BC</v>
      </c>
      <c r="K1471">
        <f t="shared" si="90"/>
        <v>-2000</v>
      </c>
      <c r="L1471">
        <f t="shared" si="91"/>
        <v>-1500</v>
      </c>
    </row>
    <row r="1472" spans="1:12" x14ac:dyDescent="0.35">
      <c r="A1472">
        <v>1485</v>
      </c>
      <c r="B1472" t="s">
        <v>3721</v>
      </c>
      <c r="C1472" t="s">
        <v>11120</v>
      </c>
      <c r="D1472" t="s">
        <v>3720</v>
      </c>
      <c r="E1472" t="s">
        <v>3604</v>
      </c>
      <c r="F1472" t="s">
        <v>3580</v>
      </c>
      <c r="G1472" t="s">
        <v>112</v>
      </c>
      <c r="I1472" t="str">
        <f t="shared" si="92"/>
        <v>2000-1500</v>
      </c>
      <c r="J1472" t="str">
        <f t="shared" si="89"/>
        <v>BC</v>
      </c>
      <c r="K1472">
        <f t="shared" si="90"/>
        <v>-2000</v>
      </c>
      <c r="L1472">
        <f t="shared" si="91"/>
        <v>-1500</v>
      </c>
    </row>
    <row r="1473" spans="1:12" x14ac:dyDescent="0.35">
      <c r="A1473">
        <v>1486</v>
      </c>
      <c r="B1473" t="s">
        <v>3722</v>
      </c>
      <c r="C1473" t="s">
        <v>11174</v>
      </c>
      <c r="D1473" t="s">
        <v>3720</v>
      </c>
      <c r="E1473" t="s">
        <v>3604</v>
      </c>
      <c r="F1473" t="s">
        <v>3580</v>
      </c>
      <c r="G1473" t="s">
        <v>112</v>
      </c>
      <c r="I1473" t="str">
        <f t="shared" si="92"/>
        <v>2000-1500</v>
      </c>
      <c r="J1473" t="str">
        <f t="shared" si="89"/>
        <v>BC</v>
      </c>
      <c r="K1473">
        <f t="shared" si="90"/>
        <v>-2000</v>
      </c>
      <c r="L1473">
        <f t="shared" si="91"/>
        <v>-1500</v>
      </c>
    </row>
    <row r="1474" spans="1:12" x14ac:dyDescent="0.35">
      <c r="A1474">
        <v>1487</v>
      </c>
      <c r="B1474" t="s">
        <v>3723</v>
      </c>
      <c r="C1474" t="s">
        <v>10388</v>
      </c>
      <c r="D1474" t="s">
        <v>3724</v>
      </c>
      <c r="E1474" t="s">
        <v>3604</v>
      </c>
      <c r="F1474" t="s">
        <v>3580</v>
      </c>
      <c r="G1474" t="s">
        <v>112</v>
      </c>
      <c r="I1474" t="str">
        <f t="shared" si="92"/>
        <v>2000-1500</v>
      </c>
      <c r="J1474" t="str">
        <f t="shared" ref="J1474:J1537" si="93">RIGHT(F1474, 2)</f>
        <v>BC</v>
      </c>
      <c r="K1474">
        <f t="shared" ref="K1474:K1537" si="94">IF(J1474="BC", 0-IF(ISERROR(FIND("-",I1474)),I1474,LEFT(I1474,FIND("-",I1474)-1)), IF(ISERROR(FIND("-",I1474)),I1474,LEFT(I1474,FIND("-",I1474)-1)))</f>
        <v>-2000</v>
      </c>
      <c r="L1474">
        <f t="shared" ref="L1474:L1537" si="95">IF(J1474="BC", 0-IF(ISERROR(FIND("-",I1474)),I1474,RIGHT(I1474,FIND("-",I1474)-1)), IF(ISERROR(FIND("-",I1474)),I1474,RIGHT(I1474,FIND("-",I1474)-1)))</f>
        <v>-1500</v>
      </c>
    </row>
    <row r="1475" spans="1:12" x14ac:dyDescent="0.35">
      <c r="A1475">
        <v>1488</v>
      </c>
      <c r="B1475" t="s">
        <v>3725</v>
      </c>
      <c r="C1475" t="s">
        <v>9358</v>
      </c>
      <c r="D1475" t="s">
        <v>3726</v>
      </c>
      <c r="E1475" t="s">
        <v>3604</v>
      </c>
      <c r="F1475" t="s">
        <v>3580</v>
      </c>
      <c r="G1475" t="s">
        <v>112</v>
      </c>
      <c r="I1475" t="str">
        <f t="shared" si="92"/>
        <v>2000-1500</v>
      </c>
      <c r="J1475" t="str">
        <f t="shared" si="93"/>
        <v>BC</v>
      </c>
      <c r="K1475">
        <f t="shared" si="94"/>
        <v>-2000</v>
      </c>
      <c r="L1475">
        <f t="shared" si="95"/>
        <v>-1500</v>
      </c>
    </row>
    <row r="1476" spans="1:12" x14ac:dyDescent="0.35">
      <c r="A1476">
        <v>1489</v>
      </c>
      <c r="B1476" t="s">
        <v>3727</v>
      </c>
      <c r="C1476" t="s">
        <v>11481</v>
      </c>
      <c r="D1476" t="s">
        <v>3726</v>
      </c>
      <c r="E1476" t="s">
        <v>3604</v>
      </c>
      <c r="F1476" t="s">
        <v>3580</v>
      </c>
      <c r="G1476" t="s">
        <v>112</v>
      </c>
      <c r="I1476" t="str">
        <f t="shared" si="92"/>
        <v>2000-1500</v>
      </c>
      <c r="J1476" t="str">
        <f t="shared" si="93"/>
        <v>BC</v>
      </c>
      <c r="K1476">
        <f t="shared" si="94"/>
        <v>-2000</v>
      </c>
      <c r="L1476">
        <f t="shared" si="95"/>
        <v>-1500</v>
      </c>
    </row>
    <row r="1477" spans="1:12" x14ac:dyDescent="0.35">
      <c r="A1477">
        <v>1490</v>
      </c>
      <c r="B1477" t="s">
        <v>3728</v>
      </c>
      <c r="C1477" t="s">
        <v>10389</v>
      </c>
      <c r="D1477" t="s">
        <v>3729</v>
      </c>
      <c r="E1477" t="s">
        <v>3730</v>
      </c>
      <c r="F1477" t="s">
        <v>3580</v>
      </c>
      <c r="G1477" t="s">
        <v>112</v>
      </c>
      <c r="I1477" t="str">
        <f t="shared" si="92"/>
        <v>2000-1500</v>
      </c>
      <c r="J1477" t="str">
        <f t="shared" si="93"/>
        <v>BC</v>
      </c>
      <c r="K1477">
        <f t="shared" si="94"/>
        <v>-2000</v>
      </c>
      <c r="L1477">
        <f t="shared" si="95"/>
        <v>-1500</v>
      </c>
    </row>
    <row r="1478" spans="1:12" x14ac:dyDescent="0.35">
      <c r="A1478">
        <v>1491</v>
      </c>
      <c r="B1478" t="s">
        <v>3731</v>
      </c>
      <c r="C1478" t="s">
        <v>11482</v>
      </c>
      <c r="D1478" t="s">
        <v>3729</v>
      </c>
      <c r="E1478" t="s">
        <v>3730</v>
      </c>
      <c r="F1478" t="s">
        <v>3580</v>
      </c>
      <c r="G1478" t="s">
        <v>112</v>
      </c>
      <c r="I1478" t="str">
        <f t="shared" si="92"/>
        <v>2000-1500</v>
      </c>
      <c r="J1478" t="str">
        <f t="shared" si="93"/>
        <v>BC</v>
      </c>
      <c r="K1478">
        <f t="shared" si="94"/>
        <v>-2000</v>
      </c>
      <c r="L1478">
        <f t="shared" si="95"/>
        <v>-1500</v>
      </c>
    </row>
    <row r="1479" spans="1:12" x14ac:dyDescent="0.35">
      <c r="A1479">
        <v>1492</v>
      </c>
      <c r="B1479" t="s">
        <v>3732</v>
      </c>
      <c r="C1479" t="s">
        <v>11482</v>
      </c>
      <c r="D1479" t="s">
        <v>3729</v>
      </c>
      <c r="E1479" t="s">
        <v>3730</v>
      </c>
      <c r="F1479" t="s">
        <v>3580</v>
      </c>
      <c r="G1479" t="s">
        <v>112</v>
      </c>
      <c r="I1479" t="str">
        <f t="shared" si="92"/>
        <v>2000-1500</v>
      </c>
      <c r="J1479" t="str">
        <f t="shared" si="93"/>
        <v>BC</v>
      </c>
      <c r="K1479">
        <f t="shared" si="94"/>
        <v>-2000</v>
      </c>
      <c r="L1479">
        <f t="shared" si="95"/>
        <v>-1500</v>
      </c>
    </row>
    <row r="1480" spans="1:12" x14ac:dyDescent="0.35">
      <c r="A1480">
        <v>1493</v>
      </c>
      <c r="B1480" t="s">
        <v>3733</v>
      </c>
      <c r="C1480" t="s">
        <v>10390</v>
      </c>
      <c r="D1480" t="s">
        <v>3734</v>
      </c>
      <c r="E1480" t="s">
        <v>3600</v>
      </c>
      <c r="F1480" t="s">
        <v>3580</v>
      </c>
      <c r="G1480" t="s">
        <v>112</v>
      </c>
      <c r="I1480" t="str">
        <f t="shared" si="92"/>
        <v>2000-1500</v>
      </c>
      <c r="J1480" t="str">
        <f t="shared" si="93"/>
        <v>BC</v>
      </c>
      <c r="K1480">
        <f t="shared" si="94"/>
        <v>-2000</v>
      </c>
      <c r="L1480">
        <f t="shared" si="95"/>
        <v>-1500</v>
      </c>
    </row>
    <row r="1481" spans="1:12" x14ac:dyDescent="0.35">
      <c r="A1481">
        <v>1494</v>
      </c>
      <c r="B1481" t="s">
        <v>3735</v>
      </c>
      <c r="C1481" t="s">
        <v>10391</v>
      </c>
      <c r="D1481" t="s">
        <v>3736</v>
      </c>
      <c r="E1481" t="s">
        <v>3737</v>
      </c>
      <c r="F1481" t="s">
        <v>3580</v>
      </c>
      <c r="G1481" t="s">
        <v>112</v>
      </c>
      <c r="I1481" t="str">
        <f t="shared" si="92"/>
        <v>2000-1500</v>
      </c>
      <c r="J1481" t="str">
        <f t="shared" si="93"/>
        <v>BC</v>
      </c>
      <c r="K1481">
        <f t="shared" si="94"/>
        <v>-2000</v>
      </c>
      <c r="L1481">
        <f t="shared" si="95"/>
        <v>-1500</v>
      </c>
    </row>
    <row r="1482" spans="1:12" x14ac:dyDescent="0.35">
      <c r="A1482">
        <v>1495</v>
      </c>
      <c r="B1482" t="s">
        <v>3738</v>
      </c>
      <c r="C1482" t="s">
        <v>11483</v>
      </c>
      <c r="D1482" t="s">
        <v>3739</v>
      </c>
      <c r="E1482" t="s">
        <v>3737</v>
      </c>
      <c r="F1482" t="s">
        <v>3580</v>
      </c>
      <c r="G1482" t="s">
        <v>112</v>
      </c>
      <c r="I1482" t="str">
        <f t="shared" si="92"/>
        <v>2000-1500</v>
      </c>
      <c r="J1482" t="str">
        <f t="shared" si="93"/>
        <v>BC</v>
      </c>
      <c r="K1482">
        <f t="shared" si="94"/>
        <v>-2000</v>
      </c>
      <c r="L1482">
        <f t="shared" si="95"/>
        <v>-1500</v>
      </c>
    </row>
    <row r="1483" spans="1:12" x14ac:dyDescent="0.35">
      <c r="A1483">
        <v>1496</v>
      </c>
      <c r="B1483" t="s">
        <v>3783</v>
      </c>
      <c r="C1483" t="s">
        <v>11122</v>
      </c>
      <c r="D1483" t="s">
        <v>11724</v>
      </c>
      <c r="E1483" t="s">
        <v>3784</v>
      </c>
      <c r="F1483" t="s">
        <v>1424</v>
      </c>
      <c r="G1483" t="s">
        <v>112</v>
      </c>
      <c r="I1483" t="str">
        <f t="shared" si="92"/>
        <v>Various times</v>
      </c>
      <c r="J1483" t="str">
        <f t="shared" si="93"/>
        <v>es</v>
      </c>
      <c r="K1483" t="str">
        <f t="shared" si="94"/>
        <v>Various times</v>
      </c>
      <c r="L1483" t="str">
        <f t="shared" si="95"/>
        <v>Various times</v>
      </c>
    </row>
    <row r="1484" spans="1:12" x14ac:dyDescent="0.35">
      <c r="A1484">
        <v>1497</v>
      </c>
      <c r="B1484" t="s">
        <v>3785</v>
      </c>
      <c r="C1484" t="s">
        <v>10392</v>
      </c>
      <c r="D1484" t="s">
        <v>11724</v>
      </c>
      <c r="E1484" t="s">
        <v>3786</v>
      </c>
      <c r="F1484" t="s">
        <v>1424</v>
      </c>
      <c r="G1484" t="s">
        <v>112</v>
      </c>
      <c r="I1484" t="str">
        <f t="shared" si="92"/>
        <v>Various times</v>
      </c>
      <c r="J1484" t="str">
        <f t="shared" si="93"/>
        <v>es</v>
      </c>
      <c r="K1484" t="str">
        <f t="shared" si="94"/>
        <v>Various times</v>
      </c>
      <c r="L1484" t="str">
        <f t="shared" si="95"/>
        <v>Various times</v>
      </c>
    </row>
    <row r="1485" spans="1:12" x14ac:dyDescent="0.35">
      <c r="A1485">
        <v>1498</v>
      </c>
      <c r="B1485" t="s">
        <v>3787</v>
      </c>
      <c r="C1485" t="s">
        <v>11484</v>
      </c>
      <c r="D1485" t="s">
        <v>11725</v>
      </c>
      <c r="E1485" t="s">
        <v>3788</v>
      </c>
      <c r="F1485" t="s">
        <v>1424</v>
      </c>
      <c r="G1485" t="s">
        <v>112</v>
      </c>
      <c r="I1485" t="str">
        <f t="shared" si="92"/>
        <v>Various times</v>
      </c>
      <c r="J1485" t="str">
        <f t="shared" si="93"/>
        <v>es</v>
      </c>
      <c r="K1485" t="str">
        <f t="shared" si="94"/>
        <v>Various times</v>
      </c>
      <c r="L1485" t="str">
        <f t="shared" si="95"/>
        <v>Various times</v>
      </c>
    </row>
    <row r="1486" spans="1:12" x14ac:dyDescent="0.35">
      <c r="A1486">
        <v>1499</v>
      </c>
      <c r="B1486" t="s">
        <v>3789</v>
      </c>
      <c r="C1486" t="s">
        <v>10393</v>
      </c>
      <c r="D1486" t="s">
        <v>11726</v>
      </c>
      <c r="E1486" t="s">
        <v>3613</v>
      </c>
      <c r="F1486" t="s">
        <v>1424</v>
      </c>
      <c r="G1486" t="s">
        <v>112</v>
      </c>
      <c r="I1486" t="str">
        <f t="shared" si="92"/>
        <v>Various times</v>
      </c>
      <c r="J1486" t="str">
        <f t="shared" si="93"/>
        <v>es</v>
      </c>
      <c r="K1486" t="str">
        <f t="shared" si="94"/>
        <v>Various times</v>
      </c>
      <c r="L1486" t="str">
        <f t="shared" si="95"/>
        <v>Various times</v>
      </c>
    </row>
    <row r="1487" spans="1:12" x14ac:dyDescent="0.35">
      <c r="A1487">
        <v>1500</v>
      </c>
      <c r="B1487" t="s">
        <v>3790</v>
      </c>
      <c r="C1487" t="s">
        <v>11485</v>
      </c>
      <c r="D1487" t="s">
        <v>11726</v>
      </c>
      <c r="E1487" t="s">
        <v>3791</v>
      </c>
      <c r="F1487" t="s">
        <v>1424</v>
      </c>
      <c r="G1487" t="s">
        <v>112</v>
      </c>
      <c r="I1487" t="str">
        <f t="shared" si="92"/>
        <v>Various times</v>
      </c>
      <c r="J1487" t="str">
        <f t="shared" si="93"/>
        <v>es</v>
      </c>
      <c r="K1487" t="str">
        <f t="shared" si="94"/>
        <v>Various times</v>
      </c>
      <c r="L1487" t="str">
        <f t="shared" si="95"/>
        <v>Various times</v>
      </c>
    </row>
    <row r="1488" spans="1:12" x14ac:dyDescent="0.35">
      <c r="A1488">
        <v>1501</v>
      </c>
      <c r="B1488" t="s">
        <v>3792</v>
      </c>
      <c r="C1488" t="s">
        <v>11486</v>
      </c>
      <c r="D1488" t="s">
        <v>11727</v>
      </c>
      <c r="E1488" t="s">
        <v>3613</v>
      </c>
      <c r="F1488" t="s">
        <v>1424</v>
      </c>
      <c r="G1488" t="s">
        <v>112</v>
      </c>
      <c r="I1488" t="str">
        <f t="shared" si="92"/>
        <v>Various times</v>
      </c>
      <c r="J1488" t="str">
        <f t="shared" si="93"/>
        <v>es</v>
      </c>
      <c r="K1488" t="str">
        <f t="shared" si="94"/>
        <v>Various times</v>
      </c>
      <c r="L1488" t="str">
        <f t="shared" si="95"/>
        <v>Various times</v>
      </c>
    </row>
    <row r="1489" spans="1:12" x14ac:dyDescent="0.35">
      <c r="A1489">
        <v>1502</v>
      </c>
      <c r="B1489" t="s">
        <v>3793</v>
      </c>
      <c r="C1489" t="s">
        <v>10394</v>
      </c>
      <c r="D1489" t="s">
        <v>11728</v>
      </c>
      <c r="E1489" t="s">
        <v>3794</v>
      </c>
      <c r="F1489" t="s">
        <v>1424</v>
      </c>
      <c r="G1489" t="s">
        <v>112</v>
      </c>
      <c r="I1489" t="str">
        <f t="shared" si="92"/>
        <v>Various times</v>
      </c>
      <c r="J1489" t="str">
        <f t="shared" si="93"/>
        <v>es</v>
      </c>
      <c r="K1489" t="str">
        <f t="shared" si="94"/>
        <v>Various times</v>
      </c>
      <c r="L1489" t="str">
        <f t="shared" si="95"/>
        <v>Various times</v>
      </c>
    </row>
    <row r="1490" spans="1:12" x14ac:dyDescent="0.35">
      <c r="A1490">
        <v>1503</v>
      </c>
      <c r="B1490" t="s">
        <v>3795</v>
      </c>
      <c r="C1490" t="s">
        <v>11487</v>
      </c>
      <c r="D1490" t="s">
        <v>11728</v>
      </c>
      <c r="E1490" t="s">
        <v>3796</v>
      </c>
      <c r="F1490" t="s">
        <v>1424</v>
      </c>
      <c r="G1490" t="s">
        <v>112</v>
      </c>
      <c r="I1490" t="str">
        <f t="shared" si="92"/>
        <v>Various times</v>
      </c>
      <c r="J1490" t="str">
        <f t="shared" si="93"/>
        <v>es</v>
      </c>
      <c r="K1490" t="str">
        <f t="shared" si="94"/>
        <v>Various times</v>
      </c>
      <c r="L1490" t="str">
        <f t="shared" si="95"/>
        <v>Various times</v>
      </c>
    </row>
    <row r="1491" spans="1:12" x14ac:dyDescent="0.35">
      <c r="A1491">
        <v>1504</v>
      </c>
      <c r="B1491" t="s">
        <v>3797</v>
      </c>
      <c r="C1491" t="s">
        <v>11488</v>
      </c>
      <c r="D1491" t="s">
        <v>11729</v>
      </c>
      <c r="E1491" t="s">
        <v>1112</v>
      </c>
      <c r="F1491" t="s">
        <v>1424</v>
      </c>
      <c r="G1491" t="s">
        <v>112</v>
      </c>
      <c r="I1491" t="str">
        <f t="shared" si="92"/>
        <v>Various times</v>
      </c>
      <c r="J1491" t="str">
        <f t="shared" si="93"/>
        <v>es</v>
      </c>
      <c r="K1491" t="str">
        <f t="shared" si="94"/>
        <v>Various times</v>
      </c>
      <c r="L1491" t="str">
        <f t="shared" si="95"/>
        <v>Various times</v>
      </c>
    </row>
    <row r="1492" spans="1:12" x14ac:dyDescent="0.35">
      <c r="A1492">
        <v>1505</v>
      </c>
      <c r="B1492" t="s">
        <v>3798</v>
      </c>
      <c r="C1492" t="s">
        <v>11489</v>
      </c>
      <c r="D1492" t="s">
        <v>11730</v>
      </c>
      <c r="E1492" t="s">
        <v>3799</v>
      </c>
      <c r="F1492" t="s">
        <v>1424</v>
      </c>
      <c r="G1492" t="s">
        <v>112</v>
      </c>
      <c r="I1492" t="str">
        <f t="shared" si="92"/>
        <v>Various times</v>
      </c>
      <c r="J1492" t="str">
        <f t="shared" si="93"/>
        <v>es</v>
      </c>
      <c r="K1492" t="str">
        <f t="shared" si="94"/>
        <v>Various times</v>
      </c>
      <c r="L1492" t="str">
        <f t="shared" si="95"/>
        <v>Various times</v>
      </c>
    </row>
    <row r="1493" spans="1:12" x14ac:dyDescent="0.35">
      <c r="A1493">
        <v>1506</v>
      </c>
      <c r="B1493" t="s">
        <v>3800</v>
      </c>
      <c r="C1493" t="s">
        <v>11490</v>
      </c>
      <c r="D1493" t="s">
        <v>11731</v>
      </c>
      <c r="E1493" t="s">
        <v>3801</v>
      </c>
      <c r="F1493" t="s">
        <v>1424</v>
      </c>
      <c r="G1493" t="s">
        <v>112</v>
      </c>
      <c r="I1493" t="str">
        <f t="shared" si="92"/>
        <v>Various times</v>
      </c>
      <c r="J1493" t="str">
        <f t="shared" si="93"/>
        <v>es</v>
      </c>
      <c r="K1493" t="str">
        <f t="shared" si="94"/>
        <v>Various times</v>
      </c>
      <c r="L1493" t="str">
        <f t="shared" si="95"/>
        <v>Various times</v>
      </c>
    </row>
    <row r="1494" spans="1:12" x14ac:dyDescent="0.35">
      <c r="A1494">
        <v>1507</v>
      </c>
      <c r="B1494" t="s">
        <v>3802</v>
      </c>
      <c r="C1494" t="s">
        <v>11487</v>
      </c>
      <c r="D1494" t="s">
        <v>11731</v>
      </c>
      <c r="E1494" t="s">
        <v>3803</v>
      </c>
      <c r="F1494" t="s">
        <v>1424</v>
      </c>
      <c r="G1494" t="s">
        <v>112</v>
      </c>
      <c r="I1494" t="str">
        <f t="shared" si="92"/>
        <v>Various times</v>
      </c>
      <c r="J1494" t="str">
        <f t="shared" si="93"/>
        <v>es</v>
      </c>
      <c r="K1494" t="str">
        <f t="shared" si="94"/>
        <v>Various times</v>
      </c>
      <c r="L1494" t="str">
        <f t="shared" si="95"/>
        <v>Various times</v>
      </c>
    </row>
    <row r="1495" spans="1:12" x14ac:dyDescent="0.35">
      <c r="A1495">
        <v>1508</v>
      </c>
      <c r="B1495" t="s">
        <v>3804</v>
      </c>
      <c r="C1495" t="s">
        <v>11491</v>
      </c>
      <c r="D1495" t="s">
        <v>11732</v>
      </c>
      <c r="E1495" t="s">
        <v>1112</v>
      </c>
      <c r="F1495" t="s">
        <v>1424</v>
      </c>
      <c r="G1495" t="s">
        <v>112</v>
      </c>
      <c r="I1495" t="str">
        <f t="shared" si="92"/>
        <v>Various times</v>
      </c>
      <c r="J1495" t="str">
        <f t="shared" si="93"/>
        <v>es</v>
      </c>
      <c r="K1495" t="str">
        <f t="shared" si="94"/>
        <v>Various times</v>
      </c>
      <c r="L1495" t="str">
        <f t="shared" si="95"/>
        <v>Various times</v>
      </c>
    </row>
    <row r="1496" spans="1:12" x14ac:dyDescent="0.35">
      <c r="A1496">
        <v>1509</v>
      </c>
      <c r="B1496" t="s">
        <v>3805</v>
      </c>
      <c r="C1496" t="s">
        <v>10403</v>
      </c>
      <c r="D1496" t="s">
        <v>11732</v>
      </c>
      <c r="E1496" t="s">
        <v>1112</v>
      </c>
      <c r="F1496" t="s">
        <v>1424</v>
      </c>
      <c r="G1496" t="s">
        <v>112</v>
      </c>
      <c r="I1496" t="str">
        <f t="shared" si="92"/>
        <v>Various times</v>
      </c>
      <c r="J1496" t="str">
        <f t="shared" si="93"/>
        <v>es</v>
      </c>
      <c r="K1496" t="str">
        <f t="shared" si="94"/>
        <v>Various times</v>
      </c>
      <c r="L1496" t="str">
        <f t="shared" si="95"/>
        <v>Various times</v>
      </c>
    </row>
    <row r="1497" spans="1:12" x14ac:dyDescent="0.35">
      <c r="A1497">
        <v>1510</v>
      </c>
      <c r="B1497" t="s">
        <v>3806</v>
      </c>
      <c r="C1497" t="s">
        <v>11492</v>
      </c>
      <c r="D1497" t="s">
        <v>11733</v>
      </c>
      <c r="E1497" t="s">
        <v>3807</v>
      </c>
      <c r="F1497" t="s">
        <v>3808</v>
      </c>
      <c r="G1497" t="s">
        <v>112</v>
      </c>
      <c r="I1497" t="str">
        <f t="shared" si="92"/>
        <v>Historical periods</v>
      </c>
      <c r="J1497" t="str">
        <f t="shared" si="93"/>
        <v>ds</v>
      </c>
      <c r="K1497" t="str">
        <f t="shared" si="94"/>
        <v>Historical periods</v>
      </c>
      <c r="L1497" t="str">
        <f t="shared" si="95"/>
        <v>Historical periods</v>
      </c>
    </row>
    <row r="1498" spans="1:12" x14ac:dyDescent="0.35">
      <c r="A1498">
        <v>1511</v>
      </c>
      <c r="B1498" t="s">
        <v>3809</v>
      </c>
      <c r="C1498" t="s">
        <v>10271</v>
      </c>
      <c r="D1498" t="s">
        <v>11734</v>
      </c>
      <c r="E1498" t="s">
        <v>3810</v>
      </c>
      <c r="F1498" t="s">
        <v>1241</v>
      </c>
      <c r="G1498" t="s">
        <v>112</v>
      </c>
      <c r="I1498" t="str">
        <f t="shared" si="92"/>
        <v>1000</v>
      </c>
      <c r="J1498" t="str">
        <f t="shared" si="93"/>
        <v>BC</v>
      </c>
      <c r="K1498">
        <f t="shared" si="94"/>
        <v>-1000</v>
      </c>
      <c r="L1498">
        <f t="shared" si="95"/>
        <v>-1000</v>
      </c>
    </row>
    <row r="1499" spans="1:12" x14ac:dyDescent="0.35">
      <c r="A1499">
        <v>1512</v>
      </c>
      <c r="B1499" t="s">
        <v>3811</v>
      </c>
      <c r="C1499" t="s">
        <v>11493</v>
      </c>
      <c r="D1499" t="s">
        <v>11735</v>
      </c>
      <c r="E1499" t="s">
        <v>1211</v>
      </c>
      <c r="F1499" t="s">
        <v>1241</v>
      </c>
      <c r="G1499" t="s">
        <v>112</v>
      </c>
      <c r="I1499" t="str">
        <f t="shared" si="92"/>
        <v>1000</v>
      </c>
      <c r="J1499" t="str">
        <f t="shared" si="93"/>
        <v>BC</v>
      </c>
      <c r="K1499">
        <f t="shared" si="94"/>
        <v>-1000</v>
      </c>
      <c r="L1499">
        <f t="shared" si="95"/>
        <v>-1000</v>
      </c>
    </row>
    <row r="1500" spans="1:12" x14ac:dyDescent="0.35">
      <c r="A1500">
        <v>1513</v>
      </c>
      <c r="B1500" t="s">
        <v>3812</v>
      </c>
      <c r="C1500" t="s">
        <v>10395</v>
      </c>
      <c r="D1500" t="s">
        <v>11735</v>
      </c>
      <c r="E1500" t="s">
        <v>1211</v>
      </c>
      <c r="F1500" t="s">
        <v>1241</v>
      </c>
      <c r="G1500" t="s">
        <v>112</v>
      </c>
      <c r="I1500" t="str">
        <f t="shared" si="92"/>
        <v>1000</v>
      </c>
      <c r="J1500" t="str">
        <f t="shared" si="93"/>
        <v>BC</v>
      </c>
      <c r="K1500">
        <f t="shared" si="94"/>
        <v>-1000</v>
      </c>
      <c r="L1500">
        <f t="shared" si="95"/>
        <v>-1000</v>
      </c>
    </row>
    <row r="1501" spans="1:12" x14ac:dyDescent="0.35">
      <c r="A1501">
        <v>1514</v>
      </c>
      <c r="B1501" t="s">
        <v>3813</v>
      </c>
      <c r="C1501" t="s">
        <v>10396</v>
      </c>
      <c r="D1501" t="s">
        <v>11736</v>
      </c>
      <c r="E1501" t="s">
        <v>3814</v>
      </c>
      <c r="F1501" t="s">
        <v>1241</v>
      </c>
      <c r="G1501" t="s">
        <v>112</v>
      </c>
      <c r="I1501" t="str">
        <f t="shared" si="92"/>
        <v>1000</v>
      </c>
      <c r="J1501" t="str">
        <f t="shared" si="93"/>
        <v>BC</v>
      </c>
      <c r="K1501">
        <f t="shared" si="94"/>
        <v>-1000</v>
      </c>
      <c r="L1501">
        <f t="shared" si="95"/>
        <v>-1000</v>
      </c>
    </row>
    <row r="1502" spans="1:12" x14ac:dyDescent="0.35">
      <c r="A1502">
        <v>1515</v>
      </c>
      <c r="B1502" t="s">
        <v>3815</v>
      </c>
      <c r="C1502" t="s">
        <v>10397</v>
      </c>
      <c r="D1502" t="s">
        <v>11737</v>
      </c>
      <c r="E1502" t="s">
        <v>3814</v>
      </c>
      <c r="F1502" t="s">
        <v>1241</v>
      </c>
      <c r="G1502" t="s">
        <v>112</v>
      </c>
      <c r="I1502" t="str">
        <f t="shared" si="92"/>
        <v>1000</v>
      </c>
      <c r="J1502" t="str">
        <f t="shared" si="93"/>
        <v>BC</v>
      </c>
      <c r="K1502">
        <f t="shared" si="94"/>
        <v>-1000</v>
      </c>
      <c r="L1502">
        <f t="shared" si="95"/>
        <v>-1000</v>
      </c>
    </row>
    <row r="1503" spans="1:12" x14ac:dyDescent="0.35">
      <c r="A1503">
        <v>1516</v>
      </c>
      <c r="B1503" t="s">
        <v>3816</v>
      </c>
      <c r="C1503" t="s">
        <v>10038</v>
      </c>
      <c r="D1503" t="s">
        <v>11738</v>
      </c>
      <c r="E1503" t="s">
        <v>337</v>
      </c>
      <c r="F1503" t="s">
        <v>3384</v>
      </c>
      <c r="G1503" t="s">
        <v>112</v>
      </c>
      <c r="I1503" t="str">
        <f t="shared" si="92"/>
        <v>1440</v>
      </c>
      <c r="J1503" t="str">
        <f t="shared" si="93"/>
        <v>BC</v>
      </c>
      <c r="K1503">
        <f t="shared" si="94"/>
        <v>-1440</v>
      </c>
      <c r="L1503">
        <f t="shared" si="95"/>
        <v>-1440</v>
      </c>
    </row>
    <row r="1504" spans="1:12" x14ac:dyDescent="0.35">
      <c r="A1504">
        <v>1517</v>
      </c>
      <c r="B1504" t="s">
        <v>3817</v>
      </c>
      <c r="C1504" t="s">
        <v>10724</v>
      </c>
      <c r="D1504" t="s">
        <v>11739</v>
      </c>
      <c r="E1504" t="s">
        <v>337</v>
      </c>
      <c r="F1504" t="s">
        <v>3384</v>
      </c>
      <c r="G1504" t="s">
        <v>112</v>
      </c>
      <c r="I1504" t="str">
        <f t="shared" si="92"/>
        <v>1440</v>
      </c>
      <c r="J1504" t="str">
        <f t="shared" si="93"/>
        <v>BC</v>
      </c>
      <c r="K1504">
        <f t="shared" si="94"/>
        <v>-1440</v>
      </c>
      <c r="L1504">
        <f t="shared" si="95"/>
        <v>-1440</v>
      </c>
    </row>
    <row r="1505" spans="1:12" x14ac:dyDescent="0.35">
      <c r="A1505">
        <v>1518</v>
      </c>
      <c r="B1505" t="s">
        <v>3818</v>
      </c>
      <c r="C1505" t="s">
        <v>11494</v>
      </c>
      <c r="D1505" t="s">
        <v>11740</v>
      </c>
      <c r="E1505" t="s">
        <v>337</v>
      </c>
      <c r="F1505" t="s">
        <v>3819</v>
      </c>
      <c r="G1505" t="s">
        <v>112</v>
      </c>
      <c r="I1505" t="str">
        <f t="shared" si="92"/>
        <v>1440-1400</v>
      </c>
      <c r="J1505" t="str">
        <f t="shared" si="93"/>
        <v>BC</v>
      </c>
      <c r="K1505">
        <f t="shared" si="94"/>
        <v>-1440</v>
      </c>
      <c r="L1505">
        <f t="shared" si="95"/>
        <v>-1400</v>
      </c>
    </row>
    <row r="1506" spans="1:12" x14ac:dyDescent="0.35">
      <c r="A1506">
        <v>1519</v>
      </c>
      <c r="B1506" t="s">
        <v>3820</v>
      </c>
      <c r="C1506" t="s">
        <v>11495</v>
      </c>
      <c r="D1506" t="s">
        <v>11740</v>
      </c>
      <c r="E1506" t="s">
        <v>337</v>
      </c>
      <c r="F1506" t="s">
        <v>3819</v>
      </c>
      <c r="G1506" t="s">
        <v>112</v>
      </c>
      <c r="I1506" t="str">
        <f t="shared" si="92"/>
        <v>1440-1400</v>
      </c>
      <c r="J1506" t="str">
        <f t="shared" si="93"/>
        <v>BC</v>
      </c>
      <c r="K1506">
        <f t="shared" si="94"/>
        <v>-1440</v>
      </c>
      <c r="L1506">
        <f t="shared" si="95"/>
        <v>-1400</v>
      </c>
    </row>
    <row r="1507" spans="1:12" x14ac:dyDescent="0.35">
      <c r="A1507">
        <v>1520</v>
      </c>
      <c r="B1507" t="s">
        <v>3821</v>
      </c>
      <c r="C1507" t="s">
        <v>11496</v>
      </c>
      <c r="D1507" t="s">
        <v>11741</v>
      </c>
      <c r="E1507" t="s">
        <v>337</v>
      </c>
      <c r="F1507" t="s">
        <v>3819</v>
      </c>
      <c r="G1507" t="s">
        <v>112</v>
      </c>
      <c r="I1507" t="str">
        <f t="shared" si="92"/>
        <v>1440-1400</v>
      </c>
      <c r="J1507" t="str">
        <f t="shared" si="93"/>
        <v>BC</v>
      </c>
      <c r="K1507">
        <f t="shared" si="94"/>
        <v>-1440</v>
      </c>
      <c r="L1507">
        <f t="shared" si="95"/>
        <v>-1400</v>
      </c>
    </row>
    <row r="1508" spans="1:12" x14ac:dyDescent="0.35">
      <c r="A1508">
        <v>1521</v>
      </c>
      <c r="B1508" t="s">
        <v>3822</v>
      </c>
      <c r="C1508" t="s">
        <v>10445</v>
      </c>
      <c r="D1508" t="s">
        <v>11742</v>
      </c>
      <c r="E1508" t="s">
        <v>337</v>
      </c>
      <c r="F1508" t="s">
        <v>3384</v>
      </c>
      <c r="G1508" t="s">
        <v>112</v>
      </c>
      <c r="I1508" t="str">
        <f t="shared" si="92"/>
        <v>1440</v>
      </c>
      <c r="J1508" t="str">
        <f t="shared" si="93"/>
        <v>BC</v>
      </c>
      <c r="K1508">
        <f t="shared" si="94"/>
        <v>-1440</v>
      </c>
      <c r="L1508">
        <f t="shared" si="95"/>
        <v>-1440</v>
      </c>
    </row>
    <row r="1509" spans="1:12" x14ac:dyDescent="0.35">
      <c r="A1509">
        <v>1522</v>
      </c>
      <c r="B1509" t="s">
        <v>3823</v>
      </c>
      <c r="C1509" t="s">
        <v>10726</v>
      </c>
      <c r="D1509" t="s">
        <v>11743</v>
      </c>
      <c r="E1509" t="s">
        <v>337</v>
      </c>
      <c r="F1509" t="s">
        <v>3384</v>
      </c>
      <c r="G1509" t="s">
        <v>112</v>
      </c>
      <c r="I1509" t="str">
        <f t="shared" si="92"/>
        <v>1440</v>
      </c>
      <c r="J1509" t="str">
        <f t="shared" si="93"/>
        <v>BC</v>
      </c>
      <c r="K1509">
        <f t="shared" si="94"/>
        <v>-1440</v>
      </c>
      <c r="L1509">
        <f t="shared" si="95"/>
        <v>-1440</v>
      </c>
    </row>
    <row r="1510" spans="1:12" x14ac:dyDescent="0.35">
      <c r="A1510">
        <v>1523</v>
      </c>
      <c r="B1510" t="s">
        <v>3824</v>
      </c>
      <c r="C1510" t="s">
        <v>11252</v>
      </c>
      <c r="D1510" t="s">
        <v>11743</v>
      </c>
      <c r="E1510" t="s">
        <v>337</v>
      </c>
      <c r="F1510" t="s">
        <v>3384</v>
      </c>
      <c r="G1510" t="s">
        <v>112</v>
      </c>
      <c r="I1510" t="str">
        <f t="shared" si="92"/>
        <v>1440</v>
      </c>
      <c r="J1510" t="str">
        <f t="shared" si="93"/>
        <v>BC</v>
      </c>
      <c r="K1510">
        <f t="shared" si="94"/>
        <v>-1440</v>
      </c>
      <c r="L1510">
        <f t="shared" si="95"/>
        <v>-1440</v>
      </c>
    </row>
    <row r="1511" spans="1:12" x14ac:dyDescent="0.35">
      <c r="A1511">
        <v>1524</v>
      </c>
      <c r="B1511" t="s">
        <v>3825</v>
      </c>
      <c r="C1511" t="s">
        <v>10049</v>
      </c>
      <c r="D1511" t="s">
        <v>11744</v>
      </c>
      <c r="E1511" t="s">
        <v>186</v>
      </c>
      <c r="F1511" t="s">
        <v>319</v>
      </c>
      <c r="G1511" t="s">
        <v>112</v>
      </c>
      <c r="I1511" t="str">
        <f t="shared" si="92"/>
        <v>1446</v>
      </c>
      <c r="J1511" t="str">
        <f t="shared" si="93"/>
        <v>BC</v>
      </c>
      <c r="K1511">
        <f t="shared" si="94"/>
        <v>-1446</v>
      </c>
      <c r="L1511">
        <f t="shared" si="95"/>
        <v>-1446</v>
      </c>
    </row>
    <row r="1512" spans="1:12" x14ac:dyDescent="0.35">
      <c r="A1512">
        <v>1525</v>
      </c>
      <c r="B1512" t="s">
        <v>3826</v>
      </c>
      <c r="C1512" t="s">
        <v>10398</v>
      </c>
      <c r="D1512" t="s">
        <v>11745</v>
      </c>
      <c r="E1512" t="s">
        <v>337</v>
      </c>
      <c r="F1512" t="s">
        <v>3827</v>
      </c>
      <c r="G1512" t="s">
        <v>112</v>
      </c>
      <c r="I1512" t="str">
        <f t="shared" si="92"/>
        <v>1446-1406</v>
      </c>
      <c r="J1512" t="str">
        <f t="shared" si="93"/>
        <v>BC</v>
      </c>
      <c r="K1512">
        <f t="shared" si="94"/>
        <v>-1446</v>
      </c>
      <c r="L1512">
        <f t="shared" si="95"/>
        <v>-1406</v>
      </c>
    </row>
    <row r="1513" spans="1:12" x14ac:dyDescent="0.35">
      <c r="A1513">
        <v>1526</v>
      </c>
      <c r="B1513" t="s">
        <v>3828</v>
      </c>
      <c r="C1513" t="s">
        <v>10399</v>
      </c>
      <c r="D1513" t="s">
        <v>11746</v>
      </c>
      <c r="E1513" t="s">
        <v>341</v>
      </c>
      <c r="F1513" t="s">
        <v>319</v>
      </c>
      <c r="G1513" t="s">
        <v>112</v>
      </c>
      <c r="I1513" t="str">
        <f t="shared" si="92"/>
        <v>1446</v>
      </c>
      <c r="J1513" t="str">
        <f t="shared" si="93"/>
        <v>BC</v>
      </c>
      <c r="K1513">
        <f t="shared" si="94"/>
        <v>-1446</v>
      </c>
      <c r="L1513">
        <f t="shared" si="95"/>
        <v>-1446</v>
      </c>
    </row>
    <row r="1514" spans="1:12" x14ac:dyDescent="0.35">
      <c r="A1514">
        <v>1527</v>
      </c>
      <c r="B1514" t="s">
        <v>3829</v>
      </c>
      <c r="C1514" t="s">
        <v>11497</v>
      </c>
      <c r="D1514" t="s">
        <v>11747</v>
      </c>
      <c r="E1514" t="s">
        <v>1211</v>
      </c>
      <c r="F1514" t="s">
        <v>1241</v>
      </c>
      <c r="G1514" t="s">
        <v>112</v>
      </c>
      <c r="I1514" t="str">
        <f t="shared" si="92"/>
        <v>1000</v>
      </c>
      <c r="J1514" t="str">
        <f t="shared" si="93"/>
        <v>BC</v>
      </c>
      <c r="K1514">
        <f t="shared" si="94"/>
        <v>-1000</v>
      </c>
      <c r="L1514">
        <f t="shared" si="95"/>
        <v>-1000</v>
      </c>
    </row>
    <row r="1515" spans="1:12" x14ac:dyDescent="0.35">
      <c r="A1515">
        <v>1528</v>
      </c>
      <c r="B1515" t="s">
        <v>3830</v>
      </c>
      <c r="C1515" t="s">
        <v>10400</v>
      </c>
      <c r="D1515" t="s">
        <v>11748</v>
      </c>
      <c r="E1515" t="s">
        <v>1211</v>
      </c>
      <c r="F1515" t="s">
        <v>1586</v>
      </c>
      <c r="G1515" t="s">
        <v>112</v>
      </c>
      <c r="I1515" t="str">
        <f t="shared" si="92"/>
        <v>959</v>
      </c>
      <c r="J1515" t="str">
        <f t="shared" si="93"/>
        <v>BC</v>
      </c>
      <c r="K1515">
        <f t="shared" si="94"/>
        <v>-959</v>
      </c>
      <c r="L1515">
        <f t="shared" si="95"/>
        <v>-959</v>
      </c>
    </row>
    <row r="1516" spans="1:12" x14ac:dyDescent="0.35">
      <c r="A1516">
        <v>1529</v>
      </c>
      <c r="B1516" t="s">
        <v>3831</v>
      </c>
      <c r="C1516" t="s">
        <v>10401</v>
      </c>
      <c r="D1516" t="s">
        <v>11748</v>
      </c>
      <c r="E1516" t="s">
        <v>115</v>
      </c>
      <c r="F1516" t="s">
        <v>3653</v>
      </c>
      <c r="G1516" t="s">
        <v>112</v>
      </c>
      <c r="I1516" t="str">
        <f t="shared" si="92"/>
        <v>Creation</v>
      </c>
      <c r="J1516" t="str">
        <f t="shared" si="93"/>
        <v>on</v>
      </c>
      <c r="K1516" t="str">
        <f t="shared" si="94"/>
        <v>Creation</v>
      </c>
      <c r="L1516" t="str">
        <f t="shared" si="95"/>
        <v>Creation</v>
      </c>
    </row>
    <row r="1517" spans="1:12" x14ac:dyDescent="0.35">
      <c r="A1517">
        <v>1530</v>
      </c>
      <c r="B1517" t="s">
        <v>3832</v>
      </c>
      <c r="C1517" t="s">
        <v>11498</v>
      </c>
      <c r="D1517" t="s">
        <v>11749</v>
      </c>
      <c r="E1517" t="s">
        <v>1102</v>
      </c>
      <c r="F1517" t="s">
        <v>105</v>
      </c>
      <c r="G1517" t="s">
        <v>112</v>
      </c>
      <c r="I1517" t="str">
        <f t="shared" si="92"/>
        <v>1020</v>
      </c>
      <c r="J1517" t="str">
        <f t="shared" si="93"/>
        <v>BC</v>
      </c>
      <c r="K1517">
        <f t="shared" si="94"/>
        <v>-1020</v>
      </c>
      <c r="L1517">
        <f t="shared" si="95"/>
        <v>-1020</v>
      </c>
    </row>
    <row r="1518" spans="1:12" x14ac:dyDescent="0.35">
      <c r="A1518">
        <v>1531</v>
      </c>
      <c r="B1518" t="s">
        <v>3833</v>
      </c>
      <c r="C1518" t="s">
        <v>10402</v>
      </c>
      <c r="D1518" t="s">
        <v>11750</v>
      </c>
      <c r="E1518" t="s">
        <v>2337</v>
      </c>
      <c r="F1518" t="s">
        <v>108</v>
      </c>
      <c r="G1518" t="s">
        <v>112</v>
      </c>
      <c r="I1518" t="str">
        <f t="shared" si="92"/>
        <v>1010</v>
      </c>
      <c r="J1518" t="str">
        <f t="shared" si="93"/>
        <v>BC</v>
      </c>
      <c r="K1518">
        <f t="shared" si="94"/>
        <v>-1010</v>
      </c>
      <c r="L1518">
        <f t="shared" si="95"/>
        <v>-1010</v>
      </c>
    </row>
    <row r="1519" spans="1:12" x14ac:dyDescent="0.35">
      <c r="A1519">
        <v>1532</v>
      </c>
      <c r="B1519" t="s">
        <v>3834</v>
      </c>
      <c r="C1519" t="s">
        <v>10043</v>
      </c>
      <c r="D1519" t="s">
        <v>11751</v>
      </c>
      <c r="E1519" t="s">
        <v>1112</v>
      </c>
      <c r="F1519" t="s">
        <v>1424</v>
      </c>
      <c r="G1519" t="s">
        <v>112</v>
      </c>
      <c r="I1519" t="str">
        <f t="shared" si="92"/>
        <v>Various times</v>
      </c>
      <c r="J1519" t="str">
        <f t="shared" si="93"/>
        <v>es</v>
      </c>
      <c r="K1519" t="str">
        <f t="shared" si="94"/>
        <v>Various times</v>
      </c>
      <c r="L1519" t="str">
        <f t="shared" si="95"/>
        <v>Various times</v>
      </c>
    </row>
    <row r="1520" spans="1:12" x14ac:dyDescent="0.35">
      <c r="A1520">
        <v>1533</v>
      </c>
      <c r="B1520" t="s">
        <v>3835</v>
      </c>
      <c r="C1520" t="s">
        <v>11499</v>
      </c>
      <c r="D1520" t="s">
        <v>11752</v>
      </c>
      <c r="E1520" t="s">
        <v>1112</v>
      </c>
      <c r="F1520" t="s">
        <v>1424</v>
      </c>
      <c r="G1520" t="s">
        <v>112</v>
      </c>
      <c r="I1520" t="str">
        <f t="shared" si="92"/>
        <v>Various times</v>
      </c>
      <c r="J1520" t="str">
        <f t="shared" si="93"/>
        <v>es</v>
      </c>
      <c r="K1520" t="str">
        <f t="shared" si="94"/>
        <v>Various times</v>
      </c>
      <c r="L1520" t="str">
        <f t="shared" si="95"/>
        <v>Various times</v>
      </c>
    </row>
    <row r="1521" spans="1:12" x14ac:dyDescent="0.35">
      <c r="A1521">
        <v>1534</v>
      </c>
      <c r="B1521" t="s">
        <v>3836</v>
      </c>
      <c r="C1521" t="s">
        <v>10403</v>
      </c>
      <c r="D1521" t="s">
        <v>11753</v>
      </c>
      <c r="E1521" t="s">
        <v>1112</v>
      </c>
      <c r="F1521" t="s">
        <v>1424</v>
      </c>
      <c r="G1521" t="s">
        <v>112</v>
      </c>
      <c r="I1521" t="str">
        <f t="shared" si="92"/>
        <v>Various times</v>
      </c>
      <c r="J1521" t="str">
        <f t="shared" si="93"/>
        <v>es</v>
      </c>
      <c r="K1521" t="str">
        <f t="shared" si="94"/>
        <v>Various times</v>
      </c>
      <c r="L1521" t="str">
        <f t="shared" si="95"/>
        <v>Various times</v>
      </c>
    </row>
    <row r="1522" spans="1:12" x14ac:dyDescent="0.35">
      <c r="A1522">
        <v>1535</v>
      </c>
      <c r="B1522" t="s">
        <v>3837</v>
      </c>
      <c r="C1522" t="s">
        <v>10045</v>
      </c>
      <c r="D1522" t="s">
        <v>11753</v>
      </c>
      <c r="E1522" t="s">
        <v>1112</v>
      </c>
      <c r="F1522" t="s">
        <v>1424</v>
      </c>
      <c r="G1522" t="s">
        <v>112</v>
      </c>
      <c r="I1522" t="str">
        <f t="shared" si="92"/>
        <v>Various times</v>
      </c>
      <c r="J1522" t="str">
        <f t="shared" si="93"/>
        <v>es</v>
      </c>
      <c r="K1522" t="str">
        <f t="shared" si="94"/>
        <v>Various times</v>
      </c>
      <c r="L1522" t="str">
        <f t="shared" si="95"/>
        <v>Various times</v>
      </c>
    </row>
    <row r="1523" spans="1:12" x14ac:dyDescent="0.35">
      <c r="A1523">
        <v>1536</v>
      </c>
      <c r="B1523" t="s">
        <v>3838</v>
      </c>
      <c r="C1523" t="s">
        <v>10404</v>
      </c>
      <c r="D1523" t="s">
        <v>11754</v>
      </c>
      <c r="E1523" t="s">
        <v>1112</v>
      </c>
      <c r="F1523" t="s">
        <v>1424</v>
      </c>
      <c r="G1523" t="s">
        <v>112</v>
      </c>
      <c r="I1523" t="str">
        <f t="shared" si="92"/>
        <v>Various times</v>
      </c>
      <c r="J1523" t="str">
        <f t="shared" si="93"/>
        <v>es</v>
      </c>
      <c r="K1523" t="str">
        <f t="shared" si="94"/>
        <v>Various times</v>
      </c>
      <c r="L1523" t="str">
        <f t="shared" si="95"/>
        <v>Various times</v>
      </c>
    </row>
    <row r="1524" spans="1:12" x14ac:dyDescent="0.35">
      <c r="A1524">
        <v>1537</v>
      </c>
      <c r="B1524" t="s">
        <v>3839</v>
      </c>
      <c r="C1524" t="s">
        <v>10405</v>
      </c>
      <c r="D1524" t="s">
        <v>11754</v>
      </c>
      <c r="E1524" t="s">
        <v>1112</v>
      </c>
      <c r="F1524" t="s">
        <v>1424</v>
      </c>
      <c r="G1524" t="s">
        <v>112</v>
      </c>
      <c r="I1524" t="str">
        <f t="shared" ref="I1524:I1587" si="96">SUBSTITUTE(SUBSTITUTE(SUBSTITUTE(F1524,"c. ","")," BC","")," AD","")</f>
        <v>Various times</v>
      </c>
      <c r="J1524" t="str">
        <f t="shared" si="93"/>
        <v>es</v>
      </c>
      <c r="K1524" t="str">
        <f t="shared" si="94"/>
        <v>Various times</v>
      </c>
      <c r="L1524" t="str">
        <f t="shared" si="95"/>
        <v>Various times</v>
      </c>
    </row>
    <row r="1525" spans="1:12" x14ac:dyDescent="0.35">
      <c r="A1525">
        <v>1538</v>
      </c>
      <c r="B1525" t="s">
        <v>3840</v>
      </c>
      <c r="C1525" t="s">
        <v>10406</v>
      </c>
      <c r="D1525" t="s">
        <v>11755</v>
      </c>
      <c r="E1525" t="s">
        <v>1112</v>
      </c>
      <c r="F1525" t="s">
        <v>1424</v>
      </c>
      <c r="G1525" t="s">
        <v>112</v>
      </c>
      <c r="I1525" t="str">
        <f t="shared" si="96"/>
        <v>Various times</v>
      </c>
      <c r="J1525" t="str">
        <f t="shared" si="93"/>
        <v>es</v>
      </c>
      <c r="K1525" t="str">
        <f t="shared" si="94"/>
        <v>Various times</v>
      </c>
      <c r="L1525" t="str">
        <f t="shared" si="95"/>
        <v>Various times</v>
      </c>
    </row>
    <row r="1526" spans="1:12" x14ac:dyDescent="0.35">
      <c r="A1526">
        <v>1539</v>
      </c>
      <c r="B1526" t="s">
        <v>3841</v>
      </c>
      <c r="C1526" t="s">
        <v>10407</v>
      </c>
      <c r="D1526" t="s">
        <v>11755</v>
      </c>
      <c r="E1526" t="s">
        <v>1112</v>
      </c>
      <c r="F1526" t="s">
        <v>1424</v>
      </c>
      <c r="G1526" t="s">
        <v>112</v>
      </c>
      <c r="I1526" t="str">
        <f t="shared" si="96"/>
        <v>Various times</v>
      </c>
      <c r="J1526" t="str">
        <f t="shared" si="93"/>
        <v>es</v>
      </c>
      <c r="K1526" t="str">
        <f t="shared" si="94"/>
        <v>Various times</v>
      </c>
      <c r="L1526" t="str">
        <f t="shared" si="95"/>
        <v>Various times</v>
      </c>
    </row>
    <row r="1527" spans="1:12" x14ac:dyDescent="0.35">
      <c r="A1527">
        <v>1540</v>
      </c>
      <c r="B1527" t="s">
        <v>3842</v>
      </c>
      <c r="C1527" t="s">
        <v>11500</v>
      </c>
      <c r="D1527" t="s">
        <v>11756</v>
      </c>
      <c r="E1527" t="s">
        <v>1112</v>
      </c>
      <c r="F1527" t="s">
        <v>1424</v>
      </c>
      <c r="G1527" t="s">
        <v>112</v>
      </c>
      <c r="I1527" t="str">
        <f t="shared" si="96"/>
        <v>Various times</v>
      </c>
      <c r="J1527" t="str">
        <f t="shared" si="93"/>
        <v>es</v>
      </c>
      <c r="K1527" t="str">
        <f t="shared" si="94"/>
        <v>Various times</v>
      </c>
      <c r="L1527" t="str">
        <f t="shared" si="95"/>
        <v>Various times</v>
      </c>
    </row>
    <row r="1528" spans="1:12" x14ac:dyDescent="0.35">
      <c r="A1528">
        <v>1541</v>
      </c>
      <c r="B1528" t="s">
        <v>3843</v>
      </c>
      <c r="C1528" t="s">
        <v>11501</v>
      </c>
      <c r="D1528" t="s">
        <v>11756</v>
      </c>
      <c r="E1528" t="s">
        <v>1112</v>
      </c>
      <c r="F1528" t="s">
        <v>1424</v>
      </c>
      <c r="G1528" t="s">
        <v>112</v>
      </c>
      <c r="I1528" t="str">
        <f t="shared" si="96"/>
        <v>Various times</v>
      </c>
      <c r="J1528" t="str">
        <f t="shared" si="93"/>
        <v>es</v>
      </c>
      <c r="K1528" t="str">
        <f t="shared" si="94"/>
        <v>Various times</v>
      </c>
      <c r="L1528" t="str">
        <f t="shared" si="95"/>
        <v>Various times</v>
      </c>
    </row>
    <row r="1529" spans="1:12" x14ac:dyDescent="0.35">
      <c r="A1529">
        <v>1542</v>
      </c>
      <c r="B1529" t="s">
        <v>3844</v>
      </c>
      <c r="C1529" t="s">
        <v>10408</v>
      </c>
      <c r="D1529" t="s">
        <v>11757</v>
      </c>
      <c r="E1529" t="s">
        <v>1112</v>
      </c>
      <c r="F1529" t="s">
        <v>1424</v>
      </c>
      <c r="G1529" t="s">
        <v>112</v>
      </c>
      <c r="I1529" t="str">
        <f t="shared" si="96"/>
        <v>Various times</v>
      </c>
      <c r="J1529" t="str">
        <f t="shared" si="93"/>
        <v>es</v>
      </c>
      <c r="K1529" t="str">
        <f t="shared" si="94"/>
        <v>Various times</v>
      </c>
      <c r="L1529" t="str">
        <f t="shared" si="95"/>
        <v>Various times</v>
      </c>
    </row>
    <row r="1530" spans="1:12" x14ac:dyDescent="0.35">
      <c r="A1530">
        <v>1543</v>
      </c>
      <c r="B1530" t="s">
        <v>3845</v>
      </c>
      <c r="C1530" t="s">
        <v>10243</v>
      </c>
      <c r="D1530" t="s">
        <v>11757</v>
      </c>
      <c r="E1530" t="s">
        <v>1112</v>
      </c>
      <c r="F1530" t="s">
        <v>1424</v>
      </c>
      <c r="G1530" t="s">
        <v>112</v>
      </c>
      <c r="I1530" t="str">
        <f t="shared" si="96"/>
        <v>Various times</v>
      </c>
      <c r="J1530" t="str">
        <f t="shared" si="93"/>
        <v>es</v>
      </c>
      <c r="K1530" t="str">
        <f t="shared" si="94"/>
        <v>Various times</v>
      </c>
      <c r="L1530" t="str">
        <f t="shared" si="95"/>
        <v>Various times</v>
      </c>
    </row>
    <row r="1531" spans="1:12" x14ac:dyDescent="0.35">
      <c r="A1531">
        <v>1544</v>
      </c>
      <c r="B1531" t="s">
        <v>3846</v>
      </c>
      <c r="C1531" t="s">
        <v>11502</v>
      </c>
      <c r="D1531" t="s">
        <v>11758</v>
      </c>
      <c r="E1531" t="s">
        <v>3707</v>
      </c>
      <c r="F1531" t="s">
        <v>1424</v>
      </c>
      <c r="G1531" t="s">
        <v>112</v>
      </c>
      <c r="I1531" t="str">
        <f t="shared" si="96"/>
        <v>Various times</v>
      </c>
      <c r="J1531" t="str">
        <f t="shared" si="93"/>
        <v>es</v>
      </c>
      <c r="K1531" t="str">
        <f t="shared" si="94"/>
        <v>Various times</v>
      </c>
      <c r="L1531" t="str">
        <f t="shared" si="95"/>
        <v>Various times</v>
      </c>
    </row>
    <row r="1532" spans="1:12" x14ac:dyDescent="0.35">
      <c r="A1532">
        <v>1545</v>
      </c>
      <c r="B1532" t="s">
        <v>3847</v>
      </c>
      <c r="C1532" t="s">
        <v>11490</v>
      </c>
      <c r="D1532" t="s">
        <v>11758</v>
      </c>
      <c r="E1532" t="s">
        <v>3707</v>
      </c>
      <c r="F1532" t="s">
        <v>1424</v>
      </c>
      <c r="G1532" t="s">
        <v>112</v>
      </c>
      <c r="I1532" t="str">
        <f t="shared" si="96"/>
        <v>Various times</v>
      </c>
      <c r="J1532" t="str">
        <f t="shared" si="93"/>
        <v>es</v>
      </c>
      <c r="K1532" t="str">
        <f t="shared" si="94"/>
        <v>Various times</v>
      </c>
      <c r="L1532" t="str">
        <f t="shared" si="95"/>
        <v>Various times</v>
      </c>
    </row>
    <row r="1533" spans="1:12" x14ac:dyDescent="0.35">
      <c r="A1533">
        <v>1546</v>
      </c>
      <c r="B1533" t="s">
        <v>3848</v>
      </c>
      <c r="C1533" t="s">
        <v>10409</v>
      </c>
      <c r="D1533" t="s">
        <v>11759</v>
      </c>
      <c r="E1533" t="s">
        <v>3849</v>
      </c>
      <c r="F1533" t="s">
        <v>1424</v>
      </c>
      <c r="G1533" t="s">
        <v>112</v>
      </c>
      <c r="I1533" t="str">
        <f t="shared" si="96"/>
        <v>Various times</v>
      </c>
      <c r="J1533" t="str">
        <f t="shared" si="93"/>
        <v>es</v>
      </c>
      <c r="K1533" t="str">
        <f t="shared" si="94"/>
        <v>Various times</v>
      </c>
      <c r="L1533" t="str">
        <f t="shared" si="95"/>
        <v>Various times</v>
      </c>
    </row>
    <row r="1534" spans="1:12" x14ac:dyDescent="0.35">
      <c r="A1534">
        <v>1547</v>
      </c>
      <c r="B1534" t="s">
        <v>3850</v>
      </c>
      <c r="C1534" t="s">
        <v>10410</v>
      </c>
      <c r="D1534" t="s">
        <v>11760</v>
      </c>
      <c r="E1534" t="s">
        <v>115</v>
      </c>
      <c r="F1534" t="s">
        <v>3653</v>
      </c>
      <c r="G1534" t="s">
        <v>112</v>
      </c>
      <c r="I1534" t="str">
        <f t="shared" si="96"/>
        <v>Creation</v>
      </c>
      <c r="J1534" t="str">
        <f t="shared" si="93"/>
        <v>on</v>
      </c>
      <c r="K1534" t="str">
        <f t="shared" si="94"/>
        <v>Creation</v>
      </c>
      <c r="L1534" t="str">
        <f t="shared" si="95"/>
        <v>Creation</v>
      </c>
    </row>
    <row r="1535" spans="1:12" x14ac:dyDescent="0.35">
      <c r="A1535">
        <v>1548</v>
      </c>
      <c r="B1535" t="s">
        <v>3851</v>
      </c>
      <c r="C1535" t="s">
        <v>11503</v>
      </c>
      <c r="D1535" t="s">
        <v>11760</v>
      </c>
      <c r="E1535" t="s">
        <v>115</v>
      </c>
      <c r="F1535" t="s">
        <v>3852</v>
      </c>
      <c r="G1535" t="s">
        <v>112</v>
      </c>
      <c r="I1535" t="str">
        <f t="shared" si="96"/>
        <v>Creation/eternal</v>
      </c>
      <c r="J1535" t="str">
        <f t="shared" si="93"/>
        <v>al</v>
      </c>
      <c r="K1535" t="str">
        <f t="shared" si="94"/>
        <v>Creation/eternal</v>
      </c>
      <c r="L1535" t="str">
        <f t="shared" si="95"/>
        <v>Creation/eternal</v>
      </c>
    </row>
    <row r="1536" spans="1:12" x14ac:dyDescent="0.35">
      <c r="A1536">
        <v>1549</v>
      </c>
      <c r="B1536" t="s">
        <v>3853</v>
      </c>
      <c r="C1536" t="s">
        <v>11504</v>
      </c>
      <c r="D1536" t="s">
        <v>11761</v>
      </c>
      <c r="E1536" t="s">
        <v>115</v>
      </c>
      <c r="F1536" t="s">
        <v>3653</v>
      </c>
      <c r="G1536" t="s">
        <v>112</v>
      </c>
      <c r="I1536" t="str">
        <f t="shared" si="96"/>
        <v>Creation</v>
      </c>
      <c r="J1536" t="str">
        <f t="shared" si="93"/>
        <v>on</v>
      </c>
      <c r="K1536" t="str">
        <f t="shared" si="94"/>
        <v>Creation</v>
      </c>
      <c r="L1536" t="str">
        <f t="shared" si="95"/>
        <v>Creation</v>
      </c>
    </row>
    <row r="1537" spans="1:12" x14ac:dyDescent="0.35">
      <c r="A1537">
        <v>1550</v>
      </c>
      <c r="B1537" t="s">
        <v>3854</v>
      </c>
      <c r="C1537" t="s">
        <v>10411</v>
      </c>
      <c r="D1537" t="s">
        <v>11761</v>
      </c>
      <c r="E1537" t="s">
        <v>115</v>
      </c>
      <c r="F1537" t="s">
        <v>3653</v>
      </c>
      <c r="G1537" t="s">
        <v>112</v>
      </c>
      <c r="I1537" t="str">
        <f t="shared" si="96"/>
        <v>Creation</v>
      </c>
      <c r="J1537" t="str">
        <f t="shared" si="93"/>
        <v>on</v>
      </c>
      <c r="K1537" t="str">
        <f t="shared" si="94"/>
        <v>Creation</v>
      </c>
      <c r="L1537" t="str">
        <f t="shared" si="95"/>
        <v>Creation</v>
      </c>
    </row>
    <row r="1538" spans="1:12" x14ac:dyDescent="0.35">
      <c r="A1538">
        <v>1551</v>
      </c>
      <c r="B1538" t="s">
        <v>3855</v>
      </c>
      <c r="C1538" t="s">
        <v>11505</v>
      </c>
      <c r="D1538" t="s">
        <v>11762</v>
      </c>
      <c r="E1538" t="s">
        <v>115</v>
      </c>
      <c r="F1538" t="s">
        <v>3653</v>
      </c>
      <c r="G1538" t="s">
        <v>112</v>
      </c>
      <c r="I1538" t="str">
        <f t="shared" si="96"/>
        <v>Creation</v>
      </c>
      <c r="J1538" t="str">
        <f t="shared" ref="J1538:J1601" si="97">RIGHT(F1538, 2)</f>
        <v>on</v>
      </c>
      <c r="K1538" t="str">
        <f t="shared" ref="K1538:K1601" si="98">IF(J1538="BC", 0-IF(ISERROR(FIND("-",I1538)),I1538,LEFT(I1538,FIND("-",I1538)-1)), IF(ISERROR(FIND("-",I1538)),I1538,LEFT(I1538,FIND("-",I1538)-1)))</f>
        <v>Creation</v>
      </c>
      <c r="L1538" t="str">
        <f t="shared" ref="L1538:L1601" si="99">IF(J1538="BC", 0-IF(ISERROR(FIND("-",I1538)),I1538,RIGHT(I1538,FIND("-",I1538)-1)), IF(ISERROR(FIND("-",I1538)),I1538,RIGHT(I1538,FIND("-",I1538)-1)))</f>
        <v>Creation</v>
      </c>
    </row>
    <row r="1539" spans="1:12" x14ac:dyDescent="0.35">
      <c r="A1539">
        <v>1552</v>
      </c>
      <c r="B1539" t="s">
        <v>3856</v>
      </c>
      <c r="C1539" t="s">
        <v>11506</v>
      </c>
      <c r="D1539" t="s">
        <v>11762</v>
      </c>
      <c r="E1539" t="s">
        <v>115</v>
      </c>
      <c r="F1539" t="s">
        <v>3653</v>
      </c>
      <c r="G1539" t="s">
        <v>112</v>
      </c>
      <c r="I1539" t="str">
        <f t="shared" si="96"/>
        <v>Creation</v>
      </c>
      <c r="J1539" t="str">
        <f t="shared" si="97"/>
        <v>on</v>
      </c>
      <c r="K1539" t="str">
        <f t="shared" si="98"/>
        <v>Creation</v>
      </c>
      <c r="L1539" t="str">
        <f t="shared" si="99"/>
        <v>Creation</v>
      </c>
    </row>
    <row r="1540" spans="1:12" x14ac:dyDescent="0.35">
      <c r="A1540">
        <v>1553</v>
      </c>
      <c r="B1540" t="s">
        <v>3857</v>
      </c>
      <c r="C1540" t="s">
        <v>10412</v>
      </c>
      <c r="D1540" t="s">
        <v>11763</v>
      </c>
      <c r="E1540" t="s">
        <v>115</v>
      </c>
      <c r="F1540" t="s">
        <v>3653</v>
      </c>
      <c r="G1540" t="s">
        <v>112</v>
      </c>
      <c r="I1540" t="str">
        <f t="shared" si="96"/>
        <v>Creation</v>
      </c>
      <c r="J1540" t="str">
        <f t="shared" si="97"/>
        <v>on</v>
      </c>
      <c r="K1540" t="str">
        <f t="shared" si="98"/>
        <v>Creation</v>
      </c>
      <c r="L1540" t="str">
        <f t="shared" si="99"/>
        <v>Creation</v>
      </c>
    </row>
    <row r="1541" spans="1:12" x14ac:dyDescent="0.35">
      <c r="A1541">
        <v>1554</v>
      </c>
      <c r="B1541" t="s">
        <v>3858</v>
      </c>
      <c r="C1541" t="s">
        <v>10413</v>
      </c>
      <c r="D1541" t="s">
        <v>11764</v>
      </c>
      <c r="E1541" t="s">
        <v>3859</v>
      </c>
      <c r="F1541" t="s">
        <v>3653</v>
      </c>
      <c r="G1541" t="s">
        <v>112</v>
      </c>
      <c r="I1541" t="str">
        <f t="shared" si="96"/>
        <v>Creation</v>
      </c>
      <c r="J1541" t="str">
        <f t="shared" si="97"/>
        <v>on</v>
      </c>
      <c r="K1541" t="str">
        <f t="shared" si="98"/>
        <v>Creation</v>
      </c>
      <c r="L1541" t="str">
        <f t="shared" si="99"/>
        <v>Creation</v>
      </c>
    </row>
    <row r="1542" spans="1:12" x14ac:dyDescent="0.35">
      <c r="A1542">
        <v>1555</v>
      </c>
      <c r="B1542" t="s">
        <v>3860</v>
      </c>
      <c r="C1542" t="s">
        <v>10414</v>
      </c>
      <c r="D1542" t="s">
        <v>11764</v>
      </c>
      <c r="E1542" t="s">
        <v>115</v>
      </c>
      <c r="F1542" t="s">
        <v>3861</v>
      </c>
      <c r="G1542" t="s">
        <v>112</v>
      </c>
      <c r="I1542" t="str">
        <f t="shared" si="96"/>
        <v>Creation/permanent</v>
      </c>
      <c r="J1542" t="str">
        <f t="shared" si="97"/>
        <v>nt</v>
      </c>
      <c r="K1542" t="str">
        <f t="shared" si="98"/>
        <v>Creation/permanent</v>
      </c>
      <c r="L1542" t="str">
        <f t="shared" si="99"/>
        <v>Creation/permanent</v>
      </c>
    </row>
    <row r="1543" spans="1:12" x14ac:dyDescent="0.35">
      <c r="A1543">
        <v>1556</v>
      </c>
      <c r="B1543" t="s">
        <v>3862</v>
      </c>
      <c r="C1543" t="s">
        <v>10415</v>
      </c>
      <c r="D1543" t="s">
        <v>11765</v>
      </c>
      <c r="E1543" t="s">
        <v>115</v>
      </c>
      <c r="F1543" t="s">
        <v>3863</v>
      </c>
      <c r="G1543" t="s">
        <v>112</v>
      </c>
      <c r="I1543" t="str">
        <f t="shared" si="96"/>
        <v>Creation/ongoing</v>
      </c>
      <c r="J1543" t="str">
        <f t="shared" si="97"/>
        <v>ng</v>
      </c>
      <c r="K1543" t="str">
        <f t="shared" si="98"/>
        <v>Creation/ongoing</v>
      </c>
      <c r="L1543" t="str">
        <f t="shared" si="99"/>
        <v>Creation/ongoing</v>
      </c>
    </row>
    <row r="1544" spans="1:12" x14ac:dyDescent="0.35">
      <c r="A1544">
        <v>1557</v>
      </c>
      <c r="B1544" t="s">
        <v>3864</v>
      </c>
      <c r="C1544" t="s">
        <v>10416</v>
      </c>
      <c r="D1544" t="s">
        <v>11765</v>
      </c>
      <c r="E1544" t="s">
        <v>115</v>
      </c>
      <c r="F1544" t="s">
        <v>3863</v>
      </c>
      <c r="G1544" t="s">
        <v>112</v>
      </c>
      <c r="I1544" t="str">
        <f t="shared" si="96"/>
        <v>Creation/ongoing</v>
      </c>
      <c r="J1544" t="str">
        <f t="shared" si="97"/>
        <v>ng</v>
      </c>
      <c r="K1544" t="str">
        <f t="shared" si="98"/>
        <v>Creation/ongoing</v>
      </c>
      <c r="L1544" t="str">
        <f t="shared" si="99"/>
        <v>Creation/ongoing</v>
      </c>
    </row>
    <row r="1545" spans="1:12" x14ac:dyDescent="0.35">
      <c r="A1545">
        <v>1558</v>
      </c>
      <c r="B1545" t="s">
        <v>3865</v>
      </c>
      <c r="C1545" t="s">
        <v>10417</v>
      </c>
      <c r="D1545" t="s">
        <v>11766</v>
      </c>
      <c r="E1545" t="s">
        <v>115</v>
      </c>
      <c r="F1545" t="s">
        <v>3866</v>
      </c>
      <c r="G1545" t="s">
        <v>112</v>
      </c>
      <c r="I1545" t="str">
        <f t="shared" si="96"/>
        <v>Ongoing</v>
      </c>
      <c r="J1545" t="str">
        <f t="shared" si="97"/>
        <v>ng</v>
      </c>
      <c r="K1545" t="str">
        <f t="shared" si="98"/>
        <v>Ongoing</v>
      </c>
      <c r="L1545" t="str">
        <f t="shared" si="99"/>
        <v>Ongoing</v>
      </c>
    </row>
    <row r="1546" spans="1:12" x14ac:dyDescent="0.35">
      <c r="A1546">
        <v>1559</v>
      </c>
      <c r="B1546" t="s">
        <v>3867</v>
      </c>
      <c r="C1546" t="s">
        <v>11252</v>
      </c>
      <c r="D1546" t="s">
        <v>11766</v>
      </c>
      <c r="E1546" t="s">
        <v>115</v>
      </c>
      <c r="F1546" t="s">
        <v>3866</v>
      </c>
      <c r="G1546" t="s">
        <v>112</v>
      </c>
      <c r="I1546" t="str">
        <f t="shared" si="96"/>
        <v>Ongoing</v>
      </c>
      <c r="J1546" t="str">
        <f t="shared" si="97"/>
        <v>ng</v>
      </c>
      <c r="K1546" t="str">
        <f t="shared" si="98"/>
        <v>Ongoing</v>
      </c>
      <c r="L1546" t="str">
        <f t="shared" si="99"/>
        <v>Ongoing</v>
      </c>
    </row>
    <row r="1547" spans="1:12" x14ac:dyDescent="0.35">
      <c r="A1547">
        <v>1560</v>
      </c>
      <c r="B1547" t="s">
        <v>3868</v>
      </c>
      <c r="C1547" t="s">
        <v>11507</v>
      </c>
      <c r="D1547" t="s">
        <v>11767</v>
      </c>
      <c r="E1547" t="s">
        <v>115</v>
      </c>
      <c r="F1547" t="s">
        <v>3866</v>
      </c>
      <c r="G1547" t="s">
        <v>112</v>
      </c>
      <c r="I1547" t="str">
        <f t="shared" si="96"/>
        <v>Ongoing</v>
      </c>
      <c r="J1547" t="str">
        <f t="shared" si="97"/>
        <v>ng</v>
      </c>
      <c r="K1547" t="str">
        <f t="shared" si="98"/>
        <v>Ongoing</v>
      </c>
      <c r="L1547" t="str">
        <f t="shared" si="99"/>
        <v>Ongoing</v>
      </c>
    </row>
    <row r="1548" spans="1:12" x14ac:dyDescent="0.35">
      <c r="A1548">
        <v>1561</v>
      </c>
      <c r="B1548" t="s">
        <v>3869</v>
      </c>
      <c r="C1548" t="s">
        <v>10110</v>
      </c>
      <c r="D1548" t="s">
        <v>11767</v>
      </c>
      <c r="E1548" t="s">
        <v>115</v>
      </c>
      <c r="F1548" t="s">
        <v>3866</v>
      </c>
      <c r="G1548" t="s">
        <v>112</v>
      </c>
      <c r="I1548" t="str">
        <f t="shared" si="96"/>
        <v>Ongoing</v>
      </c>
      <c r="J1548" t="str">
        <f t="shared" si="97"/>
        <v>ng</v>
      </c>
      <c r="K1548" t="str">
        <f t="shared" si="98"/>
        <v>Ongoing</v>
      </c>
      <c r="L1548" t="str">
        <f t="shared" si="99"/>
        <v>Ongoing</v>
      </c>
    </row>
    <row r="1549" spans="1:12" x14ac:dyDescent="0.35">
      <c r="A1549">
        <v>1562</v>
      </c>
      <c r="B1549" t="s">
        <v>3870</v>
      </c>
      <c r="C1549" t="s">
        <v>11507</v>
      </c>
      <c r="D1549" t="s">
        <v>11767</v>
      </c>
      <c r="E1549" t="s">
        <v>115</v>
      </c>
      <c r="F1549" t="s">
        <v>3866</v>
      </c>
      <c r="G1549" t="s">
        <v>112</v>
      </c>
      <c r="I1549" t="str">
        <f t="shared" si="96"/>
        <v>Ongoing</v>
      </c>
      <c r="J1549" t="str">
        <f t="shared" si="97"/>
        <v>ng</v>
      </c>
      <c r="K1549" t="str">
        <f t="shared" si="98"/>
        <v>Ongoing</v>
      </c>
      <c r="L1549" t="str">
        <f t="shared" si="99"/>
        <v>Ongoing</v>
      </c>
    </row>
    <row r="1550" spans="1:12" x14ac:dyDescent="0.35">
      <c r="A1550">
        <v>1563</v>
      </c>
      <c r="B1550" t="s">
        <v>3871</v>
      </c>
      <c r="C1550" t="s">
        <v>10418</v>
      </c>
      <c r="D1550" t="s">
        <v>11768</v>
      </c>
      <c r="E1550" t="s">
        <v>3872</v>
      </c>
      <c r="F1550" t="s">
        <v>3653</v>
      </c>
      <c r="G1550" t="s">
        <v>112</v>
      </c>
      <c r="I1550" t="str">
        <f t="shared" si="96"/>
        <v>Creation</v>
      </c>
      <c r="J1550" t="str">
        <f t="shared" si="97"/>
        <v>on</v>
      </c>
      <c r="K1550" t="str">
        <f t="shared" si="98"/>
        <v>Creation</v>
      </c>
      <c r="L1550" t="str">
        <f t="shared" si="99"/>
        <v>Creation</v>
      </c>
    </row>
    <row r="1551" spans="1:12" x14ac:dyDescent="0.35">
      <c r="A1551">
        <v>1564</v>
      </c>
      <c r="B1551" t="s">
        <v>3873</v>
      </c>
      <c r="C1551" t="s">
        <v>10419</v>
      </c>
      <c r="D1551" t="s">
        <v>11768</v>
      </c>
      <c r="E1551" t="s">
        <v>3872</v>
      </c>
      <c r="F1551" t="s">
        <v>3874</v>
      </c>
      <c r="G1551" t="s">
        <v>112</v>
      </c>
      <c r="I1551" t="str">
        <f t="shared" si="96"/>
        <v>Creation/daily</v>
      </c>
      <c r="J1551" t="str">
        <f t="shared" si="97"/>
        <v>ly</v>
      </c>
      <c r="K1551" t="str">
        <f t="shared" si="98"/>
        <v>Creation/daily</v>
      </c>
      <c r="L1551" t="str">
        <f t="shared" si="99"/>
        <v>Creation/daily</v>
      </c>
    </row>
    <row r="1552" spans="1:12" x14ac:dyDescent="0.35">
      <c r="A1552">
        <v>1565</v>
      </c>
      <c r="B1552" t="s">
        <v>3875</v>
      </c>
      <c r="C1552" t="s">
        <v>10420</v>
      </c>
      <c r="D1552" t="s">
        <v>11769</v>
      </c>
      <c r="E1552" t="s">
        <v>115</v>
      </c>
      <c r="F1552" t="s">
        <v>3665</v>
      </c>
      <c r="G1552" t="s">
        <v>112</v>
      </c>
      <c r="I1552" t="str">
        <f t="shared" si="96"/>
        <v>Daily</v>
      </c>
      <c r="J1552" t="str">
        <f t="shared" si="97"/>
        <v>ly</v>
      </c>
      <c r="K1552" t="str">
        <f t="shared" si="98"/>
        <v>Daily</v>
      </c>
      <c r="L1552" t="str">
        <f t="shared" si="99"/>
        <v>Daily</v>
      </c>
    </row>
    <row r="1553" spans="1:12" x14ac:dyDescent="0.35">
      <c r="A1553">
        <v>1566</v>
      </c>
      <c r="B1553" t="s">
        <v>3876</v>
      </c>
      <c r="C1553" t="s">
        <v>10421</v>
      </c>
      <c r="D1553" t="s">
        <v>11770</v>
      </c>
      <c r="E1553" t="s">
        <v>115</v>
      </c>
      <c r="F1553" t="s">
        <v>3866</v>
      </c>
      <c r="G1553" t="s">
        <v>112</v>
      </c>
      <c r="I1553" t="str">
        <f t="shared" si="96"/>
        <v>Ongoing</v>
      </c>
      <c r="J1553" t="str">
        <f t="shared" si="97"/>
        <v>ng</v>
      </c>
      <c r="K1553" t="str">
        <f t="shared" si="98"/>
        <v>Ongoing</v>
      </c>
      <c r="L1553" t="str">
        <f t="shared" si="99"/>
        <v>Ongoing</v>
      </c>
    </row>
    <row r="1554" spans="1:12" x14ac:dyDescent="0.35">
      <c r="A1554">
        <v>1567</v>
      </c>
      <c r="B1554" t="s">
        <v>3877</v>
      </c>
      <c r="C1554" t="s">
        <v>10405</v>
      </c>
      <c r="D1554" t="s">
        <v>11771</v>
      </c>
      <c r="E1554" t="s">
        <v>115</v>
      </c>
      <c r="F1554" t="s">
        <v>3866</v>
      </c>
      <c r="G1554" t="s">
        <v>112</v>
      </c>
      <c r="I1554" t="str">
        <f t="shared" si="96"/>
        <v>Ongoing</v>
      </c>
      <c r="J1554" t="str">
        <f t="shared" si="97"/>
        <v>ng</v>
      </c>
      <c r="K1554" t="str">
        <f t="shared" si="98"/>
        <v>Ongoing</v>
      </c>
      <c r="L1554" t="str">
        <f t="shared" si="99"/>
        <v>Ongoing</v>
      </c>
    </row>
    <row r="1555" spans="1:12" x14ac:dyDescent="0.35">
      <c r="A1555">
        <v>1568</v>
      </c>
      <c r="B1555" t="s">
        <v>3878</v>
      </c>
      <c r="C1555" t="s">
        <v>10422</v>
      </c>
      <c r="D1555" t="s">
        <v>11772</v>
      </c>
      <c r="E1555" t="s">
        <v>115</v>
      </c>
      <c r="F1555" t="s">
        <v>1424</v>
      </c>
      <c r="G1555" t="s">
        <v>112</v>
      </c>
      <c r="I1555" t="str">
        <f t="shared" si="96"/>
        <v>Various times</v>
      </c>
      <c r="J1555" t="str">
        <f t="shared" si="97"/>
        <v>es</v>
      </c>
      <c r="K1555" t="str">
        <f t="shared" si="98"/>
        <v>Various times</v>
      </c>
      <c r="L1555" t="str">
        <f t="shared" si="99"/>
        <v>Various times</v>
      </c>
    </row>
    <row r="1556" spans="1:12" x14ac:dyDescent="0.35">
      <c r="A1556">
        <v>1569</v>
      </c>
      <c r="B1556" t="s">
        <v>3879</v>
      </c>
      <c r="C1556" t="s">
        <v>10423</v>
      </c>
      <c r="D1556" t="s">
        <v>11772</v>
      </c>
      <c r="E1556" t="s">
        <v>115</v>
      </c>
      <c r="F1556" t="s">
        <v>3866</v>
      </c>
      <c r="G1556" t="s">
        <v>112</v>
      </c>
      <c r="I1556" t="str">
        <f t="shared" si="96"/>
        <v>Ongoing</v>
      </c>
      <c r="J1556" t="str">
        <f t="shared" si="97"/>
        <v>ng</v>
      </c>
      <c r="K1556" t="str">
        <f t="shared" si="98"/>
        <v>Ongoing</v>
      </c>
      <c r="L1556" t="str">
        <f t="shared" si="99"/>
        <v>Ongoing</v>
      </c>
    </row>
    <row r="1557" spans="1:12" x14ac:dyDescent="0.35">
      <c r="A1557">
        <v>1570</v>
      </c>
      <c r="B1557" t="s">
        <v>3880</v>
      </c>
      <c r="C1557" t="s">
        <v>10424</v>
      </c>
      <c r="D1557" t="s">
        <v>11773</v>
      </c>
      <c r="E1557" t="s">
        <v>115</v>
      </c>
      <c r="F1557" t="s">
        <v>3866</v>
      </c>
      <c r="G1557" t="s">
        <v>112</v>
      </c>
      <c r="I1557" t="str">
        <f t="shared" si="96"/>
        <v>Ongoing</v>
      </c>
      <c r="J1557" t="str">
        <f t="shared" si="97"/>
        <v>ng</v>
      </c>
      <c r="K1557" t="str">
        <f t="shared" si="98"/>
        <v>Ongoing</v>
      </c>
      <c r="L1557" t="str">
        <f t="shared" si="99"/>
        <v>Ongoing</v>
      </c>
    </row>
    <row r="1558" spans="1:12" x14ac:dyDescent="0.35">
      <c r="A1558">
        <v>1571</v>
      </c>
      <c r="B1558" t="s">
        <v>3881</v>
      </c>
      <c r="C1558" t="s">
        <v>10371</v>
      </c>
      <c r="D1558" t="s">
        <v>11773</v>
      </c>
      <c r="E1558" t="s">
        <v>115</v>
      </c>
      <c r="F1558" t="s">
        <v>3866</v>
      </c>
      <c r="G1558" t="s">
        <v>112</v>
      </c>
      <c r="I1558" t="str">
        <f t="shared" si="96"/>
        <v>Ongoing</v>
      </c>
      <c r="J1558" t="str">
        <f t="shared" si="97"/>
        <v>ng</v>
      </c>
      <c r="K1558" t="str">
        <f t="shared" si="98"/>
        <v>Ongoing</v>
      </c>
      <c r="L1558" t="str">
        <f t="shared" si="99"/>
        <v>Ongoing</v>
      </c>
    </row>
    <row r="1559" spans="1:12" x14ac:dyDescent="0.35">
      <c r="A1559">
        <v>1572</v>
      </c>
      <c r="B1559" t="s">
        <v>3882</v>
      </c>
      <c r="C1559" t="s">
        <v>11508</v>
      </c>
      <c r="D1559" t="s">
        <v>11774</v>
      </c>
      <c r="E1559" t="s">
        <v>115</v>
      </c>
      <c r="F1559" t="s">
        <v>1424</v>
      </c>
      <c r="G1559" t="s">
        <v>112</v>
      </c>
      <c r="I1559" t="str">
        <f t="shared" si="96"/>
        <v>Various times</v>
      </c>
      <c r="J1559" t="str">
        <f t="shared" si="97"/>
        <v>es</v>
      </c>
      <c r="K1559" t="str">
        <f t="shared" si="98"/>
        <v>Various times</v>
      </c>
      <c r="L1559" t="str">
        <f t="shared" si="99"/>
        <v>Various times</v>
      </c>
    </row>
    <row r="1560" spans="1:12" x14ac:dyDescent="0.35">
      <c r="A1560">
        <v>1573</v>
      </c>
      <c r="B1560" t="s">
        <v>3883</v>
      </c>
      <c r="C1560" t="s">
        <v>10425</v>
      </c>
      <c r="D1560" t="s">
        <v>11774</v>
      </c>
      <c r="E1560" t="s">
        <v>3680</v>
      </c>
      <c r="F1560" t="s">
        <v>1424</v>
      </c>
      <c r="G1560" t="s">
        <v>112</v>
      </c>
      <c r="I1560" t="str">
        <f t="shared" si="96"/>
        <v>Various times</v>
      </c>
      <c r="J1560" t="str">
        <f t="shared" si="97"/>
        <v>es</v>
      </c>
      <c r="K1560" t="str">
        <f t="shared" si="98"/>
        <v>Various times</v>
      </c>
      <c r="L1560" t="str">
        <f t="shared" si="99"/>
        <v>Various times</v>
      </c>
    </row>
    <row r="1561" spans="1:12" x14ac:dyDescent="0.35">
      <c r="A1561">
        <v>1574</v>
      </c>
      <c r="B1561" t="s">
        <v>3884</v>
      </c>
      <c r="C1561" t="s">
        <v>10768</v>
      </c>
      <c r="D1561" t="s">
        <v>11775</v>
      </c>
      <c r="E1561" t="s">
        <v>341</v>
      </c>
      <c r="F1561" t="s">
        <v>319</v>
      </c>
      <c r="G1561" t="s">
        <v>112</v>
      </c>
      <c r="I1561" t="str">
        <f t="shared" si="96"/>
        <v>1446</v>
      </c>
      <c r="J1561" t="str">
        <f t="shared" si="97"/>
        <v>BC</v>
      </c>
      <c r="K1561">
        <f t="shared" si="98"/>
        <v>-1446</v>
      </c>
      <c r="L1561">
        <f t="shared" si="99"/>
        <v>-1446</v>
      </c>
    </row>
    <row r="1562" spans="1:12" x14ac:dyDescent="0.35">
      <c r="A1562">
        <v>1575</v>
      </c>
      <c r="B1562" t="s">
        <v>3885</v>
      </c>
      <c r="C1562" t="s">
        <v>10426</v>
      </c>
      <c r="D1562" t="s">
        <v>11776</v>
      </c>
      <c r="E1562" t="s">
        <v>341</v>
      </c>
      <c r="F1562" t="s">
        <v>319</v>
      </c>
      <c r="G1562" t="s">
        <v>112</v>
      </c>
      <c r="I1562" t="str">
        <f t="shared" si="96"/>
        <v>1446</v>
      </c>
      <c r="J1562" t="str">
        <f t="shared" si="97"/>
        <v>BC</v>
      </c>
      <c r="K1562">
        <f t="shared" si="98"/>
        <v>-1446</v>
      </c>
      <c r="L1562">
        <f t="shared" si="99"/>
        <v>-1446</v>
      </c>
    </row>
    <row r="1563" spans="1:12" x14ac:dyDescent="0.35">
      <c r="A1563">
        <v>1576</v>
      </c>
      <c r="B1563" t="s">
        <v>3886</v>
      </c>
      <c r="C1563" t="s">
        <v>11509</v>
      </c>
      <c r="D1563" t="s">
        <v>11777</v>
      </c>
      <c r="E1563" t="s">
        <v>341</v>
      </c>
      <c r="F1563" t="s">
        <v>319</v>
      </c>
      <c r="G1563" t="s">
        <v>112</v>
      </c>
      <c r="I1563" t="str">
        <f t="shared" si="96"/>
        <v>1446</v>
      </c>
      <c r="J1563" t="str">
        <f t="shared" si="97"/>
        <v>BC</v>
      </c>
      <c r="K1563">
        <f t="shared" si="98"/>
        <v>-1446</v>
      </c>
      <c r="L1563">
        <f t="shared" si="99"/>
        <v>-1446</v>
      </c>
    </row>
    <row r="1564" spans="1:12" x14ac:dyDescent="0.35">
      <c r="A1564">
        <v>1577</v>
      </c>
      <c r="B1564" t="s">
        <v>3887</v>
      </c>
      <c r="C1564" t="s">
        <v>10427</v>
      </c>
      <c r="D1564" t="s">
        <v>11778</v>
      </c>
      <c r="E1564" t="s">
        <v>3888</v>
      </c>
      <c r="F1564" t="s">
        <v>3827</v>
      </c>
      <c r="G1564" t="s">
        <v>112</v>
      </c>
      <c r="I1564" t="str">
        <f t="shared" si="96"/>
        <v>1446-1406</v>
      </c>
      <c r="J1564" t="str">
        <f t="shared" si="97"/>
        <v>BC</v>
      </c>
      <c r="K1564">
        <f t="shared" si="98"/>
        <v>-1446</v>
      </c>
      <c r="L1564">
        <f t="shared" si="99"/>
        <v>-1406</v>
      </c>
    </row>
    <row r="1565" spans="1:12" x14ac:dyDescent="0.35">
      <c r="A1565">
        <v>1578</v>
      </c>
      <c r="B1565" t="s">
        <v>3889</v>
      </c>
      <c r="C1565" t="s">
        <v>11226</v>
      </c>
      <c r="D1565" t="s">
        <v>11779</v>
      </c>
      <c r="E1565" t="s">
        <v>1112</v>
      </c>
      <c r="F1565" t="s">
        <v>3827</v>
      </c>
      <c r="G1565" t="s">
        <v>112</v>
      </c>
      <c r="I1565" t="str">
        <f t="shared" si="96"/>
        <v>1446-1406</v>
      </c>
      <c r="J1565" t="str">
        <f t="shared" si="97"/>
        <v>BC</v>
      </c>
      <c r="K1565">
        <f t="shared" si="98"/>
        <v>-1446</v>
      </c>
      <c r="L1565">
        <f t="shared" si="99"/>
        <v>-1406</v>
      </c>
    </row>
    <row r="1566" spans="1:12" x14ac:dyDescent="0.35">
      <c r="A1566">
        <v>1579</v>
      </c>
      <c r="B1566" t="s">
        <v>3890</v>
      </c>
      <c r="C1566" t="s">
        <v>10428</v>
      </c>
      <c r="D1566" t="s">
        <v>11780</v>
      </c>
      <c r="E1566" t="s">
        <v>1112</v>
      </c>
      <c r="F1566" t="s">
        <v>3827</v>
      </c>
      <c r="G1566" t="s">
        <v>112</v>
      </c>
      <c r="I1566" t="str">
        <f t="shared" si="96"/>
        <v>1446-1406</v>
      </c>
      <c r="J1566" t="str">
        <f t="shared" si="97"/>
        <v>BC</v>
      </c>
      <c r="K1566">
        <f t="shared" si="98"/>
        <v>-1446</v>
      </c>
      <c r="L1566">
        <f t="shared" si="99"/>
        <v>-1406</v>
      </c>
    </row>
    <row r="1567" spans="1:12" x14ac:dyDescent="0.35">
      <c r="A1567">
        <v>1580</v>
      </c>
      <c r="B1567" t="s">
        <v>3891</v>
      </c>
      <c r="C1567" t="s">
        <v>11226</v>
      </c>
      <c r="D1567" t="s">
        <v>11781</v>
      </c>
      <c r="E1567" t="s">
        <v>644</v>
      </c>
      <c r="F1567" t="s">
        <v>628</v>
      </c>
      <c r="G1567" t="s">
        <v>112</v>
      </c>
      <c r="I1567" t="str">
        <f t="shared" si="96"/>
        <v>1407</v>
      </c>
      <c r="J1567" t="str">
        <f t="shared" si="97"/>
        <v>BC</v>
      </c>
      <c r="K1567">
        <f t="shared" si="98"/>
        <v>-1407</v>
      </c>
      <c r="L1567">
        <f t="shared" si="99"/>
        <v>-1407</v>
      </c>
    </row>
    <row r="1568" spans="1:12" x14ac:dyDescent="0.35">
      <c r="A1568">
        <v>1581</v>
      </c>
      <c r="B1568" t="s">
        <v>3892</v>
      </c>
      <c r="C1568" t="s">
        <v>11226</v>
      </c>
      <c r="D1568" t="s">
        <v>11782</v>
      </c>
      <c r="E1568" t="s">
        <v>646</v>
      </c>
      <c r="F1568" t="s">
        <v>628</v>
      </c>
      <c r="G1568" t="s">
        <v>112</v>
      </c>
      <c r="I1568" t="str">
        <f t="shared" si="96"/>
        <v>1407</v>
      </c>
      <c r="J1568" t="str">
        <f t="shared" si="97"/>
        <v>BC</v>
      </c>
      <c r="K1568">
        <f t="shared" si="98"/>
        <v>-1407</v>
      </c>
      <c r="L1568">
        <f t="shared" si="99"/>
        <v>-1407</v>
      </c>
    </row>
    <row r="1569" spans="1:12" x14ac:dyDescent="0.35">
      <c r="A1569">
        <v>1582</v>
      </c>
      <c r="B1569" t="s">
        <v>3893</v>
      </c>
      <c r="C1569" t="s">
        <v>11510</v>
      </c>
      <c r="D1569" t="s">
        <v>11783</v>
      </c>
      <c r="E1569" t="s">
        <v>255</v>
      </c>
      <c r="F1569" t="s">
        <v>963</v>
      </c>
      <c r="G1569" t="s">
        <v>112</v>
      </c>
      <c r="I1569" t="str">
        <f t="shared" si="96"/>
        <v>1406-1400</v>
      </c>
      <c r="J1569" t="str">
        <f t="shared" si="97"/>
        <v>BC</v>
      </c>
      <c r="K1569">
        <f t="shared" si="98"/>
        <v>-1406</v>
      </c>
      <c r="L1569">
        <f t="shared" si="99"/>
        <v>-1400</v>
      </c>
    </row>
    <row r="1570" spans="1:12" x14ac:dyDescent="0.35">
      <c r="A1570">
        <v>1583</v>
      </c>
      <c r="B1570" t="s">
        <v>3894</v>
      </c>
      <c r="C1570" t="s">
        <v>11141</v>
      </c>
      <c r="D1570" t="s">
        <v>11784</v>
      </c>
      <c r="E1570" t="s">
        <v>1112</v>
      </c>
      <c r="F1570" t="s">
        <v>1424</v>
      </c>
      <c r="G1570" t="s">
        <v>112</v>
      </c>
      <c r="I1570" t="str">
        <f t="shared" si="96"/>
        <v>Various times</v>
      </c>
      <c r="J1570" t="str">
        <f t="shared" si="97"/>
        <v>es</v>
      </c>
      <c r="K1570" t="str">
        <f t="shared" si="98"/>
        <v>Various times</v>
      </c>
      <c r="L1570" t="str">
        <f t="shared" si="99"/>
        <v>Various times</v>
      </c>
    </row>
    <row r="1571" spans="1:12" x14ac:dyDescent="0.35">
      <c r="A1571">
        <v>1584</v>
      </c>
      <c r="B1571" t="s">
        <v>3895</v>
      </c>
      <c r="C1571" t="s">
        <v>11511</v>
      </c>
      <c r="D1571" t="s">
        <v>11785</v>
      </c>
      <c r="E1571" t="s">
        <v>1112</v>
      </c>
      <c r="F1571" t="s">
        <v>1424</v>
      </c>
      <c r="G1571" t="s">
        <v>112</v>
      </c>
      <c r="I1571" t="str">
        <f t="shared" si="96"/>
        <v>Various times</v>
      </c>
      <c r="J1571" t="str">
        <f t="shared" si="97"/>
        <v>es</v>
      </c>
      <c r="K1571" t="str">
        <f t="shared" si="98"/>
        <v>Various times</v>
      </c>
      <c r="L1571" t="str">
        <f t="shared" si="99"/>
        <v>Various times</v>
      </c>
    </row>
    <row r="1572" spans="1:12" x14ac:dyDescent="0.35">
      <c r="A1572">
        <v>1585</v>
      </c>
      <c r="B1572" t="s">
        <v>3896</v>
      </c>
      <c r="C1572" t="s">
        <v>10429</v>
      </c>
      <c r="D1572" t="s">
        <v>11786</v>
      </c>
      <c r="E1572" t="s">
        <v>115</v>
      </c>
      <c r="F1572" t="s">
        <v>3866</v>
      </c>
      <c r="G1572" t="s">
        <v>112</v>
      </c>
      <c r="I1572" t="str">
        <f t="shared" si="96"/>
        <v>Ongoing</v>
      </c>
      <c r="J1572" t="str">
        <f t="shared" si="97"/>
        <v>ng</v>
      </c>
      <c r="K1572" t="str">
        <f t="shared" si="98"/>
        <v>Ongoing</v>
      </c>
      <c r="L1572" t="str">
        <f t="shared" si="99"/>
        <v>Ongoing</v>
      </c>
    </row>
    <row r="1573" spans="1:12" x14ac:dyDescent="0.35">
      <c r="A1573">
        <v>1586</v>
      </c>
      <c r="B1573" t="s">
        <v>3897</v>
      </c>
      <c r="C1573" t="s">
        <v>10430</v>
      </c>
      <c r="D1573" t="s">
        <v>11787</v>
      </c>
      <c r="E1573" t="s">
        <v>1211</v>
      </c>
      <c r="F1573" t="s">
        <v>1424</v>
      </c>
      <c r="G1573" t="s">
        <v>112</v>
      </c>
      <c r="I1573" t="str">
        <f t="shared" si="96"/>
        <v>Various times</v>
      </c>
      <c r="J1573" t="str">
        <f t="shared" si="97"/>
        <v>es</v>
      </c>
      <c r="K1573" t="str">
        <f t="shared" si="98"/>
        <v>Various times</v>
      </c>
      <c r="L1573" t="str">
        <f t="shared" si="99"/>
        <v>Various times</v>
      </c>
    </row>
    <row r="1574" spans="1:12" x14ac:dyDescent="0.35">
      <c r="A1574">
        <v>1587</v>
      </c>
      <c r="B1574" t="s">
        <v>3898</v>
      </c>
      <c r="C1574" t="s">
        <v>10431</v>
      </c>
      <c r="D1574" t="s">
        <v>11787</v>
      </c>
      <c r="E1574" t="s">
        <v>1112</v>
      </c>
      <c r="F1574" t="s">
        <v>1424</v>
      </c>
      <c r="G1574" t="s">
        <v>112</v>
      </c>
      <c r="I1574" t="str">
        <f t="shared" si="96"/>
        <v>Various times</v>
      </c>
      <c r="J1574" t="str">
        <f t="shared" si="97"/>
        <v>es</v>
      </c>
      <c r="K1574" t="str">
        <f t="shared" si="98"/>
        <v>Various times</v>
      </c>
      <c r="L1574" t="str">
        <f t="shared" si="99"/>
        <v>Various times</v>
      </c>
    </row>
    <row r="1575" spans="1:12" x14ac:dyDescent="0.35">
      <c r="A1575">
        <v>1588</v>
      </c>
      <c r="B1575" t="s">
        <v>3899</v>
      </c>
      <c r="C1575" t="s">
        <v>11512</v>
      </c>
      <c r="D1575" t="s">
        <v>11788</v>
      </c>
      <c r="E1575" t="s">
        <v>1112</v>
      </c>
      <c r="F1575" t="s">
        <v>1424</v>
      </c>
      <c r="G1575" t="s">
        <v>112</v>
      </c>
      <c r="I1575" t="str">
        <f t="shared" si="96"/>
        <v>Various times</v>
      </c>
      <c r="J1575" t="str">
        <f t="shared" si="97"/>
        <v>es</v>
      </c>
      <c r="K1575" t="str">
        <f t="shared" si="98"/>
        <v>Various times</v>
      </c>
      <c r="L1575" t="str">
        <f t="shared" si="99"/>
        <v>Various times</v>
      </c>
    </row>
    <row r="1576" spans="1:12" x14ac:dyDescent="0.35">
      <c r="A1576">
        <v>1589</v>
      </c>
      <c r="B1576" t="s">
        <v>3900</v>
      </c>
      <c r="C1576" t="s">
        <v>10432</v>
      </c>
      <c r="D1576" t="s">
        <v>11788</v>
      </c>
      <c r="E1576" t="s">
        <v>1112</v>
      </c>
      <c r="F1576" t="s">
        <v>1424</v>
      </c>
      <c r="G1576" t="s">
        <v>112</v>
      </c>
      <c r="I1576" t="str">
        <f t="shared" si="96"/>
        <v>Various times</v>
      </c>
      <c r="J1576" t="str">
        <f t="shared" si="97"/>
        <v>es</v>
      </c>
      <c r="K1576" t="str">
        <f t="shared" si="98"/>
        <v>Various times</v>
      </c>
      <c r="L1576" t="str">
        <f t="shared" si="99"/>
        <v>Various times</v>
      </c>
    </row>
    <row r="1577" spans="1:12" x14ac:dyDescent="0.35">
      <c r="A1577">
        <v>1590</v>
      </c>
      <c r="B1577" t="s">
        <v>3901</v>
      </c>
      <c r="C1577" t="s">
        <v>11513</v>
      </c>
      <c r="D1577" t="s">
        <v>11789</v>
      </c>
      <c r="E1577" t="s">
        <v>3713</v>
      </c>
      <c r="F1577" t="s">
        <v>3863</v>
      </c>
      <c r="G1577" t="s">
        <v>112</v>
      </c>
      <c r="I1577" t="str">
        <f t="shared" si="96"/>
        <v>Creation/ongoing</v>
      </c>
      <c r="J1577" t="str">
        <f t="shared" si="97"/>
        <v>ng</v>
      </c>
      <c r="K1577" t="str">
        <f t="shared" si="98"/>
        <v>Creation/ongoing</v>
      </c>
      <c r="L1577" t="str">
        <f t="shared" si="99"/>
        <v>Creation/ongoing</v>
      </c>
    </row>
    <row r="1578" spans="1:12" x14ac:dyDescent="0.35">
      <c r="A1578">
        <v>1591</v>
      </c>
      <c r="B1578" t="s">
        <v>3902</v>
      </c>
      <c r="C1578" t="s">
        <v>10433</v>
      </c>
      <c r="D1578" t="s">
        <v>11789</v>
      </c>
      <c r="E1578" t="s">
        <v>3713</v>
      </c>
      <c r="F1578" t="s">
        <v>3863</v>
      </c>
      <c r="G1578" t="s">
        <v>112</v>
      </c>
      <c r="I1578" t="str">
        <f t="shared" si="96"/>
        <v>Creation/ongoing</v>
      </c>
      <c r="J1578" t="str">
        <f t="shared" si="97"/>
        <v>ng</v>
      </c>
      <c r="K1578" t="str">
        <f t="shared" si="98"/>
        <v>Creation/ongoing</v>
      </c>
      <c r="L1578" t="str">
        <f t="shared" si="99"/>
        <v>Creation/ongoing</v>
      </c>
    </row>
    <row r="1579" spans="1:12" x14ac:dyDescent="0.35">
      <c r="A1579">
        <v>1592</v>
      </c>
      <c r="B1579" t="s">
        <v>3903</v>
      </c>
      <c r="C1579" t="s">
        <v>10445</v>
      </c>
      <c r="D1579" t="s">
        <v>11790</v>
      </c>
      <c r="E1579" t="s">
        <v>3640</v>
      </c>
      <c r="F1579" t="s">
        <v>3866</v>
      </c>
      <c r="G1579" t="s">
        <v>112</v>
      </c>
      <c r="I1579" t="str">
        <f t="shared" si="96"/>
        <v>Ongoing</v>
      </c>
      <c r="J1579" t="str">
        <f t="shared" si="97"/>
        <v>ng</v>
      </c>
      <c r="K1579" t="str">
        <f t="shared" si="98"/>
        <v>Ongoing</v>
      </c>
      <c r="L1579" t="str">
        <f t="shared" si="99"/>
        <v>Ongoing</v>
      </c>
    </row>
    <row r="1580" spans="1:12" x14ac:dyDescent="0.35">
      <c r="A1580">
        <v>1593</v>
      </c>
      <c r="B1580" t="s">
        <v>3904</v>
      </c>
      <c r="C1580" t="s">
        <v>10415</v>
      </c>
      <c r="D1580" t="s">
        <v>11790</v>
      </c>
      <c r="E1580" t="s">
        <v>115</v>
      </c>
      <c r="F1580" t="s">
        <v>3866</v>
      </c>
      <c r="G1580" t="s">
        <v>112</v>
      </c>
      <c r="I1580" t="str">
        <f t="shared" si="96"/>
        <v>Ongoing</v>
      </c>
      <c r="J1580" t="str">
        <f t="shared" si="97"/>
        <v>ng</v>
      </c>
      <c r="K1580" t="str">
        <f t="shared" si="98"/>
        <v>Ongoing</v>
      </c>
      <c r="L1580" t="str">
        <f t="shared" si="99"/>
        <v>Ongoing</v>
      </c>
    </row>
    <row r="1581" spans="1:12" x14ac:dyDescent="0.35">
      <c r="A1581">
        <v>1594</v>
      </c>
      <c r="B1581" t="s">
        <v>3905</v>
      </c>
      <c r="C1581" t="s">
        <v>11507</v>
      </c>
      <c r="D1581" t="s">
        <v>11790</v>
      </c>
      <c r="E1581" t="s">
        <v>3680</v>
      </c>
      <c r="F1581" t="s">
        <v>3866</v>
      </c>
      <c r="G1581" t="s">
        <v>112</v>
      </c>
      <c r="I1581" t="str">
        <f t="shared" si="96"/>
        <v>Ongoing</v>
      </c>
      <c r="J1581" t="str">
        <f t="shared" si="97"/>
        <v>ng</v>
      </c>
      <c r="K1581" t="str">
        <f t="shared" si="98"/>
        <v>Ongoing</v>
      </c>
      <c r="L1581" t="str">
        <f t="shared" si="99"/>
        <v>Ongoing</v>
      </c>
    </row>
    <row r="1582" spans="1:12" x14ac:dyDescent="0.35">
      <c r="A1582">
        <v>1595</v>
      </c>
      <c r="B1582" t="s">
        <v>3906</v>
      </c>
      <c r="C1582" t="s">
        <v>11514</v>
      </c>
      <c r="D1582" t="s">
        <v>11791</v>
      </c>
      <c r="E1582" t="s">
        <v>115</v>
      </c>
      <c r="F1582" t="s">
        <v>3866</v>
      </c>
      <c r="G1582" t="s">
        <v>112</v>
      </c>
      <c r="I1582" t="str">
        <f t="shared" si="96"/>
        <v>Ongoing</v>
      </c>
      <c r="J1582" t="str">
        <f t="shared" si="97"/>
        <v>ng</v>
      </c>
      <c r="K1582" t="str">
        <f t="shared" si="98"/>
        <v>Ongoing</v>
      </c>
      <c r="L1582" t="str">
        <f t="shared" si="99"/>
        <v>Ongoing</v>
      </c>
    </row>
    <row r="1583" spans="1:12" x14ac:dyDescent="0.35">
      <c r="A1583">
        <v>1596</v>
      </c>
      <c r="B1583" t="s">
        <v>3907</v>
      </c>
      <c r="C1583" t="s">
        <v>11515</v>
      </c>
      <c r="D1583" t="s">
        <v>11791</v>
      </c>
      <c r="E1583" t="s">
        <v>1112</v>
      </c>
      <c r="F1583" t="s">
        <v>3866</v>
      </c>
      <c r="G1583" t="s">
        <v>112</v>
      </c>
      <c r="I1583" t="str">
        <f t="shared" si="96"/>
        <v>Ongoing</v>
      </c>
      <c r="J1583" t="str">
        <f t="shared" si="97"/>
        <v>ng</v>
      </c>
      <c r="K1583" t="str">
        <f t="shared" si="98"/>
        <v>Ongoing</v>
      </c>
      <c r="L1583" t="str">
        <f t="shared" si="99"/>
        <v>Ongoing</v>
      </c>
    </row>
    <row r="1584" spans="1:12" x14ac:dyDescent="0.35">
      <c r="A1584">
        <v>1597</v>
      </c>
      <c r="B1584" t="s">
        <v>3908</v>
      </c>
      <c r="C1584" t="s">
        <v>11516</v>
      </c>
      <c r="D1584" t="s">
        <v>11792</v>
      </c>
      <c r="E1584" t="s">
        <v>115</v>
      </c>
      <c r="F1584" t="s">
        <v>3909</v>
      </c>
      <c r="G1584" t="s">
        <v>112</v>
      </c>
      <c r="I1584" t="str">
        <f t="shared" si="96"/>
        <v>Winter/spring</v>
      </c>
      <c r="J1584" t="str">
        <f t="shared" si="97"/>
        <v>ng</v>
      </c>
      <c r="K1584" t="str">
        <f t="shared" si="98"/>
        <v>Winter/spring</v>
      </c>
      <c r="L1584" t="str">
        <f t="shared" si="99"/>
        <v>Winter/spring</v>
      </c>
    </row>
    <row r="1585" spans="1:12" x14ac:dyDescent="0.35">
      <c r="A1585">
        <v>1598</v>
      </c>
      <c r="B1585" t="s">
        <v>3910</v>
      </c>
      <c r="C1585" t="s">
        <v>11517</v>
      </c>
      <c r="D1585" t="s">
        <v>11792</v>
      </c>
      <c r="E1585" t="s">
        <v>115</v>
      </c>
      <c r="F1585" t="s">
        <v>1424</v>
      </c>
      <c r="G1585" t="s">
        <v>112</v>
      </c>
      <c r="I1585" t="str">
        <f t="shared" si="96"/>
        <v>Various times</v>
      </c>
      <c r="J1585" t="str">
        <f t="shared" si="97"/>
        <v>es</v>
      </c>
      <c r="K1585" t="str">
        <f t="shared" si="98"/>
        <v>Various times</v>
      </c>
      <c r="L1585" t="str">
        <f t="shared" si="99"/>
        <v>Various times</v>
      </c>
    </row>
    <row r="1586" spans="1:12" x14ac:dyDescent="0.35">
      <c r="A1586">
        <v>1599</v>
      </c>
      <c r="B1586" t="s">
        <v>3911</v>
      </c>
      <c r="C1586" t="s">
        <v>11518</v>
      </c>
      <c r="D1586" t="s">
        <v>11793</v>
      </c>
      <c r="E1586" t="s">
        <v>2337</v>
      </c>
      <c r="F1586" t="s">
        <v>1424</v>
      </c>
      <c r="G1586" t="s">
        <v>112</v>
      </c>
      <c r="I1586" t="str">
        <f t="shared" si="96"/>
        <v>Various times</v>
      </c>
      <c r="J1586" t="str">
        <f t="shared" si="97"/>
        <v>es</v>
      </c>
      <c r="K1586" t="str">
        <f t="shared" si="98"/>
        <v>Various times</v>
      </c>
      <c r="L1586" t="str">
        <f t="shared" si="99"/>
        <v>Various times</v>
      </c>
    </row>
    <row r="1587" spans="1:12" x14ac:dyDescent="0.35">
      <c r="A1587">
        <v>1600</v>
      </c>
      <c r="B1587" t="s">
        <v>3912</v>
      </c>
      <c r="C1587" t="s">
        <v>11175</v>
      </c>
      <c r="D1587" t="s">
        <v>11793</v>
      </c>
      <c r="E1587" t="s">
        <v>2337</v>
      </c>
      <c r="F1587" t="s">
        <v>1424</v>
      </c>
      <c r="G1587" t="s">
        <v>112</v>
      </c>
      <c r="I1587" t="str">
        <f t="shared" si="96"/>
        <v>Various times</v>
      </c>
      <c r="J1587" t="str">
        <f t="shared" si="97"/>
        <v>es</v>
      </c>
      <c r="K1587" t="str">
        <f t="shared" si="98"/>
        <v>Various times</v>
      </c>
      <c r="L1587" t="str">
        <f t="shared" si="99"/>
        <v>Various times</v>
      </c>
    </row>
    <row r="1588" spans="1:12" x14ac:dyDescent="0.35">
      <c r="A1588">
        <v>1601</v>
      </c>
      <c r="B1588" t="s">
        <v>3913</v>
      </c>
      <c r="C1588" t="s">
        <v>10434</v>
      </c>
      <c r="D1588" t="s">
        <v>11794</v>
      </c>
      <c r="E1588" t="s">
        <v>3914</v>
      </c>
      <c r="F1588" t="s">
        <v>3915</v>
      </c>
      <c r="G1588" t="s">
        <v>112</v>
      </c>
      <c r="I1588" t="str">
        <f t="shared" ref="I1588:I1651" si="100">SUBSTITUTE(SUBSTITUTE(SUBSTITUTE(F1588,"c. ","")," BC","")," AD","")</f>
        <v>Historical</v>
      </c>
      <c r="J1588" t="str">
        <f t="shared" si="97"/>
        <v>al</v>
      </c>
      <c r="K1588" t="str">
        <f t="shared" si="98"/>
        <v>Historical</v>
      </c>
      <c r="L1588" t="str">
        <f t="shared" si="99"/>
        <v>Historical</v>
      </c>
    </row>
    <row r="1589" spans="1:12" x14ac:dyDescent="0.35">
      <c r="A1589">
        <v>1602</v>
      </c>
      <c r="B1589" t="s">
        <v>3916</v>
      </c>
      <c r="C1589" t="s">
        <v>11519</v>
      </c>
      <c r="D1589" t="s">
        <v>11794</v>
      </c>
      <c r="E1589" t="s">
        <v>3917</v>
      </c>
      <c r="F1589" t="s">
        <v>3915</v>
      </c>
      <c r="G1589" t="s">
        <v>112</v>
      </c>
      <c r="I1589" t="str">
        <f t="shared" si="100"/>
        <v>Historical</v>
      </c>
      <c r="J1589" t="str">
        <f t="shared" si="97"/>
        <v>al</v>
      </c>
      <c r="K1589" t="str">
        <f t="shared" si="98"/>
        <v>Historical</v>
      </c>
      <c r="L1589" t="str">
        <f t="shared" si="99"/>
        <v>Historical</v>
      </c>
    </row>
    <row r="1590" spans="1:12" x14ac:dyDescent="0.35">
      <c r="A1590">
        <v>1603</v>
      </c>
      <c r="B1590" t="s">
        <v>3918</v>
      </c>
      <c r="C1590" t="s">
        <v>10435</v>
      </c>
      <c r="D1590" t="s">
        <v>3919</v>
      </c>
      <c r="E1590" t="s">
        <v>3920</v>
      </c>
      <c r="F1590" t="s">
        <v>3921</v>
      </c>
      <c r="G1590" t="s">
        <v>112</v>
      </c>
      <c r="I1590" t="str">
        <f t="shared" si="100"/>
        <v>Before time</v>
      </c>
      <c r="J1590" t="str">
        <f t="shared" si="97"/>
        <v>me</v>
      </c>
      <c r="K1590" t="str">
        <f t="shared" si="98"/>
        <v>Before time</v>
      </c>
      <c r="L1590" t="str">
        <f t="shared" si="99"/>
        <v>Before time</v>
      </c>
    </row>
    <row r="1591" spans="1:12" x14ac:dyDescent="0.35">
      <c r="A1591">
        <v>1604</v>
      </c>
      <c r="B1591" t="s">
        <v>3922</v>
      </c>
      <c r="C1591" t="s">
        <v>10436</v>
      </c>
      <c r="D1591" t="s">
        <v>3923</v>
      </c>
      <c r="E1591" t="s">
        <v>3920</v>
      </c>
      <c r="F1591" t="s">
        <v>3921</v>
      </c>
      <c r="G1591" t="s">
        <v>112</v>
      </c>
      <c r="I1591" t="str">
        <f t="shared" si="100"/>
        <v>Before time</v>
      </c>
      <c r="J1591" t="str">
        <f t="shared" si="97"/>
        <v>me</v>
      </c>
      <c r="K1591" t="str">
        <f t="shared" si="98"/>
        <v>Before time</v>
      </c>
      <c r="L1591" t="str">
        <f t="shared" si="99"/>
        <v>Before time</v>
      </c>
    </row>
    <row r="1592" spans="1:12" x14ac:dyDescent="0.35">
      <c r="A1592">
        <v>1605</v>
      </c>
      <c r="B1592" t="s">
        <v>3924</v>
      </c>
      <c r="C1592" t="s">
        <v>10437</v>
      </c>
      <c r="D1592" t="s">
        <v>3923</v>
      </c>
      <c r="E1592" t="s">
        <v>3920</v>
      </c>
      <c r="F1592" t="s">
        <v>3921</v>
      </c>
      <c r="G1592" t="s">
        <v>112</v>
      </c>
      <c r="I1592" t="str">
        <f t="shared" si="100"/>
        <v>Before time</v>
      </c>
      <c r="J1592" t="str">
        <f t="shared" si="97"/>
        <v>me</v>
      </c>
      <c r="K1592" t="str">
        <f t="shared" si="98"/>
        <v>Before time</v>
      </c>
      <c r="L1592" t="str">
        <f t="shared" si="99"/>
        <v>Before time</v>
      </c>
    </row>
    <row r="1593" spans="1:12" x14ac:dyDescent="0.35">
      <c r="A1593">
        <v>1606</v>
      </c>
      <c r="B1593" t="s">
        <v>3925</v>
      </c>
      <c r="C1593" t="s">
        <v>10438</v>
      </c>
      <c r="D1593" t="s">
        <v>3926</v>
      </c>
      <c r="E1593" t="s">
        <v>3653</v>
      </c>
      <c r="F1593" t="s">
        <v>111</v>
      </c>
      <c r="G1593" t="s">
        <v>112</v>
      </c>
      <c r="I1593" t="str">
        <f t="shared" si="100"/>
        <v>Beginning of time</v>
      </c>
      <c r="J1593" t="str">
        <f t="shared" si="97"/>
        <v>me</v>
      </c>
      <c r="K1593" t="str">
        <f t="shared" si="98"/>
        <v>Beginning of time</v>
      </c>
      <c r="L1593" t="str">
        <f t="shared" si="99"/>
        <v>Beginning of time</v>
      </c>
    </row>
    <row r="1594" spans="1:12" x14ac:dyDescent="0.35">
      <c r="A1594">
        <v>1607</v>
      </c>
      <c r="B1594" t="s">
        <v>3927</v>
      </c>
      <c r="C1594" t="s">
        <v>11520</v>
      </c>
      <c r="D1594" t="s">
        <v>3926</v>
      </c>
      <c r="E1594" t="s">
        <v>3653</v>
      </c>
      <c r="F1594" t="s">
        <v>111</v>
      </c>
      <c r="G1594" t="s">
        <v>112</v>
      </c>
      <c r="I1594" t="str">
        <f t="shared" si="100"/>
        <v>Beginning of time</v>
      </c>
      <c r="J1594" t="str">
        <f t="shared" si="97"/>
        <v>me</v>
      </c>
      <c r="K1594" t="str">
        <f t="shared" si="98"/>
        <v>Beginning of time</v>
      </c>
      <c r="L1594" t="str">
        <f t="shared" si="99"/>
        <v>Beginning of time</v>
      </c>
    </row>
    <row r="1595" spans="1:12" x14ac:dyDescent="0.35">
      <c r="A1595">
        <v>1608</v>
      </c>
      <c r="B1595" t="s">
        <v>3928</v>
      </c>
      <c r="C1595" t="s">
        <v>11521</v>
      </c>
      <c r="D1595" t="s">
        <v>3929</v>
      </c>
      <c r="E1595" t="s">
        <v>3653</v>
      </c>
      <c r="F1595" t="s">
        <v>111</v>
      </c>
      <c r="G1595" t="s">
        <v>112</v>
      </c>
      <c r="I1595" t="str">
        <f t="shared" si="100"/>
        <v>Beginning of time</v>
      </c>
      <c r="J1595" t="str">
        <f t="shared" si="97"/>
        <v>me</v>
      </c>
      <c r="K1595" t="str">
        <f t="shared" si="98"/>
        <v>Beginning of time</v>
      </c>
      <c r="L1595" t="str">
        <f t="shared" si="99"/>
        <v>Beginning of time</v>
      </c>
    </row>
    <row r="1596" spans="1:12" x14ac:dyDescent="0.35">
      <c r="A1596">
        <v>1609</v>
      </c>
      <c r="B1596" t="s">
        <v>3930</v>
      </c>
      <c r="C1596" t="s">
        <v>10439</v>
      </c>
      <c r="D1596" t="s">
        <v>3929</v>
      </c>
      <c r="E1596" t="s">
        <v>3653</v>
      </c>
      <c r="F1596" t="s">
        <v>111</v>
      </c>
      <c r="G1596" t="s">
        <v>112</v>
      </c>
      <c r="I1596" t="str">
        <f t="shared" si="100"/>
        <v>Beginning of time</v>
      </c>
      <c r="J1596" t="str">
        <f t="shared" si="97"/>
        <v>me</v>
      </c>
      <c r="K1596" t="str">
        <f t="shared" si="98"/>
        <v>Beginning of time</v>
      </c>
      <c r="L1596" t="str">
        <f t="shared" si="99"/>
        <v>Beginning of time</v>
      </c>
    </row>
    <row r="1597" spans="1:12" x14ac:dyDescent="0.35">
      <c r="A1597">
        <v>1610</v>
      </c>
      <c r="B1597" t="s">
        <v>3931</v>
      </c>
      <c r="C1597" t="s">
        <v>10440</v>
      </c>
      <c r="D1597" t="s">
        <v>3932</v>
      </c>
      <c r="E1597" t="s">
        <v>3653</v>
      </c>
      <c r="F1597" t="s">
        <v>111</v>
      </c>
      <c r="G1597" t="s">
        <v>112</v>
      </c>
      <c r="I1597" t="str">
        <f t="shared" si="100"/>
        <v>Beginning of time</v>
      </c>
      <c r="J1597" t="str">
        <f t="shared" si="97"/>
        <v>me</v>
      </c>
      <c r="K1597" t="str">
        <f t="shared" si="98"/>
        <v>Beginning of time</v>
      </c>
      <c r="L1597" t="str">
        <f t="shared" si="99"/>
        <v>Beginning of time</v>
      </c>
    </row>
    <row r="1598" spans="1:12" x14ac:dyDescent="0.35">
      <c r="A1598">
        <v>1611</v>
      </c>
      <c r="B1598" t="s">
        <v>3933</v>
      </c>
      <c r="C1598" t="s">
        <v>11522</v>
      </c>
      <c r="D1598" t="s">
        <v>3932</v>
      </c>
      <c r="E1598" t="s">
        <v>3863</v>
      </c>
      <c r="F1598" t="s">
        <v>3934</v>
      </c>
      <c r="G1598" t="s">
        <v>112</v>
      </c>
      <c r="I1598" t="str">
        <f t="shared" si="100"/>
        <v>Beginning of time/ongoing</v>
      </c>
      <c r="J1598" t="str">
        <f t="shared" si="97"/>
        <v>ng</v>
      </c>
      <c r="K1598" t="str">
        <f t="shared" si="98"/>
        <v>Beginning of time/ongoing</v>
      </c>
      <c r="L1598" t="str">
        <f t="shared" si="99"/>
        <v>Beginning of time/ongoing</v>
      </c>
    </row>
    <row r="1599" spans="1:12" x14ac:dyDescent="0.35">
      <c r="A1599">
        <v>1612</v>
      </c>
      <c r="B1599" t="s">
        <v>3935</v>
      </c>
      <c r="C1599" t="s">
        <v>10441</v>
      </c>
      <c r="D1599" t="s">
        <v>3932</v>
      </c>
      <c r="E1599" t="s">
        <v>3653</v>
      </c>
      <c r="F1599" t="s">
        <v>111</v>
      </c>
      <c r="G1599" t="s">
        <v>112</v>
      </c>
      <c r="I1599" t="str">
        <f t="shared" si="100"/>
        <v>Beginning of time</v>
      </c>
      <c r="J1599" t="str">
        <f t="shared" si="97"/>
        <v>me</v>
      </c>
      <c r="K1599" t="str">
        <f t="shared" si="98"/>
        <v>Beginning of time</v>
      </c>
      <c r="L1599" t="str">
        <f t="shared" si="99"/>
        <v>Beginning of time</v>
      </c>
    </row>
    <row r="1600" spans="1:12" x14ac:dyDescent="0.35">
      <c r="A1600">
        <v>1613</v>
      </c>
      <c r="B1600" t="s">
        <v>3936</v>
      </c>
      <c r="C1600" t="s">
        <v>11523</v>
      </c>
      <c r="D1600" t="s">
        <v>3937</v>
      </c>
      <c r="E1600" t="s">
        <v>3653</v>
      </c>
      <c r="F1600" t="s">
        <v>111</v>
      </c>
      <c r="G1600" t="s">
        <v>112</v>
      </c>
      <c r="I1600" t="str">
        <f t="shared" si="100"/>
        <v>Beginning of time</v>
      </c>
      <c r="J1600" t="str">
        <f t="shared" si="97"/>
        <v>me</v>
      </c>
      <c r="K1600" t="str">
        <f t="shared" si="98"/>
        <v>Beginning of time</v>
      </c>
      <c r="L1600" t="str">
        <f t="shared" si="99"/>
        <v>Beginning of time</v>
      </c>
    </row>
    <row r="1601" spans="1:12" x14ac:dyDescent="0.35">
      <c r="A1601">
        <v>1614</v>
      </c>
      <c r="B1601" t="s">
        <v>3938</v>
      </c>
      <c r="C1601" t="s">
        <v>11524</v>
      </c>
      <c r="D1601" t="s">
        <v>3937</v>
      </c>
      <c r="E1601" t="s">
        <v>3653</v>
      </c>
      <c r="F1601" t="s">
        <v>111</v>
      </c>
      <c r="G1601" t="s">
        <v>112</v>
      </c>
      <c r="I1601" t="str">
        <f t="shared" si="100"/>
        <v>Beginning of time</v>
      </c>
      <c r="J1601" t="str">
        <f t="shared" si="97"/>
        <v>me</v>
      </c>
      <c r="K1601" t="str">
        <f t="shared" si="98"/>
        <v>Beginning of time</v>
      </c>
      <c r="L1601" t="str">
        <f t="shared" si="99"/>
        <v>Beginning of time</v>
      </c>
    </row>
    <row r="1602" spans="1:12" x14ac:dyDescent="0.35">
      <c r="A1602">
        <v>1615</v>
      </c>
      <c r="B1602" t="s">
        <v>3939</v>
      </c>
      <c r="C1602" t="s">
        <v>11525</v>
      </c>
      <c r="D1602" t="s">
        <v>3937</v>
      </c>
      <c r="E1602" t="s">
        <v>3852</v>
      </c>
      <c r="F1602" t="s">
        <v>3934</v>
      </c>
      <c r="G1602" t="s">
        <v>112</v>
      </c>
      <c r="I1602" t="str">
        <f t="shared" si="100"/>
        <v>Beginning of time/ongoing</v>
      </c>
      <c r="J1602" t="str">
        <f t="shared" ref="J1602:J1665" si="101">RIGHT(F1602, 2)</f>
        <v>ng</v>
      </c>
      <c r="K1602" t="str">
        <f t="shared" ref="K1602:K1665" si="102">IF(J1602="BC", 0-IF(ISERROR(FIND("-",I1602)),I1602,LEFT(I1602,FIND("-",I1602)-1)), IF(ISERROR(FIND("-",I1602)),I1602,LEFT(I1602,FIND("-",I1602)-1)))</f>
        <v>Beginning of time/ongoing</v>
      </c>
      <c r="L1602" t="str">
        <f t="shared" ref="L1602:L1665" si="103">IF(J1602="BC", 0-IF(ISERROR(FIND("-",I1602)),I1602,RIGHT(I1602,FIND("-",I1602)-1)), IF(ISERROR(FIND("-",I1602)),I1602,RIGHT(I1602,FIND("-",I1602)-1)))</f>
        <v>Beginning of time/ongoing</v>
      </c>
    </row>
    <row r="1603" spans="1:12" x14ac:dyDescent="0.35">
      <c r="A1603">
        <v>1616</v>
      </c>
      <c r="B1603" t="s">
        <v>3940</v>
      </c>
      <c r="C1603" t="s">
        <v>11526</v>
      </c>
      <c r="D1603" t="s">
        <v>3941</v>
      </c>
      <c r="E1603" t="s">
        <v>115</v>
      </c>
      <c r="F1603" t="s">
        <v>3653</v>
      </c>
      <c r="G1603" t="s">
        <v>112</v>
      </c>
      <c r="I1603" t="str">
        <f t="shared" si="100"/>
        <v>Creation</v>
      </c>
      <c r="J1603" t="str">
        <f t="shared" si="101"/>
        <v>on</v>
      </c>
      <c r="K1603" t="str">
        <f t="shared" si="102"/>
        <v>Creation</v>
      </c>
      <c r="L1603" t="str">
        <f t="shared" si="103"/>
        <v>Creation</v>
      </c>
    </row>
    <row r="1604" spans="1:12" x14ac:dyDescent="0.35">
      <c r="A1604">
        <v>1617</v>
      </c>
      <c r="B1604" t="s">
        <v>3942</v>
      </c>
      <c r="C1604" t="s">
        <v>11527</v>
      </c>
      <c r="D1604" t="s">
        <v>3941</v>
      </c>
      <c r="E1604" t="s">
        <v>115</v>
      </c>
      <c r="F1604" t="s">
        <v>3863</v>
      </c>
      <c r="G1604" t="s">
        <v>112</v>
      </c>
      <c r="I1604" t="str">
        <f t="shared" si="100"/>
        <v>Creation/ongoing</v>
      </c>
      <c r="J1604" t="str">
        <f t="shared" si="101"/>
        <v>ng</v>
      </c>
      <c r="K1604" t="str">
        <f t="shared" si="102"/>
        <v>Creation/ongoing</v>
      </c>
      <c r="L1604" t="str">
        <f t="shared" si="103"/>
        <v>Creation/ongoing</v>
      </c>
    </row>
    <row r="1605" spans="1:12" x14ac:dyDescent="0.35">
      <c r="A1605">
        <v>1618</v>
      </c>
      <c r="B1605" t="s">
        <v>3943</v>
      </c>
      <c r="C1605" t="s">
        <v>10442</v>
      </c>
      <c r="D1605" t="s">
        <v>3944</v>
      </c>
      <c r="E1605" t="s">
        <v>115</v>
      </c>
      <c r="F1605" t="s">
        <v>3653</v>
      </c>
      <c r="G1605" t="s">
        <v>112</v>
      </c>
      <c r="I1605" t="str">
        <f t="shared" si="100"/>
        <v>Creation</v>
      </c>
      <c r="J1605" t="str">
        <f t="shared" si="101"/>
        <v>on</v>
      </c>
      <c r="K1605" t="str">
        <f t="shared" si="102"/>
        <v>Creation</v>
      </c>
      <c r="L1605" t="str">
        <f t="shared" si="103"/>
        <v>Creation</v>
      </c>
    </row>
    <row r="1606" spans="1:12" x14ac:dyDescent="0.35">
      <c r="A1606">
        <v>1619</v>
      </c>
      <c r="B1606" t="s">
        <v>3945</v>
      </c>
      <c r="C1606" t="s">
        <v>10443</v>
      </c>
      <c r="D1606" t="s">
        <v>3946</v>
      </c>
      <c r="E1606" t="s">
        <v>3947</v>
      </c>
      <c r="F1606" t="s">
        <v>3653</v>
      </c>
      <c r="G1606" t="s">
        <v>112</v>
      </c>
      <c r="I1606" t="str">
        <f t="shared" si="100"/>
        <v>Creation</v>
      </c>
      <c r="J1606" t="str">
        <f t="shared" si="101"/>
        <v>on</v>
      </c>
      <c r="K1606" t="str">
        <f t="shared" si="102"/>
        <v>Creation</v>
      </c>
      <c r="L1606" t="str">
        <f t="shared" si="103"/>
        <v>Creation</v>
      </c>
    </row>
    <row r="1607" spans="1:12" x14ac:dyDescent="0.35">
      <c r="A1607">
        <v>1620</v>
      </c>
      <c r="B1607" t="s">
        <v>3948</v>
      </c>
      <c r="C1607" t="s">
        <v>10444</v>
      </c>
      <c r="D1607" t="s">
        <v>3946</v>
      </c>
      <c r="E1607" t="s">
        <v>3949</v>
      </c>
      <c r="F1607" t="s">
        <v>3653</v>
      </c>
      <c r="G1607" t="s">
        <v>112</v>
      </c>
      <c r="I1607" t="str">
        <f t="shared" si="100"/>
        <v>Creation</v>
      </c>
      <c r="J1607" t="str">
        <f t="shared" si="101"/>
        <v>on</v>
      </c>
      <c r="K1607" t="str">
        <f t="shared" si="102"/>
        <v>Creation</v>
      </c>
      <c r="L1607" t="str">
        <f t="shared" si="103"/>
        <v>Creation</v>
      </c>
    </row>
    <row r="1608" spans="1:12" x14ac:dyDescent="0.35">
      <c r="A1608">
        <v>1621</v>
      </c>
      <c r="B1608" t="s">
        <v>3950</v>
      </c>
      <c r="C1608" t="s">
        <v>10445</v>
      </c>
      <c r="D1608" t="s">
        <v>3946</v>
      </c>
      <c r="E1608" t="s">
        <v>3951</v>
      </c>
      <c r="F1608" t="s">
        <v>3866</v>
      </c>
      <c r="G1608" t="s">
        <v>112</v>
      </c>
      <c r="I1608" t="str">
        <f t="shared" si="100"/>
        <v>Ongoing</v>
      </c>
      <c r="J1608" t="str">
        <f t="shared" si="101"/>
        <v>ng</v>
      </c>
      <c r="K1608" t="str">
        <f t="shared" si="102"/>
        <v>Ongoing</v>
      </c>
      <c r="L1608" t="str">
        <f t="shared" si="103"/>
        <v>Ongoing</v>
      </c>
    </row>
    <row r="1609" spans="1:12" x14ac:dyDescent="0.35">
      <c r="A1609">
        <v>1622</v>
      </c>
      <c r="B1609" t="s">
        <v>3952</v>
      </c>
      <c r="C1609" t="s">
        <v>10277</v>
      </c>
      <c r="D1609" t="s">
        <v>3953</v>
      </c>
      <c r="E1609" t="s">
        <v>1112</v>
      </c>
      <c r="F1609" t="s">
        <v>3866</v>
      </c>
      <c r="G1609" t="s">
        <v>112</v>
      </c>
      <c r="I1609" t="str">
        <f t="shared" si="100"/>
        <v>Ongoing</v>
      </c>
      <c r="J1609" t="str">
        <f t="shared" si="101"/>
        <v>ng</v>
      </c>
      <c r="K1609" t="str">
        <f t="shared" si="102"/>
        <v>Ongoing</v>
      </c>
      <c r="L1609" t="str">
        <f t="shared" si="103"/>
        <v>Ongoing</v>
      </c>
    </row>
    <row r="1610" spans="1:12" x14ac:dyDescent="0.35">
      <c r="A1610">
        <v>1623</v>
      </c>
      <c r="B1610" t="s">
        <v>3954</v>
      </c>
      <c r="C1610" t="s">
        <v>10446</v>
      </c>
      <c r="D1610" t="s">
        <v>3953</v>
      </c>
      <c r="E1610" t="s">
        <v>3613</v>
      </c>
      <c r="F1610" t="s">
        <v>3866</v>
      </c>
      <c r="G1610" t="s">
        <v>112</v>
      </c>
      <c r="I1610" t="str">
        <f t="shared" si="100"/>
        <v>Ongoing</v>
      </c>
      <c r="J1610" t="str">
        <f t="shared" si="101"/>
        <v>ng</v>
      </c>
      <c r="K1610" t="str">
        <f t="shared" si="102"/>
        <v>Ongoing</v>
      </c>
      <c r="L1610" t="str">
        <f t="shared" si="103"/>
        <v>Ongoing</v>
      </c>
    </row>
    <row r="1611" spans="1:12" x14ac:dyDescent="0.35">
      <c r="A1611">
        <v>1624</v>
      </c>
      <c r="B1611" t="s">
        <v>3955</v>
      </c>
      <c r="C1611" t="s">
        <v>10447</v>
      </c>
      <c r="D1611" t="s">
        <v>3956</v>
      </c>
      <c r="E1611" t="s">
        <v>3613</v>
      </c>
      <c r="F1611" t="s">
        <v>3866</v>
      </c>
      <c r="G1611" t="s">
        <v>112</v>
      </c>
      <c r="I1611" t="str">
        <f t="shared" si="100"/>
        <v>Ongoing</v>
      </c>
      <c r="J1611" t="str">
        <f t="shared" si="101"/>
        <v>ng</v>
      </c>
      <c r="K1611" t="str">
        <f t="shared" si="102"/>
        <v>Ongoing</v>
      </c>
      <c r="L1611" t="str">
        <f t="shared" si="103"/>
        <v>Ongoing</v>
      </c>
    </row>
    <row r="1612" spans="1:12" x14ac:dyDescent="0.35">
      <c r="A1612">
        <v>1625</v>
      </c>
      <c r="B1612" t="s">
        <v>3957</v>
      </c>
      <c r="C1612" t="s">
        <v>10448</v>
      </c>
      <c r="D1612" t="s">
        <v>3956</v>
      </c>
      <c r="E1612" t="s">
        <v>1112</v>
      </c>
      <c r="F1612" t="s">
        <v>3866</v>
      </c>
      <c r="G1612" t="s">
        <v>112</v>
      </c>
      <c r="I1612" t="str">
        <f t="shared" si="100"/>
        <v>Ongoing</v>
      </c>
      <c r="J1612" t="str">
        <f t="shared" si="101"/>
        <v>ng</v>
      </c>
      <c r="K1612" t="str">
        <f t="shared" si="102"/>
        <v>Ongoing</v>
      </c>
      <c r="L1612" t="str">
        <f t="shared" si="103"/>
        <v>Ongoing</v>
      </c>
    </row>
    <row r="1613" spans="1:12" x14ac:dyDescent="0.35">
      <c r="A1613">
        <v>1626</v>
      </c>
      <c r="B1613" t="s">
        <v>3958</v>
      </c>
      <c r="C1613" t="s">
        <v>10449</v>
      </c>
      <c r="D1613" t="s">
        <v>3959</v>
      </c>
      <c r="E1613" t="s">
        <v>3960</v>
      </c>
      <c r="F1613" t="s">
        <v>3866</v>
      </c>
      <c r="G1613" t="s">
        <v>112</v>
      </c>
      <c r="I1613" t="str">
        <f t="shared" si="100"/>
        <v>Ongoing</v>
      </c>
      <c r="J1613" t="str">
        <f t="shared" si="101"/>
        <v>ng</v>
      </c>
      <c r="K1613" t="str">
        <f t="shared" si="102"/>
        <v>Ongoing</v>
      </c>
      <c r="L1613" t="str">
        <f t="shared" si="103"/>
        <v>Ongoing</v>
      </c>
    </row>
    <row r="1614" spans="1:12" x14ac:dyDescent="0.35">
      <c r="A1614">
        <v>1627</v>
      </c>
      <c r="B1614" t="s">
        <v>3961</v>
      </c>
      <c r="C1614" t="s">
        <v>10242</v>
      </c>
      <c r="D1614" t="s">
        <v>3959</v>
      </c>
      <c r="E1614" t="s">
        <v>1112</v>
      </c>
      <c r="F1614" t="s">
        <v>3866</v>
      </c>
      <c r="G1614" t="s">
        <v>112</v>
      </c>
      <c r="I1614" t="str">
        <f t="shared" si="100"/>
        <v>Ongoing</v>
      </c>
      <c r="J1614" t="str">
        <f t="shared" si="101"/>
        <v>ng</v>
      </c>
      <c r="K1614" t="str">
        <f t="shared" si="102"/>
        <v>Ongoing</v>
      </c>
      <c r="L1614" t="str">
        <f t="shared" si="103"/>
        <v>Ongoing</v>
      </c>
    </row>
    <row r="1615" spans="1:12" x14ac:dyDescent="0.35">
      <c r="A1615">
        <v>1628</v>
      </c>
      <c r="B1615" t="s">
        <v>3962</v>
      </c>
      <c r="C1615" t="s">
        <v>11528</v>
      </c>
      <c r="D1615" t="s">
        <v>3963</v>
      </c>
      <c r="E1615" t="s">
        <v>1112</v>
      </c>
      <c r="F1615" t="s">
        <v>3866</v>
      </c>
      <c r="G1615" t="s">
        <v>112</v>
      </c>
      <c r="I1615" t="str">
        <f t="shared" si="100"/>
        <v>Ongoing</v>
      </c>
      <c r="J1615" t="str">
        <f t="shared" si="101"/>
        <v>ng</v>
      </c>
      <c r="K1615" t="str">
        <f t="shared" si="102"/>
        <v>Ongoing</v>
      </c>
      <c r="L1615" t="str">
        <f t="shared" si="103"/>
        <v>Ongoing</v>
      </c>
    </row>
    <row r="1616" spans="1:12" x14ac:dyDescent="0.35">
      <c r="A1616">
        <v>1629</v>
      </c>
      <c r="B1616" t="s">
        <v>3964</v>
      </c>
      <c r="C1616" t="s">
        <v>10450</v>
      </c>
      <c r="D1616" t="s">
        <v>3965</v>
      </c>
      <c r="E1616" t="s">
        <v>3966</v>
      </c>
      <c r="F1616" t="s">
        <v>3866</v>
      </c>
      <c r="G1616" t="s">
        <v>112</v>
      </c>
      <c r="I1616" t="str">
        <f t="shared" si="100"/>
        <v>Ongoing</v>
      </c>
      <c r="J1616" t="str">
        <f t="shared" si="101"/>
        <v>ng</v>
      </c>
      <c r="K1616" t="str">
        <f t="shared" si="102"/>
        <v>Ongoing</v>
      </c>
      <c r="L1616" t="str">
        <f t="shared" si="103"/>
        <v>Ongoing</v>
      </c>
    </row>
    <row r="1617" spans="1:12" x14ac:dyDescent="0.35">
      <c r="A1617">
        <v>1630</v>
      </c>
      <c r="B1617" t="s">
        <v>3967</v>
      </c>
      <c r="C1617" t="s">
        <v>11472</v>
      </c>
      <c r="D1617" t="s">
        <v>3965</v>
      </c>
      <c r="E1617" t="s">
        <v>3966</v>
      </c>
      <c r="F1617" t="s">
        <v>3866</v>
      </c>
      <c r="G1617" t="s">
        <v>112</v>
      </c>
      <c r="I1617" t="str">
        <f t="shared" si="100"/>
        <v>Ongoing</v>
      </c>
      <c r="J1617" t="str">
        <f t="shared" si="101"/>
        <v>ng</v>
      </c>
      <c r="K1617" t="str">
        <f t="shared" si="102"/>
        <v>Ongoing</v>
      </c>
      <c r="L1617" t="str">
        <f t="shared" si="103"/>
        <v>Ongoing</v>
      </c>
    </row>
    <row r="1618" spans="1:12" x14ac:dyDescent="0.35">
      <c r="A1618">
        <v>1631</v>
      </c>
      <c r="B1618" t="s">
        <v>3968</v>
      </c>
      <c r="C1618" t="s">
        <v>10451</v>
      </c>
      <c r="D1618" t="s">
        <v>3969</v>
      </c>
      <c r="E1618" t="s">
        <v>1112</v>
      </c>
      <c r="F1618" t="s">
        <v>3866</v>
      </c>
      <c r="G1618" t="s">
        <v>112</v>
      </c>
      <c r="I1618" t="str">
        <f t="shared" si="100"/>
        <v>Ongoing</v>
      </c>
      <c r="J1618" t="str">
        <f t="shared" si="101"/>
        <v>ng</v>
      </c>
      <c r="K1618" t="str">
        <f t="shared" si="102"/>
        <v>Ongoing</v>
      </c>
      <c r="L1618" t="str">
        <f t="shared" si="103"/>
        <v>Ongoing</v>
      </c>
    </row>
    <row r="1619" spans="1:12" x14ac:dyDescent="0.35">
      <c r="A1619">
        <v>1632</v>
      </c>
      <c r="B1619" t="s">
        <v>3970</v>
      </c>
      <c r="C1619" t="s">
        <v>10452</v>
      </c>
      <c r="D1619" t="s">
        <v>3969</v>
      </c>
      <c r="E1619" t="s">
        <v>1112</v>
      </c>
      <c r="F1619" t="s">
        <v>3866</v>
      </c>
      <c r="G1619" t="s">
        <v>112</v>
      </c>
      <c r="I1619" t="str">
        <f t="shared" si="100"/>
        <v>Ongoing</v>
      </c>
      <c r="J1619" t="str">
        <f t="shared" si="101"/>
        <v>ng</v>
      </c>
      <c r="K1619" t="str">
        <f t="shared" si="102"/>
        <v>Ongoing</v>
      </c>
      <c r="L1619" t="str">
        <f t="shared" si="103"/>
        <v>Ongoing</v>
      </c>
    </row>
    <row r="1620" spans="1:12" x14ac:dyDescent="0.35">
      <c r="A1620">
        <v>1633</v>
      </c>
      <c r="B1620" t="s">
        <v>3971</v>
      </c>
      <c r="C1620" t="s">
        <v>11529</v>
      </c>
      <c r="D1620" t="s">
        <v>3969</v>
      </c>
      <c r="E1620" t="s">
        <v>1112</v>
      </c>
      <c r="F1620" t="s">
        <v>3866</v>
      </c>
      <c r="G1620" t="s">
        <v>112</v>
      </c>
      <c r="I1620" t="str">
        <f t="shared" si="100"/>
        <v>Ongoing</v>
      </c>
      <c r="J1620" t="str">
        <f t="shared" si="101"/>
        <v>ng</v>
      </c>
      <c r="K1620" t="str">
        <f t="shared" si="102"/>
        <v>Ongoing</v>
      </c>
      <c r="L1620" t="str">
        <f t="shared" si="103"/>
        <v>Ongoing</v>
      </c>
    </row>
    <row r="1621" spans="1:12" x14ac:dyDescent="0.35">
      <c r="A1621">
        <v>1634</v>
      </c>
      <c r="B1621" t="s">
        <v>3972</v>
      </c>
      <c r="C1621" t="s">
        <v>11530</v>
      </c>
      <c r="D1621" t="s">
        <v>3973</v>
      </c>
      <c r="E1621" t="s">
        <v>3974</v>
      </c>
      <c r="F1621" t="s">
        <v>1424</v>
      </c>
      <c r="G1621" t="s">
        <v>112</v>
      </c>
      <c r="I1621" t="str">
        <f t="shared" si="100"/>
        <v>Various times</v>
      </c>
      <c r="J1621" t="str">
        <f t="shared" si="101"/>
        <v>es</v>
      </c>
      <c r="K1621" t="str">
        <f t="shared" si="102"/>
        <v>Various times</v>
      </c>
      <c r="L1621" t="str">
        <f t="shared" si="103"/>
        <v>Various times</v>
      </c>
    </row>
    <row r="1622" spans="1:12" x14ac:dyDescent="0.35">
      <c r="A1622">
        <v>1635</v>
      </c>
      <c r="B1622" t="s">
        <v>3975</v>
      </c>
      <c r="C1622" t="s">
        <v>10045</v>
      </c>
      <c r="D1622" t="s">
        <v>3976</v>
      </c>
      <c r="E1622" t="s">
        <v>1112</v>
      </c>
      <c r="F1622" t="s">
        <v>3866</v>
      </c>
      <c r="G1622" t="s">
        <v>112</v>
      </c>
      <c r="I1622" t="str">
        <f t="shared" si="100"/>
        <v>Ongoing</v>
      </c>
      <c r="J1622" t="str">
        <f t="shared" si="101"/>
        <v>ng</v>
      </c>
      <c r="K1622" t="str">
        <f t="shared" si="102"/>
        <v>Ongoing</v>
      </c>
      <c r="L1622" t="str">
        <f t="shared" si="103"/>
        <v>Ongoing</v>
      </c>
    </row>
    <row r="1623" spans="1:12" x14ac:dyDescent="0.35">
      <c r="A1623">
        <v>1636</v>
      </c>
      <c r="B1623" t="s">
        <v>3977</v>
      </c>
      <c r="C1623" t="s">
        <v>10453</v>
      </c>
      <c r="D1623" t="s">
        <v>3978</v>
      </c>
      <c r="E1623" t="s">
        <v>1112</v>
      </c>
      <c r="F1623" t="s">
        <v>3866</v>
      </c>
      <c r="G1623" t="s">
        <v>112</v>
      </c>
      <c r="I1623" t="str">
        <f t="shared" si="100"/>
        <v>Ongoing</v>
      </c>
      <c r="J1623" t="str">
        <f t="shared" si="101"/>
        <v>ng</v>
      </c>
      <c r="K1623" t="str">
        <f t="shared" si="102"/>
        <v>Ongoing</v>
      </c>
      <c r="L1623" t="str">
        <f t="shared" si="103"/>
        <v>Ongoing</v>
      </c>
    </row>
    <row r="1624" spans="1:12" x14ac:dyDescent="0.35">
      <c r="A1624">
        <v>1637</v>
      </c>
      <c r="B1624" t="s">
        <v>3979</v>
      </c>
      <c r="C1624" t="s">
        <v>11473</v>
      </c>
      <c r="D1624" t="s">
        <v>3978</v>
      </c>
      <c r="E1624" t="s">
        <v>1112</v>
      </c>
      <c r="F1624" t="s">
        <v>3866</v>
      </c>
      <c r="G1624" t="s">
        <v>112</v>
      </c>
      <c r="I1624" t="str">
        <f t="shared" si="100"/>
        <v>Ongoing</v>
      </c>
      <c r="J1624" t="str">
        <f t="shared" si="101"/>
        <v>ng</v>
      </c>
      <c r="K1624" t="str">
        <f t="shared" si="102"/>
        <v>Ongoing</v>
      </c>
      <c r="L1624" t="str">
        <f t="shared" si="103"/>
        <v>Ongoing</v>
      </c>
    </row>
    <row r="1625" spans="1:12" x14ac:dyDescent="0.35">
      <c r="A1625">
        <v>1638</v>
      </c>
      <c r="B1625" t="s">
        <v>3980</v>
      </c>
      <c r="C1625" t="s">
        <v>11531</v>
      </c>
      <c r="D1625" t="s">
        <v>3981</v>
      </c>
      <c r="E1625" t="s">
        <v>1112</v>
      </c>
      <c r="F1625" t="s">
        <v>3866</v>
      </c>
      <c r="G1625" t="s">
        <v>112</v>
      </c>
      <c r="I1625" t="str">
        <f t="shared" si="100"/>
        <v>Ongoing</v>
      </c>
      <c r="J1625" t="str">
        <f t="shared" si="101"/>
        <v>ng</v>
      </c>
      <c r="K1625" t="str">
        <f t="shared" si="102"/>
        <v>Ongoing</v>
      </c>
      <c r="L1625" t="str">
        <f t="shared" si="103"/>
        <v>Ongoing</v>
      </c>
    </row>
    <row r="1626" spans="1:12" x14ac:dyDescent="0.35">
      <c r="A1626">
        <v>1639</v>
      </c>
      <c r="B1626" t="s">
        <v>3982</v>
      </c>
      <c r="C1626" t="s">
        <v>10454</v>
      </c>
      <c r="D1626" t="s">
        <v>3983</v>
      </c>
      <c r="E1626" t="s">
        <v>1112</v>
      </c>
      <c r="F1626" t="s">
        <v>3866</v>
      </c>
      <c r="G1626" t="s">
        <v>112</v>
      </c>
      <c r="I1626" t="str">
        <f t="shared" si="100"/>
        <v>Ongoing</v>
      </c>
      <c r="J1626" t="str">
        <f t="shared" si="101"/>
        <v>ng</v>
      </c>
      <c r="K1626" t="str">
        <f t="shared" si="102"/>
        <v>Ongoing</v>
      </c>
      <c r="L1626" t="str">
        <f t="shared" si="103"/>
        <v>Ongoing</v>
      </c>
    </row>
    <row r="1627" spans="1:12" x14ac:dyDescent="0.35">
      <c r="A1627">
        <v>1640</v>
      </c>
      <c r="B1627" t="s">
        <v>3984</v>
      </c>
      <c r="C1627" t="s">
        <v>11532</v>
      </c>
      <c r="D1627" t="s">
        <v>3983</v>
      </c>
      <c r="E1627" t="s">
        <v>1112</v>
      </c>
      <c r="F1627" t="s">
        <v>3866</v>
      </c>
      <c r="G1627" t="s">
        <v>112</v>
      </c>
      <c r="I1627" t="str">
        <f t="shared" si="100"/>
        <v>Ongoing</v>
      </c>
      <c r="J1627" t="str">
        <f t="shared" si="101"/>
        <v>ng</v>
      </c>
      <c r="K1627" t="str">
        <f t="shared" si="102"/>
        <v>Ongoing</v>
      </c>
      <c r="L1627" t="str">
        <f t="shared" si="103"/>
        <v>Ongoing</v>
      </c>
    </row>
    <row r="1628" spans="1:12" x14ac:dyDescent="0.35">
      <c r="A1628">
        <v>1641</v>
      </c>
      <c r="B1628" t="s">
        <v>3985</v>
      </c>
      <c r="C1628" t="s">
        <v>11533</v>
      </c>
      <c r="D1628" t="s">
        <v>3986</v>
      </c>
      <c r="E1628" t="s">
        <v>3613</v>
      </c>
      <c r="F1628" t="s">
        <v>3866</v>
      </c>
      <c r="G1628" t="s">
        <v>112</v>
      </c>
      <c r="I1628" t="str">
        <f t="shared" si="100"/>
        <v>Ongoing</v>
      </c>
      <c r="J1628" t="str">
        <f t="shared" si="101"/>
        <v>ng</v>
      </c>
      <c r="K1628" t="str">
        <f t="shared" si="102"/>
        <v>Ongoing</v>
      </c>
      <c r="L1628" t="str">
        <f t="shared" si="103"/>
        <v>Ongoing</v>
      </c>
    </row>
    <row r="1629" spans="1:12" x14ac:dyDescent="0.35">
      <c r="A1629">
        <v>1642</v>
      </c>
      <c r="B1629" t="s">
        <v>3987</v>
      </c>
      <c r="C1629" t="s">
        <v>10455</v>
      </c>
      <c r="D1629" t="s">
        <v>3986</v>
      </c>
      <c r="E1629" t="s">
        <v>1112</v>
      </c>
      <c r="F1629" t="s">
        <v>3866</v>
      </c>
      <c r="G1629" t="s">
        <v>3988</v>
      </c>
      <c r="I1629" t="str">
        <f t="shared" si="100"/>
        <v>Ongoing</v>
      </c>
      <c r="J1629" t="str">
        <f t="shared" si="101"/>
        <v>ng</v>
      </c>
      <c r="K1629" t="str">
        <f t="shared" si="102"/>
        <v>Ongoing</v>
      </c>
      <c r="L1629" t="str">
        <f t="shared" si="103"/>
        <v>Ongoing</v>
      </c>
    </row>
    <row r="1630" spans="1:12" x14ac:dyDescent="0.35">
      <c r="A1630">
        <v>1643</v>
      </c>
      <c r="B1630" t="s">
        <v>3989</v>
      </c>
      <c r="C1630" t="s">
        <v>10128</v>
      </c>
      <c r="D1630" t="s">
        <v>3990</v>
      </c>
      <c r="E1630" t="s">
        <v>1112</v>
      </c>
      <c r="F1630" t="s">
        <v>3866</v>
      </c>
      <c r="G1630" t="s">
        <v>112</v>
      </c>
      <c r="I1630" t="str">
        <f t="shared" si="100"/>
        <v>Ongoing</v>
      </c>
      <c r="J1630" t="str">
        <f t="shared" si="101"/>
        <v>ng</v>
      </c>
      <c r="K1630" t="str">
        <f t="shared" si="102"/>
        <v>Ongoing</v>
      </c>
      <c r="L1630" t="str">
        <f t="shared" si="103"/>
        <v>Ongoing</v>
      </c>
    </row>
    <row r="1631" spans="1:12" x14ac:dyDescent="0.35">
      <c r="A1631">
        <v>1644</v>
      </c>
      <c r="B1631" t="s">
        <v>3991</v>
      </c>
      <c r="C1631" t="s">
        <v>10456</v>
      </c>
      <c r="D1631" t="s">
        <v>3992</v>
      </c>
      <c r="E1631" t="s">
        <v>3713</v>
      </c>
      <c r="F1631" t="s">
        <v>3863</v>
      </c>
      <c r="G1631" t="s">
        <v>112</v>
      </c>
      <c r="I1631" t="str">
        <f t="shared" si="100"/>
        <v>Creation/ongoing</v>
      </c>
      <c r="J1631" t="str">
        <f t="shared" si="101"/>
        <v>ng</v>
      </c>
      <c r="K1631" t="str">
        <f t="shared" si="102"/>
        <v>Creation/ongoing</v>
      </c>
      <c r="L1631" t="str">
        <f t="shared" si="103"/>
        <v>Creation/ongoing</v>
      </c>
    </row>
    <row r="1632" spans="1:12" x14ac:dyDescent="0.35">
      <c r="A1632">
        <v>1645</v>
      </c>
      <c r="B1632" t="s">
        <v>3993</v>
      </c>
      <c r="C1632" t="s">
        <v>10457</v>
      </c>
      <c r="D1632" t="s">
        <v>3992</v>
      </c>
      <c r="E1632" t="s">
        <v>3713</v>
      </c>
      <c r="F1632" t="s">
        <v>3863</v>
      </c>
      <c r="G1632" t="s">
        <v>112</v>
      </c>
      <c r="I1632" t="str">
        <f t="shared" si="100"/>
        <v>Creation/ongoing</v>
      </c>
      <c r="J1632" t="str">
        <f t="shared" si="101"/>
        <v>ng</v>
      </c>
      <c r="K1632" t="str">
        <f t="shared" si="102"/>
        <v>Creation/ongoing</v>
      </c>
      <c r="L1632" t="str">
        <f t="shared" si="103"/>
        <v>Creation/ongoing</v>
      </c>
    </row>
    <row r="1633" spans="1:12" x14ac:dyDescent="0.35">
      <c r="A1633">
        <v>1646</v>
      </c>
      <c r="B1633" t="s">
        <v>3994</v>
      </c>
      <c r="C1633" t="s">
        <v>11534</v>
      </c>
      <c r="D1633" t="s">
        <v>3995</v>
      </c>
      <c r="E1633" t="s">
        <v>1112</v>
      </c>
      <c r="F1633" t="s">
        <v>3866</v>
      </c>
      <c r="G1633" t="s">
        <v>112</v>
      </c>
      <c r="I1633" t="str">
        <f t="shared" si="100"/>
        <v>Ongoing</v>
      </c>
      <c r="J1633" t="str">
        <f t="shared" si="101"/>
        <v>ng</v>
      </c>
      <c r="K1633" t="str">
        <f t="shared" si="102"/>
        <v>Ongoing</v>
      </c>
      <c r="L1633" t="str">
        <f t="shared" si="103"/>
        <v>Ongoing</v>
      </c>
    </row>
    <row r="1634" spans="1:12" x14ac:dyDescent="0.35">
      <c r="A1634">
        <v>1647</v>
      </c>
      <c r="B1634" t="s">
        <v>3996</v>
      </c>
      <c r="C1634" t="s">
        <v>11535</v>
      </c>
      <c r="D1634" t="s">
        <v>3995</v>
      </c>
      <c r="E1634" t="s">
        <v>1112</v>
      </c>
      <c r="F1634" t="s">
        <v>3866</v>
      </c>
      <c r="G1634" t="s">
        <v>112</v>
      </c>
      <c r="I1634" t="str">
        <f t="shared" si="100"/>
        <v>Ongoing</v>
      </c>
      <c r="J1634" t="str">
        <f t="shared" si="101"/>
        <v>ng</v>
      </c>
      <c r="K1634" t="str">
        <f t="shared" si="102"/>
        <v>Ongoing</v>
      </c>
      <c r="L1634" t="str">
        <f t="shared" si="103"/>
        <v>Ongoing</v>
      </c>
    </row>
    <row r="1635" spans="1:12" x14ac:dyDescent="0.35">
      <c r="A1635">
        <v>1648</v>
      </c>
      <c r="B1635" t="s">
        <v>3997</v>
      </c>
      <c r="C1635" t="s">
        <v>10458</v>
      </c>
      <c r="D1635" t="s">
        <v>3998</v>
      </c>
      <c r="E1635" t="s">
        <v>1112</v>
      </c>
      <c r="F1635" t="s">
        <v>3866</v>
      </c>
      <c r="G1635" t="s">
        <v>112</v>
      </c>
      <c r="I1635" t="str">
        <f t="shared" si="100"/>
        <v>Ongoing</v>
      </c>
      <c r="J1635" t="str">
        <f t="shared" si="101"/>
        <v>ng</v>
      </c>
      <c r="K1635" t="str">
        <f t="shared" si="102"/>
        <v>Ongoing</v>
      </c>
      <c r="L1635" t="str">
        <f t="shared" si="103"/>
        <v>Ongoing</v>
      </c>
    </row>
    <row r="1636" spans="1:12" x14ac:dyDescent="0.35">
      <c r="A1636">
        <v>1649</v>
      </c>
      <c r="B1636" t="s">
        <v>3999</v>
      </c>
      <c r="C1636" t="s">
        <v>10459</v>
      </c>
      <c r="D1636" t="s">
        <v>4000</v>
      </c>
      <c r="E1636" t="s">
        <v>1112</v>
      </c>
      <c r="F1636" t="s">
        <v>3866</v>
      </c>
      <c r="G1636" t="s">
        <v>112</v>
      </c>
      <c r="I1636" t="str">
        <f t="shared" si="100"/>
        <v>Ongoing</v>
      </c>
      <c r="J1636" t="str">
        <f t="shared" si="101"/>
        <v>ng</v>
      </c>
      <c r="K1636" t="str">
        <f t="shared" si="102"/>
        <v>Ongoing</v>
      </c>
      <c r="L1636" t="str">
        <f t="shared" si="103"/>
        <v>Ongoing</v>
      </c>
    </row>
    <row r="1637" spans="1:12" x14ac:dyDescent="0.35">
      <c r="A1637">
        <v>1650</v>
      </c>
      <c r="B1637" t="s">
        <v>4001</v>
      </c>
      <c r="C1637" t="s">
        <v>10460</v>
      </c>
      <c r="D1637" t="s">
        <v>4002</v>
      </c>
      <c r="E1637" t="s">
        <v>4003</v>
      </c>
      <c r="F1637" t="s">
        <v>3866</v>
      </c>
      <c r="G1637" t="s">
        <v>4004</v>
      </c>
      <c r="I1637" t="str">
        <f t="shared" si="100"/>
        <v>Ongoing</v>
      </c>
      <c r="J1637" t="str">
        <f t="shared" si="101"/>
        <v>ng</v>
      </c>
      <c r="K1637" t="str">
        <f t="shared" si="102"/>
        <v>Ongoing</v>
      </c>
      <c r="L1637" t="str">
        <f t="shared" si="103"/>
        <v>Ongoing</v>
      </c>
    </row>
    <row r="1638" spans="1:12" x14ac:dyDescent="0.35">
      <c r="A1638">
        <v>1651</v>
      </c>
      <c r="B1638" t="s">
        <v>4005</v>
      </c>
      <c r="C1638" t="s">
        <v>11204</v>
      </c>
      <c r="D1638" t="s">
        <v>4002</v>
      </c>
      <c r="E1638" t="s">
        <v>1112</v>
      </c>
      <c r="F1638" t="s">
        <v>3866</v>
      </c>
      <c r="G1638" t="s">
        <v>112</v>
      </c>
      <c r="I1638" t="str">
        <f t="shared" si="100"/>
        <v>Ongoing</v>
      </c>
      <c r="J1638" t="str">
        <f t="shared" si="101"/>
        <v>ng</v>
      </c>
      <c r="K1638" t="str">
        <f t="shared" si="102"/>
        <v>Ongoing</v>
      </c>
      <c r="L1638" t="str">
        <f t="shared" si="103"/>
        <v>Ongoing</v>
      </c>
    </row>
    <row r="1639" spans="1:12" x14ac:dyDescent="0.35">
      <c r="A1639">
        <v>1652</v>
      </c>
      <c r="B1639" t="s">
        <v>4006</v>
      </c>
      <c r="C1639" t="s">
        <v>11536</v>
      </c>
      <c r="D1639" t="s">
        <v>4007</v>
      </c>
      <c r="E1639" t="s">
        <v>4008</v>
      </c>
      <c r="F1639" t="s">
        <v>3866</v>
      </c>
      <c r="G1639" t="s">
        <v>112</v>
      </c>
      <c r="I1639" t="str">
        <f t="shared" si="100"/>
        <v>Ongoing</v>
      </c>
      <c r="J1639" t="str">
        <f t="shared" si="101"/>
        <v>ng</v>
      </c>
      <c r="K1639" t="str">
        <f t="shared" si="102"/>
        <v>Ongoing</v>
      </c>
      <c r="L1639" t="str">
        <f t="shared" si="103"/>
        <v>Ongoing</v>
      </c>
    </row>
    <row r="1640" spans="1:12" x14ac:dyDescent="0.35">
      <c r="A1640">
        <v>1653</v>
      </c>
      <c r="B1640" t="s">
        <v>4009</v>
      </c>
      <c r="C1640" t="s">
        <v>11537</v>
      </c>
      <c r="D1640" t="s">
        <v>4007</v>
      </c>
      <c r="E1640" t="s">
        <v>4008</v>
      </c>
      <c r="F1640" t="s">
        <v>3866</v>
      </c>
      <c r="G1640" t="s">
        <v>112</v>
      </c>
      <c r="I1640" t="str">
        <f t="shared" si="100"/>
        <v>Ongoing</v>
      </c>
      <c r="J1640" t="str">
        <f t="shared" si="101"/>
        <v>ng</v>
      </c>
      <c r="K1640" t="str">
        <f t="shared" si="102"/>
        <v>Ongoing</v>
      </c>
      <c r="L1640" t="str">
        <f t="shared" si="103"/>
        <v>Ongoing</v>
      </c>
    </row>
    <row r="1641" spans="1:12" x14ac:dyDescent="0.35">
      <c r="A1641">
        <v>1654</v>
      </c>
      <c r="B1641" t="s">
        <v>4010</v>
      </c>
      <c r="C1641" t="s">
        <v>11538</v>
      </c>
      <c r="D1641" t="s">
        <v>4011</v>
      </c>
      <c r="E1641" t="s">
        <v>4012</v>
      </c>
      <c r="F1641" t="s">
        <v>3866</v>
      </c>
      <c r="G1641" t="s">
        <v>112</v>
      </c>
      <c r="I1641" t="str">
        <f t="shared" si="100"/>
        <v>Ongoing</v>
      </c>
      <c r="J1641" t="str">
        <f t="shared" si="101"/>
        <v>ng</v>
      </c>
      <c r="K1641" t="str">
        <f t="shared" si="102"/>
        <v>Ongoing</v>
      </c>
      <c r="L1641" t="str">
        <f t="shared" si="103"/>
        <v>Ongoing</v>
      </c>
    </row>
    <row r="1642" spans="1:12" x14ac:dyDescent="0.35">
      <c r="A1642">
        <v>1655</v>
      </c>
      <c r="B1642" t="s">
        <v>4013</v>
      </c>
      <c r="C1642" t="s">
        <v>11539</v>
      </c>
      <c r="D1642" t="s">
        <v>4011</v>
      </c>
      <c r="E1642" t="s">
        <v>4012</v>
      </c>
      <c r="F1642" t="s">
        <v>3866</v>
      </c>
      <c r="G1642" t="s">
        <v>112</v>
      </c>
      <c r="I1642" t="str">
        <f t="shared" si="100"/>
        <v>Ongoing</v>
      </c>
      <c r="J1642" t="str">
        <f t="shared" si="101"/>
        <v>ng</v>
      </c>
      <c r="K1642" t="str">
        <f t="shared" si="102"/>
        <v>Ongoing</v>
      </c>
      <c r="L1642" t="str">
        <f t="shared" si="103"/>
        <v>Ongoing</v>
      </c>
    </row>
    <row r="1643" spans="1:12" x14ac:dyDescent="0.35">
      <c r="A1643">
        <v>1656</v>
      </c>
      <c r="B1643" t="s">
        <v>4014</v>
      </c>
      <c r="C1643" t="s">
        <v>10461</v>
      </c>
      <c r="D1643" t="s">
        <v>4015</v>
      </c>
      <c r="E1643" t="s">
        <v>4012</v>
      </c>
      <c r="F1643" t="s">
        <v>3866</v>
      </c>
      <c r="G1643" t="s">
        <v>112</v>
      </c>
      <c r="I1643" t="str">
        <f t="shared" si="100"/>
        <v>Ongoing</v>
      </c>
      <c r="J1643" t="str">
        <f t="shared" si="101"/>
        <v>ng</v>
      </c>
      <c r="K1643" t="str">
        <f t="shared" si="102"/>
        <v>Ongoing</v>
      </c>
      <c r="L1643" t="str">
        <f t="shared" si="103"/>
        <v>Ongoing</v>
      </c>
    </row>
    <row r="1644" spans="1:12" x14ac:dyDescent="0.35">
      <c r="A1644">
        <v>1657</v>
      </c>
      <c r="B1644" t="s">
        <v>4016</v>
      </c>
      <c r="C1644" t="s">
        <v>11540</v>
      </c>
      <c r="D1644" t="s">
        <v>4015</v>
      </c>
      <c r="E1644" t="s">
        <v>4012</v>
      </c>
      <c r="F1644" t="s">
        <v>3866</v>
      </c>
      <c r="G1644" t="s">
        <v>112</v>
      </c>
      <c r="I1644" t="str">
        <f t="shared" si="100"/>
        <v>Ongoing</v>
      </c>
      <c r="J1644" t="str">
        <f t="shared" si="101"/>
        <v>ng</v>
      </c>
      <c r="K1644" t="str">
        <f t="shared" si="102"/>
        <v>Ongoing</v>
      </c>
      <c r="L1644" t="str">
        <f t="shared" si="103"/>
        <v>Ongoing</v>
      </c>
    </row>
    <row r="1645" spans="1:12" x14ac:dyDescent="0.35">
      <c r="A1645">
        <v>1658</v>
      </c>
      <c r="B1645" t="s">
        <v>4017</v>
      </c>
      <c r="C1645" t="s">
        <v>10462</v>
      </c>
      <c r="D1645" t="s">
        <v>4018</v>
      </c>
      <c r="E1645" t="s">
        <v>4012</v>
      </c>
      <c r="F1645" t="s">
        <v>3866</v>
      </c>
      <c r="G1645" t="s">
        <v>112</v>
      </c>
      <c r="I1645" t="str">
        <f t="shared" si="100"/>
        <v>Ongoing</v>
      </c>
      <c r="J1645" t="str">
        <f t="shared" si="101"/>
        <v>ng</v>
      </c>
      <c r="K1645" t="str">
        <f t="shared" si="102"/>
        <v>Ongoing</v>
      </c>
      <c r="L1645" t="str">
        <f t="shared" si="103"/>
        <v>Ongoing</v>
      </c>
    </row>
    <row r="1646" spans="1:12" x14ac:dyDescent="0.35">
      <c r="A1646">
        <v>1659</v>
      </c>
      <c r="B1646" t="s">
        <v>4019</v>
      </c>
      <c r="C1646" t="s">
        <v>10463</v>
      </c>
      <c r="D1646" t="s">
        <v>4018</v>
      </c>
      <c r="E1646" t="s">
        <v>4012</v>
      </c>
      <c r="F1646" t="s">
        <v>3866</v>
      </c>
      <c r="G1646" t="s">
        <v>4020</v>
      </c>
      <c r="I1646" t="str">
        <f t="shared" si="100"/>
        <v>Ongoing</v>
      </c>
      <c r="J1646" t="str">
        <f t="shared" si="101"/>
        <v>ng</v>
      </c>
      <c r="K1646" t="str">
        <f t="shared" si="102"/>
        <v>Ongoing</v>
      </c>
      <c r="L1646" t="str">
        <f t="shared" si="103"/>
        <v>Ongoing</v>
      </c>
    </row>
    <row r="1647" spans="1:12" x14ac:dyDescent="0.35">
      <c r="A1647">
        <v>1660</v>
      </c>
      <c r="B1647" t="s">
        <v>4021</v>
      </c>
      <c r="C1647" t="s">
        <v>10464</v>
      </c>
      <c r="D1647" t="s">
        <v>4022</v>
      </c>
      <c r="E1647" t="s">
        <v>4012</v>
      </c>
      <c r="F1647" t="s">
        <v>3866</v>
      </c>
      <c r="G1647" t="s">
        <v>12497</v>
      </c>
      <c r="I1647" t="str">
        <f t="shared" si="100"/>
        <v>Ongoing</v>
      </c>
      <c r="J1647" t="str">
        <f t="shared" si="101"/>
        <v>ng</v>
      </c>
      <c r="K1647" t="str">
        <f t="shared" si="102"/>
        <v>Ongoing</v>
      </c>
      <c r="L1647" t="str">
        <f t="shared" si="103"/>
        <v>Ongoing</v>
      </c>
    </row>
    <row r="1648" spans="1:12" x14ac:dyDescent="0.35">
      <c r="A1648">
        <v>1661</v>
      </c>
      <c r="B1648" t="s">
        <v>4023</v>
      </c>
      <c r="C1648" t="s">
        <v>10045</v>
      </c>
      <c r="D1648" t="s">
        <v>4022</v>
      </c>
      <c r="E1648" t="s">
        <v>4012</v>
      </c>
      <c r="F1648" t="s">
        <v>3866</v>
      </c>
      <c r="G1648" t="s">
        <v>12497</v>
      </c>
      <c r="I1648" t="str">
        <f t="shared" si="100"/>
        <v>Ongoing</v>
      </c>
      <c r="J1648" t="str">
        <f t="shared" si="101"/>
        <v>ng</v>
      </c>
      <c r="K1648" t="str">
        <f t="shared" si="102"/>
        <v>Ongoing</v>
      </c>
      <c r="L1648" t="str">
        <f t="shared" si="103"/>
        <v>Ongoing</v>
      </c>
    </row>
    <row r="1649" spans="1:12" x14ac:dyDescent="0.35">
      <c r="A1649">
        <v>1662</v>
      </c>
      <c r="B1649" t="s">
        <v>4024</v>
      </c>
      <c r="C1649" t="s">
        <v>10465</v>
      </c>
      <c r="D1649" t="s">
        <v>4025</v>
      </c>
      <c r="E1649" t="s">
        <v>1112</v>
      </c>
      <c r="F1649" t="s">
        <v>3866</v>
      </c>
      <c r="G1649" t="s">
        <v>112</v>
      </c>
      <c r="I1649" t="str">
        <f t="shared" si="100"/>
        <v>Ongoing</v>
      </c>
      <c r="J1649" t="str">
        <f t="shared" si="101"/>
        <v>ng</v>
      </c>
      <c r="K1649" t="str">
        <f t="shared" si="102"/>
        <v>Ongoing</v>
      </c>
      <c r="L1649" t="str">
        <f t="shared" si="103"/>
        <v>Ongoing</v>
      </c>
    </row>
    <row r="1650" spans="1:12" x14ac:dyDescent="0.35">
      <c r="A1650">
        <v>1663</v>
      </c>
      <c r="B1650" t="s">
        <v>4026</v>
      </c>
      <c r="C1650" t="s">
        <v>11541</v>
      </c>
      <c r="D1650" t="s">
        <v>4025</v>
      </c>
      <c r="E1650" t="s">
        <v>1112</v>
      </c>
      <c r="F1650" t="s">
        <v>3866</v>
      </c>
      <c r="G1650" t="s">
        <v>112</v>
      </c>
      <c r="I1650" t="str">
        <f t="shared" si="100"/>
        <v>Ongoing</v>
      </c>
      <c r="J1650" t="str">
        <f t="shared" si="101"/>
        <v>ng</v>
      </c>
      <c r="K1650" t="str">
        <f t="shared" si="102"/>
        <v>Ongoing</v>
      </c>
      <c r="L1650" t="str">
        <f t="shared" si="103"/>
        <v>Ongoing</v>
      </c>
    </row>
    <row r="1651" spans="1:12" x14ac:dyDescent="0.35">
      <c r="A1651">
        <v>1664</v>
      </c>
      <c r="B1651" t="s">
        <v>4027</v>
      </c>
      <c r="C1651" t="s">
        <v>11542</v>
      </c>
      <c r="D1651" t="s">
        <v>4028</v>
      </c>
      <c r="E1651" t="s">
        <v>1112</v>
      </c>
      <c r="F1651" t="s">
        <v>3866</v>
      </c>
      <c r="G1651" t="s">
        <v>112</v>
      </c>
      <c r="I1651" t="str">
        <f t="shared" si="100"/>
        <v>Ongoing</v>
      </c>
      <c r="J1651" t="str">
        <f t="shared" si="101"/>
        <v>ng</v>
      </c>
      <c r="K1651" t="str">
        <f t="shared" si="102"/>
        <v>Ongoing</v>
      </c>
      <c r="L1651" t="str">
        <f t="shared" si="103"/>
        <v>Ongoing</v>
      </c>
    </row>
    <row r="1652" spans="1:12" x14ac:dyDescent="0.35">
      <c r="A1652">
        <v>1665</v>
      </c>
      <c r="B1652" t="s">
        <v>4029</v>
      </c>
      <c r="C1652" t="s">
        <v>10448</v>
      </c>
      <c r="D1652" t="s">
        <v>4028</v>
      </c>
      <c r="E1652" t="s">
        <v>1112</v>
      </c>
      <c r="F1652" t="s">
        <v>3866</v>
      </c>
      <c r="G1652" t="s">
        <v>112</v>
      </c>
      <c r="I1652" t="str">
        <f t="shared" ref="I1652:I1715" si="104">SUBSTITUTE(SUBSTITUTE(SUBSTITUTE(F1652,"c. ","")," BC","")," AD","")</f>
        <v>Ongoing</v>
      </c>
      <c r="J1652" t="str">
        <f t="shared" si="101"/>
        <v>ng</v>
      </c>
      <c r="K1652" t="str">
        <f t="shared" si="102"/>
        <v>Ongoing</v>
      </c>
      <c r="L1652" t="str">
        <f t="shared" si="103"/>
        <v>Ongoing</v>
      </c>
    </row>
    <row r="1653" spans="1:12" x14ac:dyDescent="0.35">
      <c r="A1653">
        <v>1666</v>
      </c>
      <c r="B1653" t="s">
        <v>4030</v>
      </c>
      <c r="C1653" t="s">
        <v>11543</v>
      </c>
      <c r="D1653" t="s">
        <v>4031</v>
      </c>
      <c r="E1653" t="s">
        <v>1112</v>
      </c>
      <c r="F1653" t="s">
        <v>3866</v>
      </c>
      <c r="G1653" t="s">
        <v>112</v>
      </c>
      <c r="I1653" t="str">
        <f t="shared" si="104"/>
        <v>Ongoing</v>
      </c>
      <c r="J1653" t="str">
        <f t="shared" si="101"/>
        <v>ng</v>
      </c>
      <c r="K1653" t="str">
        <f t="shared" si="102"/>
        <v>Ongoing</v>
      </c>
      <c r="L1653" t="str">
        <f t="shared" si="103"/>
        <v>Ongoing</v>
      </c>
    </row>
    <row r="1654" spans="1:12" x14ac:dyDescent="0.35">
      <c r="A1654">
        <v>1667</v>
      </c>
      <c r="B1654" t="s">
        <v>4032</v>
      </c>
      <c r="C1654" t="s">
        <v>11543</v>
      </c>
      <c r="D1654" t="s">
        <v>4031</v>
      </c>
      <c r="E1654" t="s">
        <v>1112</v>
      </c>
      <c r="F1654" t="s">
        <v>3866</v>
      </c>
      <c r="G1654" t="s">
        <v>112</v>
      </c>
      <c r="I1654" t="str">
        <f t="shared" si="104"/>
        <v>Ongoing</v>
      </c>
      <c r="J1654" t="str">
        <f t="shared" si="101"/>
        <v>ng</v>
      </c>
      <c r="K1654" t="str">
        <f t="shared" si="102"/>
        <v>Ongoing</v>
      </c>
      <c r="L1654" t="str">
        <f t="shared" si="103"/>
        <v>Ongoing</v>
      </c>
    </row>
    <row r="1655" spans="1:12" x14ac:dyDescent="0.35">
      <c r="A1655">
        <v>1668</v>
      </c>
      <c r="B1655" t="s">
        <v>4033</v>
      </c>
      <c r="C1655" t="s">
        <v>11544</v>
      </c>
      <c r="D1655" t="s">
        <v>4034</v>
      </c>
      <c r="E1655" t="s">
        <v>1112</v>
      </c>
      <c r="F1655" t="s">
        <v>3866</v>
      </c>
      <c r="G1655" t="s">
        <v>112</v>
      </c>
      <c r="I1655" t="str">
        <f t="shared" si="104"/>
        <v>Ongoing</v>
      </c>
      <c r="J1655" t="str">
        <f t="shared" si="101"/>
        <v>ng</v>
      </c>
      <c r="K1655" t="str">
        <f t="shared" si="102"/>
        <v>Ongoing</v>
      </c>
      <c r="L1655" t="str">
        <f t="shared" si="103"/>
        <v>Ongoing</v>
      </c>
    </row>
    <row r="1656" spans="1:12" x14ac:dyDescent="0.35">
      <c r="A1656">
        <v>1669</v>
      </c>
      <c r="B1656" t="s">
        <v>4035</v>
      </c>
      <c r="C1656" t="s">
        <v>10466</v>
      </c>
      <c r="D1656" t="s">
        <v>4034</v>
      </c>
      <c r="E1656" t="s">
        <v>1112</v>
      </c>
      <c r="F1656" t="s">
        <v>3866</v>
      </c>
      <c r="G1656" t="s">
        <v>112</v>
      </c>
      <c r="I1656" t="str">
        <f t="shared" si="104"/>
        <v>Ongoing</v>
      </c>
      <c r="J1656" t="str">
        <f t="shared" si="101"/>
        <v>ng</v>
      </c>
      <c r="K1656" t="str">
        <f t="shared" si="102"/>
        <v>Ongoing</v>
      </c>
      <c r="L1656" t="str">
        <f t="shared" si="103"/>
        <v>Ongoing</v>
      </c>
    </row>
    <row r="1657" spans="1:12" x14ac:dyDescent="0.35">
      <c r="A1657">
        <v>1670</v>
      </c>
      <c r="B1657" t="s">
        <v>4036</v>
      </c>
      <c r="C1657" t="s">
        <v>10467</v>
      </c>
      <c r="D1657" t="s">
        <v>4037</v>
      </c>
      <c r="E1657" t="s">
        <v>1112</v>
      </c>
      <c r="F1657" t="s">
        <v>3866</v>
      </c>
      <c r="G1657" t="s">
        <v>112</v>
      </c>
      <c r="I1657" t="str">
        <f t="shared" si="104"/>
        <v>Ongoing</v>
      </c>
      <c r="J1657" t="str">
        <f t="shared" si="101"/>
        <v>ng</v>
      </c>
      <c r="K1657" t="str">
        <f t="shared" si="102"/>
        <v>Ongoing</v>
      </c>
      <c r="L1657" t="str">
        <f t="shared" si="103"/>
        <v>Ongoing</v>
      </c>
    </row>
    <row r="1658" spans="1:12" x14ac:dyDescent="0.35">
      <c r="A1658">
        <v>1671</v>
      </c>
      <c r="B1658" t="s">
        <v>4038</v>
      </c>
      <c r="C1658" t="s">
        <v>10468</v>
      </c>
      <c r="D1658" t="s">
        <v>4037</v>
      </c>
      <c r="E1658" t="s">
        <v>1112</v>
      </c>
      <c r="F1658" t="s">
        <v>3866</v>
      </c>
      <c r="G1658" t="s">
        <v>112</v>
      </c>
      <c r="I1658" t="str">
        <f t="shared" si="104"/>
        <v>Ongoing</v>
      </c>
      <c r="J1658" t="str">
        <f t="shared" si="101"/>
        <v>ng</v>
      </c>
      <c r="K1658" t="str">
        <f t="shared" si="102"/>
        <v>Ongoing</v>
      </c>
      <c r="L1658" t="str">
        <f t="shared" si="103"/>
        <v>Ongoing</v>
      </c>
    </row>
    <row r="1659" spans="1:12" x14ac:dyDescent="0.35">
      <c r="A1659">
        <v>1672</v>
      </c>
      <c r="B1659" t="s">
        <v>4039</v>
      </c>
      <c r="C1659" t="s">
        <v>10469</v>
      </c>
      <c r="D1659" t="s">
        <v>4040</v>
      </c>
      <c r="E1659" t="s">
        <v>1112</v>
      </c>
      <c r="F1659" t="s">
        <v>3866</v>
      </c>
      <c r="G1659" t="s">
        <v>112</v>
      </c>
      <c r="I1659" t="str">
        <f t="shared" si="104"/>
        <v>Ongoing</v>
      </c>
      <c r="J1659" t="str">
        <f t="shared" si="101"/>
        <v>ng</v>
      </c>
      <c r="K1659" t="str">
        <f t="shared" si="102"/>
        <v>Ongoing</v>
      </c>
      <c r="L1659" t="str">
        <f t="shared" si="103"/>
        <v>Ongoing</v>
      </c>
    </row>
    <row r="1660" spans="1:12" x14ac:dyDescent="0.35">
      <c r="A1660">
        <v>1673</v>
      </c>
      <c r="B1660" t="s">
        <v>4041</v>
      </c>
      <c r="C1660" t="s">
        <v>11545</v>
      </c>
      <c r="D1660" t="s">
        <v>4040</v>
      </c>
      <c r="E1660" t="s">
        <v>1112</v>
      </c>
      <c r="F1660" t="s">
        <v>3866</v>
      </c>
      <c r="G1660" t="s">
        <v>112</v>
      </c>
      <c r="I1660" t="str">
        <f t="shared" si="104"/>
        <v>Ongoing</v>
      </c>
      <c r="J1660" t="str">
        <f t="shared" si="101"/>
        <v>ng</v>
      </c>
      <c r="K1660" t="str">
        <f t="shared" si="102"/>
        <v>Ongoing</v>
      </c>
      <c r="L1660" t="str">
        <f t="shared" si="103"/>
        <v>Ongoing</v>
      </c>
    </row>
    <row r="1661" spans="1:12" x14ac:dyDescent="0.35">
      <c r="A1661">
        <v>1674</v>
      </c>
      <c r="B1661" t="s">
        <v>4042</v>
      </c>
      <c r="C1661" t="s">
        <v>10470</v>
      </c>
      <c r="D1661" t="s">
        <v>4043</v>
      </c>
      <c r="E1661" t="s">
        <v>1112</v>
      </c>
      <c r="F1661" t="s">
        <v>3866</v>
      </c>
      <c r="G1661" t="s">
        <v>112</v>
      </c>
      <c r="I1661" t="str">
        <f t="shared" si="104"/>
        <v>Ongoing</v>
      </c>
      <c r="J1661" t="str">
        <f t="shared" si="101"/>
        <v>ng</v>
      </c>
      <c r="K1661" t="str">
        <f t="shared" si="102"/>
        <v>Ongoing</v>
      </c>
      <c r="L1661" t="str">
        <f t="shared" si="103"/>
        <v>Ongoing</v>
      </c>
    </row>
    <row r="1662" spans="1:12" x14ac:dyDescent="0.35">
      <c r="A1662">
        <v>1675</v>
      </c>
      <c r="B1662" t="s">
        <v>4044</v>
      </c>
      <c r="C1662" t="s">
        <v>10471</v>
      </c>
      <c r="D1662" t="s">
        <v>4043</v>
      </c>
      <c r="E1662" t="s">
        <v>1112</v>
      </c>
      <c r="F1662" t="s">
        <v>3866</v>
      </c>
      <c r="G1662" t="s">
        <v>4045</v>
      </c>
      <c r="I1662" t="str">
        <f t="shared" si="104"/>
        <v>Ongoing</v>
      </c>
      <c r="J1662" t="str">
        <f t="shared" si="101"/>
        <v>ng</v>
      </c>
      <c r="K1662" t="str">
        <f t="shared" si="102"/>
        <v>Ongoing</v>
      </c>
      <c r="L1662" t="str">
        <f t="shared" si="103"/>
        <v>Ongoing</v>
      </c>
    </row>
    <row r="1663" spans="1:12" x14ac:dyDescent="0.35">
      <c r="A1663">
        <v>1676</v>
      </c>
      <c r="B1663" t="s">
        <v>4046</v>
      </c>
      <c r="C1663" t="s">
        <v>10721</v>
      </c>
      <c r="D1663" t="s">
        <v>4047</v>
      </c>
      <c r="E1663" t="s">
        <v>1112</v>
      </c>
      <c r="F1663" t="s">
        <v>3866</v>
      </c>
      <c r="G1663" t="s">
        <v>112</v>
      </c>
      <c r="I1663" t="str">
        <f t="shared" si="104"/>
        <v>Ongoing</v>
      </c>
      <c r="J1663" t="str">
        <f t="shared" si="101"/>
        <v>ng</v>
      </c>
      <c r="K1663" t="str">
        <f t="shared" si="102"/>
        <v>Ongoing</v>
      </c>
      <c r="L1663" t="str">
        <f t="shared" si="103"/>
        <v>Ongoing</v>
      </c>
    </row>
    <row r="1664" spans="1:12" x14ac:dyDescent="0.35">
      <c r="A1664">
        <v>1677</v>
      </c>
      <c r="B1664" t="s">
        <v>4048</v>
      </c>
      <c r="C1664" t="s">
        <v>10446</v>
      </c>
      <c r="D1664" t="s">
        <v>4047</v>
      </c>
      <c r="E1664" t="s">
        <v>1112</v>
      </c>
      <c r="F1664" t="s">
        <v>3866</v>
      </c>
      <c r="G1664" t="s">
        <v>112</v>
      </c>
      <c r="I1664" t="str">
        <f t="shared" si="104"/>
        <v>Ongoing</v>
      </c>
      <c r="J1664" t="str">
        <f t="shared" si="101"/>
        <v>ng</v>
      </c>
      <c r="K1664" t="str">
        <f t="shared" si="102"/>
        <v>Ongoing</v>
      </c>
      <c r="L1664" t="str">
        <f t="shared" si="103"/>
        <v>Ongoing</v>
      </c>
    </row>
    <row r="1665" spans="1:12" x14ac:dyDescent="0.35">
      <c r="A1665">
        <v>1678</v>
      </c>
      <c r="B1665" t="s">
        <v>4049</v>
      </c>
      <c r="C1665" t="s">
        <v>11546</v>
      </c>
      <c r="D1665" t="s">
        <v>4050</v>
      </c>
      <c r="E1665" t="s">
        <v>1112</v>
      </c>
      <c r="F1665" t="s">
        <v>3866</v>
      </c>
      <c r="G1665" t="s">
        <v>112</v>
      </c>
      <c r="I1665" t="str">
        <f t="shared" si="104"/>
        <v>Ongoing</v>
      </c>
      <c r="J1665" t="str">
        <f t="shared" si="101"/>
        <v>ng</v>
      </c>
      <c r="K1665" t="str">
        <f t="shared" si="102"/>
        <v>Ongoing</v>
      </c>
      <c r="L1665" t="str">
        <f t="shared" si="103"/>
        <v>Ongoing</v>
      </c>
    </row>
    <row r="1666" spans="1:12" x14ac:dyDescent="0.35">
      <c r="A1666">
        <v>1679</v>
      </c>
      <c r="B1666" t="s">
        <v>4051</v>
      </c>
      <c r="C1666" t="s">
        <v>10472</v>
      </c>
      <c r="D1666" t="s">
        <v>4050</v>
      </c>
      <c r="E1666" t="s">
        <v>1112</v>
      </c>
      <c r="F1666" t="s">
        <v>3866</v>
      </c>
      <c r="G1666" t="s">
        <v>112</v>
      </c>
      <c r="I1666" t="str">
        <f t="shared" si="104"/>
        <v>Ongoing</v>
      </c>
      <c r="J1666" t="str">
        <f t="shared" ref="J1666:J1729" si="105">RIGHT(F1666, 2)</f>
        <v>ng</v>
      </c>
      <c r="K1666" t="str">
        <f t="shared" ref="K1666:K1729" si="106">IF(J1666="BC", 0-IF(ISERROR(FIND("-",I1666)),I1666,LEFT(I1666,FIND("-",I1666)-1)), IF(ISERROR(FIND("-",I1666)),I1666,LEFT(I1666,FIND("-",I1666)-1)))</f>
        <v>Ongoing</v>
      </c>
      <c r="L1666" t="str">
        <f t="shared" ref="L1666:L1729" si="107">IF(J1666="BC", 0-IF(ISERROR(FIND("-",I1666)),I1666,RIGHT(I1666,FIND("-",I1666)-1)), IF(ISERROR(FIND("-",I1666)),I1666,RIGHT(I1666,FIND("-",I1666)-1)))</f>
        <v>Ongoing</v>
      </c>
    </row>
    <row r="1667" spans="1:12" x14ac:dyDescent="0.35">
      <c r="A1667">
        <v>1680</v>
      </c>
      <c r="B1667" t="s">
        <v>4052</v>
      </c>
      <c r="C1667" t="s">
        <v>10471</v>
      </c>
      <c r="D1667" t="s">
        <v>4053</v>
      </c>
      <c r="E1667" t="s">
        <v>1112</v>
      </c>
      <c r="F1667" t="s">
        <v>3866</v>
      </c>
      <c r="G1667" t="s">
        <v>4054</v>
      </c>
      <c r="I1667" t="str">
        <f t="shared" si="104"/>
        <v>Ongoing</v>
      </c>
      <c r="J1667" t="str">
        <f t="shared" si="105"/>
        <v>ng</v>
      </c>
      <c r="K1667" t="str">
        <f t="shared" si="106"/>
        <v>Ongoing</v>
      </c>
      <c r="L1667" t="str">
        <f t="shared" si="107"/>
        <v>Ongoing</v>
      </c>
    </row>
    <row r="1668" spans="1:12" x14ac:dyDescent="0.35">
      <c r="A1668">
        <v>1681</v>
      </c>
      <c r="B1668" t="s">
        <v>4055</v>
      </c>
      <c r="C1668" t="s">
        <v>11547</v>
      </c>
      <c r="D1668" t="s">
        <v>4053</v>
      </c>
      <c r="E1668" t="s">
        <v>1112</v>
      </c>
      <c r="F1668" t="s">
        <v>3866</v>
      </c>
      <c r="G1668" t="s">
        <v>112</v>
      </c>
      <c r="I1668" t="str">
        <f t="shared" si="104"/>
        <v>Ongoing</v>
      </c>
      <c r="J1668" t="str">
        <f t="shared" si="105"/>
        <v>ng</v>
      </c>
      <c r="K1668" t="str">
        <f t="shared" si="106"/>
        <v>Ongoing</v>
      </c>
      <c r="L1668" t="str">
        <f t="shared" si="107"/>
        <v>Ongoing</v>
      </c>
    </row>
    <row r="1669" spans="1:12" x14ac:dyDescent="0.35">
      <c r="A1669">
        <v>1682</v>
      </c>
      <c r="B1669" t="s">
        <v>4056</v>
      </c>
      <c r="C1669" t="s">
        <v>10473</v>
      </c>
      <c r="D1669" t="s">
        <v>4057</v>
      </c>
      <c r="E1669" t="s">
        <v>1112</v>
      </c>
      <c r="F1669" t="s">
        <v>3866</v>
      </c>
      <c r="G1669" t="s">
        <v>112</v>
      </c>
      <c r="I1669" t="str">
        <f t="shared" si="104"/>
        <v>Ongoing</v>
      </c>
      <c r="J1669" t="str">
        <f t="shared" si="105"/>
        <v>ng</v>
      </c>
      <c r="K1669" t="str">
        <f t="shared" si="106"/>
        <v>Ongoing</v>
      </c>
      <c r="L1669" t="str">
        <f t="shared" si="107"/>
        <v>Ongoing</v>
      </c>
    </row>
    <row r="1670" spans="1:12" x14ac:dyDescent="0.35">
      <c r="A1670">
        <v>1683</v>
      </c>
      <c r="B1670" t="s">
        <v>4058</v>
      </c>
      <c r="C1670" t="s">
        <v>10474</v>
      </c>
      <c r="D1670" t="s">
        <v>4057</v>
      </c>
      <c r="E1670" t="s">
        <v>1112</v>
      </c>
      <c r="F1670" t="s">
        <v>3866</v>
      </c>
      <c r="G1670" t="s">
        <v>629</v>
      </c>
      <c r="I1670" t="str">
        <f t="shared" si="104"/>
        <v>Ongoing</v>
      </c>
      <c r="J1670" t="str">
        <f t="shared" si="105"/>
        <v>ng</v>
      </c>
      <c r="K1670" t="str">
        <f t="shared" si="106"/>
        <v>Ongoing</v>
      </c>
      <c r="L1670" t="str">
        <f t="shared" si="107"/>
        <v>Ongoing</v>
      </c>
    </row>
    <row r="1671" spans="1:12" x14ac:dyDescent="0.35">
      <c r="A1671">
        <v>1684</v>
      </c>
      <c r="B1671" t="s">
        <v>4059</v>
      </c>
      <c r="C1671" t="s">
        <v>10475</v>
      </c>
      <c r="D1671" t="s">
        <v>4060</v>
      </c>
      <c r="E1671" t="s">
        <v>1112</v>
      </c>
      <c r="F1671" t="s">
        <v>3866</v>
      </c>
      <c r="G1671" t="s">
        <v>4061</v>
      </c>
      <c r="I1671" t="str">
        <f t="shared" si="104"/>
        <v>Ongoing</v>
      </c>
      <c r="J1671" t="str">
        <f t="shared" si="105"/>
        <v>ng</v>
      </c>
      <c r="K1671" t="str">
        <f t="shared" si="106"/>
        <v>Ongoing</v>
      </c>
      <c r="L1671" t="str">
        <f t="shared" si="107"/>
        <v>Ongoing</v>
      </c>
    </row>
    <row r="1672" spans="1:12" x14ac:dyDescent="0.35">
      <c r="A1672">
        <v>1685</v>
      </c>
      <c r="B1672" t="s">
        <v>4062</v>
      </c>
      <c r="C1672" t="s">
        <v>11548</v>
      </c>
      <c r="D1672" t="s">
        <v>4060</v>
      </c>
      <c r="E1672" t="s">
        <v>1112</v>
      </c>
      <c r="F1672" t="s">
        <v>3866</v>
      </c>
      <c r="G1672" t="s">
        <v>112</v>
      </c>
      <c r="I1672" t="str">
        <f t="shared" si="104"/>
        <v>Ongoing</v>
      </c>
      <c r="J1672" t="str">
        <f t="shared" si="105"/>
        <v>ng</v>
      </c>
      <c r="K1672" t="str">
        <f t="shared" si="106"/>
        <v>Ongoing</v>
      </c>
      <c r="L1672" t="str">
        <f t="shared" si="107"/>
        <v>Ongoing</v>
      </c>
    </row>
    <row r="1673" spans="1:12" x14ac:dyDescent="0.35">
      <c r="A1673">
        <v>1686</v>
      </c>
      <c r="B1673" t="s">
        <v>4063</v>
      </c>
      <c r="C1673" t="s">
        <v>10475</v>
      </c>
      <c r="D1673" t="s">
        <v>4064</v>
      </c>
      <c r="E1673" t="s">
        <v>1112</v>
      </c>
      <c r="F1673" t="s">
        <v>3866</v>
      </c>
      <c r="G1673" t="s">
        <v>4061</v>
      </c>
      <c r="I1673" t="str">
        <f t="shared" si="104"/>
        <v>Ongoing</v>
      </c>
      <c r="J1673" t="str">
        <f t="shared" si="105"/>
        <v>ng</v>
      </c>
      <c r="K1673" t="str">
        <f t="shared" si="106"/>
        <v>Ongoing</v>
      </c>
      <c r="L1673" t="str">
        <f t="shared" si="107"/>
        <v>Ongoing</v>
      </c>
    </row>
    <row r="1674" spans="1:12" x14ac:dyDescent="0.35">
      <c r="A1674">
        <v>1687</v>
      </c>
      <c r="B1674" t="s">
        <v>4065</v>
      </c>
      <c r="C1674" t="s">
        <v>10475</v>
      </c>
      <c r="D1674" t="s">
        <v>4064</v>
      </c>
      <c r="E1674" t="s">
        <v>1112</v>
      </c>
      <c r="F1674" t="s">
        <v>3866</v>
      </c>
      <c r="G1674" t="s">
        <v>4066</v>
      </c>
      <c r="I1674" t="str">
        <f t="shared" si="104"/>
        <v>Ongoing</v>
      </c>
      <c r="J1674" t="str">
        <f t="shared" si="105"/>
        <v>ng</v>
      </c>
      <c r="K1674" t="str">
        <f t="shared" si="106"/>
        <v>Ongoing</v>
      </c>
      <c r="L1674" t="str">
        <f t="shared" si="107"/>
        <v>Ongoing</v>
      </c>
    </row>
    <row r="1675" spans="1:12" x14ac:dyDescent="0.35">
      <c r="A1675">
        <v>1688</v>
      </c>
      <c r="B1675" t="s">
        <v>4067</v>
      </c>
      <c r="C1675" t="s">
        <v>10475</v>
      </c>
      <c r="D1675" t="s">
        <v>4068</v>
      </c>
      <c r="E1675" t="s">
        <v>1112</v>
      </c>
      <c r="F1675" t="s">
        <v>3866</v>
      </c>
      <c r="G1675" t="s">
        <v>4069</v>
      </c>
      <c r="I1675" t="str">
        <f t="shared" si="104"/>
        <v>Ongoing</v>
      </c>
      <c r="J1675" t="str">
        <f t="shared" si="105"/>
        <v>ng</v>
      </c>
      <c r="K1675" t="str">
        <f t="shared" si="106"/>
        <v>Ongoing</v>
      </c>
      <c r="L1675" t="str">
        <f t="shared" si="107"/>
        <v>Ongoing</v>
      </c>
    </row>
    <row r="1676" spans="1:12" x14ac:dyDescent="0.35">
      <c r="A1676">
        <v>1689</v>
      </c>
      <c r="B1676" t="s">
        <v>4070</v>
      </c>
      <c r="C1676" t="s">
        <v>10476</v>
      </c>
      <c r="D1676" t="s">
        <v>4068</v>
      </c>
      <c r="E1676" t="s">
        <v>1112</v>
      </c>
      <c r="F1676" t="s">
        <v>3866</v>
      </c>
      <c r="G1676" t="s">
        <v>112</v>
      </c>
      <c r="I1676" t="str">
        <f t="shared" si="104"/>
        <v>Ongoing</v>
      </c>
      <c r="J1676" t="str">
        <f t="shared" si="105"/>
        <v>ng</v>
      </c>
      <c r="K1676" t="str">
        <f t="shared" si="106"/>
        <v>Ongoing</v>
      </c>
      <c r="L1676" t="str">
        <f t="shared" si="107"/>
        <v>Ongoing</v>
      </c>
    </row>
    <row r="1677" spans="1:12" x14ac:dyDescent="0.35">
      <c r="A1677">
        <v>1690</v>
      </c>
      <c r="B1677" t="s">
        <v>4071</v>
      </c>
      <c r="C1677" t="s">
        <v>10475</v>
      </c>
      <c r="D1677" t="s">
        <v>4072</v>
      </c>
      <c r="E1677" t="s">
        <v>1112</v>
      </c>
      <c r="F1677" t="s">
        <v>3866</v>
      </c>
      <c r="G1677" t="s">
        <v>4061</v>
      </c>
      <c r="I1677" t="str">
        <f t="shared" si="104"/>
        <v>Ongoing</v>
      </c>
      <c r="J1677" t="str">
        <f t="shared" si="105"/>
        <v>ng</v>
      </c>
      <c r="K1677" t="str">
        <f t="shared" si="106"/>
        <v>Ongoing</v>
      </c>
      <c r="L1677" t="str">
        <f t="shared" si="107"/>
        <v>Ongoing</v>
      </c>
    </row>
    <row r="1678" spans="1:12" x14ac:dyDescent="0.35">
      <c r="A1678">
        <v>1691</v>
      </c>
      <c r="B1678" t="s">
        <v>4073</v>
      </c>
      <c r="C1678" t="s">
        <v>11549</v>
      </c>
      <c r="D1678" t="s">
        <v>4072</v>
      </c>
      <c r="E1678" t="s">
        <v>1112</v>
      </c>
      <c r="F1678" t="s">
        <v>3866</v>
      </c>
      <c r="G1678" t="s">
        <v>112</v>
      </c>
      <c r="I1678" t="str">
        <f t="shared" si="104"/>
        <v>Ongoing</v>
      </c>
      <c r="J1678" t="str">
        <f t="shared" si="105"/>
        <v>ng</v>
      </c>
      <c r="K1678" t="str">
        <f t="shared" si="106"/>
        <v>Ongoing</v>
      </c>
      <c r="L1678" t="str">
        <f t="shared" si="107"/>
        <v>Ongoing</v>
      </c>
    </row>
    <row r="1679" spans="1:12" x14ac:dyDescent="0.35">
      <c r="A1679">
        <v>1692</v>
      </c>
      <c r="B1679" t="s">
        <v>4074</v>
      </c>
      <c r="C1679" t="s">
        <v>11550</v>
      </c>
      <c r="D1679" t="s">
        <v>4075</v>
      </c>
      <c r="E1679" t="s">
        <v>1112</v>
      </c>
      <c r="F1679" t="s">
        <v>3866</v>
      </c>
      <c r="G1679" t="s">
        <v>112</v>
      </c>
      <c r="I1679" t="str">
        <f t="shared" si="104"/>
        <v>Ongoing</v>
      </c>
      <c r="J1679" t="str">
        <f t="shared" si="105"/>
        <v>ng</v>
      </c>
      <c r="K1679" t="str">
        <f t="shared" si="106"/>
        <v>Ongoing</v>
      </c>
      <c r="L1679" t="str">
        <f t="shared" si="107"/>
        <v>Ongoing</v>
      </c>
    </row>
    <row r="1680" spans="1:12" x14ac:dyDescent="0.35">
      <c r="A1680">
        <v>1693</v>
      </c>
      <c r="B1680" t="s">
        <v>4076</v>
      </c>
      <c r="C1680" t="s">
        <v>10477</v>
      </c>
      <c r="D1680" t="s">
        <v>4075</v>
      </c>
      <c r="E1680" t="s">
        <v>1112</v>
      </c>
      <c r="F1680" t="s">
        <v>3866</v>
      </c>
      <c r="G1680" t="s">
        <v>112</v>
      </c>
      <c r="I1680" t="str">
        <f t="shared" si="104"/>
        <v>Ongoing</v>
      </c>
      <c r="J1680" t="str">
        <f t="shared" si="105"/>
        <v>ng</v>
      </c>
      <c r="K1680" t="str">
        <f t="shared" si="106"/>
        <v>Ongoing</v>
      </c>
      <c r="L1680" t="str">
        <f t="shared" si="107"/>
        <v>Ongoing</v>
      </c>
    </row>
    <row r="1681" spans="1:12" x14ac:dyDescent="0.35">
      <c r="A1681">
        <v>1694</v>
      </c>
      <c r="B1681" t="s">
        <v>4077</v>
      </c>
      <c r="C1681" t="s">
        <v>10478</v>
      </c>
      <c r="D1681" t="s">
        <v>4078</v>
      </c>
      <c r="E1681" t="s">
        <v>1112</v>
      </c>
      <c r="F1681" t="s">
        <v>3866</v>
      </c>
      <c r="G1681" t="s">
        <v>112</v>
      </c>
      <c r="I1681" t="str">
        <f t="shared" si="104"/>
        <v>Ongoing</v>
      </c>
      <c r="J1681" t="str">
        <f t="shared" si="105"/>
        <v>ng</v>
      </c>
      <c r="K1681" t="str">
        <f t="shared" si="106"/>
        <v>Ongoing</v>
      </c>
      <c r="L1681" t="str">
        <f t="shared" si="107"/>
        <v>Ongoing</v>
      </c>
    </row>
    <row r="1682" spans="1:12" x14ac:dyDescent="0.35">
      <c r="A1682">
        <v>1695</v>
      </c>
      <c r="B1682" t="s">
        <v>4079</v>
      </c>
      <c r="C1682" t="s">
        <v>10479</v>
      </c>
      <c r="D1682" t="s">
        <v>4078</v>
      </c>
      <c r="E1682" t="s">
        <v>1112</v>
      </c>
      <c r="F1682" t="s">
        <v>3866</v>
      </c>
      <c r="G1682" t="s">
        <v>112</v>
      </c>
      <c r="I1682" t="str">
        <f t="shared" si="104"/>
        <v>Ongoing</v>
      </c>
      <c r="J1682" t="str">
        <f t="shared" si="105"/>
        <v>ng</v>
      </c>
      <c r="K1682" t="str">
        <f t="shared" si="106"/>
        <v>Ongoing</v>
      </c>
      <c r="L1682" t="str">
        <f t="shared" si="107"/>
        <v>Ongoing</v>
      </c>
    </row>
    <row r="1683" spans="1:12" x14ac:dyDescent="0.35">
      <c r="A1683">
        <v>1696</v>
      </c>
      <c r="B1683" t="s">
        <v>4176</v>
      </c>
      <c r="C1683" t="s">
        <v>11551</v>
      </c>
      <c r="D1683" t="s">
        <v>4177</v>
      </c>
      <c r="E1683" t="s">
        <v>4178</v>
      </c>
      <c r="F1683" t="s">
        <v>3714</v>
      </c>
      <c r="G1683" t="s">
        <v>112</v>
      </c>
      <c r="I1683" t="str">
        <f t="shared" si="104"/>
        <v>All time</v>
      </c>
      <c r="J1683" t="str">
        <f t="shared" si="105"/>
        <v>me</v>
      </c>
      <c r="K1683" t="str">
        <f t="shared" si="106"/>
        <v>All time</v>
      </c>
      <c r="L1683" t="str">
        <f t="shared" si="107"/>
        <v>All time</v>
      </c>
    </row>
    <row r="1684" spans="1:12" x14ac:dyDescent="0.35">
      <c r="A1684">
        <v>1697</v>
      </c>
      <c r="B1684" t="s">
        <v>4179</v>
      </c>
      <c r="C1684" t="s">
        <v>11552</v>
      </c>
      <c r="D1684" t="s">
        <v>4177</v>
      </c>
      <c r="E1684" t="s">
        <v>3788</v>
      </c>
      <c r="F1684" t="s">
        <v>3714</v>
      </c>
      <c r="G1684" t="s">
        <v>112</v>
      </c>
      <c r="I1684" t="str">
        <f t="shared" si="104"/>
        <v>All time</v>
      </c>
      <c r="J1684" t="str">
        <f t="shared" si="105"/>
        <v>me</v>
      </c>
      <c r="K1684" t="str">
        <f t="shared" si="106"/>
        <v>All time</v>
      </c>
      <c r="L1684" t="str">
        <f t="shared" si="107"/>
        <v>All time</v>
      </c>
    </row>
    <row r="1685" spans="1:12" x14ac:dyDescent="0.35">
      <c r="A1685">
        <v>1698</v>
      </c>
      <c r="B1685" t="s">
        <v>4180</v>
      </c>
      <c r="C1685" t="s">
        <v>11553</v>
      </c>
      <c r="D1685" t="s">
        <v>4177</v>
      </c>
      <c r="E1685" t="s">
        <v>3788</v>
      </c>
      <c r="F1685" t="s">
        <v>3714</v>
      </c>
      <c r="G1685" t="s">
        <v>112</v>
      </c>
      <c r="I1685" t="str">
        <f t="shared" si="104"/>
        <v>All time</v>
      </c>
      <c r="J1685" t="str">
        <f t="shared" si="105"/>
        <v>me</v>
      </c>
      <c r="K1685" t="str">
        <f t="shared" si="106"/>
        <v>All time</v>
      </c>
      <c r="L1685" t="str">
        <f t="shared" si="107"/>
        <v>All time</v>
      </c>
    </row>
    <row r="1686" spans="1:12" x14ac:dyDescent="0.35">
      <c r="A1686">
        <v>1699</v>
      </c>
      <c r="B1686" t="s">
        <v>4181</v>
      </c>
      <c r="C1686" t="s">
        <v>11554</v>
      </c>
      <c r="D1686" t="s">
        <v>4182</v>
      </c>
      <c r="E1686" t="s">
        <v>3788</v>
      </c>
      <c r="F1686" t="s">
        <v>3714</v>
      </c>
      <c r="G1686" t="s">
        <v>112</v>
      </c>
      <c r="I1686" t="str">
        <f t="shared" si="104"/>
        <v>All time</v>
      </c>
      <c r="J1686" t="str">
        <f t="shared" si="105"/>
        <v>me</v>
      </c>
      <c r="K1686" t="str">
        <f t="shared" si="106"/>
        <v>All time</v>
      </c>
      <c r="L1686" t="str">
        <f t="shared" si="107"/>
        <v>All time</v>
      </c>
    </row>
    <row r="1687" spans="1:12" x14ac:dyDescent="0.35">
      <c r="A1687">
        <v>1700</v>
      </c>
      <c r="B1687" t="s">
        <v>4183</v>
      </c>
      <c r="C1687" t="s">
        <v>11555</v>
      </c>
      <c r="D1687" t="s">
        <v>4182</v>
      </c>
      <c r="E1687" t="s">
        <v>3788</v>
      </c>
      <c r="F1687" t="s">
        <v>3714</v>
      </c>
      <c r="G1687" t="s">
        <v>112</v>
      </c>
      <c r="I1687" t="str">
        <f t="shared" si="104"/>
        <v>All time</v>
      </c>
      <c r="J1687" t="str">
        <f t="shared" si="105"/>
        <v>me</v>
      </c>
      <c r="K1687" t="str">
        <f t="shared" si="106"/>
        <v>All time</v>
      </c>
      <c r="L1687" t="str">
        <f t="shared" si="107"/>
        <v>All time</v>
      </c>
    </row>
    <row r="1688" spans="1:12" x14ac:dyDescent="0.35">
      <c r="A1688">
        <v>1701</v>
      </c>
      <c r="B1688" t="s">
        <v>4184</v>
      </c>
      <c r="C1688" t="s">
        <v>11554</v>
      </c>
      <c r="D1688" t="s">
        <v>4182</v>
      </c>
      <c r="E1688" t="s">
        <v>3788</v>
      </c>
      <c r="F1688" t="s">
        <v>3714</v>
      </c>
      <c r="G1688" t="s">
        <v>112</v>
      </c>
      <c r="I1688" t="str">
        <f t="shared" si="104"/>
        <v>All time</v>
      </c>
      <c r="J1688" t="str">
        <f t="shared" si="105"/>
        <v>me</v>
      </c>
      <c r="K1688" t="str">
        <f t="shared" si="106"/>
        <v>All time</v>
      </c>
      <c r="L1688" t="str">
        <f t="shared" si="107"/>
        <v>All time</v>
      </c>
    </row>
    <row r="1689" spans="1:12" x14ac:dyDescent="0.35">
      <c r="A1689">
        <v>1702</v>
      </c>
      <c r="B1689" t="s">
        <v>4185</v>
      </c>
      <c r="C1689" t="s">
        <v>10480</v>
      </c>
      <c r="D1689" t="s">
        <v>4182</v>
      </c>
      <c r="E1689" t="s">
        <v>3788</v>
      </c>
      <c r="F1689" t="s">
        <v>3714</v>
      </c>
      <c r="G1689" t="s">
        <v>112</v>
      </c>
      <c r="I1689" t="str">
        <f t="shared" si="104"/>
        <v>All time</v>
      </c>
      <c r="J1689" t="str">
        <f t="shared" si="105"/>
        <v>me</v>
      </c>
      <c r="K1689" t="str">
        <f t="shared" si="106"/>
        <v>All time</v>
      </c>
      <c r="L1689" t="str">
        <f t="shared" si="107"/>
        <v>All time</v>
      </c>
    </row>
    <row r="1690" spans="1:12" x14ac:dyDescent="0.35">
      <c r="A1690">
        <v>1703</v>
      </c>
      <c r="B1690" t="s">
        <v>4186</v>
      </c>
      <c r="C1690" t="s">
        <v>10481</v>
      </c>
      <c r="D1690" t="s">
        <v>4187</v>
      </c>
      <c r="E1690" t="s">
        <v>4188</v>
      </c>
      <c r="F1690" t="s">
        <v>3714</v>
      </c>
      <c r="G1690" t="s">
        <v>112</v>
      </c>
      <c r="I1690" t="str">
        <f t="shared" si="104"/>
        <v>All time</v>
      </c>
      <c r="J1690" t="str">
        <f t="shared" si="105"/>
        <v>me</v>
      </c>
      <c r="K1690" t="str">
        <f t="shared" si="106"/>
        <v>All time</v>
      </c>
      <c r="L1690" t="str">
        <f t="shared" si="107"/>
        <v>All time</v>
      </c>
    </row>
    <row r="1691" spans="1:12" x14ac:dyDescent="0.35">
      <c r="A1691">
        <v>1704</v>
      </c>
      <c r="B1691" t="s">
        <v>4189</v>
      </c>
      <c r="C1691" t="s">
        <v>10232</v>
      </c>
      <c r="D1691" t="s">
        <v>4190</v>
      </c>
      <c r="E1691" t="s">
        <v>4191</v>
      </c>
      <c r="F1691" t="s">
        <v>4192</v>
      </c>
      <c r="G1691" t="s">
        <v>112</v>
      </c>
      <c r="I1691" t="str">
        <f t="shared" si="104"/>
        <v>Future judgment</v>
      </c>
      <c r="J1691" t="str">
        <f t="shared" si="105"/>
        <v>nt</v>
      </c>
      <c r="K1691" t="str">
        <f t="shared" si="106"/>
        <v>Future judgment</v>
      </c>
      <c r="L1691" t="str">
        <f t="shared" si="107"/>
        <v>Future judgment</v>
      </c>
    </row>
    <row r="1692" spans="1:12" x14ac:dyDescent="0.35">
      <c r="A1692">
        <v>1705</v>
      </c>
      <c r="B1692" t="s">
        <v>4193</v>
      </c>
      <c r="C1692" t="s">
        <v>11556</v>
      </c>
      <c r="D1692" t="s">
        <v>4194</v>
      </c>
      <c r="E1692" t="s">
        <v>3788</v>
      </c>
      <c r="F1692" t="s">
        <v>3714</v>
      </c>
      <c r="G1692" t="s">
        <v>112</v>
      </c>
      <c r="I1692" t="str">
        <f t="shared" si="104"/>
        <v>All time</v>
      </c>
      <c r="J1692" t="str">
        <f t="shared" si="105"/>
        <v>me</v>
      </c>
      <c r="K1692" t="str">
        <f t="shared" si="106"/>
        <v>All time</v>
      </c>
      <c r="L1692" t="str">
        <f t="shared" si="107"/>
        <v>All time</v>
      </c>
    </row>
    <row r="1693" spans="1:12" x14ac:dyDescent="0.35">
      <c r="A1693">
        <v>1706</v>
      </c>
      <c r="B1693" t="s">
        <v>4195</v>
      </c>
      <c r="C1693" t="s">
        <v>10482</v>
      </c>
      <c r="D1693" t="s">
        <v>4196</v>
      </c>
      <c r="E1693" t="s">
        <v>3788</v>
      </c>
      <c r="F1693" t="s">
        <v>3714</v>
      </c>
      <c r="G1693" t="s">
        <v>112</v>
      </c>
      <c r="I1693" t="str">
        <f t="shared" si="104"/>
        <v>All time</v>
      </c>
      <c r="J1693" t="str">
        <f t="shared" si="105"/>
        <v>me</v>
      </c>
      <c r="K1693" t="str">
        <f t="shared" si="106"/>
        <v>All time</v>
      </c>
      <c r="L1693" t="str">
        <f t="shared" si="107"/>
        <v>All time</v>
      </c>
    </row>
    <row r="1694" spans="1:12" x14ac:dyDescent="0.35">
      <c r="A1694">
        <v>1707</v>
      </c>
      <c r="B1694" t="s">
        <v>4197</v>
      </c>
      <c r="C1694" t="s">
        <v>11557</v>
      </c>
      <c r="D1694" t="s">
        <v>4196</v>
      </c>
      <c r="E1694" t="s">
        <v>3788</v>
      </c>
      <c r="F1694" t="s">
        <v>3714</v>
      </c>
      <c r="G1694" t="s">
        <v>112</v>
      </c>
      <c r="I1694" t="str">
        <f t="shared" si="104"/>
        <v>All time</v>
      </c>
      <c r="J1694" t="str">
        <f t="shared" si="105"/>
        <v>me</v>
      </c>
      <c r="K1694" t="str">
        <f t="shared" si="106"/>
        <v>All time</v>
      </c>
      <c r="L1694" t="str">
        <f t="shared" si="107"/>
        <v>All time</v>
      </c>
    </row>
    <row r="1695" spans="1:12" x14ac:dyDescent="0.35">
      <c r="A1695">
        <v>1708</v>
      </c>
      <c r="B1695" t="s">
        <v>4198</v>
      </c>
      <c r="C1695" t="s">
        <v>11558</v>
      </c>
      <c r="D1695" t="s">
        <v>4196</v>
      </c>
      <c r="E1695" t="s">
        <v>3788</v>
      </c>
      <c r="F1695" t="s">
        <v>3714</v>
      </c>
      <c r="G1695" t="s">
        <v>112</v>
      </c>
      <c r="I1695" t="str">
        <f t="shared" si="104"/>
        <v>All time</v>
      </c>
      <c r="J1695" t="str">
        <f t="shared" si="105"/>
        <v>me</v>
      </c>
      <c r="K1695" t="str">
        <f t="shared" si="106"/>
        <v>All time</v>
      </c>
      <c r="L1695" t="str">
        <f t="shared" si="107"/>
        <v>All time</v>
      </c>
    </row>
    <row r="1696" spans="1:12" x14ac:dyDescent="0.35">
      <c r="A1696">
        <v>1709</v>
      </c>
      <c r="B1696" t="s">
        <v>4199</v>
      </c>
      <c r="C1696" t="s">
        <v>11559</v>
      </c>
      <c r="D1696" t="s">
        <v>4200</v>
      </c>
      <c r="E1696" t="s">
        <v>3788</v>
      </c>
      <c r="F1696" t="s">
        <v>3714</v>
      </c>
      <c r="G1696" t="s">
        <v>112</v>
      </c>
      <c r="I1696" t="str">
        <f t="shared" si="104"/>
        <v>All time</v>
      </c>
      <c r="J1696" t="str">
        <f t="shared" si="105"/>
        <v>me</v>
      </c>
      <c r="K1696" t="str">
        <f t="shared" si="106"/>
        <v>All time</v>
      </c>
      <c r="L1696" t="str">
        <f t="shared" si="107"/>
        <v>All time</v>
      </c>
    </row>
    <row r="1697" spans="1:12" x14ac:dyDescent="0.35">
      <c r="A1697">
        <v>1710</v>
      </c>
      <c r="B1697" t="s">
        <v>4201</v>
      </c>
      <c r="C1697" t="s">
        <v>10181</v>
      </c>
      <c r="D1697" t="s">
        <v>4202</v>
      </c>
      <c r="E1697" t="s">
        <v>3788</v>
      </c>
      <c r="F1697" t="s">
        <v>3714</v>
      </c>
      <c r="G1697" t="s">
        <v>112</v>
      </c>
      <c r="I1697" t="str">
        <f t="shared" si="104"/>
        <v>All time</v>
      </c>
      <c r="J1697" t="str">
        <f t="shared" si="105"/>
        <v>me</v>
      </c>
      <c r="K1697" t="str">
        <f t="shared" si="106"/>
        <v>All time</v>
      </c>
      <c r="L1697" t="str">
        <f t="shared" si="107"/>
        <v>All time</v>
      </c>
    </row>
    <row r="1698" spans="1:12" x14ac:dyDescent="0.35">
      <c r="A1698">
        <v>1711</v>
      </c>
      <c r="B1698" t="s">
        <v>4203</v>
      </c>
      <c r="C1698" t="s">
        <v>11560</v>
      </c>
      <c r="D1698" t="s">
        <v>4202</v>
      </c>
      <c r="E1698" t="s">
        <v>3788</v>
      </c>
      <c r="F1698" t="s">
        <v>3714</v>
      </c>
      <c r="G1698" t="s">
        <v>112</v>
      </c>
      <c r="I1698" t="str">
        <f t="shared" si="104"/>
        <v>All time</v>
      </c>
      <c r="J1698" t="str">
        <f t="shared" si="105"/>
        <v>me</v>
      </c>
      <c r="K1698" t="str">
        <f t="shared" si="106"/>
        <v>All time</v>
      </c>
      <c r="L1698" t="str">
        <f t="shared" si="107"/>
        <v>All time</v>
      </c>
    </row>
    <row r="1699" spans="1:12" x14ac:dyDescent="0.35">
      <c r="A1699">
        <v>1712</v>
      </c>
      <c r="B1699" t="s">
        <v>4204</v>
      </c>
      <c r="C1699" t="s">
        <v>10483</v>
      </c>
      <c r="D1699" t="s">
        <v>4202</v>
      </c>
      <c r="E1699" t="s">
        <v>3788</v>
      </c>
      <c r="F1699" t="s">
        <v>3714</v>
      </c>
      <c r="G1699" t="s">
        <v>112</v>
      </c>
      <c r="I1699" t="str">
        <f t="shared" si="104"/>
        <v>All time</v>
      </c>
      <c r="J1699" t="str">
        <f t="shared" si="105"/>
        <v>me</v>
      </c>
      <c r="K1699" t="str">
        <f t="shared" si="106"/>
        <v>All time</v>
      </c>
      <c r="L1699" t="str">
        <f t="shared" si="107"/>
        <v>All time</v>
      </c>
    </row>
    <row r="1700" spans="1:12" x14ac:dyDescent="0.35">
      <c r="A1700">
        <v>1713</v>
      </c>
      <c r="B1700" t="s">
        <v>4205</v>
      </c>
      <c r="C1700" t="s">
        <v>10484</v>
      </c>
      <c r="D1700" t="s">
        <v>4206</v>
      </c>
      <c r="E1700" t="s">
        <v>3788</v>
      </c>
      <c r="F1700" t="s">
        <v>3714</v>
      </c>
      <c r="G1700" t="s">
        <v>112</v>
      </c>
      <c r="I1700" t="str">
        <f t="shared" si="104"/>
        <v>All time</v>
      </c>
      <c r="J1700" t="str">
        <f t="shared" si="105"/>
        <v>me</v>
      </c>
      <c r="K1700" t="str">
        <f t="shared" si="106"/>
        <v>All time</v>
      </c>
      <c r="L1700" t="str">
        <f t="shared" si="107"/>
        <v>All time</v>
      </c>
    </row>
    <row r="1701" spans="1:12" x14ac:dyDescent="0.35">
      <c r="A1701">
        <v>1714</v>
      </c>
      <c r="B1701" t="s">
        <v>4207</v>
      </c>
      <c r="C1701" t="s">
        <v>11561</v>
      </c>
      <c r="D1701" t="s">
        <v>4206</v>
      </c>
      <c r="E1701" t="s">
        <v>3788</v>
      </c>
      <c r="F1701" t="s">
        <v>3714</v>
      </c>
      <c r="G1701" t="s">
        <v>112</v>
      </c>
      <c r="I1701" t="str">
        <f t="shared" si="104"/>
        <v>All time</v>
      </c>
      <c r="J1701" t="str">
        <f t="shared" si="105"/>
        <v>me</v>
      </c>
      <c r="K1701" t="str">
        <f t="shared" si="106"/>
        <v>All time</v>
      </c>
      <c r="L1701" t="str">
        <f t="shared" si="107"/>
        <v>All time</v>
      </c>
    </row>
    <row r="1702" spans="1:12" x14ac:dyDescent="0.35">
      <c r="A1702">
        <v>1715</v>
      </c>
      <c r="B1702" t="s">
        <v>4208</v>
      </c>
      <c r="C1702" t="s">
        <v>11562</v>
      </c>
      <c r="D1702" t="s">
        <v>4209</v>
      </c>
      <c r="E1702" t="s">
        <v>3788</v>
      </c>
      <c r="F1702" t="s">
        <v>3714</v>
      </c>
      <c r="G1702" t="s">
        <v>4210</v>
      </c>
      <c r="I1702" t="str">
        <f t="shared" si="104"/>
        <v>All time</v>
      </c>
      <c r="J1702" t="str">
        <f t="shared" si="105"/>
        <v>me</v>
      </c>
      <c r="K1702" t="str">
        <f t="shared" si="106"/>
        <v>All time</v>
      </c>
      <c r="L1702" t="str">
        <f t="shared" si="107"/>
        <v>All time</v>
      </c>
    </row>
    <row r="1703" spans="1:12" x14ac:dyDescent="0.35">
      <c r="A1703">
        <v>1716</v>
      </c>
      <c r="B1703" t="s">
        <v>4211</v>
      </c>
      <c r="C1703" t="s">
        <v>10485</v>
      </c>
      <c r="D1703" t="s">
        <v>4209</v>
      </c>
      <c r="E1703" t="s">
        <v>3788</v>
      </c>
      <c r="F1703" t="s">
        <v>3714</v>
      </c>
      <c r="G1703" t="s">
        <v>4210</v>
      </c>
      <c r="I1703" t="str">
        <f t="shared" si="104"/>
        <v>All time</v>
      </c>
      <c r="J1703" t="str">
        <f t="shared" si="105"/>
        <v>me</v>
      </c>
      <c r="K1703" t="str">
        <f t="shared" si="106"/>
        <v>All time</v>
      </c>
      <c r="L1703" t="str">
        <f t="shared" si="107"/>
        <v>All time</v>
      </c>
    </row>
    <row r="1704" spans="1:12" x14ac:dyDescent="0.35">
      <c r="A1704">
        <v>1717</v>
      </c>
      <c r="B1704" t="s">
        <v>4212</v>
      </c>
      <c r="C1704" t="s">
        <v>10486</v>
      </c>
      <c r="D1704" t="s">
        <v>4213</v>
      </c>
      <c r="E1704" t="s">
        <v>4214</v>
      </c>
      <c r="F1704" t="s">
        <v>3653</v>
      </c>
      <c r="G1704" t="s">
        <v>112</v>
      </c>
      <c r="I1704" t="str">
        <f t="shared" si="104"/>
        <v>Creation</v>
      </c>
      <c r="J1704" t="str">
        <f t="shared" si="105"/>
        <v>on</v>
      </c>
      <c r="K1704" t="str">
        <f t="shared" si="106"/>
        <v>Creation</v>
      </c>
      <c r="L1704" t="str">
        <f t="shared" si="107"/>
        <v>Creation</v>
      </c>
    </row>
    <row r="1705" spans="1:12" x14ac:dyDescent="0.35">
      <c r="A1705">
        <v>1718</v>
      </c>
      <c r="B1705" t="s">
        <v>4215</v>
      </c>
      <c r="C1705" t="s">
        <v>11563</v>
      </c>
      <c r="D1705" t="s">
        <v>4213</v>
      </c>
      <c r="E1705" t="s">
        <v>3788</v>
      </c>
      <c r="F1705" t="s">
        <v>4216</v>
      </c>
      <c r="G1705" t="s">
        <v>4217</v>
      </c>
      <c r="I1705" t="str">
        <f t="shared" si="104"/>
        <v>Post-fall</v>
      </c>
      <c r="J1705" t="str">
        <f t="shared" si="105"/>
        <v>ll</v>
      </c>
      <c r="K1705" t="str">
        <f t="shared" si="106"/>
        <v>Post</v>
      </c>
      <c r="L1705" t="str">
        <f t="shared" si="107"/>
        <v>fall</v>
      </c>
    </row>
    <row r="1706" spans="1:12" x14ac:dyDescent="0.35">
      <c r="A1706">
        <v>1719</v>
      </c>
      <c r="B1706" t="s">
        <v>4218</v>
      </c>
      <c r="C1706" t="s">
        <v>11564</v>
      </c>
      <c r="D1706" t="s">
        <v>4219</v>
      </c>
      <c r="E1706" t="s">
        <v>3788</v>
      </c>
      <c r="F1706" t="s">
        <v>3714</v>
      </c>
      <c r="G1706" t="s">
        <v>4210</v>
      </c>
      <c r="I1706" t="str">
        <f t="shared" si="104"/>
        <v>All time</v>
      </c>
      <c r="J1706" t="str">
        <f t="shared" si="105"/>
        <v>me</v>
      </c>
      <c r="K1706" t="str">
        <f t="shared" si="106"/>
        <v>All time</v>
      </c>
      <c r="L1706" t="str">
        <f t="shared" si="107"/>
        <v>All time</v>
      </c>
    </row>
    <row r="1707" spans="1:12" x14ac:dyDescent="0.35">
      <c r="A1707">
        <v>1720</v>
      </c>
      <c r="B1707" t="s">
        <v>4220</v>
      </c>
      <c r="C1707" t="s">
        <v>11564</v>
      </c>
      <c r="D1707" t="s">
        <v>4219</v>
      </c>
      <c r="E1707" t="s">
        <v>3788</v>
      </c>
      <c r="F1707" t="s">
        <v>3714</v>
      </c>
      <c r="G1707" t="s">
        <v>4210</v>
      </c>
      <c r="I1707" t="str">
        <f t="shared" si="104"/>
        <v>All time</v>
      </c>
      <c r="J1707" t="str">
        <f t="shared" si="105"/>
        <v>me</v>
      </c>
      <c r="K1707" t="str">
        <f t="shared" si="106"/>
        <v>All time</v>
      </c>
      <c r="L1707" t="str">
        <f t="shared" si="107"/>
        <v>All time</v>
      </c>
    </row>
    <row r="1708" spans="1:12" x14ac:dyDescent="0.35">
      <c r="A1708">
        <v>1721</v>
      </c>
      <c r="B1708" t="s">
        <v>4221</v>
      </c>
      <c r="C1708" t="s">
        <v>11565</v>
      </c>
      <c r="D1708" t="s">
        <v>4222</v>
      </c>
      <c r="E1708" t="s">
        <v>3788</v>
      </c>
      <c r="F1708" t="s">
        <v>3714</v>
      </c>
      <c r="G1708" t="s">
        <v>112</v>
      </c>
      <c r="I1708" t="str">
        <f t="shared" si="104"/>
        <v>All time</v>
      </c>
      <c r="J1708" t="str">
        <f t="shared" si="105"/>
        <v>me</v>
      </c>
      <c r="K1708" t="str">
        <f t="shared" si="106"/>
        <v>All time</v>
      </c>
      <c r="L1708" t="str">
        <f t="shared" si="107"/>
        <v>All time</v>
      </c>
    </row>
    <row r="1709" spans="1:12" x14ac:dyDescent="0.35">
      <c r="A1709">
        <v>1722</v>
      </c>
      <c r="B1709" t="s">
        <v>4223</v>
      </c>
      <c r="C1709" t="s">
        <v>11553</v>
      </c>
      <c r="D1709" t="s">
        <v>4222</v>
      </c>
      <c r="E1709" t="s">
        <v>3788</v>
      </c>
      <c r="F1709" t="s">
        <v>3714</v>
      </c>
      <c r="G1709" t="s">
        <v>112</v>
      </c>
      <c r="I1709" t="str">
        <f t="shared" si="104"/>
        <v>All time</v>
      </c>
      <c r="J1709" t="str">
        <f t="shared" si="105"/>
        <v>me</v>
      </c>
      <c r="K1709" t="str">
        <f t="shared" si="106"/>
        <v>All time</v>
      </c>
      <c r="L1709" t="str">
        <f t="shared" si="107"/>
        <v>All time</v>
      </c>
    </row>
    <row r="1710" spans="1:12" x14ac:dyDescent="0.35">
      <c r="A1710">
        <v>1723</v>
      </c>
      <c r="B1710" t="s">
        <v>4224</v>
      </c>
      <c r="C1710" t="s">
        <v>11532</v>
      </c>
      <c r="D1710" t="s">
        <v>4222</v>
      </c>
      <c r="E1710" t="s">
        <v>3788</v>
      </c>
      <c r="F1710" t="s">
        <v>3714</v>
      </c>
      <c r="G1710" t="s">
        <v>112</v>
      </c>
      <c r="I1710" t="str">
        <f t="shared" si="104"/>
        <v>All time</v>
      </c>
      <c r="J1710" t="str">
        <f t="shared" si="105"/>
        <v>me</v>
      </c>
      <c r="K1710" t="str">
        <f t="shared" si="106"/>
        <v>All time</v>
      </c>
      <c r="L1710" t="str">
        <f t="shared" si="107"/>
        <v>All time</v>
      </c>
    </row>
    <row r="1711" spans="1:12" x14ac:dyDescent="0.35">
      <c r="A1711">
        <v>1724</v>
      </c>
      <c r="B1711" t="s">
        <v>4225</v>
      </c>
      <c r="C1711" t="s">
        <v>11566</v>
      </c>
      <c r="D1711" t="s">
        <v>4226</v>
      </c>
      <c r="E1711" t="s">
        <v>3788</v>
      </c>
      <c r="F1711" t="s">
        <v>3714</v>
      </c>
      <c r="G1711" t="s">
        <v>112</v>
      </c>
      <c r="I1711" t="str">
        <f t="shared" si="104"/>
        <v>All time</v>
      </c>
      <c r="J1711" t="str">
        <f t="shared" si="105"/>
        <v>me</v>
      </c>
      <c r="K1711" t="str">
        <f t="shared" si="106"/>
        <v>All time</v>
      </c>
      <c r="L1711" t="str">
        <f t="shared" si="107"/>
        <v>All time</v>
      </c>
    </row>
    <row r="1712" spans="1:12" x14ac:dyDescent="0.35">
      <c r="A1712">
        <v>1725</v>
      </c>
      <c r="B1712" t="s">
        <v>4227</v>
      </c>
      <c r="C1712" t="s">
        <v>10487</v>
      </c>
      <c r="D1712" t="s">
        <v>4226</v>
      </c>
      <c r="E1712" t="s">
        <v>3788</v>
      </c>
      <c r="F1712" t="s">
        <v>3714</v>
      </c>
      <c r="G1712" t="s">
        <v>4210</v>
      </c>
      <c r="I1712" t="str">
        <f t="shared" si="104"/>
        <v>All time</v>
      </c>
      <c r="J1712" t="str">
        <f t="shared" si="105"/>
        <v>me</v>
      </c>
      <c r="K1712" t="str">
        <f t="shared" si="106"/>
        <v>All time</v>
      </c>
      <c r="L1712" t="str">
        <f t="shared" si="107"/>
        <v>All time</v>
      </c>
    </row>
    <row r="1713" spans="1:12" x14ac:dyDescent="0.35">
      <c r="A1713">
        <v>1726</v>
      </c>
      <c r="B1713" t="s">
        <v>4228</v>
      </c>
      <c r="C1713" t="s">
        <v>11567</v>
      </c>
      <c r="D1713" t="s">
        <v>4229</v>
      </c>
      <c r="E1713" t="s">
        <v>3788</v>
      </c>
      <c r="F1713" t="s">
        <v>3714</v>
      </c>
      <c r="G1713" t="s">
        <v>112</v>
      </c>
      <c r="I1713" t="str">
        <f t="shared" si="104"/>
        <v>All time</v>
      </c>
      <c r="J1713" t="str">
        <f t="shared" si="105"/>
        <v>me</v>
      </c>
      <c r="K1713" t="str">
        <f t="shared" si="106"/>
        <v>All time</v>
      </c>
      <c r="L1713" t="str">
        <f t="shared" si="107"/>
        <v>All time</v>
      </c>
    </row>
    <row r="1714" spans="1:12" x14ac:dyDescent="0.35">
      <c r="A1714">
        <v>1727</v>
      </c>
      <c r="B1714" t="s">
        <v>4230</v>
      </c>
      <c r="C1714" t="s">
        <v>11564</v>
      </c>
      <c r="D1714" t="s">
        <v>4231</v>
      </c>
      <c r="E1714" t="s">
        <v>3788</v>
      </c>
      <c r="F1714" t="s">
        <v>3714</v>
      </c>
      <c r="G1714" t="s">
        <v>112</v>
      </c>
      <c r="I1714" t="str">
        <f t="shared" si="104"/>
        <v>All time</v>
      </c>
      <c r="J1714" t="str">
        <f t="shared" si="105"/>
        <v>me</v>
      </c>
      <c r="K1714" t="str">
        <f t="shared" si="106"/>
        <v>All time</v>
      </c>
      <c r="L1714" t="str">
        <f t="shared" si="107"/>
        <v>All time</v>
      </c>
    </row>
    <row r="1715" spans="1:12" x14ac:dyDescent="0.35">
      <c r="A1715">
        <v>1728</v>
      </c>
      <c r="B1715" t="s">
        <v>4232</v>
      </c>
      <c r="C1715" t="s">
        <v>10488</v>
      </c>
      <c r="D1715" t="s">
        <v>4233</v>
      </c>
      <c r="E1715" t="s">
        <v>3788</v>
      </c>
      <c r="F1715" t="s">
        <v>3714</v>
      </c>
      <c r="G1715" t="s">
        <v>112</v>
      </c>
      <c r="I1715" t="str">
        <f t="shared" si="104"/>
        <v>All time</v>
      </c>
      <c r="J1715" t="str">
        <f t="shared" si="105"/>
        <v>me</v>
      </c>
      <c r="K1715" t="str">
        <f t="shared" si="106"/>
        <v>All time</v>
      </c>
      <c r="L1715" t="str">
        <f t="shared" si="107"/>
        <v>All time</v>
      </c>
    </row>
    <row r="1716" spans="1:12" x14ac:dyDescent="0.35">
      <c r="A1716">
        <v>1729</v>
      </c>
      <c r="B1716" t="s">
        <v>4234</v>
      </c>
      <c r="C1716" t="s">
        <v>11568</v>
      </c>
      <c r="D1716" t="s">
        <v>4235</v>
      </c>
      <c r="E1716" t="s">
        <v>3788</v>
      </c>
      <c r="F1716" t="s">
        <v>3714</v>
      </c>
      <c r="G1716" t="s">
        <v>4210</v>
      </c>
      <c r="I1716" t="str">
        <f t="shared" ref="I1716:I1779" si="108">SUBSTITUTE(SUBSTITUTE(SUBSTITUTE(F1716,"c. ","")," BC","")," AD","")</f>
        <v>All time</v>
      </c>
      <c r="J1716" t="str">
        <f t="shared" si="105"/>
        <v>me</v>
      </c>
      <c r="K1716" t="str">
        <f t="shared" si="106"/>
        <v>All time</v>
      </c>
      <c r="L1716" t="str">
        <f t="shared" si="107"/>
        <v>All time</v>
      </c>
    </row>
    <row r="1717" spans="1:12" x14ac:dyDescent="0.35">
      <c r="A1717">
        <v>1730</v>
      </c>
      <c r="B1717" t="s">
        <v>4236</v>
      </c>
      <c r="C1717" t="s">
        <v>11569</v>
      </c>
      <c r="D1717" t="s">
        <v>4237</v>
      </c>
      <c r="E1717" t="s">
        <v>3788</v>
      </c>
      <c r="F1717" t="s">
        <v>3714</v>
      </c>
      <c r="G1717" t="s">
        <v>4210</v>
      </c>
      <c r="I1717" t="str">
        <f t="shared" si="108"/>
        <v>All time</v>
      </c>
      <c r="J1717" t="str">
        <f t="shared" si="105"/>
        <v>me</v>
      </c>
      <c r="K1717" t="str">
        <f t="shared" si="106"/>
        <v>All time</v>
      </c>
      <c r="L1717" t="str">
        <f t="shared" si="107"/>
        <v>All time</v>
      </c>
    </row>
    <row r="1718" spans="1:12" x14ac:dyDescent="0.35">
      <c r="A1718">
        <v>1731</v>
      </c>
      <c r="B1718" t="s">
        <v>4238</v>
      </c>
      <c r="C1718" t="s">
        <v>11570</v>
      </c>
      <c r="D1718" t="s">
        <v>4237</v>
      </c>
      <c r="E1718" t="s">
        <v>3788</v>
      </c>
      <c r="F1718" t="s">
        <v>1424</v>
      </c>
      <c r="G1718" t="s">
        <v>4210</v>
      </c>
      <c r="I1718" t="str">
        <f t="shared" si="108"/>
        <v>Various times</v>
      </c>
      <c r="J1718" t="str">
        <f t="shared" si="105"/>
        <v>es</v>
      </c>
      <c r="K1718" t="str">
        <f t="shared" si="106"/>
        <v>Various times</v>
      </c>
      <c r="L1718" t="str">
        <f t="shared" si="107"/>
        <v>Various times</v>
      </c>
    </row>
    <row r="1719" spans="1:12" x14ac:dyDescent="0.35">
      <c r="A1719">
        <v>1732</v>
      </c>
      <c r="B1719" t="s">
        <v>4239</v>
      </c>
      <c r="C1719" t="s">
        <v>10489</v>
      </c>
      <c r="D1719" t="s">
        <v>4240</v>
      </c>
      <c r="E1719" t="s">
        <v>3788</v>
      </c>
      <c r="F1719" t="s">
        <v>3714</v>
      </c>
      <c r="G1719" t="s">
        <v>4241</v>
      </c>
      <c r="I1719" t="str">
        <f t="shared" si="108"/>
        <v>All time</v>
      </c>
      <c r="J1719" t="str">
        <f t="shared" si="105"/>
        <v>me</v>
      </c>
      <c r="K1719" t="str">
        <f t="shared" si="106"/>
        <v>All time</v>
      </c>
      <c r="L1719" t="str">
        <f t="shared" si="107"/>
        <v>All time</v>
      </c>
    </row>
    <row r="1720" spans="1:12" x14ac:dyDescent="0.35">
      <c r="A1720">
        <v>1733</v>
      </c>
      <c r="B1720" t="s">
        <v>4242</v>
      </c>
      <c r="C1720" t="s">
        <v>10490</v>
      </c>
      <c r="D1720" t="s">
        <v>4240</v>
      </c>
      <c r="E1720" t="s">
        <v>3788</v>
      </c>
      <c r="F1720" t="s">
        <v>3714</v>
      </c>
      <c r="G1720" t="s">
        <v>4241</v>
      </c>
      <c r="I1720" t="str">
        <f t="shared" si="108"/>
        <v>All time</v>
      </c>
      <c r="J1720" t="str">
        <f t="shared" si="105"/>
        <v>me</v>
      </c>
      <c r="K1720" t="str">
        <f t="shared" si="106"/>
        <v>All time</v>
      </c>
      <c r="L1720" t="str">
        <f t="shared" si="107"/>
        <v>All time</v>
      </c>
    </row>
    <row r="1721" spans="1:12" x14ac:dyDescent="0.35">
      <c r="A1721">
        <v>1734</v>
      </c>
      <c r="B1721" t="s">
        <v>4243</v>
      </c>
      <c r="C1721" t="s">
        <v>10491</v>
      </c>
      <c r="D1721" t="s">
        <v>4244</v>
      </c>
      <c r="E1721" t="s">
        <v>3788</v>
      </c>
      <c r="F1721" t="s">
        <v>3714</v>
      </c>
      <c r="G1721" t="s">
        <v>112</v>
      </c>
      <c r="I1721" t="str">
        <f t="shared" si="108"/>
        <v>All time</v>
      </c>
      <c r="J1721" t="str">
        <f t="shared" si="105"/>
        <v>me</v>
      </c>
      <c r="K1721" t="str">
        <f t="shared" si="106"/>
        <v>All time</v>
      </c>
      <c r="L1721" t="str">
        <f t="shared" si="107"/>
        <v>All time</v>
      </c>
    </row>
    <row r="1722" spans="1:12" x14ac:dyDescent="0.35">
      <c r="A1722">
        <v>1735</v>
      </c>
      <c r="B1722" t="s">
        <v>4245</v>
      </c>
      <c r="C1722" t="s">
        <v>11571</v>
      </c>
      <c r="D1722" t="s">
        <v>4244</v>
      </c>
      <c r="E1722" t="s">
        <v>4246</v>
      </c>
      <c r="F1722" t="s">
        <v>3714</v>
      </c>
      <c r="G1722" t="s">
        <v>112</v>
      </c>
      <c r="I1722" t="str">
        <f t="shared" si="108"/>
        <v>All time</v>
      </c>
      <c r="J1722" t="str">
        <f t="shared" si="105"/>
        <v>me</v>
      </c>
      <c r="K1722" t="str">
        <f t="shared" si="106"/>
        <v>All time</v>
      </c>
      <c r="L1722" t="str">
        <f t="shared" si="107"/>
        <v>All time</v>
      </c>
    </row>
    <row r="1723" spans="1:12" x14ac:dyDescent="0.35">
      <c r="A1723">
        <v>1736</v>
      </c>
      <c r="B1723" t="s">
        <v>4247</v>
      </c>
      <c r="C1723" t="s">
        <v>11571</v>
      </c>
      <c r="D1723" t="s">
        <v>4244</v>
      </c>
      <c r="E1723" t="s">
        <v>3788</v>
      </c>
      <c r="F1723" t="s">
        <v>3714</v>
      </c>
      <c r="G1723" t="s">
        <v>112</v>
      </c>
      <c r="I1723" t="str">
        <f t="shared" si="108"/>
        <v>All time</v>
      </c>
      <c r="J1723" t="str">
        <f t="shared" si="105"/>
        <v>me</v>
      </c>
      <c r="K1723" t="str">
        <f t="shared" si="106"/>
        <v>All time</v>
      </c>
      <c r="L1723" t="str">
        <f t="shared" si="107"/>
        <v>All time</v>
      </c>
    </row>
    <row r="1724" spans="1:12" x14ac:dyDescent="0.35">
      <c r="A1724">
        <v>1737</v>
      </c>
      <c r="B1724" t="s">
        <v>4248</v>
      </c>
      <c r="C1724" t="s">
        <v>10481</v>
      </c>
      <c r="D1724" t="s">
        <v>4249</v>
      </c>
      <c r="E1724" t="s">
        <v>4191</v>
      </c>
      <c r="F1724" t="s">
        <v>4250</v>
      </c>
      <c r="G1724" t="s">
        <v>112</v>
      </c>
      <c r="I1724" t="str">
        <f t="shared" si="108"/>
        <v>Final judgment</v>
      </c>
      <c r="J1724" t="str">
        <f t="shared" si="105"/>
        <v>nt</v>
      </c>
      <c r="K1724" t="str">
        <f t="shared" si="106"/>
        <v>Final judgment</v>
      </c>
      <c r="L1724" t="str">
        <f t="shared" si="107"/>
        <v>Final judgment</v>
      </c>
    </row>
    <row r="1725" spans="1:12" x14ac:dyDescent="0.35">
      <c r="A1725">
        <v>1738</v>
      </c>
      <c r="B1725" t="s">
        <v>4251</v>
      </c>
      <c r="C1725" t="s">
        <v>10492</v>
      </c>
      <c r="D1725" t="s">
        <v>4249</v>
      </c>
      <c r="E1725" t="s">
        <v>4191</v>
      </c>
      <c r="F1725" t="s">
        <v>4250</v>
      </c>
      <c r="G1725" t="s">
        <v>112</v>
      </c>
      <c r="I1725" t="str">
        <f t="shared" si="108"/>
        <v>Final judgment</v>
      </c>
      <c r="J1725" t="str">
        <f t="shared" si="105"/>
        <v>nt</v>
      </c>
      <c r="K1725" t="str">
        <f t="shared" si="106"/>
        <v>Final judgment</v>
      </c>
      <c r="L1725" t="str">
        <f t="shared" si="107"/>
        <v>Final judgment</v>
      </c>
    </row>
    <row r="1726" spans="1:12" x14ac:dyDescent="0.35">
      <c r="A1726">
        <v>1739</v>
      </c>
      <c r="B1726" t="s">
        <v>4252</v>
      </c>
      <c r="C1726" t="s">
        <v>10232</v>
      </c>
      <c r="D1726" t="s">
        <v>4249</v>
      </c>
      <c r="E1726" t="s">
        <v>4191</v>
      </c>
      <c r="F1726" t="s">
        <v>4250</v>
      </c>
      <c r="G1726" t="s">
        <v>112</v>
      </c>
      <c r="I1726" t="str">
        <f t="shared" si="108"/>
        <v>Final judgment</v>
      </c>
      <c r="J1726" t="str">
        <f t="shared" si="105"/>
        <v>nt</v>
      </c>
      <c r="K1726" t="str">
        <f t="shared" si="106"/>
        <v>Final judgment</v>
      </c>
      <c r="L1726" t="str">
        <f t="shared" si="107"/>
        <v>Final judgment</v>
      </c>
    </row>
    <row r="1727" spans="1:12" x14ac:dyDescent="0.35">
      <c r="A1727">
        <v>1740</v>
      </c>
      <c r="B1727" t="s">
        <v>4253</v>
      </c>
      <c r="C1727" t="s">
        <v>11572</v>
      </c>
      <c r="D1727" t="s">
        <v>4254</v>
      </c>
      <c r="E1727" t="s">
        <v>3788</v>
      </c>
      <c r="F1727" t="s">
        <v>3714</v>
      </c>
      <c r="G1727" t="s">
        <v>4255</v>
      </c>
      <c r="I1727" t="str">
        <f t="shared" si="108"/>
        <v>All time</v>
      </c>
      <c r="J1727" t="str">
        <f t="shared" si="105"/>
        <v>me</v>
      </c>
      <c r="K1727" t="str">
        <f t="shared" si="106"/>
        <v>All time</v>
      </c>
      <c r="L1727" t="str">
        <f t="shared" si="107"/>
        <v>All time</v>
      </c>
    </row>
    <row r="1728" spans="1:12" x14ac:dyDescent="0.35">
      <c r="A1728">
        <v>1741</v>
      </c>
      <c r="B1728" t="s">
        <v>4256</v>
      </c>
      <c r="C1728" t="s">
        <v>11573</v>
      </c>
      <c r="D1728" t="s">
        <v>4254</v>
      </c>
      <c r="E1728" t="s">
        <v>3788</v>
      </c>
      <c r="F1728" t="s">
        <v>3714</v>
      </c>
      <c r="G1728" t="s">
        <v>4255</v>
      </c>
      <c r="I1728" t="str">
        <f t="shared" si="108"/>
        <v>All time</v>
      </c>
      <c r="J1728" t="str">
        <f t="shared" si="105"/>
        <v>me</v>
      </c>
      <c r="K1728" t="str">
        <f t="shared" si="106"/>
        <v>All time</v>
      </c>
      <c r="L1728" t="str">
        <f t="shared" si="107"/>
        <v>All time</v>
      </c>
    </row>
    <row r="1729" spans="1:12" x14ac:dyDescent="0.35">
      <c r="A1729">
        <v>1742</v>
      </c>
      <c r="B1729" t="s">
        <v>4257</v>
      </c>
      <c r="C1729" t="s">
        <v>11574</v>
      </c>
      <c r="D1729" t="s">
        <v>4254</v>
      </c>
      <c r="E1729" t="s">
        <v>3788</v>
      </c>
      <c r="F1729" t="s">
        <v>3714</v>
      </c>
      <c r="G1729" t="s">
        <v>4255</v>
      </c>
      <c r="I1729" t="str">
        <f t="shared" si="108"/>
        <v>All time</v>
      </c>
      <c r="J1729" t="str">
        <f t="shared" si="105"/>
        <v>me</v>
      </c>
      <c r="K1729" t="str">
        <f t="shared" si="106"/>
        <v>All time</v>
      </c>
      <c r="L1729" t="str">
        <f t="shared" si="107"/>
        <v>All time</v>
      </c>
    </row>
    <row r="1730" spans="1:12" x14ac:dyDescent="0.35">
      <c r="A1730">
        <v>1743</v>
      </c>
      <c r="B1730" t="s">
        <v>4258</v>
      </c>
      <c r="C1730" t="s">
        <v>11575</v>
      </c>
      <c r="D1730" t="s">
        <v>4259</v>
      </c>
      <c r="E1730" t="s">
        <v>3788</v>
      </c>
      <c r="F1730" t="s">
        <v>4260</v>
      </c>
      <c r="G1730" t="s">
        <v>112</v>
      </c>
      <c r="I1730" t="str">
        <f t="shared" si="108"/>
        <v>Death</v>
      </c>
      <c r="J1730" t="str">
        <f t="shared" ref="J1730:J1793" si="109">RIGHT(F1730, 2)</f>
        <v>th</v>
      </c>
      <c r="K1730" t="str">
        <f t="shared" ref="K1730:K1793" si="110">IF(J1730="BC", 0-IF(ISERROR(FIND("-",I1730)),I1730,LEFT(I1730,FIND("-",I1730)-1)), IF(ISERROR(FIND("-",I1730)),I1730,LEFT(I1730,FIND("-",I1730)-1)))</f>
        <v>Death</v>
      </c>
      <c r="L1730" t="str">
        <f t="shared" ref="L1730:L1793" si="111">IF(J1730="BC", 0-IF(ISERROR(FIND("-",I1730)),I1730,RIGHT(I1730,FIND("-",I1730)-1)), IF(ISERROR(FIND("-",I1730)),I1730,RIGHT(I1730,FIND("-",I1730)-1)))</f>
        <v>Death</v>
      </c>
    </row>
    <row r="1731" spans="1:12" x14ac:dyDescent="0.35">
      <c r="A1731">
        <v>1744</v>
      </c>
      <c r="B1731" t="s">
        <v>4261</v>
      </c>
      <c r="C1731" t="s">
        <v>11576</v>
      </c>
      <c r="D1731" t="s">
        <v>4259</v>
      </c>
      <c r="E1731" t="s">
        <v>3788</v>
      </c>
      <c r="F1731" t="s">
        <v>4260</v>
      </c>
      <c r="G1731" t="s">
        <v>4241</v>
      </c>
      <c r="I1731" t="str">
        <f t="shared" si="108"/>
        <v>Death</v>
      </c>
      <c r="J1731" t="str">
        <f t="shared" si="109"/>
        <v>th</v>
      </c>
      <c r="K1731" t="str">
        <f t="shared" si="110"/>
        <v>Death</v>
      </c>
      <c r="L1731" t="str">
        <f t="shared" si="111"/>
        <v>Death</v>
      </c>
    </row>
    <row r="1732" spans="1:12" x14ac:dyDescent="0.35">
      <c r="A1732">
        <v>1745</v>
      </c>
      <c r="B1732" t="s">
        <v>4318</v>
      </c>
      <c r="C1732" t="s">
        <v>10052</v>
      </c>
      <c r="D1732" t="s">
        <v>4319</v>
      </c>
      <c r="E1732" t="s">
        <v>4320</v>
      </c>
      <c r="F1732" t="s">
        <v>4321</v>
      </c>
      <c r="G1732" t="s">
        <v>112</v>
      </c>
      <c r="I1732" t="str">
        <f t="shared" si="108"/>
        <v>740</v>
      </c>
      <c r="J1732" t="str">
        <f t="shared" si="109"/>
        <v>BC</v>
      </c>
      <c r="K1732">
        <f t="shared" si="110"/>
        <v>-740</v>
      </c>
      <c r="L1732">
        <f t="shared" si="111"/>
        <v>-740</v>
      </c>
    </row>
    <row r="1733" spans="1:12" x14ac:dyDescent="0.35">
      <c r="A1733">
        <v>1746</v>
      </c>
      <c r="B1733" t="s">
        <v>4322</v>
      </c>
      <c r="C1733" t="s">
        <v>10493</v>
      </c>
      <c r="D1733" t="s">
        <v>4323</v>
      </c>
      <c r="E1733" t="s">
        <v>4320</v>
      </c>
      <c r="F1733" t="s">
        <v>4321</v>
      </c>
      <c r="G1733" t="s">
        <v>4324</v>
      </c>
      <c r="I1733" t="str">
        <f t="shared" si="108"/>
        <v>740</v>
      </c>
      <c r="J1733" t="str">
        <f t="shared" si="109"/>
        <v>BC</v>
      </c>
      <c r="K1733">
        <f t="shared" si="110"/>
        <v>-740</v>
      </c>
      <c r="L1733">
        <f t="shared" si="111"/>
        <v>-740</v>
      </c>
    </row>
    <row r="1734" spans="1:12" x14ac:dyDescent="0.35">
      <c r="A1734">
        <v>1747</v>
      </c>
      <c r="B1734" t="s">
        <v>4325</v>
      </c>
      <c r="C1734" t="s">
        <v>10569</v>
      </c>
      <c r="D1734" t="s">
        <v>4326</v>
      </c>
      <c r="E1734" t="s">
        <v>4320</v>
      </c>
      <c r="F1734" t="s">
        <v>4321</v>
      </c>
      <c r="G1734" t="s">
        <v>112</v>
      </c>
      <c r="I1734" t="str">
        <f t="shared" si="108"/>
        <v>740</v>
      </c>
      <c r="J1734" t="str">
        <f t="shared" si="109"/>
        <v>BC</v>
      </c>
      <c r="K1734">
        <f t="shared" si="110"/>
        <v>-740</v>
      </c>
      <c r="L1734">
        <f t="shared" si="111"/>
        <v>-740</v>
      </c>
    </row>
    <row r="1735" spans="1:12" x14ac:dyDescent="0.35">
      <c r="A1735">
        <v>1748</v>
      </c>
      <c r="B1735" t="s">
        <v>4327</v>
      </c>
      <c r="C1735" t="s">
        <v>10494</v>
      </c>
      <c r="D1735" t="s">
        <v>4326</v>
      </c>
      <c r="E1735" t="s">
        <v>4320</v>
      </c>
      <c r="F1735" t="s">
        <v>4321</v>
      </c>
      <c r="G1735" t="s">
        <v>112</v>
      </c>
      <c r="I1735" t="str">
        <f t="shared" si="108"/>
        <v>740</v>
      </c>
      <c r="J1735" t="str">
        <f t="shared" si="109"/>
        <v>BC</v>
      </c>
      <c r="K1735">
        <f t="shared" si="110"/>
        <v>-740</v>
      </c>
      <c r="L1735">
        <f t="shared" si="111"/>
        <v>-740</v>
      </c>
    </row>
    <row r="1736" spans="1:12" x14ac:dyDescent="0.35">
      <c r="A1736">
        <v>1749</v>
      </c>
      <c r="B1736" t="s">
        <v>4328</v>
      </c>
      <c r="C1736" t="s">
        <v>10769</v>
      </c>
      <c r="D1736" t="s">
        <v>4329</v>
      </c>
      <c r="E1736" t="s">
        <v>4320</v>
      </c>
      <c r="F1736" t="s">
        <v>4321</v>
      </c>
      <c r="G1736" t="s">
        <v>4330</v>
      </c>
      <c r="I1736" t="str">
        <f t="shared" si="108"/>
        <v>740</v>
      </c>
      <c r="J1736" t="str">
        <f t="shared" si="109"/>
        <v>BC</v>
      </c>
      <c r="K1736">
        <f t="shared" si="110"/>
        <v>-740</v>
      </c>
      <c r="L1736">
        <f t="shared" si="111"/>
        <v>-740</v>
      </c>
    </row>
    <row r="1737" spans="1:12" x14ac:dyDescent="0.35">
      <c r="A1737">
        <v>1750</v>
      </c>
      <c r="B1737" t="s">
        <v>4331</v>
      </c>
      <c r="C1737" t="s">
        <v>11577</v>
      </c>
      <c r="D1737" t="s">
        <v>4332</v>
      </c>
      <c r="E1737" t="s">
        <v>4320</v>
      </c>
      <c r="F1737" t="s">
        <v>4321</v>
      </c>
      <c r="G1737" t="s">
        <v>4330</v>
      </c>
      <c r="I1737" t="str">
        <f t="shared" si="108"/>
        <v>740</v>
      </c>
      <c r="J1737" t="str">
        <f t="shared" si="109"/>
        <v>BC</v>
      </c>
      <c r="K1737">
        <f t="shared" si="110"/>
        <v>-740</v>
      </c>
      <c r="L1737">
        <f t="shared" si="111"/>
        <v>-740</v>
      </c>
    </row>
    <row r="1738" spans="1:12" x14ac:dyDescent="0.35">
      <c r="A1738">
        <v>1751</v>
      </c>
      <c r="B1738" t="s">
        <v>4333</v>
      </c>
      <c r="C1738" t="s">
        <v>11118</v>
      </c>
      <c r="D1738" t="s">
        <v>4334</v>
      </c>
      <c r="E1738" t="s">
        <v>4320</v>
      </c>
      <c r="F1738" t="s">
        <v>4321</v>
      </c>
      <c r="G1738" t="s">
        <v>112</v>
      </c>
      <c r="I1738" t="str">
        <f t="shared" si="108"/>
        <v>740</v>
      </c>
      <c r="J1738" t="str">
        <f t="shared" si="109"/>
        <v>BC</v>
      </c>
      <c r="K1738">
        <f t="shared" si="110"/>
        <v>-740</v>
      </c>
      <c r="L1738">
        <f t="shared" si="111"/>
        <v>-740</v>
      </c>
    </row>
    <row r="1739" spans="1:12" x14ac:dyDescent="0.35">
      <c r="A1739">
        <v>1752</v>
      </c>
      <c r="B1739" t="s">
        <v>4335</v>
      </c>
      <c r="C1739" t="s">
        <v>10495</v>
      </c>
      <c r="D1739" t="s">
        <v>4336</v>
      </c>
      <c r="E1739" t="s">
        <v>4320</v>
      </c>
      <c r="F1739" t="s">
        <v>4321</v>
      </c>
      <c r="G1739" t="s">
        <v>112</v>
      </c>
      <c r="I1739" t="str">
        <f t="shared" si="108"/>
        <v>740</v>
      </c>
      <c r="J1739" t="str">
        <f t="shared" si="109"/>
        <v>BC</v>
      </c>
      <c r="K1739">
        <f t="shared" si="110"/>
        <v>-740</v>
      </c>
      <c r="L1739">
        <f t="shared" si="111"/>
        <v>-740</v>
      </c>
    </row>
    <row r="1740" spans="1:12" x14ac:dyDescent="0.35">
      <c r="A1740">
        <v>1753</v>
      </c>
      <c r="B1740" t="s">
        <v>4337</v>
      </c>
      <c r="C1740" t="s">
        <v>11578</v>
      </c>
      <c r="D1740" t="s">
        <v>4338</v>
      </c>
      <c r="E1740" t="s">
        <v>1211</v>
      </c>
      <c r="F1740" t="s">
        <v>2210</v>
      </c>
      <c r="G1740" t="s">
        <v>11091</v>
      </c>
      <c r="I1740" t="str">
        <f t="shared" si="108"/>
        <v>735</v>
      </c>
      <c r="J1740" t="str">
        <f t="shared" si="109"/>
        <v>BC</v>
      </c>
      <c r="K1740">
        <f t="shared" si="110"/>
        <v>-735</v>
      </c>
      <c r="L1740">
        <f t="shared" si="111"/>
        <v>-735</v>
      </c>
    </row>
    <row r="1741" spans="1:12" x14ac:dyDescent="0.35">
      <c r="A1741">
        <v>1754</v>
      </c>
      <c r="B1741" t="s">
        <v>4339</v>
      </c>
      <c r="C1741" t="s">
        <v>11112</v>
      </c>
      <c r="D1741" t="s">
        <v>4340</v>
      </c>
      <c r="E1741" t="s">
        <v>1211</v>
      </c>
      <c r="F1741" t="s">
        <v>2210</v>
      </c>
      <c r="G1741" t="s">
        <v>112</v>
      </c>
      <c r="I1741" t="str">
        <f t="shared" si="108"/>
        <v>735</v>
      </c>
      <c r="J1741" t="str">
        <f t="shared" si="109"/>
        <v>BC</v>
      </c>
      <c r="K1741">
        <f t="shared" si="110"/>
        <v>-735</v>
      </c>
      <c r="L1741">
        <f t="shared" si="111"/>
        <v>-735</v>
      </c>
    </row>
    <row r="1742" spans="1:12" x14ac:dyDescent="0.35">
      <c r="A1742">
        <v>1755</v>
      </c>
      <c r="B1742" t="s">
        <v>4341</v>
      </c>
      <c r="C1742" t="s">
        <v>11578</v>
      </c>
      <c r="D1742" t="s">
        <v>4342</v>
      </c>
      <c r="E1742" t="s">
        <v>1211</v>
      </c>
      <c r="F1742" t="s">
        <v>2205</v>
      </c>
      <c r="G1742" t="s">
        <v>11091</v>
      </c>
      <c r="I1742" t="str">
        <f t="shared" si="108"/>
        <v>734</v>
      </c>
      <c r="J1742" t="str">
        <f t="shared" si="109"/>
        <v>BC</v>
      </c>
      <c r="K1742">
        <f t="shared" si="110"/>
        <v>-734</v>
      </c>
      <c r="L1742">
        <f t="shared" si="111"/>
        <v>-734</v>
      </c>
    </row>
    <row r="1743" spans="1:12" x14ac:dyDescent="0.35">
      <c r="A1743">
        <v>1756</v>
      </c>
      <c r="B1743" t="s">
        <v>4343</v>
      </c>
      <c r="C1743" t="s">
        <v>11144</v>
      </c>
      <c r="D1743" t="s">
        <v>4344</v>
      </c>
      <c r="E1743" t="s">
        <v>1211</v>
      </c>
      <c r="F1743" t="s">
        <v>2205</v>
      </c>
      <c r="G1743" t="s">
        <v>112</v>
      </c>
      <c r="I1743" t="str">
        <f t="shared" si="108"/>
        <v>734</v>
      </c>
      <c r="J1743" t="str">
        <f t="shared" si="109"/>
        <v>BC</v>
      </c>
      <c r="K1743">
        <f t="shared" si="110"/>
        <v>-734</v>
      </c>
      <c r="L1743">
        <f t="shared" si="111"/>
        <v>-734</v>
      </c>
    </row>
    <row r="1744" spans="1:12" x14ac:dyDescent="0.35">
      <c r="A1744">
        <v>1757</v>
      </c>
      <c r="B1744" t="s">
        <v>4345</v>
      </c>
      <c r="C1744" t="s">
        <v>10068</v>
      </c>
      <c r="D1744" t="s">
        <v>4346</v>
      </c>
      <c r="E1744" t="s">
        <v>4347</v>
      </c>
      <c r="F1744" t="s">
        <v>4348</v>
      </c>
      <c r="G1744" t="s">
        <v>11091</v>
      </c>
      <c r="I1744" t="str">
        <f t="shared" si="108"/>
        <v>730</v>
      </c>
      <c r="J1744" t="str">
        <f t="shared" si="109"/>
        <v>BC</v>
      </c>
      <c r="K1744">
        <f t="shared" si="110"/>
        <v>-730</v>
      </c>
      <c r="L1744">
        <f t="shared" si="111"/>
        <v>-730</v>
      </c>
    </row>
    <row r="1745" spans="1:12" x14ac:dyDescent="0.35">
      <c r="A1745">
        <v>1758</v>
      </c>
      <c r="B1745" t="s">
        <v>4349</v>
      </c>
      <c r="C1745" t="s">
        <v>10496</v>
      </c>
      <c r="D1745" t="s">
        <v>4350</v>
      </c>
      <c r="E1745" t="s">
        <v>4351</v>
      </c>
      <c r="F1745" t="s">
        <v>4348</v>
      </c>
      <c r="G1745" t="s">
        <v>112</v>
      </c>
      <c r="I1745" t="str">
        <f t="shared" si="108"/>
        <v>730</v>
      </c>
      <c r="J1745" t="str">
        <f t="shared" si="109"/>
        <v>BC</v>
      </c>
      <c r="K1745">
        <f t="shared" si="110"/>
        <v>-730</v>
      </c>
      <c r="L1745">
        <f t="shared" si="111"/>
        <v>-730</v>
      </c>
    </row>
    <row r="1746" spans="1:12" x14ac:dyDescent="0.35">
      <c r="A1746">
        <v>1759</v>
      </c>
      <c r="B1746" t="s">
        <v>4352</v>
      </c>
      <c r="C1746" t="s">
        <v>10037</v>
      </c>
      <c r="D1746" t="s">
        <v>4353</v>
      </c>
      <c r="E1746" t="s">
        <v>4354</v>
      </c>
      <c r="F1746" t="s">
        <v>4348</v>
      </c>
      <c r="G1746" t="s">
        <v>11091</v>
      </c>
      <c r="I1746" t="str">
        <f t="shared" si="108"/>
        <v>730</v>
      </c>
      <c r="J1746" t="str">
        <f t="shared" si="109"/>
        <v>BC</v>
      </c>
      <c r="K1746">
        <f t="shared" si="110"/>
        <v>-730</v>
      </c>
      <c r="L1746">
        <f t="shared" si="111"/>
        <v>-730</v>
      </c>
    </row>
    <row r="1747" spans="1:12" x14ac:dyDescent="0.35">
      <c r="A1747">
        <v>1760</v>
      </c>
      <c r="B1747" t="s">
        <v>4355</v>
      </c>
      <c r="C1747" t="s">
        <v>10073</v>
      </c>
      <c r="D1747" t="s">
        <v>4356</v>
      </c>
      <c r="E1747" t="s">
        <v>2337</v>
      </c>
      <c r="F1747" t="s">
        <v>4348</v>
      </c>
      <c r="G1747" t="s">
        <v>11091</v>
      </c>
      <c r="I1747" t="str">
        <f t="shared" si="108"/>
        <v>730</v>
      </c>
      <c r="J1747" t="str">
        <f t="shared" si="109"/>
        <v>BC</v>
      </c>
      <c r="K1747">
        <f t="shared" si="110"/>
        <v>-730</v>
      </c>
      <c r="L1747">
        <f t="shared" si="111"/>
        <v>-730</v>
      </c>
    </row>
    <row r="1748" spans="1:12" x14ac:dyDescent="0.35">
      <c r="A1748">
        <v>1761</v>
      </c>
      <c r="B1748" t="s">
        <v>4357</v>
      </c>
      <c r="C1748" t="s">
        <v>10497</v>
      </c>
      <c r="D1748" t="s">
        <v>4358</v>
      </c>
      <c r="E1748" t="s">
        <v>4359</v>
      </c>
      <c r="F1748" t="s">
        <v>4360</v>
      </c>
      <c r="G1748" t="s">
        <v>112</v>
      </c>
      <c r="I1748" t="str">
        <f t="shared" si="108"/>
        <v>Messianic</v>
      </c>
      <c r="J1748" t="str">
        <f t="shared" si="109"/>
        <v>ic</v>
      </c>
      <c r="K1748" t="str">
        <f t="shared" si="110"/>
        <v>Messianic</v>
      </c>
      <c r="L1748" t="str">
        <f t="shared" si="111"/>
        <v>Messianic</v>
      </c>
    </row>
    <row r="1749" spans="1:12" x14ac:dyDescent="0.35">
      <c r="A1749">
        <v>1762</v>
      </c>
      <c r="B1749" t="s">
        <v>4361</v>
      </c>
      <c r="C1749" t="s">
        <v>10770</v>
      </c>
      <c r="D1749" t="s">
        <v>4362</v>
      </c>
      <c r="E1749" t="s">
        <v>170</v>
      </c>
      <c r="F1749" t="s">
        <v>4363</v>
      </c>
      <c r="G1749" t="s">
        <v>112</v>
      </c>
      <c r="I1749" t="str">
        <f t="shared" si="108"/>
        <v>Future</v>
      </c>
      <c r="J1749" t="str">
        <f t="shared" si="109"/>
        <v>re</v>
      </c>
      <c r="K1749" t="str">
        <f t="shared" si="110"/>
        <v>Future</v>
      </c>
      <c r="L1749" t="str">
        <f t="shared" si="111"/>
        <v>Future</v>
      </c>
    </row>
    <row r="1750" spans="1:12" x14ac:dyDescent="0.35">
      <c r="A1750">
        <v>1763</v>
      </c>
      <c r="B1750" t="s">
        <v>4364</v>
      </c>
      <c r="C1750" t="s">
        <v>9484</v>
      </c>
      <c r="D1750" t="s">
        <v>4365</v>
      </c>
      <c r="E1750" t="s">
        <v>4366</v>
      </c>
      <c r="F1750" t="s">
        <v>4363</v>
      </c>
      <c r="G1750" t="s">
        <v>112</v>
      </c>
      <c r="I1750" t="str">
        <f t="shared" si="108"/>
        <v>Future</v>
      </c>
      <c r="J1750" t="str">
        <f t="shared" si="109"/>
        <v>re</v>
      </c>
      <c r="K1750" t="str">
        <f t="shared" si="110"/>
        <v>Future</v>
      </c>
      <c r="L1750" t="str">
        <f t="shared" si="111"/>
        <v>Future</v>
      </c>
    </row>
    <row r="1751" spans="1:12" x14ac:dyDescent="0.35">
      <c r="A1751">
        <v>1764</v>
      </c>
      <c r="B1751" t="s">
        <v>4367</v>
      </c>
      <c r="C1751" t="s">
        <v>10037</v>
      </c>
      <c r="D1751" t="s">
        <v>4368</v>
      </c>
      <c r="E1751" t="s">
        <v>3133</v>
      </c>
      <c r="F1751" t="s">
        <v>4348</v>
      </c>
      <c r="G1751" t="s">
        <v>11091</v>
      </c>
      <c r="I1751" t="str">
        <f t="shared" si="108"/>
        <v>730</v>
      </c>
      <c r="J1751" t="str">
        <f t="shared" si="109"/>
        <v>BC</v>
      </c>
      <c r="K1751">
        <f t="shared" si="110"/>
        <v>-730</v>
      </c>
      <c r="L1751">
        <f t="shared" si="111"/>
        <v>-730</v>
      </c>
    </row>
    <row r="1752" spans="1:12" x14ac:dyDescent="0.35">
      <c r="A1752">
        <v>1765</v>
      </c>
      <c r="B1752" t="s">
        <v>4369</v>
      </c>
      <c r="C1752" t="s">
        <v>10498</v>
      </c>
      <c r="D1752" t="s">
        <v>4370</v>
      </c>
      <c r="E1752" t="s">
        <v>4371</v>
      </c>
      <c r="F1752" t="s">
        <v>4372</v>
      </c>
      <c r="G1752" t="s">
        <v>112</v>
      </c>
      <c r="I1752" t="str">
        <f t="shared" si="108"/>
        <v>Primordial/Future</v>
      </c>
      <c r="J1752" t="str">
        <f t="shared" si="109"/>
        <v>re</v>
      </c>
      <c r="K1752" t="str">
        <f t="shared" si="110"/>
        <v>Primordial/Future</v>
      </c>
      <c r="L1752" t="str">
        <f t="shared" si="111"/>
        <v>Primordial/Future</v>
      </c>
    </row>
    <row r="1753" spans="1:12" x14ac:dyDescent="0.35">
      <c r="A1753">
        <v>1766</v>
      </c>
      <c r="B1753" t="s">
        <v>4373</v>
      </c>
      <c r="C1753" t="s">
        <v>10499</v>
      </c>
      <c r="D1753" t="s">
        <v>4374</v>
      </c>
      <c r="E1753" t="s">
        <v>4354</v>
      </c>
      <c r="F1753" t="s">
        <v>4348</v>
      </c>
      <c r="G1753" t="s">
        <v>112</v>
      </c>
      <c r="I1753" t="str">
        <f t="shared" si="108"/>
        <v>730</v>
      </c>
      <c r="J1753" t="str">
        <f t="shared" si="109"/>
        <v>BC</v>
      </c>
      <c r="K1753">
        <f t="shared" si="110"/>
        <v>-730</v>
      </c>
      <c r="L1753">
        <f t="shared" si="111"/>
        <v>-730</v>
      </c>
    </row>
    <row r="1754" spans="1:12" x14ac:dyDescent="0.35">
      <c r="A1754">
        <v>1767</v>
      </c>
      <c r="B1754" t="s">
        <v>4375</v>
      </c>
      <c r="C1754" t="s">
        <v>10771</v>
      </c>
      <c r="D1754" t="s">
        <v>4376</v>
      </c>
      <c r="E1754" t="s">
        <v>1211</v>
      </c>
      <c r="F1754" t="s">
        <v>2261</v>
      </c>
      <c r="G1754" t="s">
        <v>11091</v>
      </c>
      <c r="H1754" t="s">
        <v>10866</v>
      </c>
      <c r="I1754" t="str">
        <f t="shared" si="108"/>
        <v>703</v>
      </c>
      <c r="J1754" t="str">
        <f t="shared" si="109"/>
        <v>BC</v>
      </c>
      <c r="K1754">
        <f t="shared" si="110"/>
        <v>-703</v>
      </c>
      <c r="L1754">
        <f t="shared" si="111"/>
        <v>-703</v>
      </c>
    </row>
    <row r="1755" spans="1:12" x14ac:dyDescent="0.35">
      <c r="A1755">
        <v>1768</v>
      </c>
      <c r="B1755" t="s">
        <v>4377</v>
      </c>
      <c r="C1755" t="s">
        <v>10604</v>
      </c>
      <c r="D1755" t="s">
        <v>4378</v>
      </c>
      <c r="E1755" t="s">
        <v>1211</v>
      </c>
      <c r="F1755" t="s">
        <v>2261</v>
      </c>
      <c r="G1755" t="s">
        <v>112</v>
      </c>
      <c r="I1755" t="str">
        <f t="shared" si="108"/>
        <v>703</v>
      </c>
      <c r="J1755" t="str">
        <f t="shared" si="109"/>
        <v>BC</v>
      </c>
      <c r="K1755">
        <f t="shared" si="110"/>
        <v>-703</v>
      </c>
      <c r="L1755">
        <f t="shared" si="111"/>
        <v>-703</v>
      </c>
    </row>
    <row r="1756" spans="1:12" x14ac:dyDescent="0.35">
      <c r="A1756">
        <v>1769</v>
      </c>
      <c r="B1756" t="s">
        <v>4379</v>
      </c>
      <c r="C1756" t="s">
        <v>10500</v>
      </c>
      <c r="D1756" t="s">
        <v>4380</v>
      </c>
      <c r="E1756" t="s">
        <v>4381</v>
      </c>
      <c r="F1756" t="s">
        <v>2239</v>
      </c>
      <c r="G1756" t="s">
        <v>63</v>
      </c>
      <c r="I1756" t="str">
        <f t="shared" si="108"/>
        <v>701</v>
      </c>
      <c r="J1756" t="str">
        <f t="shared" si="109"/>
        <v>BC</v>
      </c>
      <c r="K1756">
        <f t="shared" si="110"/>
        <v>-701</v>
      </c>
      <c r="L1756">
        <f t="shared" si="111"/>
        <v>-701</v>
      </c>
    </row>
    <row r="1757" spans="1:12" x14ac:dyDescent="0.35">
      <c r="A1757">
        <v>1770</v>
      </c>
      <c r="B1757" t="s">
        <v>4382</v>
      </c>
      <c r="C1757" t="s">
        <v>10042</v>
      </c>
      <c r="D1757" t="s">
        <v>4383</v>
      </c>
      <c r="E1757" t="s">
        <v>4384</v>
      </c>
      <c r="F1757" t="s">
        <v>2239</v>
      </c>
      <c r="G1757" t="s">
        <v>112</v>
      </c>
      <c r="I1757" t="str">
        <f t="shared" si="108"/>
        <v>701</v>
      </c>
      <c r="J1757" t="str">
        <f t="shared" si="109"/>
        <v>BC</v>
      </c>
      <c r="K1757">
        <f t="shared" si="110"/>
        <v>-701</v>
      </c>
      <c r="L1757">
        <f t="shared" si="111"/>
        <v>-701</v>
      </c>
    </row>
    <row r="1758" spans="1:12" x14ac:dyDescent="0.35">
      <c r="A1758">
        <v>1771</v>
      </c>
      <c r="B1758" t="s">
        <v>4385</v>
      </c>
      <c r="C1758" t="s">
        <v>11118</v>
      </c>
      <c r="D1758" t="s">
        <v>4386</v>
      </c>
      <c r="E1758" t="s">
        <v>4387</v>
      </c>
      <c r="F1758" t="s">
        <v>4388</v>
      </c>
      <c r="G1758" t="s">
        <v>112</v>
      </c>
      <c r="I1758" t="str">
        <f t="shared" si="108"/>
        <v>550</v>
      </c>
      <c r="J1758" t="str">
        <f t="shared" si="109"/>
        <v>BC</v>
      </c>
      <c r="K1758">
        <f t="shared" si="110"/>
        <v>-550</v>
      </c>
      <c r="L1758">
        <f t="shared" si="111"/>
        <v>-550</v>
      </c>
    </row>
    <row r="1759" spans="1:12" x14ac:dyDescent="0.35">
      <c r="A1759">
        <v>1772</v>
      </c>
      <c r="B1759" t="s">
        <v>4389</v>
      </c>
      <c r="C1759" t="s">
        <v>11120</v>
      </c>
      <c r="D1759" t="s">
        <v>4390</v>
      </c>
      <c r="E1759" t="s">
        <v>4387</v>
      </c>
      <c r="F1759" t="s">
        <v>4388</v>
      </c>
      <c r="G1759" t="s">
        <v>112</v>
      </c>
      <c r="I1759" t="str">
        <f t="shared" si="108"/>
        <v>550</v>
      </c>
      <c r="J1759" t="str">
        <f t="shared" si="109"/>
        <v>BC</v>
      </c>
      <c r="K1759">
        <f t="shared" si="110"/>
        <v>-550</v>
      </c>
      <c r="L1759">
        <f t="shared" si="111"/>
        <v>-550</v>
      </c>
    </row>
    <row r="1760" spans="1:12" x14ac:dyDescent="0.35">
      <c r="A1760">
        <v>1773</v>
      </c>
      <c r="B1760" t="s">
        <v>4391</v>
      </c>
      <c r="C1760" t="s">
        <v>10038</v>
      </c>
      <c r="D1760" t="s">
        <v>4392</v>
      </c>
      <c r="E1760" t="s">
        <v>4393</v>
      </c>
      <c r="F1760" t="s">
        <v>4363</v>
      </c>
      <c r="G1760" t="s">
        <v>112</v>
      </c>
      <c r="I1760" t="str">
        <f t="shared" si="108"/>
        <v>Future</v>
      </c>
      <c r="J1760" t="str">
        <f t="shared" si="109"/>
        <v>re</v>
      </c>
      <c r="K1760" t="str">
        <f t="shared" si="110"/>
        <v>Future</v>
      </c>
      <c r="L1760" t="str">
        <f t="shared" si="111"/>
        <v>Future</v>
      </c>
    </row>
    <row r="1761" spans="1:12" x14ac:dyDescent="0.35">
      <c r="A1761">
        <v>1774</v>
      </c>
      <c r="B1761" t="s">
        <v>4394</v>
      </c>
      <c r="C1761" t="s">
        <v>11579</v>
      </c>
      <c r="D1761" t="s">
        <v>4395</v>
      </c>
      <c r="E1761" t="s">
        <v>3130</v>
      </c>
      <c r="F1761" t="s">
        <v>4396</v>
      </c>
      <c r="G1761" t="s">
        <v>112</v>
      </c>
      <c r="I1761" t="str">
        <f t="shared" si="108"/>
        <v>700/550</v>
      </c>
      <c r="J1761" t="str">
        <f t="shared" si="109"/>
        <v>BC</v>
      </c>
      <c r="K1761" t="e">
        <f t="shared" si="110"/>
        <v>#VALUE!</v>
      </c>
      <c r="L1761" t="e">
        <f t="shared" si="111"/>
        <v>#VALUE!</v>
      </c>
    </row>
    <row r="1762" spans="1:12" x14ac:dyDescent="0.35">
      <c r="A1762">
        <v>1775</v>
      </c>
      <c r="B1762" t="s">
        <v>4397</v>
      </c>
      <c r="C1762" t="s">
        <v>11580</v>
      </c>
      <c r="D1762" t="s">
        <v>4398</v>
      </c>
      <c r="E1762" t="s">
        <v>3133</v>
      </c>
      <c r="F1762" t="s">
        <v>4388</v>
      </c>
      <c r="G1762" t="s">
        <v>112</v>
      </c>
      <c r="I1762" t="str">
        <f t="shared" si="108"/>
        <v>550</v>
      </c>
      <c r="J1762" t="str">
        <f t="shared" si="109"/>
        <v>BC</v>
      </c>
      <c r="K1762">
        <f t="shared" si="110"/>
        <v>-550</v>
      </c>
      <c r="L1762">
        <f t="shared" si="111"/>
        <v>-550</v>
      </c>
    </row>
    <row r="1763" spans="1:12" x14ac:dyDescent="0.35">
      <c r="A1763">
        <v>1776</v>
      </c>
      <c r="B1763" t="s">
        <v>4399</v>
      </c>
      <c r="C1763" t="s">
        <v>11581</v>
      </c>
      <c r="D1763" t="s">
        <v>4400</v>
      </c>
      <c r="E1763" t="s">
        <v>4401</v>
      </c>
      <c r="F1763" t="s">
        <v>4360</v>
      </c>
      <c r="G1763" t="s">
        <v>11091</v>
      </c>
      <c r="I1763" t="str">
        <f t="shared" si="108"/>
        <v>Messianic</v>
      </c>
      <c r="J1763" t="str">
        <f t="shared" si="109"/>
        <v>ic</v>
      </c>
      <c r="K1763" t="str">
        <f t="shared" si="110"/>
        <v>Messianic</v>
      </c>
      <c r="L1763" t="str">
        <f t="shared" si="111"/>
        <v>Messianic</v>
      </c>
    </row>
    <row r="1764" spans="1:12" x14ac:dyDescent="0.35">
      <c r="A1764">
        <v>1777</v>
      </c>
      <c r="B1764" t="s">
        <v>4402</v>
      </c>
      <c r="C1764" t="s">
        <v>10501</v>
      </c>
      <c r="D1764" t="s">
        <v>4403</v>
      </c>
      <c r="E1764" t="s">
        <v>4401</v>
      </c>
      <c r="F1764" t="s">
        <v>4360</v>
      </c>
      <c r="G1764" t="s">
        <v>11091</v>
      </c>
      <c r="I1764" t="str">
        <f t="shared" si="108"/>
        <v>Messianic</v>
      </c>
      <c r="J1764" t="str">
        <f t="shared" si="109"/>
        <v>ic</v>
      </c>
      <c r="K1764" t="str">
        <f t="shared" si="110"/>
        <v>Messianic</v>
      </c>
      <c r="L1764" t="str">
        <f t="shared" si="111"/>
        <v>Messianic</v>
      </c>
    </row>
    <row r="1765" spans="1:12" x14ac:dyDescent="0.35">
      <c r="A1765">
        <v>1778</v>
      </c>
      <c r="B1765" t="s">
        <v>4404</v>
      </c>
      <c r="C1765" t="s">
        <v>9456</v>
      </c>
      <c r="D1765" t="s">
        <v>4405</v>
      </c>
      <c r="E1765" t="s">
        <v>4406</v>
      </c>
      <c r="F1765" t="s">
        <v>4363</v>
      </c>
      <c r="G1765" t="s">
        <v>112</v>
      </c>
      <c r="I1765" t="str">
        <f t="shared" si="108"/>
        <v>Future</v>
      </c>
      <c r="J1765" t="str">
        <f t="shared" si="109"/>
        <v>re</v>
      </c>
      <c r="K1765" t="str">
        <f t="shared" si="110"/>
        <v>Future</v>
      </c>
      <c r="L1765" t="str">
        <f t="shared" si="111"/>
        <v>Future</v>
      </c>
    </row>
    <row r="1766" spans="1:12" x14ac:dyDescent="0.35">
      <c r="A1766">
        <v>1779</v>
      </c>
      <c r="B1766" t="s">
        <v>4407</v>
      </c>
      <c r="C1766" t="s">
        <v>11582</v>
      </c>
      <c r="D1766" t="s">
        <v>4408</v>
      </c>
      <c r="E1766" t="s">
        <v>3788</v>
      </c>
      <c r="F1766" t="s">
        <v>4409</v>
      </c>
      <c r="G1766" t="s">
        <v>112</v>
      </c>
      <c r="I1766" t="str">
        <f t="shared" si="108"/>
        <v>Eternal</v>
      </c>
      <c r="J1766" t="str">
        <f t="shared" si="109"/>
        <v>al</v>
      </c>
      <c r="K1766" t="str">
        <f t="shared" si="110"/>
        <v>Eternal</v>
      </c>
      <c r="L1766" t="str">
        <f t="shared" si="111"/>
        <v>Eternal</v>
      </c>
    </row>
    <row r="1767" spans="1:12" x14ac:dyDescent="0.35">
      <c r="A1767">
        <v>1780</v>
      </c>
      <c r="B1767" t="s">
        <v>4410</v>
      </c>
      <c r="C1767" t="s">
        <v>3653</v>
      </c>
      <c r="D1767" t="s">
        <v>4411</v>
      </c>
      <c r="E1767" t="s">
        <v>3653</v>
      </c>
      <c r="F1767" t="s">
        <v>4363</v>
      </c>
      <c r="G1767" t="s">
        <v>112</v>
      </c>
      <c r="I1767" t="str">
        <f t="shared" si="108"/>
        <v>Future</v>
      </c>
      <c r="J1767" t="str">
        <f t="shared" si="109"/>
        <v>re</v>
      </c>
      <c r="K1767" t="str">
        <f t="shared" si="110"/>
        <v>Future</v>
      </c>
      <c r="L1767" t="str">
        <f t="shared" si="111"/>
        <v>Future</v>
      </c>
    </row>
    <row r="1768" spans="1:12" x14ac:dyDescent="0.35">
      <c r="A1768">
        <v>1781</v>
      </c>
      <c r="B1768" t="s">
        <v>4412</v>
      </c>
      <c r="C1768" t="s">
        <v>11583</v>
      </c>
      <c r="D1768" t="s">
        <v>4413</v>
      </c>
      <c r="E1768" t="s">
        <v>4414</v>
      </c>
      <c r="F1768" t="s">
        <v>4363</v>
      </c>
      <c r="G1768" t="s">
        <v>112</v>
      </c>
      <c r="I1768" t="str">
        <f t="shared" si="108"/>
        <v>Future</v>
      </c>
      <c r="J1768" t="str">
        <f t="shared" si="109"/>
        <v>re</v>
      </c>
      <c r="K1768" t="str">
        <f t="shared" si="110"/>
        <v>Future</v>
      </c>
      <c r="L1768" t="str">
        <f t="shared" si="111"/>
        <v>Future</v>
      </c>
    </row>
    <row r="1769" spans="1:12" x14ac:dyDescent="0.35">
      <c r="A1769">
        <v>1782</v>
      </c>
      <c r="B1769" t="s">
        <v>4415</v>
      </c>
      <c r="C1769" t="s">
        <v>10505</v>
      </c>
      <c r="D1769" t="s">
        <v>4416</v>
      </c>
      <c r="E1769" t="s">
        <v>4417</v>
      </c>
      <c r="F1769" t="s">
        <v>4363</v>
      </c>
      <c r="G1769" t="s">
        <v>112</v>
      </c>
      <c r="I1769" t="str">
        <f t="shared" si="108"/>
        <v>Future</v>
      </c>
      <c r="J1769" t="str">
        <f t="shared" si="109"/>
        <v>re</v>
      </c>
      <c r="K1769" t="str">
        <f t="shared" si="110"/>
        <v>Future</v>
      </c>
      <c r="L1769" t="str">
        <f t="shared" si="111"/>
        <v>Future</v>
      </c>
    </row>
    <row r="1770" spans="1:12" x14ac:dyDescent="0.35">
      <c r="A1770">
        <v>1783</v>
      </c>
      <c r="B1770" t="s">
        <v>4418</v>
      </c>
      <c r="C1770" t="s">
        <v>10497</v>
      </c>
      <c r="D1770" t="s">
        <v>4419</v>
      </c>
      <c r="E1770" t="s">
        <v>4420</v>
      </c>
      <c r="F1770" t="s">
        <v>4360</v>
      </c>
      <c r="G1770" t="s">
        <v>112</v>
      </c>
      <c r="I1770" t="str">
        <f t="shared" si="108"/>
        <v>Messianic</v>
      </c>
      <c r="J1770" t="str">
        <f t="shared" si="109"/>
        <v>ic</v>
      </c>
      <c r="K1770" t="str">
        <f t="shared" si="110"/>
        <v>Messianic</v>
      </c>
      <c r="L1770" t="str">
        <f t="shared" si="111"/>
        <v>Messianic</v>
      </c>
    </row>
    <row r="1771" spans="1:12" x14ac:dyDescent="0.35">
      <c r="A1771">
        <v>1784</v>
      </c>
      <c r="B1771" t="s">
        <v>4421</v>
      </c>
      <c r="C1771" t="s">
        <v>3653</v>
      </c>
      <c r="D1771" t="s">
        <v>4422</v>
      </c>
      <c r="E1771" t="s">
        <v>4423</v>
      </c>
      <c r="F1771" t="s">
        <v>4363</v>
      </c>
      <c r="G1771" t="s">
        <v>112</v>
      </c>
      <c r="I1771" t="str">
        <f t="shared" si="108"/>
        <v>Future</v>
      </c>
      <c r="J1771" t="str">
        <f t="shared" si="109"/>
        <v>re</v>
      </c>
      <c r="K1771" t="str">
        <f t="shared" si="110"/>
        <v>Future</v>
      </c>
      <c r="L1771" t="str">
        <f t="shared" si="111"/>
        <v>Future</v>
      </c>
    </row>
    <row r="1772" spans="1:12" x14ac:dyDescent="0.35">
      <c r="A1772">
        <v>1785</v>
      </c>
      <c r="B1772" t="s">
        <v>4424</v>
      </c>
      <c r="C1772" t="s">
        <v>11105</v>
      </c>
      <c r="D1772" t="s">
        <v>4425</v>
      </c>
      <c r="E1772" t="s">
        <v>4426</v>
      </c>
      <c r="F1772" t="s">
        <v>4363</v>
      </c>
      <c r="G1772" t="s">
        <v>112</v>
      </c>
      <c r="I1772" t="str">
        <f t="shared" si="108"/>
        <v>Future</v>
      </c>
      <c r="J1772" t="str">
        <f t="shared" si="109"/>
        <v>re</v>
      </c>
      <c r="K1772" t="str">
        <f t="shared" si="110"/>
        <v>Future</v>
      </c>
      <c r="L1772" t="str">
        <f t="shared" si="111"/>
        <v>Future</v>
      </c>
    </row>
    <row r="1773" spans="1:12" x14ac:dyDescent="0.35">
      <c r="A1773">
        <v>1786</v>
      </c>
      <c r="B1773" t="s">
        <v>4427</v>
      </c>
      <c r="C1773" t="s">
        <v>10513</v>
      </c>
      <c r="D1773" t="s">
        <v>4428</v>
      </c>
      <c r="E1773" t="s">
        <v>4429</v>
      </c>
      <c r="F1773" t="s">
        <v>4363</v>
      </c>
      <c r="G1773" t="s">
        <v>112</v>
      </c>
      <c r="I1773" t="str">
        <f t="shared" si="108"/>
        <v>Future</v>
      </c>
      <c r="J1773" t="str">
        <f t="shared" si="109"/>
        <v>re</v>
      </c>
      <c r="K1773" t="str">
        <f t="shared" si="110"/>
        <v>Future</v>
      </c>
      <c r="L1773" t="str">
        <f t="shared" si="111"/>
        <v>Future</v>
      </c>
    </row>
    <row r="1774" spans="1:12" x14ac:dyDescent="0.35">
      <c r="A1774">
        <v>1787</v>
      </c>
      <c r="B1774" t="s">
        <v>4430</v>
      </c>
      <c r="C1774" t="s">
        <v>11584</v>
      </c>
      <c r="D1774" t="s">
        <v>4431</v>
      </c>
      <c r="E1774" t="s">
        <v>4371</v>
      </c>
      <c r="F1774" t="s">
        <v>4409</v>
      </c>
      <c r="G1774" t="s">
        <v>112</v>
      </c>
      <c r="I1774" t="str">
        <f t="shared" si="108"/>
        <v>Eternal</v>
      </c>
      <c r="J1774" t="str">
        <f t="shared" si="109"/>
        <v>al</v>
      </c>
      <c r="K1774" t="str">
        <f t="shared" si="110"/>
        <v>Eternal</v>
      </c>
      <c r="L1774" t="str">
        <f t="shared" si="111"/>
        <v>Eternal</v>
      </c>
    </row>
    <row r="1775" spans="1:12" x14ac:dyDescent="0.35">
      <c r="A1775">
        <v>1788</v>
      </c>
      <c r="B1775" t="s">
        <v>4432</v>
      </c>
      <c r="C1775" t="s">
        <v>11585</v>
      </c>
      <c r="D1775" t="s">
        <v>4433</v>
      </c>
      <c r="E1775" t="s">
        <v>4434</v>
      </c>
      <c r="F1775" t="s">
        <v>4363</v>
      </c>
      <c r="G1775" t="s">
        <v>112</v>
      </c>
      <c r="I1775" t="str">
        <f t="shared" si="108"/>
        <v>Future</v>
      </c>
      <c r="J1775" t="str">
        <f t="shared" si="109"/>
        <v>re</v>
      </c>
      <c r="K1775" t="str">
        <f t="shared" si="110"/>
        <v>Future</v>
      </c>
      <c r="L1775" t="str">
        <f t="shared" si="111"/>
        <v>Future</v>
      </c>
    </row>
    <row r="1776" spans="1:12" x14ac:dyDescent="0.35">
      <c r="A1776">
        <v>1789</v>
      </c>
      <c r="B1776" t="s">
        <v>4435</v>
      </c>
      <c r="C1776" t="s">
        <v>10770</v>
      </c>
      <c r="D1776" t="s">
        <v>4436</v>
      </c>
      <c r="E1776" t="s">
        <v>4437</v>
      </c>
      <c r="F1776" t="s">
        <v>4363</v>
      </c>
      <c r="G1776" t="s">
        <v>112</v>
      </c>
      <c r="I1776" t="str">
        <f t="shared" si="108"/>
        <v>Future</v>
      </c>
      <c r="J1776" t="str">
        <f t="shared" si="109"/>
        <v>re</v>
      </c>
      <c r="K1776" t="str">
        <f t="shared" si="110"/>
        <v>Future</v>
      </c>
      <c r="L1776" t="str">
        <f t="shared" si="111"/>
        <v>Future</v>
      </c>
    </row>
    <row r="1777" spans="1:12" x14ac:dyDescent="0.35">
      <c r="A1777">
        <v>1790</v>
      </c>
      <c r="B1777" t="s">
        <v>4438</v>
      </c>
      <c r="C1777" t="s">
        <v>11586</v>
      </c>
      <c r="D1777" t="s">
        <v>4439</v>
      </c>
      <c r="E1777" t="s">
        <v>4423</v>
      </c>
      <c r="F1777" t="s">
        <v>4363</v>
      </c>
      <c r="G1777" t="s">
        <v>112</v>
      </c>
      <c r="I1777" t="str">
        <f t="shared" si="108"/>
        <v>Future</v>
      </c>
      <c r="J1777" t="str">
        <f t="shared" si="109"/>
        <v>re</v>
      </c>
      <c r="K1777" t="str">
        <f t="shared" si="110"/>
        <v>Future</v>
      </c>
      <c r="L1777" t="str">
        <f t="shared" si="111"/>
        <v>Future</v>
      </c>
    </row>
    <row r="1778" spans="1:12" x14ac:dyDescent="0.35">
      <c r="A1778">
        <v>1791</v>
      </c>
      <c r="B1778" t="s">
        <v>4524</v>
      </c>
      <c r="C1778" t="s">
        <v>11118</v>
      </c>
      <c r="D1778" t="s">
        <v>4525</v>
      </c>
      <c r="E1778" t="s">
        <v>4526</v>
      </c>
      <c r="F1778" t="s">
        <v>4527</v>
      </c>
      <c r="G1778" t="s">
        <v>112</v>
      </c>
      <c r="I1778" t="str">
        <f t="shared" si="108"/>
        <v>627</v>
      </c>
      <c r="J1778" t="str">
        <f t="shared" si="109"/>
        <v>BC</v>
      </c>
      <c r="K1778">
        <f t="shared" si="110"/>
        <v>-627</v>
      </c>
      <c r="L1778">
        <f t="shared" si="111"/>
        <v>-627</v>
      </c>
    </row>
    <row r="1779" spans="1:12" x14ac:dyDescent="0.35">
      <c r="A1779">
        <v>1792</v>
      </c>
      <c r="B1779" t="s">
        <v>4528</v>
      </c>
      <c r="C1779" t="s">
        <v>11587</v>
      </c>
      <c r="D1779" t="s">
        <v>4529</v>
      </c>
      <c r="E1779" t="s">
        <v>4530</v>
      </c>
      <c r="F1779" t="s">
        <v>4527</v>
      </c>
      <c r="G1779" t="s">
        <v>112</v>
      </c>
      <c r="I1779" t="str">
        <f t="shared" si="108"/>
        <v>627</v>
      </c>
      <c r="J1779" t="str">
        <f t="shared" si="109"/>
        <v>BC</v>
      </c>
      <c r="K1779">
        <f t="shared" si="110"/>
        <v>-627</v>
      </c>
      <c r="L1779">
        <f t="shared" si="111"/>
        <v>-627</v>
      </c>
    </row>
    <row r="1780" spans="1:12" x14ac:dyDescent="0.35">
      <c r="A1780">
        <v>1793</v>
      </c>
      <c r="B1780" t="s">
        <v>4531</v>
      </c>
      <c r="C1780" t="s">
        <v>11215</v>
      </c>
      <c r="D1780" t="s">
        <v>4532</v>
      </c>
      <c r="E1780" t="s">
        <v>4530</v>
      </c>
      <c r="F1780" t="s">
        <v>4527</v>
      </c>
      <c r="G1780" t="s">
        <v>112</v>
      </c>
      <c r="I1780" t="str">
        <f t="shared" ref="I1780:I1843" si="112">SUBSTITUTE(SUBSTITUTE(SUBSTITUTE(F1780,"c. ","")," BC","")," AD","")</f>
        <v>627</v>
      </c>
      <c r="J1780" t="str">
        <f t="shared" si="109"/>
        <v>BC</v>
      </c>
      <c r="K1780">
        <f t="shared" si="110"/>
        <v>-627</v>
      </c>
      <c r="L1780">
        <f t="shared" si="111"/>
        <v>-627</v>
      </c>
    </row>
    <row r="1781" spans="1:12" x14ac:dyDescent="0.35">
      <c r="A1781">
        <v>1794</v>
      </c>
      <c r="B1781" t="s">
        <v>4533</v>
      </c>
      <c r="C1781" t="s">
        <v>11588</v>
      </c>
      <c r="D1781" t="s">
        <v>4534</v>
      </c>
      <c r="E1781" t="s">
        <v>4526</v>
      </c>
      <c r="F1781" t="s">
        <v>4527</v>
      </c>
      <c r="G1781" t="s">
        <v>112</v>
      </c>
      <c r="I1781" t="str">
        <f t="shared" si="112"/>
        <v>627</v>
      </c>
      <c r="J1781" t="str">
        <f t="shared" si="109"/>
        <v>BC</v>
      </c>
      <c r="K1781">
        <f t="shared" si="110"/>
        <v>-627</v>
      </c>
      <c r="L1781">
        <f t="shared" si="111"/>
        <v>-627</v>
      </c>
    </row>
    <row r="1782" spans="1:12" x14ac:dyDescent="0.35">
      <c r="A1782">
        <v>1795</v>
      </c>
      <c r="B1782" t="s">
        <v>4535</v>
      </c>
      <c r="C1782" t="s">
        <v>11589</v>
      </c>
      <c r="D1782" t="s">
        <v>4536</v>
      </c>
      <c r="E1782" t="s">
        <v>4526</v>
      </c>
      <c r="F1782" t="s">
        <v>4527</v>
      </c>
      <c r="G1782" t="s">
        <v>112</v>
      </c>
      <c r="I1782" t="str">
        <f t="shared" si="112"/>
        <v>627</v>
      </c>
      <c r="J1782" t="str">
        <f t="shared" si="109"/>
        <v>BC</v>
      </c>
      <c r="K1782">
        <f t="shared" si="110"/>
        <v>-627</v>
      </c>
      <c r="L1782">
        <f t="shared" si="111"/>
        <v>-627</v>
      </c>
    </row>
    <row r="1783" spans="1:12" x14ac:dyDescent="0.35">
      <c r="A1783">
        <v>1796</v>
      </c>
      <c r="B1783" t="s">
        <v>4537</v>
      </c>
      <c r="C1783" t="s">
        <v>10252</v>
      </c>
      <c r="D1783" t="s">
        <v>4538</v>
      </c>
      <c r="E1783" t="s">
        <v>4526</v>
      </c>
      <c r="F1783" t="s">
        <v>4527</v>
      </c>
      <c r="G1783" t="s">
        <v>112</v>
      </c>
      <c r="I1783" t="str">
        <f t="shared" si="112"/>
        <v>627</v>
      </c>
      <c r="J1783" t="str">
        <f t="shared" si="109"/>
        <v>BC</v>
      </c>
      <c r="K1783">
        <f t="shared" si="110"/>
        <v>-627</v>
      </c>
      <c r="L1783">
        <f t="shared" si="111"/>
        <v>-627</v>
      </c>
    </row>
    <row r="1784" spans="1:12" x14ac:dyDescent="0.35">
      <c r="A1784">
        <v>1797</v>
      </c>
      <c r="B1784" t="s">
        <v>4539</v>
      </c>
      <c r="C1784" t="s">
        <v>10498</v>
      </c>
      <c r="D1784" t="s">
        <v>4540</v>
      </c>
      <c r="E1784" t="s">
        <v>1211</v>
      </c>
      <c r="F1784" t="s">
        <v>4541</v>
      </c>
      <c r="G1784" t="s">
        <v>112</v>
      </c>
      <c r="I1784" t="str">
        <f t="shared" si="112"/>
        <v>626</v>
      </c>
      <c r="J1784" t="str">
        <f t="shared" si="109"/>
        <v>BC</v>
      </c>
      <c r="K1784">
        <f t="shared" si="110"/>
        <v>-626</v>
      </c>
      <c r="L1784">
        <f t="shared" si="111"/>
        <v>-626</v>
      </c>
    </row>
    <row r="1785" spans="1:12" x14ac:dyDescent="0.35">
      <c r="A1785">
        <v>1798</v>
      </c>
      <c r="B1785" t="s">
        <v>4542</v>
      </c>
      <c r="C1785" t="s">
        <v>11590</v>
      </c>
      <c r="D1785" t="s">
        <v>4543</v>
      </c>
      <c r="E1785" t="s">
        <v>1211</v>
      </c>
      <c r="F1785" t="s">
        <v>4544</v>
      </c>
      <c r="G1785" t="s">
        <v>112</v>
      </c>
      <c r="I1785" t="str">
        <f t="shared" si="112"/>
        <v>625</v>
      </c>
      <c r="J1785" t="str">
        <f t="shared" si="109"/>
        <v>BC</v>
      </c>
      <c r="K1785">
        <f t="shared" si="110"/>
        <v>-625</v>
      </c>
      <c r="L1785">
        <f t="shared" si="111"/>
        <v>-625</v>
      </c>
    </row>
    <row r="1786" spans="1:12" x14ac:dyDescent="0.35">
      <c r="A1786">
        <v>1799</v>
      </c>
      <c r="B1786" t="s">
        <v>4545</v>
      </c>
      <c r="C1786" t="s">
        <v>10253</v>
      </c>
      <c r="D1786" t="s">
        <v>4546</v>
      </c>
      <c r="E1786" t="s">
        <v>1211</v>
      </c>
      <c r="F1786" t="s">
        <v>4544</v>
      </c>
      <c r="G1786" t="s">
        <v>112</v>
      </c>
      <c r="I1786" t="str">
        <f t="shared" si="112"/>
        <v>625</v>
      </c>
      <c r="J1786" t="str">
        <f t="shared" si="109"/>
        <v>BC</v>
      </c>
      <c r="K1786">
        <f t="shared" si="110"/>
        <v>-625</v>
      </c>
      <c r="L1786">
        <f t="shared" si="111"/>
        <v>-625</v>
      </c>
    </row>
    <row r="1787" spans="1:12" x14ac:dyDescent="0.35">
      <c r="A1787">
        <v>1800</v>
      </c>
      <c r="B1787" t="s">
        <v>4547</v>
      </c>
      <c r="C1787" t="s">
        <v>11107</v>
      </c>
      <c r="D1787" t="s">
        <v>4548</v>
      </c>
      <c r="E1787" t="s">
        <v>4320</v>
      </c>
      <c r="F1787" t="s">
        <v>2754</v>
      </c>
      <c r="G1787" t="s">
        <v>112</v>
      </c>
      <c r="I1787" t="str">
        <f t="shared" si="112"/>
        <v>609</v>
      </c>
      <c r="J1787" t="str">
        <f t="shared" si="109"/>
        <v>BC</v>
      </c>
      <c r="K1787">
        <f t="shared" si="110"/>
        <v>-609</v>
      </c>
      <c r="L1787">
        <f t="shared" si="111"/>
        <v>-609</v>
      </c>
    </row>
    <row r="1788" spans="1:12" x14ac:dyDescent="0.35">
      <c r="A1788">
        <v>1801</v>
      </c>
      <c r="B1788" t="s">
        <v>4549</v>
      </c>
      <c r="C1788" t="s">
        <v>11174</v>
      </c>
      <c r="D1788" t="s">
        <v>4550</v>
      </c>
      <c r="E1788" t="s">
        <v>4320</v>
      </c>
      <c r="F1788" t="s">
        <v>2754</v>
      </c>
      <c r="G1788" t="s">
        <v>112</v>
      </c>
      <c r="I1788" t="str">
        <f t="shared" si="112"/>
        <v>609</v>
      </c>
      <c r="J1788" t="str">
        <f t="shared" si="109"/>
        <v>BC</v>
      </c>
      <c r="K1788">
        <f t="shared" si="110"/>
        <v>-609</v>
      </c>
      <c r="L1788">
        <f t="shared" si="111"/>
        <v>-609</v>
      </c>
    </row>
    <row r="1789" spans="1:12" x14ac:dyDescent="0.35">
      <c r="A1789">
        <v>1802</v>
      </c>
      <c r="B1789" t="s">
        <v>4551</v>
      </c>
      <c r="C1789" t="s">
        <v>11201</v>
      </c>
      <c r="D1789" t="s">
        <v>4552</v>
      </c>
      <c r="E1789" t="s">
        <v>1211</v>
      </c>
      <c r="F1789" t="s">
        <v>2754</v>
      </c>
      <c r="G1789" t="s">
        <v>112</v>
      </c>
      <c r="I1789" t="str">
        <f t="shared" si="112"/>
        <v>609</v>
      </c>
      <c r="J1789" t="str">
        <f t="shared" si="109"/>
        <v>BC</v>
      </c>
      <c r="K1789">
        <f t="shared" si="110"/>
        <v>-609</v>
      </c>
      <c r="L1789">
        <f t="shared" si="111"/>
        <v>-609</v>
      </c>
    </row>
    <row r="1790" spans="1:12" x14ac:dyDescent="0.35">
      <c r="A1790">
        <v>1803</v>
      </c>
      <c r="B1790" t="s">
        <v>4553</v>
      </c>
      <c r="C1790" t="s">
        <v>11589</v>
      </c>
      <c r="D1790" t="s">
        <v>4554</v>
      </c>
      <c r="E1790" t="s">
        <v>1211</v>
      </c>
      <c r="F1790" t="s">
        <v>2310</v>
      </c>
      <c r="G1790" t="s">
        <v>112</v>
      </c>
      <c r="I1790" t="str">
        <f t="shared" si="112"/>
        <v>597</v>
      </c>
      <c r="J1790" t="str">
        <f t="shared" si="109"/>
        <v>BC</v>
      </c>
      <c r="K1790">
        <f t="shared" si="110"/>
        <v>-597</v>
      </c>
      <c r="L1790">
        <f t="shared" si="111"/>
        <v>-597</v>
      </c>
    </row>
    <row r="1791" spans="1:12" x14ac:dyDescent="0.35">
      <c r="A1791">
        <v>1804</v>
      </c>
      <c r="B1791" t="s">
        <v>4555</v>
      </c>
      <c r="C1791" t="s">
        <v>10037</v>
      </c>
      <c r="D1791" t="s">
        <v>4556</v>
      </c>
      <c r="E1791" t="s">
        <v>1211</v>
      </c>
      <c r="F1791" t="s">
        <v>4557</v>
      </c>
      <c r="G1791" t="s">
        <v>112</v>
      </c>
      <c r="I1791" t="str">
        <f t="shared" si="112"/>
        <v>605</v>
      </c>
      <c r="J1791" t="str">
        <f t="shared" si="109"/>
        <v>BC</v>
      </c>
      <c r="K1791">
        <f t="shared" si="110"/>
        <v>-605</v>
      </c>
      <c r="L1791">
        <f t="shared" si="111"/>
        <v>-605</v>
      </c>
    </row>
    <row r="1792" spans="1:12" x14ac:dyDescent="0.35">
      <c r="A1792">
        <v>1805</v>
      </c>
      <c r="B1792" t="s">
        <v>4558</v>
      </c>
      <c r="C1792" t="s">
        <v>11591</v>
      </c>
      <c r="D1792" t="s">
        <v>4559</v>
      </c>
      <c r="E1792" t="s">
        <v>1211</v>
      </c>
      <c r="F1792" t="s">
        <v>4557</v>
      </c>
      <c r="G1792" t="s">
        <v>112</v>
      </c>
      <c r="I1792" t="str">
        <f t="shared" si="112"/>
        <v>605</v>
      </c>
      <c r="J1792" t="str">
        <f t="shared" si="109"/>
        <v>BC</v>
      </c>
      <c r="K1792">
        <f t="shared" si="110"/>
        <v>-605</v>
      </c>
      <c r="L1792">
        <f t="shared" si="111"/>
        <v>-605</v>
      </c>
    </row>
    <row r="1793" spans="1:12" x14ac:dyDescent="0.35">
      <c r="A1793">
        <v>1806</v>
      </c>
      <c r="B1793" t="s">
        <v>4560</v>
      </c>
      <c r="C1793" t="s">
        <v>11592</v>
      </c>
      <c r="D1793" t="s">
        <v>4561</v>
      </c>
      <c r="E1793" t="s">
        <v>1211</v>
      </c>
      <c r="F1793" t="s">
        <v>4562</v>
      </c>
      <c r="G1793" t="s">
        <v>112</v>
      </c>
      <c r="I1793" t="str">
        <f t="shared" si="112"/>
        <v>594</v>
      </c>
      <c r="J1793" t="str">
        <f t="shared" si="109"/>
        <v>BC</v>
      </c>
      <c r="K1793">
        <f t="shared" si="110"/>
        <v>-594</v>
      </c>
      <c r="L1793">
        <f t="shared" si="111"/>
        <v>-594</v>
      </c>
    </row>
    <row r="1794" spans="1:12" x14ac:dyDescent="0.35">
      <c r="A1794">
        <v>1807</v>
      </c>
      <c r="B1794" t="s">
        <v>4563</v>
      </c>
      <c r="C1794" t="s">
        <v>10498</v>
      </c>
      <c r="D1794" t="s">
        <v>4564</v>
      </c>
      <c r="E1794" t="s">
        <v>4320</v>
      </c>
      <c r="F1794" t="s">
        <v>4562</v>
      </c>
      <c r="G1794" t="s">
        <v>112</v>
      </c>
      <c r="I1794" t="str">
        <f t="shared" si="112"/>
        <v>594</v>
      </c>
      <c r="J1794" t="str">
        <f t="shared" ref="J1794:J1857" si="113">RIGHT(F1794, 2)</f>
        <v>BC</v>
      </c>
      <c r="K1794">
        <f t="shared" ref="K1794:K1857" si="114">IF(J1794="BC", 0-IF(ISERROR(FIND("-",I1794)),I1794,LEFT(I1794,FIND("-",I1794)-1)), IF(ISERROR(FIND("-",I1794)),I1794,LEFT(I1794,FIND("-",I1794)-1)))</f>
        <v>-594</v>
      </c>
      <c r="L1794">
        <f t="shared" ref="L1794:L1857" si="115">IF(J1794="BC", 0-IF(ISERROR(FIND("-",I1794)),I1794,RIGHT(I1794,FIND("-",I1794)-1)), IF(ISERROR(FIND("-",I1794)),I1794,RIGHT(I1794,FIND("-",I1794)-1)))</f>
        <v>-594</v>
      </c>
    </row>
    <row r="1795" spans="1:12" x14ac:dyDescent="0.35">
      <c r="A1795">
        <v>1808</v>
      </c>
      <c r="B1795" t="s">
        <v>4565</v>
      </c>
      <c r="C1795" t="s">
        <v>11139</v>
      </c>
      <c r="D1795" t="s">
        <v>4566</v>
      </c>
      <c r="E1795" t="s">
        <v>1211</v>
      </c>
      <c r="F1795" t="s">
        <v>4562</v>
      </c>
      <c r="G1795" t="s">
        <v>112</v>
      </c>
      <c r="I1795" t="str">
        <f t="shared" si="112"/>
        <v>594</v>
      </c>
      <c r="J1795" t="str">
        <f t="shared" si="113"/>
        <v>BC</v>
      </c>
      <c r="K1795">
        <f t="shared" si="114"/>
        <v>-594</v>
      </c>
      <c r="L1795">
        <f t="shared" si="115"/>
        <v>-594</v>
      </c>
    </row>
    <row r="1796" spans="1:12" x14ac:dyDescent="0.35">
      <c r="A1796">
        <v>1809</v>
      </c>
      <c r="B1796" t="s">
        <v>4567</v>
      </c>
      <c r="C1796" t="s">
        <v>11593</v>
      </c>
      <c r="D1796" t="s">
        <v>4568</v>
      </c>
      <c r="E1796" t="s">
        <v>1211</v>
      </c>
      <c r="F1796" t="s">
        <v>4562</v>
      </c>
      <c r="G1796" t="s">
        <v>112</v>
      </c>
      <c r="I1796" t="str">
        <f t="shared" si="112"/>
        <v>594</v>
      </c>
      <c r="J1796" t="str">
        <f t="shared" si="113"/>
        <v>BC</v>
      </c>
      <c r="K1796">
        <f t="shared" si="114"/>
        <v>-594</v>
      </c>
      <c r="L1796">
        <f t="shared" si="115"/>
        <v>-594</v>
      </c>
    </row>
    <row r="1797" spans="1:12" x14ac:dyDescent="0.35">
      <c r="A1797">
        <v>1810</v>
      </c>
      <c r="B1797" t="s">
        <v>4569</v>
      </c>
      <c r="C1797" t="s">
        <v>10068</v>
      </c>
      <c r="D1797" t="s">
        <v>4570</v>
      </c>
      <c r="E1797" t="s">
        <v>2309</v>
      </c>
      <c r="F1797" t="s">
        <v>4562</v>
      </c>
      <c r="G1797" t="s">
        <v>112</v>
      </c>
      <c r="I1797" t="str">
        <f t="shared" si="112"/>
        <v>594</v>
      </c>
      <c r="J1797" t="str">
        <f t="shared" si="113"/>
        <v>BC</v>
      </c>
      <c r="K1797">
        <f t="shared" si="114"/>
        <v>-594</v>
      </c>
      <c r="L1797">
        <f t="shared" si="115"/>
        <v>-594</v>
      </c>
    </row>
    <row r="1798" spans="1:12" x14ac:dyDescent="0.35">
      <c r="A1798">
        <v>1811</v>
      </c>
      <c r="B1798" t="s">
        <v>4571</v>
      </c>
      <c r="C1798" t="s">
        <v>10502</v>
      </c>
      <c r="D1798" t="s">
        <v>4572</v>
      </c>
      <c r="E1798" t="s">
        <v>4573</v>
      </c>
      <c r="F1798" t="s">
        <v>4562</v>
      </c>
      <c r="G1798" t="s">
        <v>112</v>
      </c>
      <c r="I1798" t="str">
        <f t="shared" si="112"/>
        <v>594</v>
      </c>
      <c r="J1798" t="str">
        <f t="shared" si="113"/>
        <v>BC</v>
      </c>
      <c r="K1798">
        <f t="shared" si="114"/>
        <v>-594</v>
      </c>
      <c r="L1798">
        <f t="shared" si="115"/>
        <v>-594</v>
      </c>
    </row>
    <row r="1799" spans="1:12" x14ac:dyDescent="0.35">
      <c r="A1799">
        <v>1812</v>
      </c>
      <c r="B1799" t="s">
        <v>4574</v>
      </c>
      <c r="C1799" t="s">
        <v>11592</v>
      </c>
      <c r="D1799" t="s">
        <v>4575</v>
      </c>
      <c r="E1799" t="s">
        <v>1211</v>
      </c>
      <c r="F1799" t="s">
        <v>4576</v>
      </c>
      <c r="G1799" t="s">
        <v>112</v>
      </c>
      <c r="I1799" t="str">
        <f t="shared" si="112"/>
        <v>588</v>
      </c>
      <c r="J1799" t="str">
        <f t="shared" si="113"/>
        <v>BC</v>
      </c>
      <c r="K1799">
        <f t="shared" si="114"/>
        <v>-588</v>
      </c>
      <c r="L1799">
        <f t="shared" si="115"/>
        <v>-588</v>
      </c>
    </row>
    <row r="1800" spans="1:12" x14ac:dyDescent="0.35">
      <c r="A1800">
        <v>1813</v>
      </c>
      <c r="B1800" t="s">
        <v>4577</v>
      </c>
      <c r="C1800" t="s">
        <v>10191</v>
      </c>
      <c r="D1800" t="s">
        <v>4578</v>
      </c>
      <c r="E1800" t="s">
        <v>1211</v>
      </c>
      <c r="F1800" t="s">
        <v>4576</v>
      </c>
      <c r="G1800" t="s">
        <v>112</v>
      </c>
      <c r="I1800" t="str">
        <f t="shared" si="112"/>
        <v>588</v>
      </c>
      <c r="J1800" t="str">
        <f t="shared" si="113"/>
        <v>BC</v>
      </c>
      <c r="K1800">
        <f t="shared" si="114"/>
        <v>-588</v>
      </c>
      <c r="L1800">
        <f t="shared" si="115"/>
        <v>-588</v>
      </c>
    </row>
    <row r="1801" spans="1:12" x14ac:dyDescent="0.35">
      <c r="A1801">
        <v>1814</v>
      </c>
      <c r="B1801" t="s">
        <v>4579</v>
      </c>
      <c r="C1801" t="s">
        <v>11125</v>
      </c>
      <c r="D1801" t="s">
        <v>4580</v>
      </c>
      <c r="E1801" t="s">
        <v>4581</v>
      </c>
      <c r="F1801" t="s">
        <v>4576</v>
      </c>
      <c r="G1801" t="s">
        <v>112</v>
      </c>
      <c r="I1801" t="str">
        <f t="shared" si="112"/>
        <v>588</v>
      </c>
      <c r="J1801" t="str">
        <f t="shared" si="113"/>
        <v>BC</v>
      </c>
      <c r="K1801">
        <f t="shared" si="114"/>
        <v>-588</v>
      </c>
      <c r="L1801">
        <f t="shared" si="115"/>
        <v>-588</v>
      </c>
    </row>
    <row r="1802" spans="1:12" x14ac:dyDescent="0.35">
      <c r="A1802">
        <v>1815</v>
      </c>
      <c r="B1802" t="s">
        <v>4582</v>
      </c>
      <c r="C1802" t="s">
        <v>10139</v>
      </c>
      <c r="D1802" t="s">
        <v>4583</v>
      </c>
      <c r="E1802" t="s">
        <v>4584</v>
      </c>
      <c r="F1802" t="s">
        <v>4562</v>
      </c>
      <c r="G1802" t="s">
        <v>112</v>
      </c>
      <c r="I1802" t="str">
        <f t="shared" si="112"/>
        <v>594</v>
      </c>
      <c r="J1802" t="str">
        <f t="shared" si="113"/>
        <v>BC</v>
      </c>
      <c r="K1802">
        <f t="shared" si="114"/>
        <v>-594</v>
      </c>
      <c r="L1802">
        <f t="shared" si="115"/>
        <v>-594</v>
      </c>
    </row>
    <row r="1803" spans="1:12" x14ac:dyDescent="0.35">
      <c r="A1803">
        <v>1816</v>
      </c>
      <c r="B1803" t="s">
        <v>4585</v>
      </c>
      <c r="C1803" t="s">
        <v>11450</v>
      </c>
      <c r="D1803" t="s">
        <v>4586</v>
      </c>
      <c r="E1803" t="s">
        <v>4530</v>
      </c>
      <c r="F1803" t="s">
        <v>2754</v>
      </c>
      <c r="G1803" t="s">
        <v>112</v>
      </c>
      <c r="I1803" t="str">
        <f t="shared" si="112"/>
        <v>609</v>
      </c>
      <c r="J1803" t="str">
        <f t="shared" si="113"/>
        <v>BC</v>
      </c>
      <c r="K1803">
        <f t="shared" si="114"/>
        <v>-609</v>
      </c>
      <c r="L1803">
        <f t="shared" si="115"/>
        <v>-609</v>
      </c>
    </row>
    <row r="1804" spans="1:12" x14ac:dyDescent="0.35">
      <c r="A1804">
        <v>1817</v>
      </c>
      <c r="B1804" t="s">
        <v>4587</v>
      </c>
      <c r="C1804" t="s">
        <v>11594</v>
      </c>
      <c r="D1804" t="s">
        <v>4588</v>
      </c>
      <c r="E1804" t="s">
        <v>1211</v>
      </c>
      <c r="F1804" t="s">
        <v>2754</v>
      </c>
      <c r="G1804" t="s">
        <v>112</v>
      </c>
      <c r="I1804" t="str">
        <f t="shared" si="112"/>
        <v>609</v>
      </c>
      <c r="J1804" t="str">
        <f t="shared" si="113"/>
        <v>BC</v>
      </c>
      <c r="K1804">
        <f t="shared" si="114"/>
        <v>-609</v>
      </c>
      <c r="L1804">
        <f t="shared" si="115"/>
        <v>-609</v>
      </c>
    </row>
    <row r="1805" spans="1:12" x14ac:dyDescent="0.35">
      <c r="A1805">
        <v>1818</v>
      </c>
      <c r="B1805" t="s">
        <v>4589</v>
      </c>
      <c r="C1805" t="s">
        <v>10503</v>
      </c>
      <c r="D1805" t="s">
        <v>4590</v>
      </c>
      <c r="E1805" t="s">
        <v>1211</v>
      </c>
      <c r="F1805" t="s">
        <v>4557</v>
      </c>
      <c r="G1805" t="s">
        <v>112</v>
      </c>
      <c r="I1805" t="str">
        <f t="shared" si="112"/>
        <v>605</v>
      </c>
      <c r="J1805" t="str">
        <f t="shared" si="113"/>
        <v>BC</v>
      </c>
      <c r="K1805">
        <f t="shared" si="114"/>
        <v>-605</v>
      </c>
      <c r="L1805">
        <f t="shared" si="115"/>
        <v>-605</v>
      </c>
    </row>
    <row r="1806" spans="1:12" x14ac:dyDescent="0.35">
      <c r="A1806">
        <v>1819</v>
      </c>
      <c r="B1806" t="s">
        <v>4591</v>
      </c>
      <c r="C1806" t="s">
        <v>11595</v>
      </c>
      <c r="D1806" t="s">
        <v>4592</v>
      </c>
      <c r="E1806" t="s">
        <v>4593</v>
      </c>
      <c r="F1806" t="s">
        <v>4557</v>
      </c>
      <c r="G1806" t="s">
        <v>112</v>
      </c>
      <c r="I1806" t="str">
        <f t="shared" si="112"/>
        <v>605</v>
      </c>
      <c r="J1806" t="str">
        <f t="shared" si="113"/>
        <v>BC</v>
      </c>
      <c r="K1806">
        <f t="shared" si="114"/>
        <v>-605</v>
      </c>
      <c r="L1806">
        <f t="shared" si="115"/>
        <v>-605</v>
      </c>
    </row>
    <row r="1807" spans="1:12" x14ac:dyDescent="0.35">
      <c r="A1807">
        <v>1820</v>
      </c>
      <c r="B1807" t="s">
        <v>4594</v>
      </c>
      <c r="C1807" t="s">
        <v>10504</v>
      </c>
      <c r="D1807" t="s">
        <v>4595</v>
      </c>
      <c r="E1807" t="s">
        <v>1211</v>
      </c>
      <c r="F1807" t="s">
        <v>4557</v>
      </c>
      <c r="G1807" t="s">
        <v>112</v>
      </c>
      <c r="I1807" t="str">
        <f t="shared" si="112"/>
        <v>605</v>
      </c>
      <c r="J1807" t="str">
        <f t="shared" si="113"/>
        <v>BC</v>
      </c>
      <c r="K1807">
        <f t="shared" si="114"/>
        <v>-605</v>
      </c>
      <c r="L1807">
        <f t="shared" si="115"/>
        <v>-605</v>
      </c>
    </row>
    <row r="1808" spans="1:12" x14ac:dyDescent="0.35">
      <c r="A1808">
        <v>1821</v>
      </c>
      <c r="B1808" t="s">
        <v>4596</v>
      </c>
      <c r="C1808" t="s">
        <v>11596</v>
      </c>
      <c r="D1808" t="s">
        <v>4597</v>
      </c>
      <c r="E1808" t="s">
        <v>4598</v>
      </c>
      <c r="F1808" t="s">
        <v>4557</v>
      </c>
      <c r="G1808" t="s">
        <v>112</v>
      </c>
      <c r="I1808" t="str">
        <f t="shared" si="112"/>
        <v>605</v>
      </c>
      <c r="J1808" t="str">
        <f t="shared" si="113"/>
        <v>BC</v>
      </c>
      <c r="K1808">
        <f t="shared" si="114"/>
        <v>-605</v>
      </c>
      <c r="L1808">
        <f t="shared" si="115"/>
        <v>-605</v>
      </c>
    </row>
    <row r="1809" spans="1:12" x14ac:dyDescent="0.35">
      <c r="A1809">
        <v>1822</v>
      </c>
      <c r="B1809" t="s">
        <v>4599</v>
      </c>
      <c r="C1809" t="s">
        <v>10505</v>
      </c>
      <c r="D1809" t="s">
        <v>4600</v>
      </c>
      <c r="E1809" t="s">
        <v>4320</v>
      </c>
      <c r="F1809" t="s">
        <v>4557</v>
      </c>
      <c r="G1809" t="s">
        <v>112</v>
      </c>
      <c r="I1809" t="str">
        <f t="shared" si="112"/>
        <v>605</v>
      </c>
      <c r="J1809" t="str">
        <f t="shared" si="113"/>
        <v>BC</v>
      </c>
      <c r="K1809">
        <f t="shared" si="114"/>
        <v>-605</v>
      </c>
      <c r="L1809">
        <f t="shared" si="115"/>
        <v>-605</v>
      </c>
    </row>
    <row r="1810" spans="1:12" x14ac:dyDescent="0.35">
      <c r="A1810">
        <v>1823</v>
      </c>
      <c r="B1810" t="s">
        <v>4601</v>
      </c>
      <c r="C1810" t="s">
        <v>10037</v>
      </c>
      <c r="D1810" t="s">
        <v>4602</v>
      </c>
      <c r="E1810" t="s">
        <v>1211</v>
      </c>
      <c r="F1810" t="s">
        <v>4576</v>
      </c>
      <c r="G1810" t="s">
        <v>112</v>
      </c>
      <c r="I1810" t="str">
        <f t="shared" si="112"/>
        <v>588</v>
      </c>
      <c r="J1810" t="str">
        <f t="shared" si="113"/>
        <v>BC</v>
      </c>
      <c r="K1810">
        <f t="shared" si="114"/>
        <v>-588</v>
      </c>
      <c r="L1810">
        <f t="shared" si="115"/>
        <v>-588</v>
      </c>
    </row>
    <row r="1811" spans="1:12" x14ac:dyDescent="0.35">
      <c r="A1811">
        <v>1824</v>
      </c>
      <c r="B1811" t="s">
        <v>4603</v>
      </c>
      <c r="C1811" t="s">
        <v>10506</v>
      </c>
      <c r="D1811" t="s">
        <v>4604</v>
      </c>
      <c r="E1811" t="s">
        <v>1211</v>
      </c>
      <c r="F1811" t="s">
        <v>4557</v>
      </c>
      <c r="G1811" t="s">
        <v>112</v>
      </c>
      <c r="I1811" t="str">
        <f t="shared" si="112"/>
        <v>605</v>
      </c>
      <c r="J1811" t="str">
        <f t="shared" si="113"/>
        <v>BC</v>
      </c>
      <c r="K1811">
        <f t="shared" si="114"/>
        <v>-605</v>
      </c>
      <c r="L1811">
        <f t="shared" si="115"/>
        <v>-605</v>
      </c>
    </row>
    <row r="1812" spans="1:12" x14ac:dyDescent="0.35">
      <c r="A1812">
        <v>1825</v>
      </c>
      <c r="B1812" t="s">
        <v>4605</v>
      </c>
      <c r="C1812" t="s">
        <v>11110</v>
      </c>
      <c r="D1812" t="s">
        <v>4606</v>
      </c>
      <c r="E1812" t="s">
        <v>1211</v>
      </c>
      <c r="F1812" t="s">
        <v>4557</v>
      </c>
      <c r="G1812" t="s">
        <v>112</v>
      </c>
      <c r="I1812" t="str">
        <f t="shared" si="112"/>
        <v>605</v>
      </c>
      <c r="J1812" t="str">
        <f t="shared" si="113"/>
        <v>BC</v>
      </c>
      <c r="K1812">
        <f t="shared" si="114"/>
        <v>-605</v>
      </c>
      <c r="L1812">
        <f t="shared" si="115"/>
        <v>-605</v>
      </c>
    </row>
    <row r="1813" spans="1:12" x14ac:dyDescent="0.35">
      <c r="A1813">
        <v>1826</v>
      </c>
      <c r="B1813" t="s">
        <v>4607</v>
      </c>
      <c r="C1813" t="s">
        <v>11597</v>
      </c>
      <c r="D1813" t="s">
        <v>4608</v>
      </c>
      <c r="E1813" t="s">
        <v>1211</v>
      </c>
      <c r="F1813" t="s">
        <v>4557</v>
      </c>
      <c r="G1813" t="s">
        <v>112</v>
      </c>
      <c r="I1813" t="str">
        <f t="shared" si="112"/>
        <v>605</v>
      </c>
      <c r="J1813" t="str">
        <f t="shared" si="113"/>
        <v>BC</v>
      </c>
      <c r="K1813">
        <f t="shared" si="114"/>
        <v>-605</v>
      </c>
      <c r="L1813">
        <f t="shared" si="115"/>
        <v>-605</v>
      </c>
    </row>
    <row r="1814" spans="1:12" x14ac:dyDescent="0.35">
      <c r="A1814">
        <v>1827</v>
      </c>
      <c r="B1814" t="s">
        <v>4609</v>
      </c>
      <c r="C1814" t="s">
        <v>10507</v>
      </c>
      <c r="D1814" t="s">
        <v>4610</v>
      </c>
      <c r="E1814" t="s">
        <v>1211</v>
      </c>
      <c r="F1814" t="s">
        <v>4557</v>
      </c>
      <c r="G1814" t="s">
        <v>112</v>
      </c>
      <c r="I1814" t="str">
        <f t="shared" si="112"/>
        <v>605</v>
      </c>
      <c r="J1814" t="str">
        <f t="shared" si="113"/>
        <v>BC</v>
      </c>
      <c r="K1814">
        <f t="shared" si="114"/>
        <v>-605</v>
      </c>
      <c r="L1814">
        <f t="shared" si="115"/>
        <v>-605</v>
      </c>
    </row>
    <row r="1815" spans="1:12" x14ac:dyDescent="0.35">
      <c r="A1815">
        <v>1828</v>
      </c>
      <c r="B1815" t="s">
        <v>4611</v>
      </c>
      <c r="C1815" t="s">
        <v>11107</v>
      </c>
      <c r="D1815" t="s">
        <v>4612</v>
      </c>
      <c r="E1815" t="s">
        <v>1211</v>
      </c>
      <c r="F1815" t="s">
        <v>4557</v>
      </c>
      <c r="G1815" t="s">
        <v>112</v>
      </c>
      <c r="I1815" t="str">
        <f t="shared" si="112"/>
        <v>605</v>
      </c>
      <c r="J1815" t="str">
        <f t="shared" si="113"/>
        <v>BC</v>
      </c>
      <c r="K1815">
        <f t="shared" si="114"/>
        <v>-605</v>
      </c>
      <c r="L1815">
        <f t="shared" si="115"/>
        <v>-605</v>
      </c>
    </row>
    <row r="1816" spans="1:12" x14ac:dyDescent="0.35">
      <c r="A1816">
        <v>1829</v>
      </c>
      <c r="B1816" t="s">
        <v>4613</v>
      </c>
      <c r="C1816" t="s">
        <v>11265</v>
      </c>
      <c r="D1816" t="s">
        <v>4614</v>
      </c>
      <c r="E1816" t="s">
        <v>1211</v>
      </c>
      <c r="F1816" t="s">
        <v>4557</v>
      </c>
      <c r="G1816" t="s">
        <v>112</v>
      </c>
      <c r="I1816" t="str">
        <f t="shared" si="112"/>
        <v>605</v>
      </c>
      <c r="J1816" t="str">
        <f t="shared" si="113"/>
        <v>BC</v>
      </c>
      <c r="K1816">
        <f t="shared" si="114"/>
        <v>-605</v>
      </c>
      <c r="L1816">
        <f t="shared" si="115"/>
        <v>-605</v>
      </c>
    </row>
    <row r="1817" spans="1:12" x14ac:dyDescent="0.35">
      <c r="A1817">
        <v>1830</v>
      </c>
      <c r="B1817" t="s">
        <v>4615</v>
      </c>
      <c r="C1817" t="s">
        <v>11598</v>
      </c>
      <c r="D1817" t="s">
        <v>4616</v>
      </c>
      <c r="E1817" t="s">
        <v>1211</v>
      </c>
      <c r="F1817" t="s">
        <v>4557</v>
      </c>
      <c r="G1817" t="s">
        <v>112</v>
      </c>
      <c r="I1817" t="str">
        <f t="shared" si="112"/>
        <v>605</v>
      </c>
      <c r="J1817" t="str">
        <f t="shared" si="113"/>
        <v>BC</v>
      </c>
      <c r="K1817">
        <f t="shared" si="114"/>
        <v>-605</v>
      </c>
      <c r="L1817">
        <f t="shared" si="115"/>
        <v>-605</v>
      </c>
    </row>
    <row r="1818" spans="1:12" x14ac:dyDescent="0.35">
      <c r="A1818">
        <v>1831</v>
      </c>
      <c r="B1818" t="s">
        <v>4617</v>
      </c>
      <c r="C1818" t="s">
        <v>10508</v>
      </c>
      <c r="D1818" t="s">
        <v>4618</v>
      </c>
      <c r="E1818" t="s">
        <v>4619</v>
      </c>
      <c r="F1818" t="s">
        <v>4576</v>
      </c>
      <c r="G1818" t="s">
        <v>112</v>
      </c>
      <c r="I1818" t="str">
        <f t="shared" si="112"/>
        <v>588</v>
      </c>
      <c r="J1818" t="str">
        <f t="shared" si="113"/>
        <v>BC</v>
      </c>
      <c r="K1818">
        <f t="shared" si="114"/>
        <v>-588</v>
      </c>
      <c r="L1818">
        <f t="shared" si="115"/>
        <v>-588</v>
      </c>
    </row>
    <row r="1819" spans="1:12" x14ac:dyDescent="0.35">
      <c r="A1819">
        <v>1832</v>
      </c>
      <c r="B1819" t="s">
        <v>4620</v>
      </c>
      <c r="C1819" t="s">
        <v>10166</v>
      </c>
      <c r="D1819" t="s">
        <v>4621</v>
      </c>
      <c r="E1819" t="s">
        <v>1211</v>
      </c>
      <c r="F1819" t="s">
        <v>4576</v>
      </c>
      <c r="G1819" t="s">
        <v>12498</v>
      </c>
      <c r="I1819" t="str">
        <f t="shared" si="112"/>
        <v>588</v>
      </c>
      <c r="J1819" t="str">
        <f t="shared" si="113"/>
        <v>BC</v>
      </c>
      <c r="K1819">
        <f t="shared" si="114"/>
        <v>-588</v>
      </c>
      <c r="L1819">
        <f t="shared" si="115"/>
        <v>-588</v>
      </c>
    </row>
    <row r="1820" spans="1:12" x14ac:dyDescent="0.35">
      <c r="A1820">
        <v>1833</v>
      </c>
      <c r="B1820" t="s">
        <v>4622</v>
      </c>
      <c r="C1820" t="s">
        <v>11599</v>
      </c>
      <c r="D1820" t="s">
        <v>4623</v>
      </c>
      <c r="E1820" t="s">
        <v>1211</v>
      </c>
      <c r="F1820" t="s">
        <v>4624</v>
      </c>
      <c r="G1820" t="s">
        <v>112</v>
      </c>
      <c r="I1820" t="str">
        <f t="shared" si="112"/>
        <v>587</v>
      </c>
      <c r="J1820" t="str">
        <f t="shared" si="113"/>
        <v>BC</v>
      </c>
      <c r="K1820">
        <f t="shared" si="114"/>
        <v>-587</v>
      </c>
      <c r="L1820">
        <f t="shared" si="115"/>
        <v>-587</v>
      </c>
    </row>
    <row r="1821" spans="1:12" x14ac:dyDescent="0.35">
      <c r="A1821">
        <v>1834</v>
      </c>
      <c r="B1821" t="s">
        <v>4625</v>
      </c>
      <c r="C1821" t="s">
        <v>11242</v>
      </c>
      <c r="D1821" t="s">
        <v>4623</v>
      </c>
      <c r="E1821" t="s">
        <v>1211</v>
      </c>
      <c r="F1821" t="s">
        <v>4624</v>
      </c>
      <c r="G1821" t="s">
        <v>112</v>
      </c>
      <c r="I1821" t="str">
        <f t="shared" si="112"/>
        <v>587</v>
      </c>
      <c r="J1821" t="str">
        <f t="shared" si="113"/>
        <v>BC</v>
      </c>
      <c r="K1821">
        <f t="shared" si="114"/>
        <v>-587</v>
      </c>
      <c r="L1821">
        <f t="shared" si="115"/>
        <v>-587</v>
      </c>
    </row>
    <row r="1822" spans="1:12" x14ac:dyDescent="0.35">
      <c r="A1822">
        <v>1835</v>
      </c>
      <c r="B1822" t="s">
        <v>4626</v>
      </c>
      <c r="C1822" t="s">
        <v>10504</v>
      </c>
      <c r="D1822" t="s">
        <v>4627</v>
      </c>
      <c r="E1822" t="s">
        <v>1078</v>
      </c>
      <c r="F1822" t="s">
        <v>2325</v>
      </c>
      <c r="G1822" t="s">
        <v>112</v>
      </c>
      <c r="I1822" t="str">
        <f t="shared" si="112"/>
        <v>586</v>
      </c>
      <c r="J1822" t="str">
        <f t="shared" si="113"/>
        <v>BC</v>
      </c>
      <c r="K1822">
        <f t="shared" si="114"/>
        <v>-586</v>
      </c>
      <c r="L1822">
        <f t="shared" si="115"/>
        <v>-586</v>
      </c>
    </row>
    <row r="1823" spans="1:12" x14ac:dyDescent="0.35">
      <c r="A1823">
        <v>1836</v>
      </c>
      <c r="B1823" t="s">
        <v>4628</v>
      </c>
      <c r="C1823" t="s">
        <v>10509</v>
      </c>
      <c r="D1823" t="s">
        <v>4629</v>
      </c>
      <c r="E1823" t="s">
        <v>1078</v>
      </c>
      <c r="F1823" t="s">
        <v>2325</v>
      </c>
      <c r="G1823" t="s">
        <v>112</v>
      </c>
      <c r="I1823" t="str">
        <f t="shared" si="112"/>
        <v>586</v>
      </c>
      <c r="J1823" t="str">
        <f t="shared" si="113"/>
        <v>BC</v>
      </c>
      <c r="K1823">
        <f t="shared" si="114"/>
        <v>-586</v>
      </c>
      <c r="L1823">
        <f t="shared" si="115"/>
        <v>-586</v>
      </c>
    </row>
    <row r="1824" spans="1:12" x14ac:dyDescent="0.35">
      <c r="A1824">
        <v>1837</v>
      </c>
      <c r="B1824" t="s">
        <v>4630</v>
      </c>
      <c r="C1824" t="s">
        <v>11600</v>
      </c>
      <c r="D1824" t="s">
        <v>4631</v>
      </c>
      <c r="E1824" t="s">
        <v>4632</v>
      </c>
      <c r="F1824" t="s">
        <v>4633</v>
      </c>
      <c r="G1824" t="s">
        <v>112</v>
      </c>
      <c r="I1824" t="str">
        <f t="shared" si="112"/>
        <v>585</v>
      </c>
      <c r="J1824" t="str">
        <f t="shared" si="113"/>
        <v>BC</v>
      </c>
      <c r="K1824">
        <f t="shared" si="114"/>
        <v>-585</v>
      </c>
      <c r="L1824">
        <f t="shared" si="115"/>
        <v>-585</v>
      </c>
    </row>
    <row r="1825" spans="1:12" x14ac:dyDescent="0.35">
      <c r="A1825">
        <v>1838</v>
      </c>
      <c r="B1825" t="s">
        <v>4634</v>
      </c>
      <c r="C1825" t="s">
        <v>10037</v>
      </c>
      <c r="D1825" t="s">
        <v>4635</v>
      </c>
      <c r="E1825" t="s">
        <v>4636</v>
      </c>
      <c r="F1825" t="s">
        <v>4557</v>
      </c>
      <c r="G1825" t="s">
        <v>112</v>
      </c>
      <c r="H1825" t="s">
        <v>10867</v>
      </c>
      <c r="I1825" t="str">
        <f t="shared" si="112"/>
        <v>605</v>
      </c>
      <c r="J1825" t="str">
        <f t="shared" si="113"/>
        <v>BC</v>
      </c>
      <c r="K1825">
        <f t="shared" si="114"/>
        <v>-605</v>
      </c>
      <c r="L1825">
        <f t="shared" si="115"/>
        <v>-605</v>
      </c>
    </row>
    <row r="1826" spans="1:12" x14ac:dyDescent="0.35">
      <c r="A1826">
        <v>1839</v>
      </c>
      <c r="B1826" t="s">
        <v>4637</v>
      </c>
      <c r="C1826" t="s">
        <v>10073</v>
      </c>
      <c r="D1826" t="s">
        <v>4638</v>
      </c>
      <c r="E1826" t="s">
        <v>4639</v>
      </c>
      <c r="F1826" t="s">
        <v>4557</v>
      </c>
      <c r="G1826" t="s">
        <v>112</v>
      </c>
      <c r="I1826" t="str">
        <f t="shared" si="112"/>
        <v>605</v>
      </c>
      <c r="J1826" t="str">
        <f t="shared" si="113"/>
        <v>BC</v>
      </c>
      <c r="K1826">
        <f t="shared" si="114"/>
        <v>-605</v>
      </c>
      <c r="L1826">
        <f t="shared" si="115"/>
        <v>-605</v>
      </c>
    </row>
    <row r="1827" spans="1:12" x14ac:dyDescent="0.35">
      <c r="A1827">
        <v>1840</v>
      </c>
      <c r="B1827" t="s">
        <v>4640</v>
      </c>
      <c r="C1827" t="s">
        <v>10037</v>
      </c>
      <c r="D1827" t="s">
        <v>4641</v>
      </c>
      <c r="E1827" t="s">
        <v>1211</v>
      </c>
      <c r="F1827" t="s">
        <v>4557</v>
      </c>
      <c r="G1827" t="s">
        <v>112</v>
      </c>
      <c r="I1827" t="str">
        <f t="shared" si="112"/>
        <v>605</v>
      </c>
      <c r="J1827" t="str">
        <f t="shared" si="113"/>
        <v>BC</v>
      </c>
      <c r="K1827">
        <f t="shared" si="114"/>
        <v>-605</v>
      </c>
      <c r="L1827">
        <f t="shared" si="115"/>
        <v>-605</v>
      </c>
    </row>
    <row r="1828" spans="1:12" x14ac:dyDescent="0.35">
      <c r="A1828">
        <v>1841</v>
      </c>
      <c r="B1828" t="s">
        <v>4642</v>
      </c>
      <c r="C1828" t="s">
        <v>10037</v>
      </c>
      <c r="D1828" t="s">
        <v>4643</v>
      </c>
      <c r="E1828" t="s">
        <v>1211</v>
      </c>
      <c r="F1828" t="s">
        <v>4557</v>
      </c>
      <c r="G1828" t="s">
        <v>112</v>
      </c>
      <c r="I1828" t="str">
        <f t="shared" si="112"/>
        <v>605</v>
      </c>
      <c r="J1828" t="str">
        <f t="shared" si="113"/>
        <v>BC</v>
      </c>
      <c r="K1828">
        <f t="shared" si="114"/>
        <v>-605</v>
      </c>
      <c r="L1828">
        <f t="shared" si="115"/>
        <v>-605</v>
      </c>
    </row>
    <row r="1829" spans="1:12" x14ac:dyDescent="0.35">
      <c r="A1829">
        <v>1842</v>
      </c>
      <c r="B1829" t="s">
        <v>4644</v>
      </c>
      <c r="C1829" t="s">
        <v>10037</v>
      </c>
      <c r="D1829" t="s">
        <v>4645</v>
      </c>
      <c r="E1829" t="s">
        <v>1211</v>
      </c>
      <c r="F1829" t="s">
        <v>4557</v>
      </c>
      <c r="G1829" t="s">
        <v>112</v>
      </c>
      <c r="I1829" t="str">
        <f t="shared" si="112"/>
        <v>605</v>
      </c>
      <c r="J1829" t="str">
        <f t="shared" si="113"/>
        <v>BC</v>
      </c>
      <c r="K1829">
        <f t="shared" si="114"/>
        <v>-605</v>
      </c>
      <c r="L1829">
        <f t="shared" si="115"/>
        <v>-605</v>
      </c>
    </row>
    <row r="1830" spans="1:12" x14ac:dyDescent="0.35">
      <c r="A1830">
        <v>1843</v>
      </c>
      <c r="B1830" t="s">
        <v>4646</v>
      </c>
      <c r="C1830" t="s">
        <v>10037</v>
      </c>
      <c r="D1830" t="s">
        <v>4647</v>
      </c>
      <c r="E1830" t="s">
        <v>1211</v>
      </c>
      <c r="F1830" t="s">
        <v>4557</v>
      </c>
      <c r="G1830" t="s">
        <v>112</v>
      </c>
      <c r="I1830" t="str">
        <f t="shared" si="112"/>
        <v>605</v>
      </c>
      <c r="J1830" t="str">
        <f t="shared" si="113"/>
        <v>BC</v>
      </c>
      <c r="K1830">
        <f t="shared" si="114"/>
        <v>-605</v>
      </c>
      <c r="L1830">
        <f t="shared" si="115"/>
        <v>-605</v>
      </c>
    </row>
    <row r="1831" spans="1:12" x14ac:dyDescent="0.35">
      <c r="A1831">
        <v>1844</v>
      </c>
      <c r="B1831" t="s">
        <v>4648</v>
      </c>
      <c r="C1831" t="s">
        <v>10037</v>
      </c>
      <c r="D1831" t="s">
        <v>4649</v>
      </c>
      <c r="E1831" t="s">
        <v>1211</v>
      </c>
      <c r="F1831" t="s">
        <v>4557</v>
      </c>
      <c r="G1831" t="s">
        <v>112</v>
      </c>
      <c r="I1831" t="str">
        <f t="shared" si="112"/>
        <v>605</v>
      </c>
      <c r="J1831" t="str">
        <f t="shared" si="113"/>
        <v>BC</v>
      </c>
      <c r="K1831">
        <f t="shared" si="114"/>
        <v>-605</v>
      </c>
      <c r="L1831">
        <f t="shared" si="115"/>
        <v>-605</v>
      </c>
    </row>
    <row r="1832" spans="1:12" x14ac:dyDescent="0.35">
      <c r="A1832">
        <v>1845</v>
      </c>
      <c r="B1832" t="s">
        <v>4650</v>
      </c>
      <c r="C1832" t="s">
        <v>10037</v>
      </c>
      <c r="D1832" t="s">
        <v>4651</v>
      </c>
      <c r="E1832" t="s">
        <v>1211</v>
      </c>
      <c r="F1832" t="s">
        <v>4557</v>
      </c>
      <c r="G1832" t="s">
        <v>112</v>
      </c>
      <c r="I1832" t="str">
        <f t="shared" si="112"/>
        <v>605</v>
      </c>
      <c r="J1832" t="str">
        <f t="shared" si="113"/>
        <v>BC</v>
      </c>
      <c r="K1832">
        <f t="shared" si="114"/>
        <v>-605</v>
      </c>
      <c r="L1832">
        <f t="shared" si="115"/>
        <v>-605</v>
      </c>
    </row>
    <row r="1833" spans="1:12" x14ac:dyDescent="0.35">
      <c r="A1833">
        <v>1846</v>
      </c>
      <c r="B1833" t="s">
        <v>4652</v>
      </c>
      <c r="C1833" t="s">
        <v>10037</v>
      </c>
      <c r="D1833" t="s">
        <v>4653</v>
      </c>
      <c r="E1833" t="s">
        <v>1211</v>
      </c>
      <c r="F1833" t="s">
        <v>2310</v>
      </c>
      <c r="G1833" t="s">
        <v>112</v>
      </c>
      <c r="I1833" t="str">
        <f t="shared" si="112"/>
        <v>597</v>
      </c>
      <c r="J1833" t="str">
        <f t="shared" si="113"/>
        <v>BC</v>
      </c>
      <c r="K1833">
        <f t="shared" si="114"/>
        <v>-597</v>
      </c>
      <c r="L1833">
        <f t="shared" si="115"/>
        <v>-597</v>
      </c>
    </row>
    <row r="1834" spans="1:12" x14ac:dyDescent="0.35">
      <c r="A1834">
        <v>1847</v>
      </c>
      <c r="B1834" t="s">
        <v>4654</v>
      </c>
      <c r="C1834" t="s">
        <v>10037</v>
      </c>
      <c r="D1834" t="s">
        <v>4655</v>
      </c>
      <c r="E1834" t="s">
        <v>4584</v>
      </c>
      <c r="F1834" t="s">
        <v>4562</v>
      </c>
      <c r="G1834" t="s">
        <v>112</v>
      </c>
      <c r="I1834" t="str">
        <f t="shared" si="112"/>
        <v>594</v>
      </c>
      <c r="J1834" t="str">
        <f t="shared" si="113"/>
        <v>BC</v>
      </c>
      <c r="K1834">
        <f t="shared" si="114"/>
        <v>-594</v>
      </c>
      <c r="L1834">
        <f t="shared" si="115"/>
        <v>-594</v>
      </c>
    </row>
    <row r="1835" spans="1:12" x14ac:dyDescent="0.35">
      <c r="A1835">
        <v>1848</v>
      </c>
      <c r="B1835" t="s">
        <v>4656</v>
      </c>
      <c r="C1835" t="s">
        <v>10596</v>
      </c>
      <c r="D1835" t="s">
        <v>4657</v>
      </c>
      <c r="E1835" t="s">
        <v>3133</v>
      </c>
      <c r="F1835" t="s">
        <v>4562</v>
      </c>
      <c r="G1835" t="s">
        <v>112</v>
      </c>
      <c r="I1835" t="str">
        <f t="shared" si="112"/>
        <v>594</v>
      </c>
      <c r="J1835" t="str">
        <f t="shared" si="113"/>
        <v>BC</v>
      </c>
      <c r="K1835">
        <f t="shared" si="114"/>
        <v>-594</v>
      </c>
      <c r="L1835">
        <f t="shared" si="115"/>
        <v>-594</v>
      </c>
    </row>
    <row r="1836" spans="1:12" x14ac:dyDescent="0.35">
      <c r="A1836">
        <v>1849</v>
      </c>
      <c r="B1836" t="s">
        <v>4658</v>
      </c>
      <c r="C1836" t="s">
        <v>11126</v>
      </c>
      <c r="D1836" t="s">
        <v>4659</v>
      </c>
      <c r="E1836" t="s">
        <v>1211</v>
      </c>
      <c r="F1836" t="s">
        <v>2325</v>
      </c>
      <c r="G1836" t="s">
        <v>12499</v>
      </c>
      <c r="I1836" t="str">
        <f t="shared" si="112"/>
        <v>586</v>
      </c>
      <c r="J1836" t="str">
        <f t="shared" si="113"/>
        <v>BC</v>
      </c>
      <c r="K1836">
        <f t="shared" si="114"/>
        <v>-586</v>
      </c>
      <c r="L1836">
        <f t="shared" si="115"/>
        <v>-586</v>
      </c>
    </row>
    <row r="1837" spans="1:12" x14ac:dyDescent="0.35">
      <c r="A1837">
        <v>1850</v>
      </c>
      <c r="B1837" t="s">
        <v>4660</v>
      </c>
      <c r="C1837" t="s">
        <v>10496</v>
      </c>
      <c r="D1837" t="s">
        <v>4661</v>
      </c>
      <c r="E1837" t="s">
        <v>4662</v>
      </c>
      <c r="F1837" t="s">
        <v>2325</v>
      </c>
      <c r="G1837" t="s">
        <v>112</v>
      </c>
      <c r="I1837" t="str">
        <f t="shared" si="112"/>
        <v>586</v>
      </c>
      <c r="J1837" t="str">
        <f t="shared" si="113"/>
        <v>BC</v>
      </c>
      <c r="K1837">
        <f t="shared" si="114"/>
        <v>-586</v>
      </c>
      <c r="L1837">
        <f t="shared" si="115"/>
        <v>-586</v>
      </c>
    </row>
    <row r="1838" spans="1:12" x14ac:dyDescent="0.35">
      <c r="A1838">
        <v>1851</v>
      </c>
      <c r="B1838" t="s">
        <v>4663</v>
      </c>
      <c r="C1838" t="s">
        <v>10100</v>
      </c>
      <c r="D1838" t="s">
        <v>4664</v>
      </c>
      <c r="E1838" t="s">
        <v>1211</v>
      </c>
      <c r="F1838" t="s">
        <v>2325</v>
      </c>
      <c r="G1838" t="s">
        <v>112</v>
      </c>
      <c r="I1838" t="str">
        <f t="shared" si="112"/>
        <v>586</v>
      </c>
      <c r="J1838" t="str">
        <f t="shared" si="113"/>
        <v>BC</v>
      </c>
      <c r="K1838">
        <f t="shared" si="114"/>
        <v>-586</v>
      </c>
      <c r="L1838">
        <f t="shared" si="115"/>
        <v>-586</v>
      </c>
    </row>
    <row r="1839" spans="1:12" x14ac:dyDescent="0.35">
      <c r="A1839">
        <v>1852</v>
      </c>
      <c r="B1839" t="s">
        <v>4665</v>
      </c>
      <c r="C1839" t="s">
        <v>11601</v>
      </c>
      <c r="D1839" t="s">
        <v>4666</v>
      </c>
      <c r="E1839" t="s">
        <v>2283</v>
      </c>
      <c r="F1839" t="s">
        <v>2325</v>
      </c>
      <c r="G1839" t="s">
        <v>112</v>
      </c>
      <c r="I1839" t="str">
        <f t="shared" si="112"/>
        <v>586</v>
      </c>
      <c r="J1839" t="str">
        <f t="shared" si="113"/>
        <v>BC</v>
      </c>
      <c r="K1839">
        <f t="shared" si="114"/>
        <v>-586</v>
      </c>
      <c r="L1839">
        <f t="shared" si="115"/>
        <v>-586</v>
      </c>
    </row>
    <row r="1840" spans="1:12" x14ac:dyDescent="0.35">
      <c r="A1840">
        <v>1853</v>
      </c>
      <c r="B1840" t="s">
        <v>4667</v>
      </c>
      <c r="C1840" t="s">
        <v>10510</v>
      </c>
      <c r="D1840" t="s">
        <v>4668</v>
      </c>
      <c r="E1840" t="s">
        <v>1211</v>
      </c>
      <c r="F1840" t="s">
        <v>2325</v>
      </c>
      <c r="G1840" t="s">
        <v>112</v>
      </c>
      <c r="I1840" t="str">
        <f t="shared" si="112"/>
        <v>586</v>
      </c>
      <c r="J1840" t="str">
        <f t="shared" si="113"/>
        <v>BC</v>
      </c>
      <c r="K1840">
        <f t="shared" si="114"/>
        <v>-586</v>
      </c>
      <c r="L1840">
        <f t="shared" si="115"/>
        <v>-586</v>
      </c>
    </row>
    <row r="1841" spans="1:12" x14ac:dyDescent="0.35">
      <c r="A1841">
        <v>1854</v>
      </c>
      <c r="B1841" t="s">
        <v>4669</v>
      </c>
      <c r="C1841" t="s">
        <v>11442</v>
      </c>
      <c r="D1841" t="s">
        <v>4670</v>
      </c>
      <c r="E1841" t="s">
        <v>4671</v>
      </c>
      <c r="F1841" t="s">
        <v>2325</v>
      </c>
      <c r="G1841" t="s">
        <v>112</v>
      </c>
      <c r="I1841" t="str">
        <f t="shared" si="112"/>
        <v>586</v>
      </c>
      <c r="J1841" t="str">
        <f t="shared" si="113"/>
        <v>BC</v>
      </c>
      <c r="K1841">
        <f t="shared" si="114"/>
        <v>-586</v>
      </c>
      <c r="L1841">
        <f t="shared" si="115"/>
        <v>-586</v>
      </c>
    </row>
    <row r="1842" spans="1:12" x14ac:dyDescent="0.35">
      <c r="A1842">
        <v>1855</v>
      </c>
      <c r="B1842" t="s">
        <v>4672</v>
      </c>
      <c r="C1842" t="s">
        <v>10164</v>
      </c>
      <c r="D1842" t="s">
        <v>4673</v>
      </c>
      <c r="E1842" t="s">
        <v>4674</v>
      </c>
      <c r="F1842" t="s">
        <v>2325</v>
      </c>
      <c r="G1842" t="s">
        <v>112</v>
      </c>
      <c r="I1842" t="str">
        <f t="shared" si="112"/>
        <v>586</v>
      </c>
      <c r="J1842" t="str">
        <f t="shared" si="113"/>
        <v>BC</v>
      </c>
      <c r="K1842">
        <f t="shared" si="114"/>
        <v>-586</v>
      </c>
      <c r="L1842">
        <f t="shared" si="115"/>
        <v>-586</v>
      </c>
    </row>
    <row r="1843" spans="1:12" x14ac:dyDescent="0.35">
      <c r="A1843">
        <v>1856</v>
      </c>
      <c r="B1843" t="s">
        <v>4692</v>
      </c>
      <c r="C1843" t="s">
        <v>11602</v>
      </c>
      <c r="D1843" t="s">
        <v>4693</v>
      </c>
      <c r="E1843" t="s">
        <v>4694</v>
      </c>
      <c r="F1843" t="s">
        <v>4695</v>
      </c>
      <c r="G1843" t="s">
        <v>112</v>
      </c>
      <c r="I1843" t="str">
        <f t="shared" si="112"/>
        <v>593</v>
      </c>
      <c r="J1843" t="str">
        <f t="shared" si="113"/>
        <v>BC</v>
      </c>
      <c r="K1843">
        <f t="shared" si="114"/>
        <v>-593</v>
      </c>
      <c r="L1843">
        <f t="shared" si="115"/>
        <v>-593</v>
      </c>
    </row>
    <row r="1844" spans="1:12" x14ac:dyDescent="0.35">
      <c r="A1844">
        <v>1857</v>
      </c>
      <c r="B1844" t="s">
        <v>4696</v>
      </c>
      <c r="C1844" t="s">
        <v>10052</v>
      </c>
      <c r="D1844" t="s">
        <v>4697</v>
      </c>
      <c r="E1844" t="s">
        <v>4694</v>
      </c>
      <c r="F1844" t="s">
        <v>4695</v>
      </c>
      <c r="G1844" t="s">
        <v>112</v>
      </c>
      <c r="I1844" t="str">
        <f t="shared" ref="I1844:I1907" si="116">SUBSTITUTE(SUBSTITUTE(SUBSTITUTE(F1844,"c. ","")," BC","")," AD","")</f>
        <v>593</v>
      </c>
      <c r="J1844" t="str">
        <f t="shared" si="113"/>
        <v>BC</v>
      </c>
      <c r="K1844">
        <f t="shared" si="114"/>
        <v>-593</v>
      </c>
      <c r="L1844">
        <f t="shared" si="115"/>
        <v>-593</v>
      </c>
    </row>
    <row r="1845" spans="1:12" x14ac:dyDescent="0.35">
      <c r="A1845">
        <v>1858</v>
      </c>
      <c r="B1845" t="s">
        <v>4698</v>
      </c>
      <c r="C1845" t="s">
        <v>10511</v>
      </c>
      <c r="D1845" t="s">
        <v>4699</v>
      </c>
      <c r="E1845" t="s">
        <v>4694</v>
      </c>
      <c r="F1845" t="s">
        <v>4695</v>
      </c>
      <c r="G1845" t="s">
        <v>112</v>
      </c>
      <c r="I1845" t="str">
        <f t="shared" si="116"/>
        <v>593</v>
      </c>
      <c r="J1845" t="str">
        <f t="shared" si="113"/>
        <v>BC</v>
      </c>
      <c r="K1845">
        <f t="shared" si="114"/>
        <v>-593</v>
      </c>
      <c r="L1845">
        <f t="shared" si="115"/>
        <v>-593</v>
      </c>
    </row>
    <row r="1846" spans="1:12" x14ac:dyDescent="0.35">
      <c r="A1846">
        <v>1859</v>
      </c>
      <c r="B1846" t="s">
        <v>4700</v>
      </c>
      <c r="C1846" t="s">
        <v>11118</v>
      </c>
      <c r="D1846" t="s">
        <v>4701</v>
      </c>
      <c r="E1846" t="s">
        <v>4694</v>
      </c>
      <c r="F1846" t="s">
        <v>4695</v>
      </c>
      <c r="G1846" t="s">
        <v>112</v>
      </c>
      <c r="I1846" t="str">
        <f t="shared" si="116"/>
        <v>593</v>
      </c>
      <c r="J1846" t="str">
        <f t="shared" si="113"/>
        <v>BC</v>
      </c>
      <c r="K1846">
        <f t="shared" si="114"/>
        <v>-593</v>
      </c>
      <c r="L1846">
        <f t="shared" si="115"/>
        <v>-593</v>
      </c>
    </row>
    <row r="1847" spans="1:12" x14ac:dyDescent="0.35">
      <c r="A1847">
        <v>1860</v>
      </c>
      <c r="B1847" t="s">
        <v>4702</v>
      </c>
      <c r="C1847" t="s">
        <v>10512</v>
      </c>
      <c r="D1847" t="s">
        <v>4703</v>
      </c>
      <c r="E1847" t="s">
        <v>4694</v>
      </c>
      <c r="F1847" t="s">
        <v>4695</v>
      </c>
      <c r="G1847" t="s">
        <v>4704</v>
      </c>
      <c r="I1847" t="str">
        <f t="shared" si="116"/>
        <v>593</v>
      </c>
      <c r="J1847" t="str">
        <f t="shared" si="113"/>
        <v>BC</v>
      </c>
      <c r="K1847">
        <f t="shared" si="114"/>
        <v>-593</v>
      </c>
      <c r="L1847">
        <f t="shared" si="115"/>
        <v>-593</v>
      </c>
    </row>
    <row r="1848" spans="1:12" x14ac:dyDescent="0.35">
      <c r="A1848">
        <v>1861</v>
      </c>
      <c r="B1848" t="s">
        <v>4705</v>
      </c>
      <c r="C1848" t="s">
        <v>11215</v>
      </c>
      <c r="D1848" t="s">
        <v>4706</v>
      </c>
      <c r="E1848" t="s">
        <v>4694</v>
      </c>
      <c r="F1848" t="s">
        <v>4695</v>
      </c>
      <c r="G1848" t="s">
        <v>112</v>
      </c>
      <c r="I1848" t="str">
        <f t="shared" si="116"/>
        <v>593</v>
      </c>
      <c r="J1848" t="str">
        <f t="shared" si="113"/>
        <v>BC</v>
      </c>
      <c r="K1848">
        <f t="shared" si="114"/>
        <v>-593</v>
      </c>
      <c r="L1848">
        <f t="shared" si="115"/>
        <v>-593</v>
      </c>
    </row>
    <row r="1849" spans="1:12" x14ac:dyDescent="0.35">
      <c r="A1849">
        <v>1862</v>
      </c>
      <c r="B1849" t="s">
        <v>4707</v>
      </c>
      <c r="C1849" t="s">
        <v>11603</v>
      </c>
      <c r="D1849" t="s">
        <v>4708</v>
      </c>
      <c r="E1849" t="s">
        <v>4694</v>
      </c>
      <c r="F1849" t="s">
        <v>4695</v>
      </c>
      <c r="G1849" t="s">
        <v>112</v>
      </c>
      <c r="I1849" t="str">
        <f t="shared" si="116"/>
        <v>593</v>
      </c>
      <c r="J1849" t="str">
        <f t="shared" si="113"/>
        <v>BC</v>
      </c>
      <c r="K1849">
        <f t="shared" si="114"/>
        <v>-593</v>
      </c>
      <c r="L1849">
        <f t="shared" si="115"/>
        <v>-593</v>
      </c>
    </row>
    <row r="1850" spans="1:12" x14ac:dyDescent="0.35">
      <c r="A1850">
        <v>1863</v>
      </c>
      <c r="B1850" t="s">
        <v>4709</v>
      </c>
      <c r="C1850" t="s">
        <v>10772</v>
      </c>
      <c r="D1850" t="s">
        <v>4710</v>
      </c>
      <c r="E1850" t="s">
        <v>4694</v>
      </c>
      <c r="F1850" t="s">
        <v>4695</v>
      </c>
      <c r="G1850" t="s">
        <v>112</v>
      </c>
      <c r="I1850" t="str">
        <f t="shared" si="116"/>
        <v>593</v>
      </c>
      <c r="J1850" t="str">
        <f t="shared" si="113"/>
        <v>BC</v>
      </c>
      <c r="K1850">
        <f t="shared" si="114"/>
        <v>-593</v>
      </c>
      <c r="L1850">
        <f t="shared" si="115"/>
        <v>-593</v>
      </c>
    </row>
    <row r="1851" spans="1:12" x14ac:dyDescent="0.35">
      <c r="A1851">
        <v>1864</v>
      </c>
      <c r="B1851" t="s">
        <v>4711</v>
      </c>
      <c r="C1851" t="s">
        <v>10513</v>
      </c>
      <c r="D1851" t="s">
        <v>4712</v>
      </c>
      <c r="E1851" t="s">
        <v>4694</v>
      </c>
      <c r="F1851" t="s">
        <v>4695</v>
      </c>
      <c r="G1851" t="s">
        <v>112</v>
      </c>
      <c r="I1851" t="str">
        <f t="shared" si="116"/>
        <v>593</v>
      </c>
      <c r="J1851" t="str">
        <f t="shared" si="113"/>
        <v>BC</v>
      </c>
      <c r="K1851">
        <f t="shared" si="114"/>
        <v>-593</v>
      </c>
      <c r="L1851">
        <f t="shared" si="115"/>
        <v>-593</v>
      </c>
    </row>
    <row r="1852" spans="1:12" x14ac:dyDescent="0.35">
      <c r="A1852">
        <v>1865</v>
      </c>
      <c r="B1852" t="s">
        <v>4713</v>
      </c>
      <c r="C1852" t="s">
        <v>10514</v>
      </c>
      <c r="D1852" t="s">
        <v>4714</v>
      </c>
      <c r="E1852" t="s">
        <v>4694</v>
      </c>
      <c r="F1852" t="s">
        <v>4695</v>
      </c>
      <c r="G1852" t="s">
        <v>4704</v>
      </c>
      <c r="I1852" t="str">
        <f t="shared" si="116"/>
        <v>593</v>
      </c>
      <c r="J1852" t="str">
        <f t="shared" si="113"/>
        <v>BC</v>
      </c>
      <c r="K1852">
        <f t="shared" si="114"/>
        <v>-593</v>
      </c>
      <c r="L1852">
        <f t="shared" si="115"/>
        <v>-593</v>
      </c>
    </row>
    <row r="1853" spans="1:12" x14ac:dyDescent="0.35">
      <c r="A1853">
        <v>1866</v>
      </c>
      <c r="B1853" t="s">
        <v>4715</v>
      </c>
      <c r="C1853" t="s">
        <v>10773</v>
      </c>
      <c r="D1853" t="s">
        <v>4716</v>
      </c>
      <c r="E1853" t="s">
        <v>4717</v>
      </c>
      <c r="F1853" t="s">
        <v>4695</v>
      </c>
      <c r="G1853" t="s">
        <v>112</v>
      </c>
      <c r="I1853" t="str">
        <f t="shared" si="116"/>
        <v>593</v>
      </c>
      <c r="J1853" t="str">
        <f t="shared" si="113"/>
        <v>BC</v>
      </c>
      <c r="K1853">
        <f t="shared" si="114"/>
        <v>-593</v>
      </c>
      <c r="L1853">
        <f t="shared" si="115"/>
        <v>-593</v>
      </c>
    </row>
    <row r="1854" spans="1:12" x14ac:dyDescent="0.35">
      <c r="A1854">
        <v>1867</v>
      </c>
      <c r="B1854" t="s">
        <v>4718</v>
      </c>
      <c r="C1854" t="s">
        <v>10524</v>
      </c>
      <c r="D1854" t="s">
        <v>4719</v>
      </c>
      <c r="E1854" t="s">
        <v>4720</v>
      </c>
      <c r="F1854" t="s">
        <v>4721</v>
      </c>
      <c r="G1854" t="s">
        <v>112</v>
      </c>
      <c r="I1854" t="str">
        <f t="shared" si="116"/>
        <v>592</v>
      </c>
      <c r="J1854" t="str">
        <f t="shared" si="113"/>
        <v>BC</v>
      </c>
      <c r="K1854">
        <f t="shared" si="114"/>
        <v>-592</v>
      </c>
      <c r="L1854">
        <f t="shared" si="115"/>
        <v>-592</v>
      </c>
    </row>
    <row r="1855" spans="1:12" x14ac:dyDescent="0.35">
      <c r="A1855">
        <v>1868</v>
      </c>
      <c r="B1855" t="s">
        <v>4722</v>
      </c>
      <c r="C1855" t="s">
        <v>10514</v>
      </c>
      <c r="D1855" t="s">
        <v>4723</v>
      </c>
      <c r="E1855" t="s">
        <v>4720</v>
      </c>
      <c r="F1855" t="s">
        <v>4721</v>
      </c>
      <c r="G1855" t="s">
        <v>4704</v>
      </c>
      <c r="I1855" t="str">
        <f t="shared" si="116"/>
        <v>592</v>
      </c>
      <c r="J1855" t="str">
        <f t="shared" si="113"/>
        <v>BC</v>
      </c>
      <c r="K1855">
        <f t="shared" si="114"/>
        <v>-592</v>
      </c>
      <c r="L1855">
        <f t="shared" si="115"/>
        <v>-592</v>
      </c>
    </row>
    <row r="1856" spans="1:12" x14ac:dyDescent="0.35">
      <c r="A1856">
        <v>1869</v>
      </c>
      <c r="B1856" t="s">
        <v>4724</v>
      </c>
      <c r="C1856" t="s">
        <v>11591</v>
      </c>
      <c r="D1856" t="s">
        <v>4725</v>
      </c>
      <c r="E1856" t="s">
        <v>4726</v>
      </c>
      <c r="F1856" t="s">
        <v>4721</v>
      </c>
      <c r="G1856" t="s">
        <v>112</v>
      </c>
      <c r="I1856" t="str">
        <f t="shared" si="116"/>
        <v>592</v>
      </c>
      <c r="J1856" t="str">
        <f t="shared" si="113"/>
        <v>BC</v>
      </c>
      <c r="K1856">
        <f t="shared" si="114"/>
        <v>-592</v>
      </c>
      <c r="L1856">
        <f t="shared" si="115"/>
        <v>-592</v>
      </c>
    </row>
    <row r="1857" spans="1:12" x14ac:dyDescent="0.35">
      <c r="A1857">
        <v>1870</v>
      </c>
      <c r="B1857" t="s">
        <v>4727</v>
      </c>
      <c r="C1857" t="s">
        <v>11604</v>
      </c>
      <c r="D1857" t="s">
        <v>4728</v>
      </c>
      <c r="E1857" t="s">
        <v>4726</v>
      </c>
      <c r="F1857" t="s">
        <v>4721</v>
      </c>
      <c r="G1857" t="s">
        <v>4729</v>
      </c>
      <c r="I1857" t="str">
        <f t="shared" si="116"/>
        <v>592</v>
      </c>
      <c r="J1857" t="str">
        <f t="shared" si="113"/>
        <v>BC</v>
      </c>
      <c r="K1857">
        <f t="shared" si="114"/>
        <v>-592</v>
      </c>
      <c r="L1857">
        <f t="shared" si="115"/>
        <v>-592</v>
      </c>
    </row>
    <row r="1858" spans="1:12" x14ac:dyDescent="0.35">
      <c r="A1858">
        <v>1871</v>
      </c>
      <c r="B1858" t="s">
        <v>4730</v>
      </c>
      <c r="C1858" t="s">
        <v>10116</v>
      </c>
      <c r="D1858" t="s">
        <v>4731</v>
      </c>
      <c r="E1858" t="s">
        <v>4726</v>
      </c>
      <c r="F1858" t="s">
        <v>4721</v>
      </c>
      <c r="G1858" t="s">
        <v>112</v>
      </c>
      <c r="I1858" t="str">
        <f t="shared" si="116"/>
        <v>592</v>
      </c>
      <c r="J1858" t="str">
        <f t="shared" ref="J1858:J1921" si="117">RIGHT(F1858, 2)</f>
        <v>BC</v>
      </c>
      <c r="K1858">
        <f t="shared" ref="K1858:K1921" si="118">IF(J1858="BC", 0-IF(ISERROR(FIND("-",I1858)),I1858,LEFT(I1858,FIND("-",I1858)-1)), IF(ISERROR(FIND("-",I1858)),I1858,LEFT(I1858,FIND("-",I1858)-1)))</f>
        <v>-592</v>
      </c>
      <c r="L1858">
        <f t="shared" ref="L1858:L1921" si="119">IF(J1858="BC", 0-IF(ISERROR(FIND("-",I1858)),I1858,RIGHT(I1858,FIND("-",I1858)-1)), IF(ISERROR(FIND("-",I1858)),I1858,RIGHT(I1858,FIND("-",I1858)-1)))</f>
        <v>-592</v>
      </c>
    </row>
    <row r="1859" spans="1:12" x14ac:dyDescent="0.35">
      <c r="A1859">
        <v>1872</v>
      </c>
      <c r="B1859" t="s">
        <v>4732</v>
      </c>
      <c r="C1859" t="s">
        <v>10052</v>
      </c>
      <c r="D1859" t="s">
        <v>4733</v>
      </c>
      <c r="E1859" t="s">
        <v>4726</v>
      </c>
      <c r="F1859" t="s">
        <v>4721</v>
      </c>
      <c r="G1859" t="s">
        <v>4734</v>
      </c>
      <c r="I1859" t="str">
        <f t="shared" si="116"/>
        <v>592</v>
      </c>
      <c r="J1859" t="str">
        <f t="shared" si="117"/>
        <v>BC</v>
      </c>
      <c r="K1859">
        <f t="shared" si="118"/>
        <v>-592</v>
      </c>
      <c r="L1859">
        <f t="shared" si="119"/>
        <v>-592</v>
      </c>
    </row>
    <row r="1860" spans="1:12" x14ac:dyDescent="0.35">
      <c r="A1860">
        <v>1873</v>
      </c>
      <c r="B1860" t="s">
        <v>4735</v>
      </c>
      <c r="C1860" t="s">
        <v>10514</v>
      </c>
      <c r="D1860" t="s">
        <v>4736</v>
      </c>
      <c r="E1860" t="s">
        <v>4726</v>
      </c>
      <c r="F1860" t="s">
        <v>4721</v>
      </c>
      <c r="G1860" t="s">
        <v>4704</v>
      </c>
      <c r="I1860" t="str">
        <f t="shared" si="116"/>
        <v>592</v>
      </c>
      <c r="J1860" t="str">
        <f t="shared" si="117"/>
        <v>BC</v>
      </c>
      <c r="K1860">
        <f t="shared" si="118"/>
        <v>-592</v>
      </c>
      <c r="L1860">
        <f t="shared" si="119"/>
        <v>-592</v>
      </c>
    </row>
    <row r="1861" spans="1:12" x14ac:dyDescent="0.35">
      <c r="A1861">
        <v>1874</v>
      </c>
      <c r="B1861" t="s">
        <v>4737</v>
      </c>
      <c r="C1861" t="s">
        <v>11110</v>
      </c>
      <c r="D1861" t="s">
        <v>4738</v>
      </c>
      <c r="E1861" t="s">
        <v>4726</v>
      </c>
      <c r="F1861" t="s">
        <v>4721</v>
      </c>
      <c r="G1861" t="s">
        <v>112</v>
      </c>
      <c r="I1861" t="str">
        <f t="shared" si="116"/>
        <v>592</v>
      </c>
      <c r="J1861" t="str">
        <f t="shared" si="117"/>
        <v>BC</v>
      </c>
      <c r="K1861">
        <f t="shared" si="118"/>
        <v>-592</v>
      </c>
      <c r="L1861">
        <f t="shared" si="119"/>
        <v>-592</v>
      </c>
    </row>
    <row r="1862" spans="1:12" x14ac:dyDescent="0.35">
      <c r="A1862">
        <v>1875</v>
      </c>
      <c r="B1862" t="s">
        <v>4739</v>
      </c>
      <c r="C1862" t="s">
        <v>11139</v>
      </c>
      <c r="D1862" t="s">
        <v>4740</v>
      </c>
      <c r="E1862" t="s">
        <v>4726</v>
      </c>
      <c r="F1862" t="s">
        <v>4721</v>
      </c>
      <c r="G1862" t="s">
        <v>112</v>
      </c>
      <c r="I1862" t="str">
        <f t="shared" si="116"/>
        <v>592</v>
      </c>
      <c r="J1862" t="str">
        <f t="shared" si="117"/>
        <v>BC</v>
      </c>
      <c r="K1862">
        <f t="shared" si="118"/>
        <v>-592</v>
      </c>
      <c r="L1862">
        <f t="shared" si="119"/>
        <v>-592</v>
      </c>
    </row>
    <row r="1863" spans="1:12" x14ac:dyDescent="0.35">
      <c r="A1863">
        <v>1876</v>
      </c>
      <c r="B1863" t="s">
        <v>4741</v>
      </c>
      <c r="C1863" t="s">
        <v>11120</v>
      </c>
      <c r="D1863" t="s">
        <v>4742</v>
      </c>
      <c r="E1863" t="s">
        <v>4726</v>
      </c>
      <c r="F1863" t="s">
        <v>4721</v>
      </c>
      <c r="G1863" t="s">
        <v>112</v>
      </c>
      <c r="I1863" t="str">
        <f t="shared" si="116"/>
        <v>592</v>
      </c>
      <c r="J1863" t="str">
        <f t="shared" si="117"/>
        <v>BC</v>
      </c>
      <c r="K1863">
        <f t="shared" si="118"/>
        <v>-592</v>
      </c>
      <c r="L1863">
        <f t="shared" si="119"/>
        <v>-592</v>
      </c>
    </row>
    <row r="1864" spans="1:12" x14ac:dyDescent="0.35">
      <c r="A1864">
        <v>1877</v>
      </c>
      <c r="B1864" t="s">
        <v>4743</v>
      </c>
      <c r="C1864" t="s">
        <v>10514</v>
      </c>
      <c r="D1864" t="s">
        <v>4744</v>
      </c>
      <c r="E1864" t="s">
        <v>3133</v>
      </c>
      <c r="F1864" t="s">
        <v>4721</v>
      </c>
      <c r="G1864" t="s">
        <v>4704</v>
      </c>
      <c r="I1864" t="str">
        <f t="shared" si="116"/>
        <v>592</v>
      </c>
      <c r="J1864" t="str">
        <f t="shared" si="117"/>
        <v>BC</v>
      </c>
      <c r="K1864">
        <f t="shared" si="118"/>
        <v>-592</v>
      </c>
      <c r="L1864">
        <f t="shared" si="119"/>
        <v>-592</v>
      </c>
    </row>
    <row r="1865" spans="1:12" x14ac:dyDescent="0.35">
      <c r="A1865">
        <v>1878</v>
      </c>
      <c r="B1865" t="s">
        <v>4745</v>
      </c>
      <c r="C1865" t="s">
        <v>11605</v>
      </c>
      <c r="D1865" t="s">
        <v>4746</v>
      </c>
      <c r="E1865" t="s">
        <v>3133</v>
      </c>
      <c r="F1865" t="s">
        <v>4721</v>
      </c>
      <c r="G1865" t="s">
        <v>112</v>
      </c>
      <c r="I1865" t="str">
        <f t="shared" si="116"/>
        <v>592</v>
      </c>
      <c r="J1865" t="str">
        <f t="shared" si="117"/>
        <v>BC</v>
      </c>
      <c r="K1865">
        <f t="shared" si="118"/>
        <v>-592</v>
      </c>
      <c r="L1865">
        <f t="shared" si="119"/>
        <v>-592</v>
      </c>
    </row>
    <row r="1866" spans="1:12" x14ac:dyDescent="0.35">
      <c r="A1866">
        <v>1879</v>
      </c>
      <c r="B1866" t="s">
        <v>4747</v>
      </c>
      <c r="C1866" t="s">
        <v>11606</v>
      </c>
      <c r="D1866" t="s">
        <v>4748</v>
      </c>
      <c r="E1866" t="s">
        <v>3133</v>
      </c>
      <c r="F1866" t="s">
        <v>4721</v>
      </c>
      <c r="G1866" t="s">
        <v>112</v>
      </c>
      <c r="I1866" t="str">
        <f t="shared" si="116"/>
        <v>592</v>
      </c>
      <c r="J1866" t="str">
        <f t="shared" si="117"/>
        <v>BC</v>
      </c>
      <c r="K1866">
        <f t="shared" si="118"/>
        <v>-592</v>
      </c>
      <c r="L1866">
        <f t="shared" si="119"/>
        <v>-592</v>
      </c>
    </row>
    <row r="1867" spans="1:12" x14ac:dyDescent="0.35">
      <c r="A1867">
        <v>1880</v>
      </c>
      <c r="B1867" t="s">
        <v>4749</v>
      </c>
      <c r="C1867" t="s">
        <v>11605</v>
      </c>
      <c r="D1867" t="s">
        <v>4750</v>
      </c>
      <c r="E1867" t="s">
        <v>3133</v>
      </c>
      <c r="F1867" t="s">
        <v>4721</v>
      </c>
      <c r="G1867" t="s">
        <v>112</v>
      </c>
      <c r="I1867" t="str">
        <f t="shared" si="116"/>
        <v>592</v>
      </c>
      <c r="J1867" t="str">
        <f t="shared" si="117"/>
        <v>BC</v>
      </c>
      <c r="K1867">
        <f t="shared" si="118"/>
        <v>-592</v>
      </c>
      <c r="L1867">
        <f t="shared" si="119"/>
        <v>-592</v>
      </c>
    </row>
    <row r="1868" spans="1:12" x14ac:dyDescent="0.35">
      <c r="A1868">
        <v>1881</v>
      </c>
      <c r="B1868" t="s">
        <v>4751</v>
      </c>
      <c r="C1868" t="s">
        <v>11607</v>
      </c>
      <c r="D1868" t="s">
        <v>4752</v>
      </c>
      <c r="E1868" t="s">
        <v>3133</v>
      </c>
      <c r="F1868" t="s">
        <v>4721</v>
      </c>
      <c r="G1868" t="s">
        <v>112</v>
      </c>
      <c r="I1868" t="str">
        <f t="shared" si="116"/>
        <v>592</v>
      </c>
      <c r="J1868" t="str">
        <f t="shared" si="117"/>
        <v>BC</v>
      </c>
      <c r="K1868">
        <f t="shared" si="118"/>
        <v>-592</v>
      </c>
      <c r="L1868">
        <f t="shared" si="119"/>
        <v>-592</v>
      </c>
    </row>
    <row r="1869" spans="1:12" x14ac:dyDescent="0.35">
      <c r="A1869">
        <v>1882</v>
      </c>
      <c r="B1869" t="s">
        <v>4753</v>
      </c>
      <c r="C1869" t="s">
        <v>11110</v>
      </c>
      <c r="D1869" t="s">
        <v>4754</v>
      </c>
      <c r="E1869" t="s">
        <v>3133</v>
      </c>
      <c r="F1869" t="s">
        <v>4721</v>
      </c>
      <c r="G1869" t="s">
        <v>112</v>
      </c>
      <c r="I1869" t="str">
        <f t="shared" si="116"/>
        <v>592</v>
      </c>
      <c r="J1869" t="str">
        <f t="shared" si="117"/>
        <v>BC</v>
      </c>
      <c r="K1869">
        <f t="shared" si="118"/>
        <v>-592</v>
      </c>
      <c r="L1869">
        <f t="shared" si="119"/>
        <v>-592</v>
      </c>
    </row>
    <row r="1870" spans="1:12" x14ac:dyDescent="0.35">
      <c r="A1870">
        <v>1883</v>
      </c>
      <c r="B1870" t="s">
        <v>4755</v>
      </c>
      <c r="C1870" t="s">
        <v>11110</v>
      </c>
      <c r="D1870" t="s">
        <v>4756</v>
      </c>
      <c r="E1870" t="s">
        <v>3133</v>
      </c>
      <c r="F1870" t="s">
        <v>4721</v>
      </c>
      <c r="G1870" t="s">
        <v>112</v>
      </c>
      <c r="I1870" t="str">
        <f t="shared" si="116"/>
        <v>592</v>
      </c>
      <c r="J1870" t="str">
        <f t="shared" si="117"/>
        <v>BC</v>
      </c>
      <c r="K1870">
        <f t="shared" si="118"/>
        <v>-592</v>
      </c>
      <c r="L1870">
        <f t="shared" si="119"/>
        <v>-592</v>
      </c>
    </row>
    <row r="1871" spans="1:12" x14ac:dyDescent="0.35">
      <c r="A1871">
        <v>1884</v>
      </c>
      <c r="B1871" t="s">
        <v>4757</v>
      </c>
      <c r="C1871" t="s">
        <v>11110</v>
      </c>
      <c r="D1871" t="s">
        <v>4758</v>
      </c>
      <c r="E1871" t="s">
        <v>3133</v>
      </c>
      <c r="F1871" t="s">
        <v>4721</v>
      </c>
      <c r="G1871" t="s">
        <v>112</v>
      </c>
      <c r="I1871" t="str">
        <f t="shared" si="116"/>
        <v>592</v>
      </c>
      <c r="J1871" t="str">
        <f t="shared" si="117"/>
        <v>BC</v>
      </c>
      <c r="K1871">
        <f t="shared" si="118"/>
        <v>-592</v>
      </c>
      <c r="L1871">
        <f t="shared" si="119"/>
        <v>-592</v>
      </c>
    </row>
    <row r="1872" spans="1:12" x14ac:dyDescent="0.35">
      <c r="A1872">
        <v>1885</v>
      </c>
      <c r="B1872" t="s">
        <v>4759</v>
      </c>
      <c r="C1872" t="s">
        <v>11608</v>
      </c>
      <c r="D1872" t="s">
        <v>4760</v>
      </c>
      <c r="E1872" t="s">
        <v>3133</v>
      </c>
      <c r="F1872" t="s">
        <v>4721</v>
      </c>
      <c r="G1872" t="s">
        <v>112</v>
      </c>
      <c r="I1872" t="str">
        <f t="shared" si="116"/>
        <v>592</v>
      </c>
      <c r="J1872" t="str">
        <f t="shared" si="117"/>
        <v>BC</v>
      </c>
      <c r="K1872">
        <f t="shared" si="118"/>
        <v>-592</v>
      </c>
      <c r="L1872">
        <f t="shared" si="119"/>
        <v>-592</v>
      </c>
    </row>
    <row r="1873" spans="1:12" x14ac:dyDescent="0.35">
      <c r="A1873">
        <v>1886</v>
      </c>
      <c r="B1873" t="s">
        <v>4761</v>
      </c>
      <c r="C1873" t="s">
        <v>11609</v>
      </c>
      <c r="D1873" t="s">
        <v>4762</v>
      </c>
      <c r="E1873" t="s">
        <v>3133</v>
      </c>
      <c r="F1873" t="s">
        <v>4721</v>
      </c>
      <c r="G1873" t="s">
        <v>112</v>
      </c>
      <c r="I1873" t="str">
        <f t="shared" si="116"/>
        <v>592</v>
      </c>
      <c r="J1873" t="str">
        <f t="shared" si="117"/>
        <v>BC</v>
      </c>
      <c r="K1873">
        <f t="shared" si="118"/>
        <v>-592</v>
      </c>
      <c r="L1873">
        <f t="shared" si="119"/>
        <v>-592</v>
      </c>
    </row>
    <row r="1874" spans="1:12" x14ac:dyDescent="0.35">
      <c r="A1874">
        <v>1887</v>
      </c>
      <c r="B1874" t="s">
        <v>4763</v>
      </c>
      <c r="C1874" t="s">
        <v>11608</v>
      </c>
      <c r="D1874" t="s">
        <v>4764</v>
      </c>
      <c r="E1874" t="s">
        <v>3133</v>
      </c>
      <c r="F1874" t="s">
        <v>4721</v>
      </c>
      <c r="G1874" t="s">
        <v>112</v>
      </c>
      <c r="I1874" t="str">
        <f t="shared" si="116"/>
        <v>592</v>
      </c>
      <c r="J1874" t="str">
        <f t="shared" si="117"/>
        <v>BC</v>
      </c>
      <c r="K1874">
        <f t="shared" si="118"/>
        <v>-592</v>
      </c>
      <c r="L1874">
        <f t="shared" si="119"/>
        <v>-592</v>
      </c>
    </row>
    <row r="1875" spans="1:12" x14ac:dyDescent="0.35">
      <c r="A1875">
        <v>1888</v>
      </c>
      <c r="B1875" t="s">
        <v>4765</v>
      </c>
      <c r="C1875" t="s">
        <v>11610</v>
      </c>
      <c r="D1875" t="s">
        <v>4766</v>
      </c>
      <c r="E1875" t="s">
        <v>3133</v>
      </c>
      <c r="F1875" t="s">
        <v>4767</v>
      </c>
      <c r="G1875" t="s">
        <v>112</v>
      </c>
      <c r="I1875" t="str">
        <f t="shared" si="116"/>
        <v>591</v>
      </c>
      <c r="J1875" t="str">
        <f t="shared" si="117"/>
        <v>BC</v>
      </c>
      <c r="K1875">
        <f t="shared" si="118"/>
        <v>-591</v>
      </c>
      <c r="L1875">
        <f t="shared" si="119"/>
        <v>-591</v>
      </c>
    </row>
    <row r="1876" spans="1:12" x14ac:dyDescent="0.35">
      <c r="A1876">
        <v>1889</v>
      </c>
      <c r="B1876" t="s">
        <v>4768</v>
      </c>
      <c r="C1876" t="s">
        <v>11611</v>
      </c>
      <c r="D1876" t="s">
        <v>4769</v>
      </c>
      <c r="E1876" t="s">
        <v>3133</v>
      </c>
      <c r="F1876" t="s">
        <v>4767</v>
      </c>
      <c r="G1876" t="s">
        <v>112</v>
      </c>
      <c r="I1876" t="str">
        <f t="shared" si="116"/>
        <v>591</v>
      </c>
      <c r="J1876" t="str">
        <f t="shared" si="117"/>
        <v>BC</v>
      </c>
      <c r="K1876">
        <f t="shared" si="118"/>
        <v>-591</v>
      </c>
      <c r="L1876">
        <f t="shared" si="119"/>
        <v>-591</v>
      </c>
    </row>
    <row r="1877" spans="1:12" x14ac:dyDescent="0.35">
      <c r="A1877">
        <v>1890</v>
      </c>
      <c r="B1877" t="s">
        <v>4770</v>
      </c>
      <c r="C1877" t="s">
        <v>11612</v>
      </c>
      <c r="D1877" t="s">
        <v>4771</v>
      </c>
      <c r="E1877" t="s">
        <v>3133</v>
      </c>
      <c r="F1877" t="s">
        <v>4767</v>
      </c>
      <c r="G1877" t="s">
        <v>112</v>
      </c>
      <c r="I1877" t="str">
        <f t="shared" si="116"/>
        <v>591</v>
      </c>
      <c r="J1877" t="str">
        <f t="shared" si="117"/>
        <v>BC</v>
      </c>
      <c r="K1877">
        <f t="shared" si="118"/>
        <v>-591</v>
      </c>
      <c r="L1877">
        <f t="shared" si="119"/>
        <v>-591</v>
      </c>
    </row>
    <row r="1878" spans="1:12" x14ac:dyDescent="0.35">
      <c r="A1878">
        <v>1891</v>
      </c>
      <c r="B1878" t="s">
        <v>4772</v>
      </c>
      <c r="C1878" t="s">
        <v>11124</v>
      </c>
      <c r="D1878" t="s">
        <v>4773</v>
      </c>
      <c r="E1878" t="s">
        <v>3133</v>
      </c>
      <c r="F1878" t="s">
        <v>4767</v>
      </c>
      <c r="G1878" t="s">
        <v>112</v>
      </c>
      <c r="I1878" t="str">
        <f t="shared" si="116"/>
        <v>591</v>
      </c>
      <c r="J1878" t="str">
        <f t="shared" si="117"/>
        <v>BC</v>
      </c>
      <c r="K1878">
        <f t="shared" si="118"/>
        <v>-591</v>
      </c>
      <c r="L1878">
        <f t="shared" si="119"/>
        <v>-591</v>
      </c>
    </row>
    <row r="1879" spans="1:12" x14ac:dyDescent="0.35">
      <c r="A1879">
        <v>1892</v>
      </c>
      <c r="B1879" t="s">
        <v>4774</v>
      </c>
      <c r="C1879" t="s">
        <v>11110</v>
      </c>
      <c r="D1879" t="s">
        <v>4775</v>
      </c>
      <c r="E1879" t="s">
        <v>3133</v>
      </c>
      <c r="F1879" t="s">
        <v>4767</v>
      </c>
      <c r="G1879" t="s">
        <v>112</v>
      </c>
      <c r="I1879" t="str">
        <f t="shared" si="116"/>
        <v>591</v>
      </c>
      <c r="J1879" t="str">
        <f t="shared" si="117"/>
        <v>BC</v>
      </c>
      <c r="K1879">
        <f t="shared" si="118"/>
        <v>-591</v>
      </c>
      <c r="L1879">
        <f t="shared" si="119"/>
        <v>-591</v>
      </c>
    </row>
    <row r="1880" spans="1:12" x14ac:dyDescent="0.35">
      <c r="A1880">
        <v>1893</v>
      </c>
      <c r="B1880" t="s">
        <v>4776</v>
      </c>
      <c r="C1880" t="s">
        <v>11609</v>
      </c>
      <c r="D1880" t="s">
        <v>4777</v>
      </c>
      <c r="E1880" t="s">
        <v>3133</v>
      </c>
      <c r="F1880" t="s">
        <v>4767</v>
      </c>
      <c r="G1880" t="s">
        <v>112</v>
      </c>
      <c r="I1880" t="str">
        <f t="shared" si="116"/>
        <v>591</v>
      </c>
      <c r="J1880" t="str">
        <f t="shared" si="117"/>
        <v>BC</v>
      </c>
      <c r="K1880">
        <f t="shared" si="118"/>
        <v>-591</v>
      </c>
      <c r="L1880">
        <f t="shared" si="119"/>
        <v>-591</v>
      </c>
    </row>
    <row r="1881" spans="1:12" x14ac:dyDescent="0.35">
      <c r="A1881">
        <v>1894</v>
      </c>
      <c r="B1881" t="s">
        <v>4778</v>
      </c>
      <c r="C1881" t="s">
        <v>10515</v>
      </c>
      <c r="D1881" t="s">
        <v>4779</v>
      </c>
      <c r="E1881" t="s">
        <v>3133</v>
      </c>
      <c r="F1881" t="s">
        <v>4780</v>
      </c>
      <c r="G1881" t="s">
        <v>112</v>
      </c>
      <c r="I1881" t="str">
        <f t="shared" si="116"/>
        <v>Jan 15, 588</v>
      </c>
      <c r="J1881" t="str">
        <f t="shared" si="117"/>
        <v>BC</v>
      </c>
      <c r="K1881" t="e">
        <f t="shared" si="118"/>
        <v>#VALUE!</v>
      </c>
      <c r="L1881" t="e">
        <f t="shared" si="119"/>
        <v>#VALUE!</v>
      </c>
    </row>
    <row r="1882" spans="1:12" x14ac:dyDescent="0.35">
      <c r="A1882">
        <v>1895</v>
      </c>
      <c r="B1882" t="s">
        <v>4781</v>
      </c>
      <c r="C1882" t="s">
        <v>11608</v>
      </c>
      <c r="D1882" t="s">
        <v>4782</v>
      </c>
      <c r="E1882" t="s">
        <v>3133</v>
      </c>
      <c r="F1882" t="s">
        <v>4783</v>
      </c>
      <c r="G1882" t="s">
        <v>112</v>
      </c>
      <c r="I1882" t="str">
        <f t="shared" si="116"/>
        <v>588</v>
      </c>
      <c r="J1882" t="str">
        <f t="shared" si="117"/>
        <v>BC</v>
      </c>
      <c r="K1882">
        <f t="shared" si="118"/>
        <v>-588</v>
      </c>
      <c r="L1882">
        <f t="shared" si="119"/>
        <v>-588</v>
      </c>
    </row>
    <row r="1883" spans="1:12" x14ac:dyDescent="0.35">
      <c r="A1883">
        <v>1896</v>
      </c>
      <c r="B1883" t="s">
        <v>4784</v>
      </c>
      <c r="C1883" t="s">
        <v>10516</v>
      </c>
      <c r="D1883" t="s">
        <v>4785</v>
      </c>
      <c r="E1883" t="s">
        <v>3133</v>
      </c>
      <c r="F1883" t="s">
        <v>4783</v>
      </c>
      <c r="G1883" t="s">
        <v>112</v>
      </c>
      <c r="I1883" t="str">
        <f t="shared" si="116"/>
        <v>588</v>
      </c>
      <c r="J1883" t="str">
        <f t="shared" si="117"/>
        <v>BC</v>
      </c>
      <c r="K1883">
        <f t="shared" si="118"/>
        <v>-588</v>
      </c>
      <c r="L1883">
        <f t="shared" si="119"/>
        <v>-588</v>
      </c>
    </row>
    <row r="1884" spans="1:12" x14ac:dyDescent="0.35">
      <c r="A1884">
        <v>1897</v>
      </c>
      <c r="B1884" t="s">
        <v>4786</v>
      </c>
      <c r="C1884" t="s">
        <v>10250</v>
      </c>
      <c r="D1884" t="s">
        <v>4787</v>
      </c>
      <c r="E1884" t="s">
        <v>3133</v>
      </c>
      <c r="F1884" t="s">
        <v>4783</v>
      </c>
      <c r="G1884" t="s">
        <v>112</v>
      </c>
      <c r="I1884" t="str">
        <f t="shared" si="116"/>
        <v>588</v>
      </c>
      <c r="J1884" t="str">
        <f t="shared" si="117"/>
        <v>BC</v>
      </c>
      <c r="K1884">
        <f t="shared" si="118"/>
        <v>-588</v>
      </c>
      <c r="L1884">
        <f t="shared" si="119"/>
        <v>-588</v>
      </c>
    </row>
    <row r="1885" spans="1:12" x14ac:dyDescent="0.35">
      <c r="A1885">
        <v>1898</v>
      </c>
      <c r="B1885" t="s">
        <v>4788</v>
      </c>
      <c r="C1885" t="s">
        <v>11606</v>
      </c>
      <c r="D1885" t="s">
        <v>4789</v>
      </c>
      <c r="E1885" t="s">
        <v>3133</v>
      </c>
      <c r="F1885" t="s">
        <v>4783</v>
      </c>
      <c r="G1885" t="s">
        <v>112</v>
      </c>
      <c r="I1885" t="str">
        <f t="shared" si="116"/>
        <v>588</v>
      </c>
      <c r="J1885" t="str">
        <f t="shared" si="117"/>
        <v>BC</v>
      </c>
      <c r="K1885">
        <f t="shared" si="118"/>
        <v>-588</v>
      </c>
      <c r="L1885">
        <f t="shared" si="119"/>
        <v>-588</v>
      </c>
    </row>
    <row r="1886" spans="1:12" x14ac:dyDescent="0.35">
      <c r="A1886">
        <v>1899</v>
      </c>
      <c r="B1886" t="s">
        <v>4790</v>
      </c>
      <c r="C1886" t="s">
        <v>10037</v>
      </c>
      <c r="D1886" t="s">
        <v>4791</v>
      </c>
      <c r="E1886" t="s">
        <v>3133</v>
      </c>
      <c r="F1886" t="s">
        <v>4792</v>
      </c>
      <c r="G1886" t="s">
        <v>112</v>
      </c>
      <c r="I1886" t="str">
        <f t="shared" si="116"/>
        <v>588-585</v>
      </c>
      <c r="J1886" t="str">
        <f t="shared" si="117"/>
        <v>BC</v>
      </c>
      <c r="K1886">
        <f t="shared" si="118"/>
        <v>-588</v>
      </c>
      <c r="L1886">
        <f t="shared" si="119"/>
        <v>-585</v>
      </c>
    </row>
    <row r="1887" spans="1:12" x14ac:dyDescent="0.35">
      <c r="A1887">
        <v>1900</v>
      </c>
      <c r="B1887" t="s">
        <v>4793</v>
      </c>
      <c r="C1887" t="s">
        <v>11145</v>
      </c>
      <c r="D1887" t="s">
        <v>4794</v>
      </c>
      <c r="E1887" t="s">
        <v>3133</v>
      </c>
      <c r="F1887" t="s">
        <v>4633</v>
      </c>
      <c r="G1887" t="s">
        <v>112</v>
      </c>
      <c r="I1887" t="str">
        <f t="shared" si="116"/>
        <v>585</v>
      </c>
      <c r="J1887" t="str">
        <f t="shared" si="117"/>
        <v>BC</v>
      </c>
      <c r="K1887">
        <f t="shared" si="118"/>
        <v>-585</v>
      </c>
      <c r="L1887">
        <f t="shared" si="119"/>
        <v>-585</v>
      </c>
    </row>
    <row r="1888" spans="1:12" x14ac:dyDescent="0.35">
      <c r="A1888">
        <v>1901</v>
      </c>
      <c r="B1888" t="s">
        <v>4795</v>
      </c>
      <c r="C1888" t="s">
        <v>10517</v>
      </c>
      <c r="D1888" t="s">
        <v>4796</v>
      </c>
      <c r="E1888" t="s">
        <v>3133</v>
      </c>
      <c r="F1888" t="s">
        <v>4797</v>
      </c>
      <c r="G1888" t="s">
        <v>4798</v>
      </c>
      <c r="I1888" t="str">
        <f t="shared" si="116"/>
        <v>Jan 8, 585</v>
      </c>
      <c r="J1888" t="str">
        <f t="shared" si="117"/>
        <v>BC</v>
      </c>
      <c r="K1888" t="e">
        <f t="shared" si="118"/>
        <v>#VALUE!</v>
      </c>
      <c r="L1888" t="e">
        <f t="shared" si="119"/>
        <v>#VALUE!</v>
      </c>
    </row>
    <row r="1889" spans="1:12" x14ac:dyDescent="0.35">
      <c r="A1889">
        <v>1902</v>
      </c>
      <c r="B1889" t="s">
        <v>4799</v>
      </c>
      <c r="C1889" t="s">
        <v>10771</v>
      </c>
      <c r="D1889" t="s">
        <v>4800</v>
      </c>
      <c r="E1889" t="s">
        <v>3133</v>
      </c>
      <c r="F1889" t="s">
        <v>4801</v>
      </c>
      <c r="G1889" t="s">
        <v>112</v>
      </c>
      <c r="I1889" t="str">
        <f t="shared" si="116"/>
        <v>585</v>
      </c>
      <c r="J1889" t="str">
        <f t="shared" si="117"/>
        <v>BC</v>
      </c>
      <c r="K1889">
        <f t="shared" si="118"/>
        <v>-585</v>
      </c>
      <c r="L1889">
        <f t="shared" si="119"/>
        <v>-585</v>
      </c>
    </row>
    <row r="1890" spans="1:12" x14ac:dyDescent="0.35">
      <c r="A1890">
        <v>1903</v>
      </c>
      <c r="B1890" t="s">
        <v>4802</v>
      </c>
      <c r="C1890" t="s">
        <v>11110</v>
      </c>
      <c r="D1890" t="s">
        <v>4803</v>
      </c>
      <c r="E1890" t="s">
        <v>3133</v>
      </c>
      <c r="F1890" t="s">
        <v>4633</v>
      </c>
      <c r="G1890" t="s">
        <v>112</v>
      </c>
      <c r="I1890" t="str">
        <f t="shared" si="116"/>
        <v>585</v>
      </c>
      <c r="J1890" t="str">
        <f t="shared" si="117"/>
        <v>BC</v>
      </c>
      <c r="K1890">
        <f t="shared" si="118"/>
        <v>-585</v>
      </c>
      <c r="L1890">
        <f t="shared" si="119"/>
        <v>-585</v>
      </c>
    </row>
    <row r="1891" spans="1:12" x14ac:dyDescent="0.35">
      <c r="A1891">
        <v>1904</v>
      </c>
      <c r="B1891" t="s">
        <v>4804</v>
      </c>
      <c r="C1891" t="s">
        <v>10037</v>
      </c>
      <c r="D1891" t="s">
        <v>4805</v>
      </c>
      <c r="E1891" t="s">
        <v>3133</v>
      </c>
      <c r="F1891" t="s">
        <v>4633</v>
      </c>
      <c r="G1891" t="s">
        <v>112</v>
      </c>
      <c r="I1891" t="str">
        <f t="shared" si="116"/>
        <v>585</v>
      </c>
      <c r="J1891" t="str">
        <f t="shared" si="117"/>
        <v>BC</v>
      </c>
      <c r="K1891">
        <f t="shared" si="118"/>
        <v>-585</v>
      </c>
      <c r="L1891">
        <f t="shared" si="119"/>
        <v>-585</v>
      </c>
    </row>
    <row r="1892" spans="1:12" x14ac:dyDescent="0.35">
      <c r="A1892">
        <v>1905</v>
      </c>
      <c r="B1892" t="s">
        <v>4806</v>
      </c>
      <c r="C1892" t="s">
        <v>10068</v>
      </c>
      <c r="D1892" t="s">
        <v>4807</v>
      </c>
      <c r="E1892" t="s">
        <v>3133</v>
      </c>
      <c r="F1892" t="s">
        <v>4633</v>
      </c>
      <c r="G1892" t="s">
        <v>112</v>
      </c>
      <c r="I1892" t="str">
        <f t="shared" si="116"/>
        <v>585</v>
      </c>
      <c r="J1892" t="str">
        <f t="shared" si="117"/>
        <v>BC</v>
      </c>
      <c r="K1892">
        <f t="shared" si="118"/>
        <v>-585</v>
      </c>
      <c r="L1892">
        <f t="shared" si="119"/>
        <v>-585</v>
      </c>
    </row>
    <row r="1893" spans="1:12" x14ac:dyDescent="0.35">
      <c r="A1893">
        <v>1906</v>
      </c>
      <c r="B1893" t="s">
        <v>4808</v>
      </c>
      <c r="C1893" t="s">
        <v>10622</v>
      </c>
      <c r="D1893" t="s">
        <v>4809</v>
      </c>
      <c r="E1893" t="s">
        <v>3133</v>
      </c>
      <c r="F1893" t="s">
        <v>4633</v>
      </c>
      <c r="G1893" t="s">
        <v>112</v>
      </c>
      <c r="I1893" t="str">
        <f t="shared" si="116"/>
        <v>585</v>
      </c>
      <c r="J1893" t="str">
        <f t="shared" si="117"/>
        <v>BC</v>
      </c>
      <c r="K1893">
        <f t="shared" si="118"/>
        <v>-585</v>
      </c>
      <c r="L1893">
        <f t="shared" si="119"/>
        <v>-585</v>
      </c>
    </row>
    <row r="1894" spans="1:12" x14ac:dyDescent="0.35">
      <c r="A1894">
        <v>1907</v>
      </c>
      <c r="B1894" t="s">
        <v>4810</v>
      </c>
      <c r="C1894" t="s">
        <v>10514</v>
      </c>
      <c r="D1894" t="s">
        <v>4811</v>
      </c>
      <c r="E1894" t="s">
        <v>4812</v>
      </c>
      <c r="F1894" t="s">
        <v>4633</v>
      </c>
      <c r="G1894" t="s">
        <v>112</v>
      </c>
      <c r="I1894" t="str">
        <f t="shared" si="116"/>
        <v>585</v>
      </c>
      <c r="J1894" t="str">
        <f t="shared" si="117"/>
        <v>BC</v>
      </c>
      <c r="K1894">
        <f t="shared" si="118"/>
        <v>-585</v>
      </c>
      <c r="L1894">
        <f t="shared" si="119"/>
        <v>-585</v>
      </c>
    </row>
    <row r="1895" spans="1:12" x14ac:dyDescent="0.35">
      <c r="A1895">
        <v>1908</v>
      </c>
      <c r="B1895" t="s">
        <v>4813</v>
      </c>
      <c r="C1895" t="s">
        <v>10759</v>
      </c>
      <c r="D1895" t="s">
        <v>4814</v>
      </c>
      <c r="E1895" t="s">
        <v>4815</v>
      </c>
      <c r="F1895" t="s">
        <v>4633</v>
      </c>
      <c r="G1895" t="s">
        <v>11097</v>
      </c>
      <c r="I1895" t="str">
        <f t="shared" si="116"/>
        <v>585</v>
      </c>
      <c r="J1895" t="str">
        <f t="shared" si="117"/>
        <v>BC</v>
      </c>
      <c r="K1895">
        <f t="shared" si="118"/>
        <v>-585</v>
      </c>
      <c r="L1895">
        <f t="shared" si="119"/>
        <v>-585</v>
      </c>
    </row>
    <row r="1896" spans="1:12" x14ac:dyDescent="0.35">
      <c r="A1896">
        <v>1909</v>
      </c>
      <c r="B1896" t="s">
        <v>4816</v>
      </c>
      <c r="C1896" t="s">
        <v>10759</v>
      </c>
      <c r="D1896" t="s">
        <v>4817</v>
      </c>
      <c r="E1896" t="s">
        <v>4815</v>
      </c>
      <c r="F1896" t="s">
        <v>4633</v>
      </c>
      <c r="G1896" t="s">
        <v>11097</v>
      </c>
      <c r="I1896" t="str">
        <f t="shared" si="116"/>
        <v>585</v>
      </c>
      <c r="J1896" t="str">
        <f t="shared" si="117"/>
        <v>BC</v>
      </c>
      <c r="K1896">
        <f t="shared" si="118"/>
        <v>-585</v>
      </c>
      <c r="L1896">
        <f t="shared" si="119"/>
        <v>-585</v>
      </c>
    </row>
    <row r="1897" spans="1:12" x14ac:dyDescent="0.35">
      <c r="A1897">
        <v>1910</v>
      </c>
      <c r="B1897" t="s">
        <v>4818</v>
      </c>
      <c r="C1897" t="s">
        <v>11606</v>
      </c>
      <c r="D1897" t="s">
        <v>4819</v>
      </c>
      <c r="E1897" t="s">
        <v>3133</v>
      </c>
      <c r="F1897" t="s">
        <v>4633</v>
      </c>
      <c r="G1897" t="s">
        <v>112</v>
      </c>
      <c r="I1897" t="str">
        <f t="shared" si="116"/>
        <v>585</v>
      </c>
      <c r="J1897" t="str">
        <f t="shared" si="117"/>
        <v>BC</v>
      </c>
      <c r="K1897">
        <f t="shared" si="118"/>
        <v>-585</v>
      </c>
      <c r="L1897">
        <f t="shared" si="119"/>
        <v>-585</v>
      </c>
    </row>
    <row r="1898" spans="1:12" x14ac:dyDescent="0.35">
      <c r="A1898">
        <v>1911</v>
      </c>
      <c r="B1898" t="s">
        <v>4820</v>
      </c>
      <c r="C1898" t="s">
        <v>11578</v>
      </c>
      <c r="D1898" t="s">
        <v>4821</v>
      </c>
      <c r="E1898" t="s">
        <v>3133</v>
      </c>
      <c r="F1898" t="s">
        <v>4633</v>
      </c>
      <c r="G1898" t="s">
        <v>112</v>
      </c>
      <c r="I1898" t="str">
        <f t="shared" si="116"/>
        <v>585</v>
      </c>
      <c r="J1898" t="str">
        <f t="shared" si="117"/>
        <v>BC</v>
      </c>
      <c r="K1898">
        <f t="shared" si="118"/>
        <v>-585</v>
      </c>
      <c r="L1898">
        <f t="shared" si="119"/>
        <v>-585</v>
      </c>
    </row>
    <row r="1899" spans="1:12" x14ac:dyDescent="0.35">
      <c r="A1899">
        <v>1912</v>
      </c>
      <c r="B1899" t="s">
        <v>4822</v>
      </c>
      <c r="C1899" t="s">
        <v>10037</v>
      </c>
      <c r="D1899" t="s">
        <v>4823</v>
      </c>
      <c r="E1899" t="s">
        <v>3133</v>
      </c>
      <c r="F1899" t="s">
        <v>4633</v>
      </c>
      <c r="G1899" t="s">
        <v>112</v>
      </c>
      <c r="I1899" t="str">
        <f t="shared" si="116"/>
        <v>585</v>
      </c>
      <c r="J1899" t="str">
        <f t="shared" si="117"/>
        <v>BC</v>
      </c>
      <c r="K1899">
        <f t="shared" si="118"/>
        <v>-585</v>
      </c>
      <c r="L1899">
        <f t="shared" si="119"/>
        <v>-585</v>
      </c>
    </row>
    <row r="1900" spans="1:12" x14ac:dyDescent="0.35">
      <c r="A1900">
        <v>1913</v>
      </c>
      <c r="B1900" t="s">
        <v>4824</v>
      </c>
      <c r="C1900" t="s">
        <v>10524</v>
      </c>
      <c r="D1900" t="s">
        <v>4825</v>
      </c>
      <c r="E1900" t="s">
        <v>3133</v>
      </c>
      <c r="F1900" t="s">
        <v>4826</v>
      </c>
      <c r="G1900" t="s">
        <v>112</v>
      </c>
      <c r="I1900" t="str">
        <f t="shared" si="116"/>
        <v>April 28, 573</v>
      </c>
      <c r="J1900" t="str">
        <f t="shared" si="117"/>
        <v>BC</v>
      </c>
      <c r="K1900" t="e">
        <f t="shared" si="118"/>
        <v>#VALUE!</v>
      </c>
      <c r="L1900" t="e">
        <f t="shared" si="119"/>
        <v>#VALUE!</v>
      </c>
    </row>
    <row r="1901" spans="1:12" x14ac:dyDescent="0.35">
      <c r="A1901">
        <v>1914</v>
      </c>
      <c r="B1901" t="s">
        <v>4827</v>
      </c>
      <c r="C1901" t="s">
        <v>10514</v>
      </c>
      <c r="D1901" t="s">
        <v>4828</v>
      </c>
      <c r="E1901" t="s">
        <v>4829</v>
      </c>
      <c r="F1901" t="s">
        <v>4830</v>
      </c>
      <c r="G1901" t="s">
        <v>112</v>
      </c>
      <c r="I1901" t="str">
        <f t="shared" si="116"/>
        <v>573</v>
      </c>
      <c r="J1901" t="str">
        <f t="shared" si="117"/>
        <v>BC</v>
      </c>
      <c r="K1901">
        <f t="shared" si="118"/>
        <v>-573</v>
      </c>
      <c r="L1901">
        <f t="shared" si="119"/>
        <v>-573</v>
      </c>
    </row>
    <row r="1902" spans="1:12" x14ac:dyDescent="0.35">
      <c r="A1902">
        <v>1915</v>
      </c>
      <c r="B1902" t="s">
        <v>4831</v>
      </c>
      <c r="C1902" t="s">
        <v>10518</v>
      </c>
      <c r="D1902" t="s">
        <v>4832</v>
      </c>
      <c r="E1902" t="s">
        <v>4833</v>
      </c>
      <c r="F1902" t="s">
        <v>4830</v>
      </c>
      <c r="G1902" t="s">
        <v>4834</v>
      </c>
      <c r="I1902" t="str">
        <f t="shared" si="116"/>
        <v>573</v>
      </c>
      <c r="J1902" t="str">
        <f t="shared" si="117"/>
        <v>BC</v>
      </c>
      <c r="K1902">
        <f t="shared" si="118"/>
        <v>-573</v>
      </c>
      <c r="L1902">
        <f t="shared" si="119"/>
        <v>-573</v>
      </c>
    </row>
    <row r="1903" spans="1:12" x14ac:dyDescent="0.35">
      <c r="A1903">
        <v>1916</v>
      </c>
      <c r="B1903" t="s">
        <v>4835</v>
      </c>
      <c r="C1903" t="s">
        <v>10519</v>
      </c>
      <c r="D1903" t="s">
        <v>4836</v>
      </c>
      <c r="E1903" t="s">
        <v>4837</v>
      </c>
      <c r="F1903" t="s">
        <v>4830</v>
      </c>
      <c r="G1903" t="s">
        <v>4838</v>
      </c>
      <c r="I1903" t="str">
        <f t="shared" si="116"/>
        <v>573</v>
      </c>
      <c r="J1903" t="str">
        <f t="shared" si="117"/>
        <v>BC</v>
      </c>
      <c r="K1903">
        <f t="shared" si="118"/>
        <v>-573</v>
      </c>
      <c r="L1903">
        <f t="shared" si="119"/>
        <v>-573</v>
      </c>
    </row>
    <row r="1904" spans="1:12" x14ac:dyDescent="0.35">
      <c r="A1904">
        <v>1917</v>
      </c>
      <c r="B1904" t="s">
        <v>4839</v>
      </c>
      <c r="C1904" t="s">
        <v>10520</v>
      </c>
      <c r="D1904" t="s">
        <v>4840</v>
      </c>
      <c r="E1904" t="s">
        <v>4837</v>
      </c>
      <c r="F1904" t="s">
        <v>4830</v>
      </c>
      <c r="G1904" t="s">
        <v>112</v>
      </c>
      <c r="I1904" t="str">
        <f t="shared" si="116"/>
        <v>573</v>
      </c>
      <c r="J1904" t="str">
        <f t="shared" si="117"/>
        <v>BC</v>
      </c>
      <c r="K1904">
        <f t="shared" si="118"/>
        <v>-573</v>
      </c>
      <c r="L1904">
        <f t="shared" si="119"/>
        <v>-573</v>
      </c>
    </row>
    <row r="1905" spans="1:12" x14ac:dyDescent="0.35">
      <c r="A1905">
        <v>1918</v>
      </c>
      <c r="B1905" t="s">
        <v>4841</v>
      </c>
      <c r="C1905" t="s">
        <v>11613</v>
      </c>
      <c r="D1905" t="s">
        <v>4842</v>
      </c>
      <c r="E1905" t="s">
        <v>4837</v>
      </c>
      <c r="F1905" t="s">
        <v>4830</v>
      </c>
      <c r="G1905" t="s">
        <v>112</v>
      </c>
      <c r="I1905" t="str">
        <f t="shared" si="116"/>
        <v>573</v>
      </c>
      <c r="J1905" t="str">
        <f t="shared" si="117"/>
        <v>BC</v>
      </c>
      <c r="K1905">
        <f t="shared" si="118"/>
        <v>-573</v>
      </c>
      <c r="L1905">
        <f t="shared" si="119"/>
        <v>-573</v>
      </c>
    </row>
    <row r="1906" spans="1:12" x14ac:dyDescent="0.35">
      <c r="A1906">
        <v>1919</v>
      </c>
      <c r="B1906" t="s">
        <v>4843</v>
      </c>
      <c r="C1906" t="s">
        <v>11175</v>
      </c>
      <c r="D1906" t="s">
        <v>4844</v>
      </c>
      <c r="E1906" t="s">
        <v>4837</v>
      </c>
      <c r="F1906" t="s">
        <v>4830</v>
      </c>
      <c r="G1906" t="s">
        <v>112</v>
      </c>
      <c r="I1906" t="str">
        <f t="shared" si="116"/>
        <v>573</v>
      </c>
      <c r="J1906" t="str">
        <f t="shared" si="117"/>
        <v>BC</v>
      </c>
      <c r="K1906">
        <f t="shared" si="118"/>
        <v>-573</v>
      </c>
      <c r="L1906">
        <f t="shared" si="119"/>
        <v>-573</v>
      </c>
    </row>
    <row r="1907" spans="1:12" x14ac:dyDescent="0.35">
      <c r="A1907">
        <v>1920</v>
      </c>
      <c r="B1907" t="s">
        <v>4845</v>
      </c>
      <c r="C1907" t="s">
        <v>11175</v>
      </c>
      <c r="D1907" t="s">
        <v>4846</v>
      </c>
      <c r="E1907" t="s">
        <v>4837</v>
      </c>
      <c r="F1907" t="s">
        <v>4830</v>
      </c>
      <c r="G1907" t="s">
        <v>112</v>
      </c>
      <c r="I1907" t="str">
        <f t="shared" si="116"/>
        <v>573</v>
      </c>
      <c r="J1907" t="str">
        <f t="shared" si="117"/>
        <v>BC</v>
      </c>
      <c r="K1907">
        <f t="shared" si="118"/>
        <v>-573</v>
      </c>
      <c r="L1907">
        <f t="shared" si="119"/>
        <v>-573</v>
      </c>
    </row>
    <row r="1908" spans="1:12" x14ac:dyDescent="0.35">
      <c r="A1908">
        <v>1921</v>
      </c>
      <c r="B1908" t="s">
        <v>4847</v>
      </c>
      <c r="C1908" t="s">
        <v>10521</v>
      </c>
      <c r="D1908" t="s">
        <v>4848</v>
      </c>
      <c r="E1908" t="s">
        <v>4849</v>
      </c>
      <c r="F1908" t="s">
        <v>4830</v>
      </c>
      <c r="G1908" t="s">
        <v>112</v>
      </c>
      <c r="I1908" t="str">
        <f t="shared" ref="I1908:I1971" si="120">SUBSTITUTE(SUBSTITUTE(SUBSTITUTE(F1908,"c. ","")," BC","")," AD","")</f>
        <v>573</v>
      </c>
      <c r="J1908" t="str">
        <f t="shared" si="117"/>
        <v>BC</v>
      </c>
      <c r="K1908">
        <f t="shared" si="118"/>
        <v>-573</v>
      </c>
      <c r="L1908">
        <f t="shared" si="119"/>
        <v>-573</v>
      </c>
    </row>
    <row r="1909" spans="1:12" x14ac:dyDescent="0.35">
      <c r="A1909">
        <v>1922</v>
      </c>
      <c r="B1909" t="s">
        <v>4850</v>
      </c>
      <c r="C1909" t="s">
        <v>10622</v>
      </c>
      <c r="D1909" t="s">
        <v>4851</v>
      </c>
      <c r="E1909" t="s">
        <v>4837</v>
      </c>
      <c r="F1909" t="s">
        <v>4830</v>
      </c>
      <c r="G1909" t="s">
        <v>4834</v>
      </c>
      <c r="I1909" t="str">
        <f t="shared" si="120"/>
        <v>573</v>
      </c>
      <c r="J1909" t="str">
        <f t="shared" si="117"/>
        <v>BC</v>
      </c>
      <c r="K1909">
        <f t="shared" si="118"/>
        <v>-573</v>
      </c>
      <c r="L1909">
        <f t="shared" si="119"/>
        <v>-573</v>
      </c>
    </row>
    <row r="1910" spans="1:12" x14ac:dyDescent="0.35">
      <c r="A1910">
        <v>1923</v>
      </c>
      <c r="B1910" t="s">
        <v>4852</v>
      </c>
      <c r="C1910" t="s">
        <v>10622</v>
      </c>
      <c r="D1910" t="s">
        <v>4853</v>
      </c>
      <c r="E1910" t="s">
        <v>4854</v>
      </c>
      <c r="F1910" t="s">
        <v>4830</v>
      </c>
      <c r="G1910" t="s">
        <v>4834</v>
      </c>
      <c r="I1910" t="str">
        <f t="shared" si="120"/>
        <v>573</v>
      </c>
      <c r="J1910" t="str">
        <f t="shared" si="117"/>
        <v>BC</v>
      </c>
      <c r="K1910">
        <f t="shared" si="118"/>
        <v>-573</v>
      </c>
      <c r="L1910">
        <f t="shared" si="119"/>
        <v>-573</v>
      </c>
    </row>
    <row r="1911" spans="1:12" x14ac:dyDescent="0.35">
      <c r="A1911">
        <v>1924</v>
      </c>
      <c r="B1911" t="s">
        <v>4855</v>
      </c>
      <c r="C1911" t="s">
        <v>10038</v>
      </c>
      <c r="D1911" t="s">
        <v>4856</v>
      </c>
      <c r="E1911" t="s">
        <v>4854</v>
      </c>
      <c r="F1911" t="s">
        <v>4830</v>
      </c>
      <c r="G1911" t="s">
        <v>112</v>
      </c>
      <c r="I1911" t="str">
        <f t="shared" si="120"/>
        <v>573</v>
      </c>
      <c r="J1911" t="str">
        <f t="shared" si="117"/>
        <v>BC</v>
      </c>
      <c r="K1911">
        <f t="shared" si="118"/>
        <v>-573</v>
      </c>
      <c r="L1911">
        <f t="shared" si="119"/>
        <v>-573</v>
      </c>
    </row>
    <row r="1912" spans="1:12" x14ac:dyDescent="0.35">
      <c r="A1912">
        <v>1925</v>
      </c>
      <c r="B1912" t="s">
        <v>4857</v>
      </c>
      <c r="C1912" t="s">
        <v>10522</v>
      </c>
      <c r="D1912" t="s">
        <v>4858</v>
      </c>
      <c r="E1912" t="s">
        <v>4859</v>
      </c>
      <c r="F1912" t="s">
        <v>4830</v>
      </c>
      <c r="G1912" t="s">
        <v>112</v>
      </c>
      <c r="I1912" t="str">
        <f t="shared" si="120"/>
        <v>573</v>
      </c>
      <c r="J1912" t="str">
        <f t="shared" si="117"/>
        <v>BC</v>
      </c>
      <c r="K1912">
        <f t="shared" si="118"/>
        <v>-573</v>
      </c>
      <c r="L1912">
        <f t="shared" si="119"/>
        <v>-573</v>
      </c>
    </row>
    <row r="1913" spans="1:12" x14ac:dyDescent="0.35">
      <c r="A1913">
        <v>1926</v>
      </c>
      <c r="B1913" t="s">
        <v>4888</v>
      </c>
      <c r="C1913" t="s">
        <v>10523</v>
      </c>
      <c r="D1913" t="s">
        <v>4889</v>
      </c>
      <c r="E1913" t="s">
        <v>3133</v>
      </c>
      <c r="F1913" t="s">
        <v>4557</v>
      </c>
      <c r="G1913" t="s">
        <v>112</v>
      </c>
      <c r="I1913" t="str">
        <f t="shared" si="120"/>
        <v>605</v>
      </c>
      <c r="J1913" t="str">
        <f t="shared" si="117"/>
        <v>BC</v>
      </c>
      <c r="K1913">
        <f t="shared" si="118"/>
        <v>-605</v>
      </c>
      <c r="L1913">
        <f t="shared" si="119"/>
        <v>-605</v>
      </c>
    </row>
    <row r="1914" spans="1:12" x14ac:dyDescent="0.35">
      <c r="A1914">
        <v>1927</v>
      </c>
      <c r="B1914" t="s">
        <v>4890</v>
      </c>
      <c r="C1914" t="s">
        <v>10524</v>
      </c>
      <c r="D1914" t="s">
        <v>4891</v>
      </c>
      <c r="E1914" t="s">
        <v>3133</v>
      </c>
      <c r="F1914" t="s">
        <v>4892</v>
      </c>
      <c r="G1914" t="s">
        <v>112</v>
      </c>
      <c r="I1914" t="str">
        <f t="shared" si="120"/>
        <v>602</v>
      </c>
      <c r="J1914" t="str">
        <f t="shared" si="117"/>
        <v>BC</v>
      </c>
      <c r="K1914">
        <f t="shared" si="118"/>
        <v>-602</v>
      </c>
      <c r="L1914">
        <f t="shared" si="119"/>
        <v>-602</v>
      </c>
    </row>
    <row r="1915" spans="1:12" x14ac:dyDescent="0.35">
      <c r="A1915">
        <v>1928</v>
      </c>
      <c r="B1915" t="s">
        <v>4893</v>
      </c>
      <c r="C1915" t="s">
        <v>10525</v>
      </c>
      <c r="D1915" t="s">
        <v>4894</v>
      </c>
      <c r="E1915" t="s">
        <v>3133</v>
      </c>
      <c r="F1915" t="s">
        <v>4892</v>
      </c>
      <c r="G1915" t="s">
        <v>11099</v>
      </c>
      <c r="I1915" t="str">
        <f t="shared" si="120"/>
        <v>602</v>
      </c>
      <c r="J1915" t="str">
        <f t="shared" si="117"/>
        <v>BC</v>
      </c>
      <c r="K1915">
        <f t="shared" si="118"/>
        <v>-602</v>
      </c>
      <c r="L1915">
        <f t="shared" si="119"/>
        <v>-602</v>
      </c>
    </row>
    <row r="1916" spans="1:12" x14ac:dyDescent="0.35">
      <c r="A1916">
        <v>1929</v>
      </c>
      <c r="B1916" t="s">
        <v>4895</v>
      </c>
      <c r="C1916" t="s">
        <v>10040</v>
      </c>
      <c r="D1916" t="s">
        <v>4896</v>
      </c>
      <c r="E1916" t="s">
        <v>4897</v>
      </c>
      <c r="F1916" t="s">
        <v>4562</v>
      </c>
      <c r="G1916" t="s">
        <v>112</v>
      </c>
      <c r="I1916" t="str">
        <f t="shared" si="120"/>
        <v>594</v>
      </c>
      <c r="J1916" t="str">
        <f t="shared" si="117"/>
        <v>BC</v>
      </c>
      <c r="K1916">
        <f t="shared" si="118"/>
        <v>-594</v>
      </c>
      <c r="L1916">
        <f t="shared" si="119"/>
        <v>-594</v>
      </c>
    </row>
    <row r="1917" spans="1:12" x14ac:dyDescent="0.35">
      <c r="A1917">
        <v>1930</v>
      </c>
      <c r="B1917" t="s">
        <v>4898</v>
      </c>
      <c r="C1917" t="s">
        <v>10494</v>
      </c>
      <c r="D1917" t="s">
        <v>4899</v>
      </c>
      <c r="E1917" t="s">
        <v>4897</v>
      </c>
      <c r="F1917" t="s">
        <v>4562</v>
      </c>
      <c r="G1917" t="s">
        <v>4900</v>
      </c>
      <c r="I1917" t="str">
        <f t="shared" si="120"/>
        <v>594</v>
      </c>
      <c r="J1917" t="str">
        <f t="shared" si="117"/>
        <v>BC</v>
      </c>
      <c r="K1917">
        <f t="shared" si="118"/>
        <v>-594</v>
      </c>
      <c r="L1917">
        <f t="shared" si="119"/>
        <v>-594</v>
      </c>
    </row>
    <row r="1918" spans="1:12" x14ac:dyDescent="0.35">
      <c r="A1918">
        <v>1931</v>
      </c>
      <c r="B1918" t="s">
        <v>4901</v>
      </c>
      <c r="C1918" t="s">
        <v>10040</v>
      </c>
      <c r="D1918" t="s">
        <v>4902</v>
      </c>
      <c r="E1918" t="s">
        <v>4897</v>
      </c>
      <c r="F1918" t="s">
        <v>4562</v>
      </c>
      <c r="G1918" t="s">
        <v>112</v>
      </c>
      <c r="I1918" t="str">
        <f t="shared" si="120"/>
        <v>594</v>
      </c>
      <c r="J1918" t="str">
        <f t="shared" si="117"/>
        <v>BC</v>
      </c>
      <c r="K1918">
        <f t="shared" si="118"/>
        <v>-594</v>
      </c>
      <c r="L1918">
        <f t="shared" si="119"/>
        <v>-594</v>
      </c>
    </row>
    <row r="1919" spans="1:12" x14ac:dyDescent="0.35">
      <c r="A1919">
        <v>1932</v>
      </c>
      <c r="B1919" t="s">
        <v>4903</v>
      </c>
      <c r="C1919" t="s">
        <v>11614</v>
      </c>
      <c r="D1919" t="s">
        <v>4904</v>
      </c>
      <c r="E1919" t="s">
        <v>3133</v>
      </c>
      <c r="F1919" t="s">
        <v>4905</v>
      </c>
      <c r="G1919" t="s">
        <v>112</v>
      </c>
      <c r="I1919" t="str">
        <f t="shared" si="120"/>
        <v>570</v>
      </c>
      <c r="J1919" t="str">
        <f t="shared" si="117"/>
        <v>BC</v>
      </c>
      <c r="K1919">
        <f t="shared" si="118"/>
        <v>-570</v>
      </c>
      <c r="L1919">
        <f t="shared" si="119"/>
        <v>-570</v>
      </c>
    </row>
    <row r="1920" spans="1:12" x14ac:dyDescent="0.35">
      <c r="A1920">
        <v>1933</v>
      </c>
      <c r="B1920" t="s">
        <v>4906</v>
      </c>
      <c r="C1920" t="s">
        <v>10525</v>
      </c>
      <c r="D1920" t="s">
        <v>4907</v>
      </c>
      <c r="E1920" t="s">
        <v>3133</v>
      </c>
      <c r="F1920" t="s">
        <v>4905</v>
      </c>
      <c r="G1920" t="s">
        <v>11099</v>
      </c>
      <c r="I1920" t="str">
        <f t="shared" si="120"/>
        <v>570</v>
      </c>
      <c r="J1920" t="str">
        <f t="shared" si="117"/>
        <v>BC</v>
      </c>
      <c r="K1920">
        <f t="shared" si="118"/>
        <v>-570</v>
      </c>
      <c r="L1920">
        <f t="shared" si="119"/>
        <v>-570</v>
      </c>
    </row>
    <row r="1921" spans="1:12" x14ac:dyDescent="0.35">
      <c r="A1921">
        <v>1934</v>
      </c>
      <c r="B1921" t="s">
        <v>4908</v>
      </c>
      <c r="C1921" t="s">
        <v>10510</v>
      </c>
      <c r="D1921" t="s">
        <v>4909</v>
      </c>
      <c r="E1921" t="s">
        <v>3133</v>
      </c>
      <c r="F1921" t="s">
        <v>4910</v>
      </c>
      <c r="G1921" t="s">
        <v>112</v>
      </c>
      <c r="I1921" t="str">
        <f t="shared" si="120"/>
        <v>569</v>
      </c>
      <c r="J1921" t="str">
        <f t="shared" si="117"/>
        <v>BC</v>
      </c>
      <c r="K1921">
        <f t="shared" si="118"/>
        <v>-569</v>
      </c>
      <c r="L1921">
        <f t="shared" si="119"/>
        <v>-569</v>
      </c>
    </row>
    <row r="1922" spans="1:12" x14ac:dyDescent="0.35">
      <c r="A1922">
        <v>1935</v>
      </c>
      <c r="B1922" t="s">
        <v>4911</v>
      </c>
      <c r="C1922" t="s">
        <v>10164</v>
      </c>
      <c r="D1922" t="s">
        <v>4912</v>
      </c>
      <c r="E1922" t="s">
        <v>3133</v>
      </c>
      <c r="F1922" t="s">
        <v>4913</v>
      </c>
      <c r="G1922" t="s">
        <v>112</v>
      </c>
      <c r="I1922" t="str">
        <f t="shared" si="120"/>
        <v>562</v>
      </c>
      <c r="J1922" t="str">
        <f t="shared" ref="J1922:J1985" si="121">RIGHT(F1922, 2)</f>
        <v>BC</v>
      </c>
      <c r="K1922">
        <f t="shared" ref="K1922:K1985" si="122">IF(J1922="BC", 0-IF(ISERROR(FIND("-",I1922)),I1922,LEFT(I1922,FIND("-",I1922)-1)), IF(ISERROR(FIND("-",I1922)),I1922,LEFT(I1922,FIND("-",I1922)-1)))</f>
        <v>-562</v>
      </c>
      <c r="L1922">
        <f t="shared" ref="L1922:L1985" si="123">IF(J1922="BC", 0-IF(ISERROR(FIND("-",I1922)),I1922,RIGHT(I1922,FIND("-",I1922)-1)), IF(ISERROR(FIND("-",I1922)),I1922,RIGHT(I1922,FIND("-",I1922)-1)))</f>
        <v>-562</v>
      </c>
    </row>
    <row r="1923" spans="1:12" x14ac:dyDescent="0.35">
      <c r="A1923">
        <v>1936</v>
      </c>
      <c r="B1923" t="s">
        <v>4914</v>
      </c>
      <c r="C1923" t="s">
        <v>11615</v>
      </c>
      <c r="D1923" t="s">
        <v>4915</v>
      </c>
      <c r="E1923" t="s">
        <v>3133</v>
      </c>
      <c r="F1923" t="s">
        <v>4916</v>
      </c>
      <c r="G1923" t="s">
        <v>112</v>
      </c>
      <c r="I1923" t="str">
        <f t="shared" si="120"/>
        <v>539</v>
      </c>
      <c r="J1923" t="str">
        <f t="shared" si="121"/>
        <v>BC</v>
      </c>
      <c r="K1923">
        <f t="shared" si="122"/>
        <v>-539</v>
      </c>
      <c r="L1923">
        <f t="shared" si="123"/>
        <v>-539</v>
      </c>
    </row>
    <row r="1924" spans="1:12" x14ac:dyDescent="0.35">
      <c r="A1924">
        <v>1937</v>
      </c>
      <c r="B1924" t="s">
        <v>4917</v>
      </c>
      <c r="C1924" t="s">
        <v>10526</v>
      </c>
      <c r="D1924" t="s">
        <v>4918</v>
      </c>
      <c r="E1924" t="s">
        <v>3133</v>
      </c>
      <c r="F1924" t="s">
        <v>4916</v>
      </c>
      <c r="G1924" t="s">
        <v>11099</v>
      </c>
      <c r="I1924" t="str">
        <f t="shared" si="120"/>
        <v>539</v>
      </c>
      <c r="J1924" t="str">
        <f t="shared" si="121"/>
        <v>BC</v>
      </c>
      <c r="K1924">
        <f t="shared" si="122"/>
        <v>-539</v>
      </c>
      <c r="L1924">
        <f t="shared" si="123"/>
        <v>-539</v>
      </c>
    </row>
    <row r="1925" spans="1:12" x14ac:dyDescent="0.35">
      <c r="A1925">
        <v>1938</v>
      </c>
      <c r="B1925" t="s">
        <v>4919</v>
      </c>
      <c r="C1925" t="s">
        <v>10510</v>
      </c>
      <c r="D1925" t="s">
        <v>4920</v>
      </c>
      <c r="E1925" t="s">
        <v>3133</v>
      </c>
      <c r="F1925" t="s">
        <v>4916</v>
      </c>
      <c r="G1925" t="s">
        <v>112</v>
      </c>
      <c r="I1925" t="str">
        <f t="shared" si="120"/>
        <v>539</v>
      </c>
      <c r="J1925" t="str">
        <f t="shared" si="121"/>
        <v>BC</v>
      </c>
      <c r="K1925">
        <f t="shared" si="122"/>
        <v>-539</v>
      </c>
      <c r="L1925">
        <f t="shared" si="123"/>
        <v>-539</v>
      </c>
    </row>
    <row r="1926" spans="1:12" x14ac:dyDescent="0.35">
      <c r="A1926">
        <v>1939</v>
      </c>
      <c r="B1926" t="s">
        <v>4921</v>
      </c>
      <c r="C1926" t="s">
        <v>10040</v>
      </c>
      <c r="D1926" t="s">
        <v>34</v>
      </c>
      <c r="E1926" t="s">
        <v>2769</v>
      </c>
      <c r="F1926" t="s">
        <v>2762</v>
      </c>
      <c r="G1926" t="s">
        <v>112</v>
      </c>
      <c r="I1926" t="str">
        <f t="shared" si="120"/>
        <v>538</v>
      </c>
      <c r="J1926" t="str">
        <f t="shared" si="121"/>
        <v>BC</v>
      </c>
      <c r="K1926">
        <f t="shared" si="122"/>
        <v>-538</v>
      </c>
      <c r="L1926">
        <f t="shared" si="123"/>
        <v>-538</v>
      </c>
    </row>
    <row r="1927" spans="1:12" x14ac:dyDescent="0.35">
      <c r="A1927">
        <v>1940</v>
      </c>
      <c r="B1927" t="s">
        <v>4922</v>
      </c>
      <c r="C1927" t="s">
        <v>10698</v>
      </c>
      <c r="D1927" t="s">
        <v>4923</v>
      </c>
      <c r="E1927" t="s">
        <v>2769</v>
      </c>
      <c r="F1927" t="s">
        <v>2762</v>
      </c>
      <c r="G1927" t="s">
        <v>222</v>
      </c>
      <c r="I1927" t="str">
        <f t="shared" si="120"/>
        <v>538</v>
      </c>
      <c r="J1927" t="str">
        <f t="shared" si="121"/>
        <v>BC</v>
      </c>
      <c r="K1927">
        <f t="shared" si="122"/>
        <v>-538</v>
      </c>
      <c r="L1927">
        <f t="shared" si="123"/>
        <v>-538</v>
      </c>
    </row>
    <row r="1928" spans="1:12" x14ac:dyDescent="0.35">
      <c r="A1928">
        <v>1941</v>
      </c>
      <c r="B1928" t="s">
        <v>4924</v>
      </c>
      <c r="C1928" t="s">
        <v>10232</v>
      </c>
      <c r="D1928" t="s">
        <v>4925</v>
      </c>
      <c r="E1928" t="s">
        <v>2769</v>
      </c>
      <c r="F1928" t="s">
        <v>2762</v>
      </c>
      <c r="G1928" t="s">
        <v>112</v>
      </c>
      <c r="I1928" t="str">
        <f t="shared" si="120"/>
        <v>538</v>
      </c>
      <c r="J1928" t="str">
        <f t="shared" si="121"/>
        <v>BC</v>
      </c>
      <c r="K1928">
        <f t="shared" si="122"/>
        <v>-538</v>
      </c>
      <c r="L1928">
        <f t="shared" si="123"/>
        <v>-538</v>
      </c>
    </row>
    <row r="1929" spans="1:12" x14ac:dyDescent="0.35">
      <c r="A1929">
        <v>1942</v>
      </c>
      <c r="B1929" t="s">
        <v>4926</v>
      </c>
      <c r="C1929" t="s">
        <v>11589</v>
      </c>
      <c r="D1929" t="s">
        <v>4927</v>
      </c>
      <c r="E1929" t="s">
        <v>3133</v>
      </c>
      <c r="F1929" t="s">
        <v>4928</v>
      </c>
      <c r="G1929" t="s">
        <v>112</v>
      </c>
      <c r="I1929" t="str">
        <f t="shared" si="120"/>
        <v>First year of Belshazzar (553)</v>
      </c>
      <c r="J1929" t="str">
        <f t="shared" si="121"/>
        <v>C)</v>
      </c>
      <c r="K1929" t="str">
        <f t="shared" si="122"/>
        <v>First year of Belshazzar (553)</v>
      </c>
      <c r="L1929" t="str">
        <f t="shared" si="123"/>
        <v>First year of Belshazzar (553)</v>
      </c>
    </row>
    <row r="1930" spans="1:12" x14ac:dyDescent="0.35">
      <c r="A1930">
        <v>1943</v>
      </c>
      <c r="B1930" t="s">
        <v>4929</v>
      </c>
      <c r="C1930" t="s">
        <v>10052</v>
      </c>
      <c r="D1930" t="s">
        <v>4930</v>
      </c>
      <c r="E1930" t="s">
        <v>4931</v>
      </c>
      <c r="F1930" t="s">
        <v>4932</v>
      </c>
      <c r="G1930" t="s">
        <v>112</v>
      </c>
      <c r="I1930" t="str">
        <f t="shared" si="120"/>
        <v>553</v>
      </c>
      <c r="J1930" t="str">
        <f t="shared" si="121"/>
        <v>BC</v>
      </c>
      <c r="K1930">
        <f t="shared" si="122"/>
        <v>-553</v>
      </c>
      <c r="L1930">
        <f t="shared" si="123"/>
        <v>-553</v>
      </c>
    </row>
    <row r="1931" spans="1:12" x14ac:dyDescent="0.35">
      <c r="A1931">
        <v>1944</v>
      </c>
      <c r="B1931" t="s">
        <v>4933</v>
      </c>
      <c r="C1931" t="s">
        <v>11589</v>
      </c>
      <c r="D1931" t="s">
        <v>4934</v>
      </c>
      <c r="E1931" t="s">
        <v>4931</v>
      </c>
      <c r="F1931" t="s">
        <v>4932</v>
      </c>
      <c r="G1931" t="s">
        <v>4935</v>
      </c>
      <c r="I1931" t="str">
        <f t="shared" si="120"/>
        <v>553</v>
      </c>
      <c r="J1931" t="str">
        <f t="shared" si="121"/>
        <v>BC</v>
      </c>
      <c r="K1931">
        <f t="shared" si="122"/>
        <v>-553</v>
      </c>
      <c r="L1931">
        <f t="shared" si="123"/>
        <v>-553</v>
      </c>
    </row>
    <row r="1932" spans="1:12" x14ac:dyDescent="0.35">
      <c r="A1932">
        <v>1945</v>
      </c>
      <c r="B1932" t="s">
        <v>4936</v>
      </c>
      <c r="C1932" t="s">
        <v>10046</v>
      </c>
      <c r="D1932" t="s">
        <v>4937</v>
      </c>
      <c r="E1932" t="s">
        <v>4931</v>
      </c>
      <c r="F1932" t="s">
        <v>4932</v>
      </c>
      <c r="G1932" t="s">
        <v>4938</v>
      </c>
      <c r="I1932" t="str">
        <f t="shared" si="120"/>
        <v>553</v>
      </c>
      <c r="J1932" t="str">
        <f t="shared" si="121"/>
        <v>BC</v>
      </c>
      <c r="K1932">
        <f t="shared" si="122"/>
        <v>-553</v>
      </c>
      <c r="L1932">
        <f t="shared" si="123"/>
        <v>-553</v>
      </c>
    </row>
    <row r="1933" spans="1:12" x14ac:dyDescent="0.35">
      <c r="A1933">
        <v>1946</v>
      </c>
      <c r="B1933" t="s">
        <v>4939</v>
      </c>
      <c r="C1933" t="s">
        <v>11589</v>
      </c>
      <c r="D1933" t="s">
        <v>4940</v>
      </c>
      <c r="E1933" t="s">
        <v>4941</v>
      </c>
      <c r="F1933" t="s">
        <v>4942</v>
      </c>
      <c r="G1933" t="s">
        <v>112</v>
      </c>
      <c r="I1933" t="str">
        <f t="shared" si="120"/>
        <v>Third year of Belshazzar (551)</v>
      </c>
      <c r="J1933" t="str">
        <f t="shared" si="121"/>
        <v>C)</v>
      </c>
      <c r="K1933" t="str">
        <f t="shared" si="122"/>
        <v>Third year of Belshazzar (551)</v>
      </c>
      <c r="L1933" t="str">
        <f t="shared" si="123"/>
        <v>Third year of Belshazzar (551)</v>
      </c>
    </row>
    <row r="1934" spans="1:12" x14ac:dyDescent="0.35">
      <c r="A1934">
        <v>1947</v>
      </c>
      <c r="B1934" t="s">
        <v>4943</v>
      </c>
      <c r="C1934" t="s">
        <v>11616</v>
      </c>
      <c r="D1934" t="s">
        <v>4944</v>
      </c>
      <c r="E1934" t="s">
        <v>4941</v>
      </c>
      <c r="F1934" t="s">
        <v>4945</v>
      </c>
      <c r="G1934" t="s">
        <v>4946</v>
      </c>
      <c r="I1934" t="str">
        <f t="shared" si="120"/>
        <v>551</v>
      </c>
      <c r="J1934" t="str">
        <f t="shared" si="121"/>
        <v>BC</v>
      </c>
      <c r="K1934">
        <f t="shared" si="122"/>
        <v>-551</v>
      </c>
      <c r="L1934">
        <f t="shared" si="123"/>
        <v>-551</v>
      </c>
    </row>
    <row r="1935" spans="1:12" x14ac:dyDescent="0.35">
      <c r="A1935">
        <v>1948</v>
      </c>
      <c r="B1935" t="s">
        <v>4947</v>
      </c>
      <c r="C1935" t="s">
        <v>10527</v>
      </c>
      <c r="D1935" t="s">
        <v>4948</v>
      </c>
      <c r="E1935" t="s">
        <v>3133</v>
      </c>
      <c r="F1935" t="s">
        <v>4945</v>
      </c>
      <c r="G1935" t="s">
        <v>4949</v>
      </c>
      <c r="I1935" t="str">
        <f t="shared" si="120"/>
        <v>551</v>
      </c>
      <c r="J1935" t="str">
        <f t="shared" si="121"/>
        <v>BC</v>
      </c>
      <c r="K1935">
        <f t="shared" si="122"/>
        <v>-551</v>
      </c>
      <c r="L1935">
        <f t="shared" si="123"/>
        <v>-551</v>
      </c>
    </row>
    <row r="1936" spans="1:12" x14ac:dyDescent="0.35">
      <c r="A1936">
        <v>1949</v>
      </c>
      <c r="B1936" t="s">
        <v>4950</v>
      </c>
      <c r="C1936" t="s">
        <v>11617</v>
      </c>
      <c r="D1936" t="s">
        <v>4951</v>
      </c>
      <c r="E1936" t="s">
        <v>3133</v>
      </c>
      <c r="F1936" t="s">
        <v>4952</v>
      </c>
      <c r="G1936" t="s">
        <v>11099</v>
      </c>
      <c r="I1936" t="str">
        <f t="shared" si="120"/>
        <v>First year of Darius (538)</v>
      </c>
      <c r="J1936" t="str">
        <f t="shared" si="121"/>
        <v>C)</v>
      </c>
      <c r="K1936" t="str">
        <f t="shared" si="122"/>
        <v>First year of Darius (538)</v>
      </c>
      <c r="L1936" t="str">
        <f t="shared" si="123"/>
        <v>First year of Darius (538)</v>
      </c>
    </row>
    <row r="1937" spans="1:12" x14ac:dyDescent="0.35">
      <c r="A1937">
        <v>1950</v>
      </c>
      <c r="B1937" t="s">
        <v>4953</v>
      </c>
      <c r="C1937" t="s">
        <v>11618</v>
      </c>
      <c r="D1937" t="s">
        <v>4954</v>
      </c>
      <c r="E1937" t="s">
        <v>3133</v>
      </c>
      <c r="F1937" t="s">
        <v>4955</v>
      </c>
      <c r="G1937" t="s">
        <v>4946</v>
      </c>
      <c r="I1937" t="str">
        <f t="shared" si="120"/>
        <v>538</v>
      </c>
      <c r="J1937" t="str">
        <f t="shared" si="121"/>
        <v>BC</v>
      </c>
      <c r="K1937">
        <f t="shared" si="122"/>
        <v>-538</v>
      </c>
      <c r="L1937">
        <f t="shared" si="123"/>
        <v>-538</v>
      </c>
    </row>
    <row r="1938" spans="1:12" x14ac:dyDescent="0.35">
      <c r="A1938">
        <v>1951</v>
      </c>
      <c r="B1938" t="s">
        <v>4956</v>
      </c>
      <c r="C1938" t="s">
        <v>10093</v>
      </c>
      <c r="D1938" t="s">
        <v>4957</v>
      </c>
      <c r="E1938" t="s">
        <v>3133</v>
      </c>
      <c r="F1938" t="s">
        <v>4955</v>
      </c>
      <c r="G1938" t="s">
        <v>4946</v>
      </c>
      <c r="I1938" t="str">
        <f t="shared" si="120"/>
        <v>538</v>
      </c>
      <c r="J1938" t="str">
        <f t="shared" si="121"/>
        <v>BC</v>
      </c>
      <c r="K1938">
        <f t="shared" si="122"/>
        <v>-538</v>
      </c>
      <c r="L1938">
        <f t="shared" si="123"/>
        <v>-538</v>
      </c>
    </row>
    <row r="1939" spans="1:12" x14ac:dyDescent="0.35">
      <c r="A1939">
        <v>1952</v>
      </c>
      <c r="B1939" t="s">
        <v>4958</v>
      </c>
      <c r="C1939" t="s">
        <v>10524</v>
      </c>
      <c r="D1939" t="s">
        <v>4959</v>
      </c>
      <c r="E1939" t="s">
        <v>3133</v>
      </c>
      <c r="F1939" t="s">
        <v>4960</v>
      </c>
      <c r="G1939" t="s">
        <v>112</v>
      </c>
      <c r="I1939" t="str">
        <f t="shared" si="120"/>
        <v>Third year of Cyrus (536)</v>
      </c>
      <c r="J1939" t="str">
        <f t="shared" si="121"/>
        <v>C)</v>
      </c>
      <c r="K1939" t="str">
        <f t="shared" si="122"/>
        <v>Third year of Cyrus (536)</v>
      </c>
      <c r="L1939" t="str">
        <f t="shared" si="123"/>
        <v>Third year of Cyrus (536)</v>
      </c>
    </row>
    <row r="1940" spans="1:12" x14ac:dyDescent="0.35">
      <c r="A1940">
        <v>1953</v>
      </c>
      <c r="B1940" t="s">
        <v>4961</v>
      </c>
      <c r="C1940" t="s">
        <v>11187</v>
      </c>
      <c r="D1940" t="s">
        <v>4962</v>
      </c>
      <c r="E1940" t="s">
        <v>4963</v>
      </c>
      <c r="F1940" t="s">
        <v>4964</v>
      </c>
      <c r="G1940" t="s">
        <v>4965</v>
      </c>
      <c r="I1940" t="str">
        <f t="shared" si="120"/>
        <v>536</v>
      </c>
      <c r="J1940" t="str">
        <f t="shared" si="121"/>
        <v>BC</v>
      </c>
      <c r="K1940">
        <f t="shared" si="122"/>
        <v>-536</v>
      </c>
      <c r="L1940">
        <f t="shared" si="123"/>
        <v>-536</v>
      </c>
    </row>
    <row r="1941" spans="1:12" x14ac:dyDescent="0.35">
      <c r="A1941">
        <v>1954</v>
      </c>
      <c r="B1941" t="s">
        <v>4966</v>
      </c>
      <c r="C1941" t="s">
        <v>10527</v>
      </c>
      <c r="D1941" t="s">
        <v>4967</v>
      </c>
      <c r="E1941" t="s">
        <v>4963</v>
      </c>
      <c r="F1941" t="s">
        <v>4964</v>
      </c>
      <c r="G1941" t="s">
        <v>4949</v>
      </c>
      <c r="I1941" t="str">
        <f t="shared" si="120"/>
        <v>536</v>
      </c>
      <c r="J1941" t="str">
        <f t="shared" si="121"/>
        <v>BC</v>
      </c>
      <c r="K1941">
        <f t="shared" si="122"/>
        <v>-536</v>
      </c>
      <c r="L1941">
        <f t="shared" si="123"/>
        <v>-536</v>
      </c>
    </row>
    <row r="1942" spans="1:12" x14ac:dyDescent="0.35">
      <c r="A1942">
        <v>1955</v>
      </c>
      <c r="B1942" t="s">
        <v>4968</v>
      </c>
      <c r="C1942" t="s">
        <v>10528</v>
      </c>
      <c r="D1942" t="s">
        <v>4969</v>
      </c>
      <c r="E1942" t="s">
        <v>4963</v>
      </c>
      <c r="F1942" t="s">
        <v>4964</v>
      </c>
      <c r="G1942" t="s">
        <v>4938</v>
      </c>
      <c r="I1942" t="str">
        <f t="shared" si="120"/>
        <v>536</v>
      </c>
      <c r="J1942" t="str">
        <f t="shared" si="121"/>
        <v>BC</v>
      </c>
      <c r="K1942">
        <f t="shared" si="122"/>
        <v>-536</v>
      </c>
      <c r="L1942">
        <f t="shared" si="123"/>
        <v>-536</v>
      </c>
    </row>
    <row r="1943" spans="1:12" x14ac:dyDescent="0.35">
      <c r="A1943">
        <v>1956</v>
      </c>
      <c r="B1943" t="s">
        <v>4970</v>
      </c>
      <c r="C1943" t="s">
        <v>10529</v>
      </c>
      <c r="D1943" t="s">
        <v>4971</v>
      </c>
      <c r="E1943" t="s">
        <v>4963</v>
      </c>
      <c r="F1943" t="s">
        <v>4964</v>
      </c>
      <c r="G1943" t="s">
        <v>4938</v>
      </c>
      <c r="I1943" t="str">
        <f t="shared" si="120"/>
        <v>536</v>
      </c>
      <c r="J1943" t="str">
        <f t="shared" si="121"/>
        <v>BC</v>
      </c>
      <c r="K1943">
        <f t="shared" si="122"/>
        <v>-536</v>
      </c>
      <c r="L1943">
        <f t="shared" si="123"/>
        <v>-536</v>
      </c>
    </row>
    <row r="1944" spans="1:12" x14ac:dyDescent="0.35">
      <c r="A1944">
        <v>1957</v>
      </c>
      <c r="B1944" t="s">
        <v>4972</v>
      </c>
      <c r="C1944" t="s">
        <v>10530</v>
      </c>
      <c r="D1944" t="s">
        <v>4973</v>
      </c>
      <c r="E1944" t="s">
        <v>4963</v>
      </c>
      <c r="F1944" t="s">
        <v>4964</v>
      </c>
      <c r="G1944" t="s">
        <v>4938</v>
      </c>
      <c r="I1944" t="str">
        <f t="shared" si="120"/>
        <v>536</v>
      </c>
      <c r="J1944" t="str">
        <f t="shared" si="121"/>
        <v>BC</v>
      </c>
      <c r="K1944">
        <f t="shared" si="122"/>
        <v>-536</v>
      </c>
      <c r="L1944">
        <f t="shared" si="123"/>
        <v>-536</v>
      </c>
    </row>
    <row r="1945" spans="1:12" x14ac:dyDescent="0.35">
      <c r="A1945">
        <v>1958</v>
      </c>
      <c r="B1945" t="s">
        <v>4974</v>
      </c>
      <c r="C1945" t="s">
        <v>10531</v>
      </c>
      <c r="D1945" t="s">
        <v>4975</v>
      </c>
      <c r="E1945" t="s">
        <v>3613</v>
      </c>
      <c r="F1945" t="s">
        <v>4964</v>
      </c>
      <c r="G1945" t="s">
        <v>4976</v>
      </c>
      <c r="I1945" t="str">
        <f t="shared" si="120"/>
        <v>536</v>
      </c>
      <c r="J1945" t="str">
        <f t="shared" si="121"/>
        <v>BC</v>
      </c>
      <c r="K1945">
        <f t="shared" si="122"/>
        <v>-536</v>
      </c>
      <c r="L1945">
        <f t="shared" si="123"/>
        <v>-536</v>
      </c>
    </row>
    <row r="1946" spans="1:12" x14ac:dyDescent="0.35">
      <c r="A1946">
        <v>1959</v>
      </c>
      <c r="B1946" t="s">
        <v>4977</v>
      </c>
      <c r="C1946" t="s">
        <v>10093</v>
      </c>
      <c r="D1946" t="s">
        <v>4978</v>
      </c>
      <c r="E1946" t="s">
        <v>4963</v>
      </c>
      <c r="F1946" t="s">
        <v>4964</v>
      </c>
      <c r="G1946" t="s">
        <v>4938</v>
      </c>
      <c r="I1946" t="str">
        <f t="shared" si="120"/>
        <v>536</v>
      </c>
      <c r="J1946" t="str">
        <f t="shared" si="121"/>
        <v>BC</v>
      </c>
      <c r="K1946">
        <f t="shared" si="122"/>
        <v>-536</v>
      </c>
      <c r="L1946">
        <f t="shared" si="123"/>
        <v>-536</v>
      </c>
    </row>
    <row r="1947" spans="1:12" x14ac:dyDescent="0.35">
      <c r="A1947">
        <v>1960</v>
      </c>
      <c r="B1947" t="s">
        <v>4979</v>
      </c>
      <c r="C1947" t="s">
        <v>11619</v>
      </c>
      <c r="D1947" t="s">
        <v>4980</v>
      </c>
      <c r="E1947" t="s">
        <v>4963</v>
      </c>
      <c r="F1947" t="s">
        <v>4964</v>
      </c>
      <c r="G1947" t="s">
        <v>4938</v>
      </c>
      <c r="I1947" t="str">
        <f t="shared" si="120"/>
        <v>536</v>
      </c>
      <c r="J1947" t="str">
        <f t="shared" si="121"/>
        <v>BC</v>
      </c>
      <c r="K1947">
        <f t="shared" si="122"/>
        <v>-536</v>
      </c>
      <c r="L1947">
        <f t="shared" si="123"/>
        <v>-536</v>
      </c>
    </row>
    <row r="1948" spans="1:12" x14ac:dyDescent="0.35">
      <c r="A1948">
        <v>1961</v>
      </c>
      <c r="B1948" t="s">
        <v>4981</v>
      </c>
      <c r="C1948" t="s">
        <v>11620</v>
      </c>
      <c r="D1948" t="s">
        <v>4982</v>
      </c>
      <c r="E1948" t="s">
        <v>4983</v>
      </c>
      <c r="F1948" t="s">
        <v>4984</v>
      </c>
      <c r="G1948" t="s">
        <v>4976</v>
      </c>
      <c r="I1948" t="str">
        <f t="shared" si="120"/>
        <v>Future time</v>
      </c>
      <c r="J1948" t="str">
        <f t="shared" si="121"/>
        <v>me</v>
      </c>
      <c r="K1948" t="str">
        <f t="shared" si="122"/>
        <v>Future time</v>
      </c>
      <c r="L1948" t="str">
        <f t="shared" si="123"/>
        <v>Future time</v>
      </c>
    </row>
    <row r="1949" spans="1:12" x14ac:dyDescent="0.35">
      <c r="A1949">
        <v>1962</v>
      </c>
      <c r="B1949" t="s">
        <v>4985</v>
      </c>
      <c r="C1949" t="s">
        <v>10532</v>
      </c>
      <c r="D1949" t="s">
        <v>4986</v>
      </c>
      <c r="E1949" t="s">
        <v>4963</v>
      </c>
      <c r="F1949" t="s">
        <v>4964</v>
      </c>
      <c r="G1949" t="s">
        <v>207</v>
      </c>
      <c r="I1949" t="str">
        <f t="shared" si="120"/>
        <v>536</v>
      </c>
      <c r="J1949" t="str">
        <f t="shared" si="121"/>
        <v>BC</v>
      </c>
      <c r="K1949">
        <f t="shared" si="122"/>
        <v>-536</v>
      </c>
      <c r="L1949">
        <f t="shared" si="123"/>
        <v>-536</v>
      </c>
    </row>
    <row r="1950" spans="1:12" x14ac:dyDescent="0.35">
      <c r="A1950">
        <v>1963</v>
      </c>
      <c r="B1950" t="s">
        <v>4987</v>
      </c>
      <c r="C1950" t="s">
        <v>10533</v>
      </c>
      <c r="D1950" t="s">
        <v>4988</v>
      </c>
      <c r="E1950" t="s">
        <v>4963</v>
      </c>
      <c r="F1950" t="s">
        <v>4964</v>
      </c>
      <c r="G1950" t="s">
        <v>4938</v>
      </c>
      <c r="I1950" t="str">
        <f t="shared" si="120"/>
        <v>536</v>
      </c>
      <c r="J1950" t="str">
        <f t="shared" si="121"/>
        <v>BC</v>
      </c>
      <c r="K1950">
        <f t="shared" si="122"/>
        <v>-536</v>
      </c>
      <c r="L1950">
        <f t="shared" si="123"/>
        <v>-536</v>
      </c>
    </row>
    <row r="1951" spans="1:12" x14ac:dyDescent="0.35">
      <c r="A1951">
        <v>1964</v>
      </c>
      <c r="B1951" t="s">
        <v>4989</v>
      </c>
      <c r="C1951" t="s">
        <v>10534</v>
      </c>
      <c r="D1951" t="s">
        <v>4990</v>
      </c>
      <c r="E1951" t="s">
        <v>4963</v>
      </c>
      <c r="F1951" t="s">
        <v>4964</v>
      </c>
      <c r="G1951" t="s">
        <v>4991</v>
      </c>
      <c r="I1951" t="str">
        <f t="shared" si="120"/>
        <v>536</v>
      </c>
      <c r="J1951" t="str">
        <f t="shared" si="121"/>
        <v>BC</v>
      </c>
      <c r="K1951">
        <f t="shared" si="122"/>
        <v>-536</v>
      </c>
      <c r="L1951">
        <f t="shared" si="123"/>
        <v>-536</v>
      </c>
    </row>
    <row r="1952" spans="1:12" x14ac:dyDescent="0.35">
      <c r="A1952">
        <v>1965</v>
      </c>
      <c r="B1952" t="s">
        <v>4992</v>
      </c>
      <c r="C1952" t="s">
        <v>11197</v>
      </c>
      <c r="D1952" t="s">
        <v>4993</v>
      </c>
      <c r="E1952" t="s">
        <v>4963</v>
      </c>
      <c r="F1952" t="s">
        <v>4964</v>
      </c>
      <c r="G1952" t="s">
        <v>4938</v>
      </c>
      <c r="I1952" t="str">
        <f t="shared" si="120"/>
        <v>536</v>
      </c>
      <c r="J1952" t="str">
        <f t="shared" si="121"/>
        <v>BC</v>
      </c>
      <c r="K1952">
        <f t="shared" si="122"/>
        <v>-536</v>
      </c>
      <c r="L1952">
        <f t="shared" si="123"/>
        <v>-536</v>
      </c>
    </row>
    <row r="1953" spans="1:12" x14ac:dyDescent="0.35">
      <c r="A1953">
        <v>1966</v>
      </c>
      <c r="B1953" t="s">
        <v>5042</v>
      </c>
      <c r="C1953" t="s">
        <v>11621</v>
      </c>
      <c r="D1953" t="s">
        <v>5043</v>
      </c>
      <c r="E1953" t="s">
        <v>5044</v>
      </c>
      <c r="F1953" t="s">
        <v>5045</v>
      </c>
      <c r="G1953" t="s">
        <v>5046</v>
      </c>
      <c r="I1953" t="str">
        <f t="shared" si="120"/>
        <v>760-720</v>
      </c>
      <c r="J1953" t="str">
        <f t="shared" si="121"/>
        <v>BC</v>
      </c>
      <c r="K1953">
        <f t="shared" si="122"/>
        <v>-760</v>
      </c>
      <c r="L1953">
        <f t="shared" si="123"/>
        <v>-720</v>
      </c>
    </row>
    <row r="1954" spans="1:12" x14ac:dyDescent="0.35">
      <c r="A1954">
        <v>1967</v>
      </c>
      <c r="B1954" t="s">
        <v>5047</v>
      </c>
      <c r="C1954" t="s">
        <v>11622</v>
      </c>
      <c r="D1954" t="s">
        <v>5048</v>
      </c>
      <c r="E1954" t="s">
        <v>5044</v>
      </c>
      <c r="F1954" t="s">
        <v>5045</v>
      </c>
      <c r="G1954" t="s">
        <v>5046</v>
      </c>
      <c r="I1954" t="str">
        <f t="shared" si="120"/>
        <v>760-720</v>
      </c>
      <c r="J1954" t="str">
        <f t="shared" si="121"/>
        <v>BC</v>
      </c>
      <c r="K1954">
        <f t="shared" si="122"/>
        <v>-760</v>
      </c>
      <c r="L1954">
        <f t="shared" si="123"/>
        <v>-720</v>
      </c>
    </row>
    <row r="1955" spans="1:12" x14ac:dyDescent="0.35">
      <c r="A1955">
        <v>1968</v>
      </c>
      <c r="B1955" t="s">
        <v>5049</v>
      </c>
      <c r="C1955" t="s">
        <v>10535</v>
      </c>
      <c r="D1955" t="s">
        <v>5050</v>
      </c>
      <c r="E1955" t="s">
        <v>5044</v>
      </c>
      <c r="F1955" t="s">
        <v>5045</v>
      </c>
      <c r="G1955" t="s">
        <v>5046</v>
      </c>
      <c r="I1955" t="str">
        <f t="shared" si="120"/>
        <v>760-720</v>
      </c>
      <c r="J1955" t="str">
        <f t="shared" si="121"/>
        <v>BC</v>
      </c>
      <c r="K1955">
        <f t="shared" si="122"/>
        <v>-760</v>
      </c>
      <c r="L1955">
        <f t="shared" si="123"/>
        <v>-720</v>
      </c>
    </row>
    <row r="1956" spans="1:12" x14ac:dyDescent="0.35">
      <c r="A1956">
        <v>1969</v>
      </c>
      <c r="B1956" t="s">
        <v>5051</v>
      </c>
      <c r="C1956" t="s">
        <v>10140</v>
      </c>
      <c r="D1956" t="s">
        <v>5052</v>
      </c>
      <c r="E1956" t="s">
        <v>5044</v>
      </c>
      <c r="F1956" t="s">
        <v>5045</v>
      </c>
      <c r="G1956" t="s">
        <v>5046</v>
      </c>
      <c r="I1956" t="str">
        <f t="shared" si="120"/>
        <v>760-720</v>
      </c>
      <c r="J1956" t="str">
        <f t="shared" si="121"/>
        <v>BC</v>
      </c>
      <c r="K1956">
        <f t="shared" si="122"/>
        <v>-760</v>
      </c>
      <c r="L1956">
        <f t="shared" si="123"/>
        <v>-720</v>
      </c>
    </row>
    <row r="1957" spans="1:12" x14ac:dyDescent="0.35">
      <c r="A1957">
        <v>1970</v>
      </c>
      <c r="B1957" t="s">
        <v>5053</v>
      </c>
      <c r="C1957" t="s">
        <v>11622</v>
      </c>
      <c r="D1957" t="s">
        <v>5054</v>
      </c>
      <c r="E1957" t="s">
        <v>5044</v>
      </c>
      <c r="F1957" t="s">
        <v>5045</v>
      </c>
      <c r="G1957" t="s">
        <v>5046</v>
      </c>
      <c r="I1957" t="str">
        <f t="shared" si="120"/>
        <v>760-720</v>
      </c>
      <c r="J1957" t="str">
        <f t="shared" si="121"/>
        <v>BC</v>
      </c>
      <c r="K1957">
        <f t="shared" si="122"/>
        <v>-760</v>
      </c>
      <c r="L1957">
        <f t="shared" si="123"/>
        <v>-720</v>
      </c>
    </row>
    <row r="1958" spans="1:12" x14ac:dyDescent="0.35">
      <c r="A1958">
        <v>1971</v>
      </c>
      <c r="B1958" t="s">
        <v>5055</v>
      </c>
      <c r="C1958" t="s">
        <v>10536</v>
      </c>
      <c r="D1958" t="s">
        <v>5056</v>
      </c>
      <c r="E1958" t="s">
        <v>5044</v>
      </c>
      <c r="F1958" t="s">
        <v>5045</v>
      </c>
      <c r="G1958" t="s">
        <v>53</v>
      </c>
      <c r="I1958" t="str">
        <f t="shared" si="120"/>
        <v>760-720</v>
      </c>
      <c r="J1958" t="str">
        <f t="shared" si="121"/>
        <v>BC</v>
      </c>
      <c r="K1958">
        <f t="shared" si="122"/>
        <v>-760</v>
      </c>
      <c r="L1958">
        <f t="shared" si="123"/>
        <v>-720</v>
      </c>
    </row>
    <row r="1959" spans="1:12" x14ac:dyDescent="0.35">
      <c r="A1959">
        <v>1972</v>
      </c>
      <c r="B1959" t="s">
        <v>5057</v>
      </c>
      <c r="C1959" t="s">
        <v>10537</v>
      </c>
      <c r="D1959" t="s">
        <v>5058</v>
      </c>
      <c r="E1959" t="s">
        <v>5044</v>
      </c>
      <c r="F1959" t="s">
        <v>5045</v>
      </c>
      <c r="G1959" t="s">
        <v>53</v>
      </c>
      <c r="I1959" t="str">
        <f t="shared" si="120"/>
        <v>760-720</v>
      </c>
      <c r="J1959" t="str">
        <f t="shared" si="121"/>
        <v>BC</v>
      </c>
      <c r="K1959">
        <f t="shared" si="122"/>
        <v>-760</v>
      </c>
      <c r="L1959">
        <f t="shared" si="123"/>
        <v>-720</v>
      </c>
    </row>
    <row r="1960" spans="1:12" x14ac:dyDescent="0.35">
      <c r="A1960">
        <v>1973</v>
      </c>
      <c r="B1960" t="s">
        <v>5059</v>
      </c>
      <c r="C1960" t="s">
        <v>11621</v>
      </c>
      <c r="D1960" t="s">
        <v>5060</v>
      </c>
      <c r="E1960" t="s">
        <v>5044</v>
      </c>
      <c r="F1960" t="s">
        <v>5045</v>
      </c>
      <c r="G1960" t="s">
        <v>5046</v>
      </c>
      <c r="I1960" t="str">
        <f t="shared" si="120"/>
        <v>760-720</v>
      </c>
      <c r="J1960" t="str">
        <f t="shared" si="121"/>
        <v>BC</v>
      </c>
      <c r="K1960">
        <f t="shared" si="122"/>
        <v>-760</v>
      </c>
      <c r="L1960">
        <f t="shared" si="123"/>
        <v>-720</v>
      </c>
    </row>
    <row r="1961" spans="1:12" x14ac:dyDescent="0.35">
      <c r="A1961">
        <v>1974</v>
      </c>
      <c r="B1961" t="s">
        <v>5061</v>
      </c>
      <c r="C1961" t="s">
        <v>10048</v>
      </c>
      <c r="D1961" t="s">
        <v>5062</v>
      </c>
      <c r="E1961" t="s">
        <v>5044</v>
      </c>
      <c r="F1961" t="s">
        <v>5045</v>
      </c>
      <c r="G1961" t="s">
        <v>5046</v>
      </c>
      <c r="I1961" t="str">
        <f t="shared" si="120"/>
        <v>760-720</v>
      </c>
      <c r="J1961" t="str">
        <f t="shared" si="121"/>
        <v>BC</v>
      </c>
      <c r="K1961">
        <f t="shared" si="122"/>
        <v>-760</v>
      </c>
      <c r="L1961">
        <f t="shared" si="123"/>
        <v>-720</v>
      </c>
    </row>
    <row r="1962" spans="1:12" x14ac:dyDescent="0.35">
      <c r="A1962">
        <v>1975</v>
      </c>
      <c r="B1962" t="s">
        <v>5063</v>
      </c>
      <c r="C1962" t="s">
        <v>10538</v>
      </c>
      <c r="D1962" t="s">
        <v>5064</v>
      </c>
      <c r="E1962" t="s">
        <v>5044</v>
      </c>
      <c r="F1962" t="s">
        <v>5045</v>
      </c>
      <c r="G1962" t="s">
        <v>5046</v>
      </c>
      <c r="I1962" t="str">
        <f t="shared" si="120"/>
        <v>760-720</v>
      </c>
      <c r="J1962" t="str">
        <f t="shared" si="121"/>
        <v>BC</v>
      </c>
      <c r="K1962">
        <f t="shared" si="122"/>
        <v>-760</v>
      </c>
      <c r="L1962">
        <f t="shared" si="123"/>
        <v>-720</v>
      </c>
    </row>
    <row r="1963" spans="1:12" x14ac:dyDescent="0.35">
      <c r="A1963">
        <v>1976</v>
      </c>
      <c r="B1963" t="s">
        <v>5065</v>
      </c>
      <c r="C1963" t="s">
        <v>10048</v>
      </c>
      <c r="D1963" t="s">
        <v>5066</v>
      </c>
      <c r="E1963" t="s">
        <v>5044</v>
      </c>
      <c r="F1963" t="s">
        <v>5045</v>
      </c>
      <c r="G1963" t="s">
        <v>5046</v>
      </c>
      <c r="I1963" t="str">
        <f t="shared" si="120"/>
        <v>760-720</v>
      </c>
      <c r="J1963" t="str">
        <f t="shared" si="121"/>
        <v>BC</v>
      </c>
      <c r="K1963">
        <f t="shared" si="122"/>
        <v>-760</v>
      </c>
      <c r="L1963">
        <f t="shared" si="123"/>
        <v>-720</v>
      </c>
    </row>
    <row r="1964" spans="1:12" x14ac:dyDescent="0.35">
      <c r="A1964">
        <v>1977</v>
      </c>
      <c r="B1964" t="s">
        <v>5067</v>
      </c>
      <c r="C1964" t="s">
        <v>10727</v>
      </c>
      <c r="D1964" t="s">
        <v>5068</v>
      </c>
      <c r="E1964" t="s">
        <v>5044</v>
      </c>
      <c r="F1964" t="s">
        <v>5045</v>
      </c>
      <c r="G1964" t="s">
        <v>5046</v>
      </c>
      <c r="I1964" t="str">
        <f t="shared" si="120"/>
        <v>760-720</v>
      </c>
      <c r="J1964" t="str">
        <f t="shared" si="121"/>
        <v>BC</v>
      </c>
      <c r="K1964">
        <f t="shared" si="122"/>
        <v>-760</v>
      </c>
      <c r="L1964">
        <f t="shared" si="123"/>
        <v>-720</v>
      </c>
    </row>
    <row r="1965" spans="1:12" x14ac:dyDescent="0.35">
      <c r="A1965">
        <v>1978</v>
      </c>
      <c r="B1965" t="s">
        <v>5069</v>
      </c>
      <c r="C1965" t="s">
        <v>10539</v>
      </c>
      <c r="D1965" t="s">
        <v>5070</v>
      </c>
      <c r="E1965" t="s">
        <v>5044</v>
      </c>
      <c r="F1965" t="s">
        <v>5045</v>
      </c>
      <c r="G1965" t="s">
        <v>5046</v>
      </c>
      <c r="I1965" t="str">
        <f t="shared" si="120"/>
        <v>760-720</v>
      </c>
      <c r="J1965" t="str">
        <f t="shared" si="121"/>
        <v>BC</v>
      </c>
      <c r="K1965">
        <f t="shared" si="122"/>
        <v>-760</v>
      </c>
      <c r="L1965">
        <f t="shared" si="123"/>
        <v>-720</v>
      </c>
    </row>
    <row r="1966" spans="1:12" x14ac:dyDescent="0.35">
      <c r="A1966">
        <v>1979</v>
      </c>
      <c r="B1966" t="s">
        <v>5071</v>
      </c>
      <c r="C1966" t="s">
        <v>10540</v>
      </c>
      <c r="D1966" t="s">
        <v>5072</v>
      </c>
      <c r="E1966" t="s">
        <v>5044</v>
      </c>
      <c r="F1966" t="s">
        <v>5045</v>
      </c>
      <c r="G1966" t="s">
        <v>5046</v>
      </c>
      <c r="I1966" t="str">
        <f t="shared" si="120"/>
        <v>760-720</v>
      </c>
      <c r="J1966" t="str">
        <f t="shared" si="121"/>
        <v>BC</v>
      </c>
      <c r="K1966">
        <f t="shared" si="122"/>
        <v>-760</v>
      </c>
      <c r="L1966">
        <f t="shared" si="123"/>
        <v>-720</v>
      </c>
    </row>
    <row r="1967" spans="1:12" x14ac:dyDescent="0.35">
      <c r="A1967">
        <v>1980</v>
      </c>
      <c r="B1967" t="s">
        <v>5074</v>
      </c>
      <c r="C1967" t="s">
        <v>10068</v>
      </c>
      <c r="D1967" t="s">
        <v>5075</v>
      </c>
      <c r="E1967" t="s">
        <v>5044</v>
      </c>
      <c r="F1967" t="s">
        <v>5045</v>
      </c>
      <c r="G1967" t="s">
        <v>5046</v>
      </c>
      <c r="I1967" t="str">
        <f t="shared" si="120"/>
        <v>760-720</v>
      </c>
      <c r="J1967" t="str">
        <f t="shared" si="121"/>
        <v>BC</v>
      </c>
      <c r="K1967">
        <f t="shared" si="122"/>
        <v>-760</v>
      </c>
      <c r="L1967">
        <f t="shared" si="123"/>
        <v>-720</v>
      </c>
    </row>
    <row r="1968" spans="1:12" x14ac:dyDescent="0.35">
      <c r="A1968">
        <v>1981</v>
      </c>
      <c r="B1968" t="s">
        <v>5076</v>
      </c>
      <c r="C1968" t="s">
        <v>10061</v>
      </c>
      <c r="D1968" t="s">
        <v>5077</v>
      </c>
      <c r="E1968" t="s">
        <v>5044</v>
      </c>
      <c r="F1968" t="s">
        <v>5045</v>
      </c>
      <c r="G1968" t="s">
        <v>53</v>
      </c>
      <c r="I1968" t="str">
        <f t="shared" si="120"/>
        <v>760-720</v>
      </c>
      <c r="J1968" t="str">
        <f t="shared" si="121"/>
        <v>BC</v>
      </c>
      <c r="K1968">
        <f t="shared" si="122"/>
        <v>-760</v>
      </c>
      <c r="L1968">
        <f t="shared" si="123"/>
        <v>-720</v>
      </c>
    </row>
    <row r="1969" spans="1:12" x14ac:dyDescent="0.35">
      <c r="A1969">
        <v>1982</v>
      </c>
      <c r="B1969" t="s">
        <v>5078</v>
      </c>
      <c r="C1969" t="s">
        <v>10541</v>
      </c>
      <c r="D1969" t="s">
        <v>5077</v>
      </c>
      <c r="E1969" t="s">
        <v>5044</v>
      </c>
      <c r="F1969" t="s">
        <v>5045</v>
      </c>
      <c r="G1969" t="s">
        <v>5046</v>
      </c>
      <c r="I1969" t="str">
        <f t="shared" si="120"/>
        <v>760-720</v>
      </c>
      <c r="J1969" t="str">
        <f t="shared" si="121"/>
        <v>BC</v>
      </c>
      <c r="K1969">
        <f t="shared" si="122"/>
        <v>-760</v>
      </c>
      <c r="L1969">
        <f t="shared" si="123"/>
        <v>-720</v>
      </c>
    </row>
    <row r="1970" spans="1:12" x14ac:dyDescent="0.35">
      <c r="A1970">
        <v>1983</v>
      </c>
      <c r="B1970" t="s">
        <v>5079</v>
      </c>
      <c r="C1970" t="s">
        <v>11623</v>
      </c>
      <c r="D1970" t="s">
        <v>5080</v>
      </c>
      <c r="E1970" t="s">
        <v>5044</v>
      </c>
      <c r="F1970" t="s">
        <v>5045</v>
      </c>
      <c r="G1970" t="s">
        <v>53</v>
      </c>
      <c r="I1970" t="str">
        <f t="shared" si="120"/>
        <v>760-720</v>
      </c>
      <c r="J1970" t="str">
        <f t="shared" si="121"/>
        <v>BC</v>
      </c>
      <c r="K1970">
        <f t="shared" si="122"/>
        <v>-760</v>
      </c>
      <c r="L1970">
        <f t="shared" si="123"/>
        <v>-720</v>
      </c>
    </row>
    <row r="1971" spans="1:12" x14ac:dyDescent="0.35">
      <c r="A1971">
        <v>1984</v>
      </c>
      <c r="B1971" t="s">
        <v>5106</v>
      </c>
      <c r="C1971" t="s">
        <v>10536</v>
      </c>
      <c r="D1971" t="s">
        <v>5107</v>
      </c>
      <c r="E1971" t="s">
        <v>1750</v>
      </c>
      <c r="F1971" t="s">
        <v>5108</v>
      </c>
      <c r="G1971" t="s">
        <v>53</v>
      </c>
      <c r="I1971" t="str">
        <f t="shared" si="120"/>
        <v>835-800 or 400-350</v>
      </c>
      <c r="J1971" t="str">
        <f t="shared" si="121"/>
        <v>BC</v>
      </c>
      <c r="K1971">
        <f t="shared" si="122"/>
        <v>-835</v>
      </c>
      <c r="L1971">
        <f t="shared" si="123"/>
        <v>-350</v>
      </c>
    </row>
    <row r="1972" spans="1:12" x14ac:dyDescent="0.35">
      <c r="A1972">
        <v>1985</v>
      </c>
      <c r="B1972" t="s">
        <v>5109</v>
      </c>
      <c r="C1972" t="s">
        <v>10536</v>
      </c>
      <c r="D1972" t="s">
        <v>5110</v>
      </c>
      <c r="E1972" t="s">
        <v>1750</v>
      </c>
      <c r="F1972" t="s">
        <v>5108</v>
      </c>
      <c r="G1972" t="s">
        <v>53</v>
      </c>
      <c r="I1972" t="str">
        <f t="shared" ref="I1972:I2035" si="124">SUBSTITUTE(SUBSTITUTE(SUBSTITUTE(F1972,"c. ","")," BC","")," AD","")</f>
        <v>835-800 or 400-350</v>
      </c>
      <c r="J1972" t="str">
        <f t="shared" si="121"/>
        <v>BC</v>
      </c>
      <c r="K1972">
        <f t="shared" si="122"/>
        <v>-835</v>
      </c>
      <c r="L1972">
        <f t="shared" si="123"/>
        <v>-350</v>
      </c>
    </row>
    <row r="1973" spans="1:12" x14ac:dyDescent="0.35">
      <c r="A1973">
        <v>1986</v>
      </c>
      <c r="B1973" t="s">
        <v>5111</v>
      </c>
      <c r="C1973" t="s">
        <v>10093</v>
      </c>
      <c r="D1973" t="s">
        <v>5112</v>
      </c>
      <c r="E1973" t="s">
        <v>1750</v>
      </c>
      <c r="F1973" t="s">
        <v>5108</v>
      </c>
      <c r="G1973" t="s">
        <v>5113</v>
      </c>
      <c r="I1973" t="str">
        <f t="shared" si="124"/>
        <v>835-800 or 400-350</v>
      </c>
      <c r="J1973" t="str">
        <f t="shared" si="121"/>
        <v>BC</v>
      </c>
      <c r="K1973">
        <f t="shared" si="122"/>
        <v>-835</v>
      </c>
      <c r="L1973">
        <f t="shared" si="123"/>
        <v>-350</v>
      </c>
    </row>
    <row r="1974" spans="1:12" x14ac:dyDescent="0.35">
      <c r="A1974">
        <v>1987</v>
      </c>
      <c r="B1974" t="s">
        <v>5114</v>
      </c>
      <c r="C1974" t="s">
        <v>10542</v>
      </c>
      <c r="D1974" t="s">
        <v>5115</v>
      </c>
      <c r="E1974" t="s">
        <v>1750</v>
      </c>
      <c r="F1974" t="s">
        <v>5108</v>
      </c>
      <c r="G1974" t="s">
        <v>5113</v>
      </c>
      <c r="I1974" t="str">
        <f t="shared" si="124"/>
        <v>835-800 or 400-350</v>
      </c>
      <c r="J1974" t="str">
        <f t="shared" si="121"/>
        <v>BC</v>
      </c>
      <c r="K1974">
        <f t="shared" si="122"/>
        <v>-835</v>
      </c>
      <c r="L1974">
        <f t="shared" si="123"/>
        <v>-350</v>
      </c>
    </row>
    <row r="1975" spans="1:12" x14ac:dyDescent="0.35">
      <c r="A1975">
        <v>1988</v>
      </c>
      <c r="B1975" t="s">
        <v>5116</v>
      </c>
      <c r="C1975" t="s">
        <v>10541</v>
      </c>
      <c r="D1975" t="s">
        <v>5117</v>
      </c>
      <c r="E1975" t="s">
        <v>1750</v>
      </c>
      <c r="F1975" t="s">
        <v>5108</v>
      </c>
      <c r="G1975" t="s">
        <v>5113</v>
      </c>
      <c r="I1975" t="str">
        <f t="shared" si="124"/>
        <v>835-800 or 400-350</v>
      </c>
      <c r="J1975" t="str">
        <f t="shared" si="121"/>
        <v>BC</v>
      </c>
      <c r="K1975">
        <f t="shared" si="122"/>
        <v>-835</v>
      </c>
      <c r="L1975">
        <f t="shared" si="123"/>
        <v>-350</v>
      </c>
    </row>
    <row r="1976" spans="1:12" x14ac:dyDescent="0.35">
      <c r="A1976">
        <v>1989</v>
      </c>
      <c r="B1976" t="s">
        <v>5118</v>
      </c>
      <c r="C1976" t="s">
        <v>11361</v>
      </c>
      <c r="D1976" t="s">
        <v>5119</v>
      </c>
      <c r="E1976" t="s">
        <v>1750</v>
      </c>
      <c r="F1976" t="s">
        <v>5108</v>
      </c>
      <c r="G1976" t="s">
        <v>53</v>
      </c>
      <c r="I1976" t="str">
        <f t="shared" si="124"/>
        <v>835-800 or 400-350</v>
      </c>
      <c r="J1976" t="str">
        <f t="shared" si="121"/>
        <v>BC</v>
      </c>
      <c r="K1976">
        <f t="shared" si="122"/>
        <v>-835</v>
      </c>
      <c r="L1976">
        <f t="shared" si="123"/>
        <v>-350</v>
      </c>
    </row>
    <row r="1977" spans="1:12" x14ac:dyDescent="0.35">
      <c r="A1977">
        <v>1990</v>
      </c>
      <c r="B1977" t="s">
        <v>5120</v>
      </c>
      <c r="C1977" t="s">
        <v>10073</v>
      </c>
      <c r="D1977" t="s">
        <v>5121</v>
      </c>
      <c r="E1977" t="s">
        <v>1750</v>
      </c>
      <c r="F1977" t="s">
        <v>5108</v>
      </c>
      <c r="G1977" t="s">
        <v>53</v>
      </c>
      <c r="I1977" t="str">
        <f t="shared" si="124"/>
        <v>835-800 or 400-350</v>
      </c>
      <c r="J1977" t="str">
        <f t="shared" si="121"/>
        <v>BC</v>
      </c>
      <c r="K1977">
        <f t="shared" si="122"/>
        <v>-835</v>
      </c>
      <c r="L1977">
        <f t="shared" si="123"/>
        <v>-350</v>
      </c>
    </row>
    <row r="1978" spans="1:12" x14ac:dyDescent="0.35">
      <c r="A1978">
        <v>1991</v>
      </c>
      <c r="B1978" t="s">
        <v>5122</v>
      </c>
      <c r="C1978" t="s">
        <v>10543</v>
      </c>
      <c r="D1978" t="s">
        <v>5123</v>
      </c>
      <c r="E1978" t="s">
        <v>1750</v>
      </c>
      <c r="F1978" t="s">
        <v>5108</v>
      </c>
      <c r="G1978" t="s">
        <v>53</v>
      </c>
      <c r="I1978" t="str">
        <f t="shared" si="124"/>
        <v>835-800 or 400-350</v>
      </c>
      <c r="J1978" t="str">
        <f t="shared" si="121"/>
        <v>BC</v>
      </c>
      <c r="K1978">
        <f t="shared" si="122"/>
        <v>-835</v>
      </c>
      <c r="L1978">
        <f t="shared" si="123"/>
        <v>-350</v>
      </c>
    </row>
    <row r="1979" spans="1:12" x14ac:dyDescent="0.35">
      <c r="A1979">
        <v>1992</v>
      </c>
      <c r="B1979" t="s">
        <v>5124</v>
      </c>
      <c r="C1979" t="s">
        <v>10537</v>
      </c>
      <c r="D1979" t="s">
        <v>5125</v>
      </c>
      <c r="E1979" t="s">
        <v>1750</v>
      </c>
      <c r="F1979" t="s">
        <v>5108</v>
      </c>
      <c r="G1979" t="s">
        <v>53</v>
      </c>
      <c r="I1979" t="str">
        <f t="shared" si="124"/>
        <v>835-800 or 400-350</v>
      </c>
      <c r="J1979" t="str">
        <f t="shared" si="121"/>
        <v>BC</v>
      </c>
      <c r="K1979">
        <f t="shared" si="122"/>
        <v>-835</v>
      </c>
      <c r="L1979">
        <f t="shared" si="123"/>
        <v>-350</v>
      </c>
    </row>
    <row r="1980" spans="1:12" x14ac:dyDescent="0.35">
      <c r="A1980">
        <v>1993</v>
      </c>
      <c r="B1980" t="s">
        <v>5126</v>
      </c>
      <c r="C1980" t="s">
        <v>11624</v>
      </c>
      <c r="D1980" t="s">
        <v>5127</v>
      </c>
      <c r="E1980" t="s">
        <v>5128</v>
      </c>
      <c r="F1980" t="s">
        <v>5129</v>
      </c>
      <c r="G1980" t="s">
        <v>53</v>
      </c>
      <c r="I1980" t="str">
        <f t="shared" si="124"/>
        <v>Future Fulfillment</v>
      </c>
      <c r="J1980" t="str">
        <f t="shared" si="121"/>
        <v>nt</v>
      </c>
      <c r="K1980" t="str">
        <f t="shared" si="122"/>
        <v>Future Fulfillment</v>
      </c>
      <c r="L1980" t="str">
        <f t="shared" si="123"/>
        <v>Future Fulfillment</v>
      </c>
    </row>
    <row r="1981" spans="1:12" x14ac:dyDescent="0.35">
      <c r="A1981">
        <v>1994</v>
      </c>
      <c r="B1981" t="s">
        <v>5130</v>
      </c>
      <c r="C1981" t="s">
        <v>11625</v>
      </c>
      <c r="D1981" t="s">
        <v>5131</v>
      </c>
      <c r="E1981" t="s">
        <v>5132</v>
      </c>
      <c r="F1981" t="s">
        <v>5133</v>
      </c>
      <c r="G1981" t="s">
        <v>53</v>
      </c>
      <c r="I1981" t="str">
        <f t="shared" si="124"/>
        <v>End Times</v>
      </c>
      <c r="J1981" t="str">
        <f t="shared" si="121"/>
        <v>es</v>
      </c>
      <c r="K1981" t="str">
        <f t="shared" si="122"/>
        <v>End Times</v>
      </c>
      <c r="L1981" t="str">
        <f t="shared" si="123"/>
        <v>End Times</v>
      </c>
    </row>
    <row r="1982" spans="1:12" x14ac:dyDescent="0.35">
      <c r="A1982">
        <v>1995</v>
      </c>
      <c r="B1982" t="s">
        <v>5134</v>
      </c>
      <c r="C1982" t="s">
        <v>11117</v>
      </c>
      <c r="D1982" t="s">
        <v>5135</v>
      </c>
      <c r="E1982" t="s">
        <v>5136</v>
      </c>
      <c r="F1982" t="s">
        <v>5133</v>
      </c>
      <c r="G1982" t="s">
        <v>53</v>
      </c>
      <c r="I1982" t="str">
        <f t="shared" si="124"/>
        <v>End Times</v>
      </c>
      <c r="J1982" t="str">
        <f t="shared" si="121"/>
        <v>es</v>
      </c>
      <c r="K1982" t="str">
        <f t="shared" si="122"/>
        <v>End Times</v>
      </c>
      <c r="L1982" t="str">
        <f t="shared" si="123"/>
        <v>End Times</v>
      </c>
    </row>
    <row r="1983" spans="1:12" x14ac:dyDescent="0.35">
      <c r="A1983">
        <v>1996</v>
      </c>
      <c r="B1983" t="s">
        <v>5137</v>
      </c>
      <c r="C1983" t="s">
        <v>10728</v>
      </c>
      <c r="D1983" t="s">
        <v>5138</v>
      </c>
      <c r="E1983" t="s">
        <v>5139</v>
      </c>
      <c r="F1983" t="s">
        <v>5133</v>
      </c>
      <c r="G1983" t="s">
        <v>53</v>
      </c>
      <c r="I1983" t="str">
        <f t="shared" si="124"/>
        <v>End Times</v>
      </c>
      <c r="J1983" t="str">
        <f t="shared" si="121"/>
        <v>es</v>
      </c>
      <c r="K1983" t="str">
        <f t="shared" si="122"/>
        <v>End Times</v>
      </c>
      <c r="L1983" t="str">
        <f t="shared" si="123"/>
        <v>End Times</v>
      </c>
    </row>
    <row r="1984" spans="1:12" x14ac:dyDescent="0.35">
      <c r="A1984">
        <v>1997</v>
      </c>
      <c r="B1984" t="s">
        <v>5140</v>
      </c>
      <c r="C1984" t="s">
        <v>11626</v>
      </c>
      <c r="D1984" t="s">
        <v>5141</v>
      </c>
      <c r="E1984" t="s">
        <v>5142</v>
      </c>
      <c r="F1984" t="s">
        <v>5133</v>
      </c>
      <c r="G1984" t="s">
        <v>53</v>
      </c>
      <c r="I1984" t="str">
        <f t="shared" si="124"/>
        <v>End Times</v>
      </c>
      <c r="J1984" t="str">
        <f t="shared" si="121"/>
        <v>es</v>
      </c>
      <c r="K1984" t="str">
        <f t="shared" si="122"/>
        <v>End Times</v>
      </c>
      <c r="L1984" t="str">
        <f t="shared" si="123"/>
        <v>End Times</v>
      </c>
    </row>
    <row r="1985" spans="1:12" x14ac:dyDescent="0.35">
      <c r="A1985">
        <v>1998</v>
      </c>
      <c r="B1985" t="s">
        <v>5143</v>
      </c>
      <c r="C1985" t="s">
        <v>10252</v>
      </c>
      <c r="D1985" t="s">
        <v>5144</v>
      </c>
      <c r="E1985" t="s">
        <v>1211</v>
      </c>
      <c r="F1985" t="s">
        <v>5133</v>
      </c>
      <c r="G1985" t="s">
        <v>53</v>
      </c>
      <c r="I1985" t="str">
        <f t="shared" si="124"/>
        <v>End Times</v>
      </c>
      <c r="J1985" t="str">
        <f t="shared" si="121"/>
        <v>es</v>
      </c>
      <c r="K1985" t="str">
        <f t="shared" si="122"/>
        <v>End Times</v>
      </c>
      <c r="L1985" t="str">
        <f t="shared" si="123"/>
        <v>End Times</v>
      </c>
    </row>
    <row r="1986" spans="1:12" x14ac:dyDescent="0.35">
      <c r="A1986">
        <v>1999</v>
      </c>
      <c r="B1986" t="s">
        <v>5145</v>
      </c>
      <c r="C1986" t="s">
        <v>11623</v>
      </c>
      <c r="D1986" t="s">
        <v>5146</v>
      </c>
      <c r="E1986" t="s">
        <v>5147</v>
      </c>
      <c r="F1986" t="s">
        <v>5133</v>
      </c>
      <c r="G1986" t="s">
        <v>53</v>
      </c>
      <c r="I1986" t="str">
        <f t="shared" si="124"/>
        <v>End Times</v>
      </c>
      <c r="J1986" t="str">
        <f t="shared" ref="J1986:J2049" si="125">RIGHT(F1986, 2)</f>
        <v>es</v>
      </c>
      <c r="K1986" t="str">
        <f t="shared" ref="K1986:K2049" si="126">IF(J1986="BC", 0-IF(ISERROR(FIND("-",I1986)),I1986,LEFT(I1986,FIND("-",I1986)-1)), IF(ISERROR(FIND("-",I1986)),I1986,LEFT(I1986,FIND("-",I1986)-1)))</f>
        <v>End Times</v>
      </c>
      <c r="L1986" t="str">
        <f t="shared" ref="L1986:L2049" si="127">IF(J1986="BC", 0-IF(ISERROR(FIND("-",I1986)),I1986,RIGHT(I1986,FIND("-",I1986)-1)), IF(ISERROR(FIND("-",I1986)),I1986,RIGHT(I1986,FIND("-",I1986)-1)))</f>
        <v>End Times</v>
      </c>
    </row>
    <row r="1987" spans="1:12" x14ac:dyDescent="0.35">
      <c r="A1987">
        <v>2000</v>
      </c>
      <c r="B1987" t="s">
        <v>5148</v>
      </c>
      <c r="C1987" t="s">
        <v>10537</v>
      </c>
      <c r="D1987" t="s">
        <v>5146</v>
      </c>
      <c r="E1987" t="s">
        <v>1211</v>
      </c>
      <c r="F1987" t="s">
        <v>5133</v>
      </c>
      <c r="G1987" t="s">
        <v>53</v>
      </c>
      <c r="I1987" t="str">
        <f t="shared" si="124"/>
        <v>End Times</v>
      </c>
      <c r="J1987" t="str">
        <f t="shared" si="125"/>
        <v>es</v>
      </c>
      <c r="K1987" t="str">
        <f t="shared" si="126"/>
        <v>End Times</v>
      </c>
      <c r="L1987" t="str">
        <f t="shared" si="127"/>
        <v>End Times</v>
      </c>
    </row>
    <row r="1988" spans="1:12" x14ac:dyDescent="0.35">
      <c r="A1988">
        <v>2001</v>
      </c>
      <c r="B1988" t="s">
        <v>5149</v>
      </c>
      <c r="C1988" t="s">
        <v>10502</v>
      </c>
      <c r="D1988" t="s">
        <v>5150</v>
      </c>
      <c r="E1988" t="s">
        <v>5151</v>
      </c>
      <c r="F1988" t="s">
        <v>5133</v>
      </c>
      <c r="G1988" t="s">
        <v>53</v>
      </c>
      <c r="I1988" t="str">
        <f t="shared" si="124"/>
        <v>End Times</v>
      </c>
      <c r="J1988" t="str">
        <f t="shared" si="125"/>
        <v>es</v>
      </c>
      <c r="K1988" t="str">
        <f t="shared" si="126"/>
        <v>End Times</v>
      </c>
      <c r="L1988" t="str">
        <f t="shared" si="127"/>
        <v>End Times</v>
      </c>
    </row>
    <row r="1989" spans="1:12" x14ac:dyDescent="0.35">
      <c r="A1989">
        <v>2002</v>
      </c>
      <c r="B1989" t="s">
        <v>5152</v>
      </c>
      <c r="C1989" t="s">
        <v>11173</v>
      </c>
      <c r="D1989" t="s">
        <v>5153</v>
      </c>
      <c r="E1989" t="s">
        <v>1211</v>
      </c>
      <c r="F1989" t="s">
        <v>5133</v>
      </c>
      <c r="G1989" t="s">
        <v>53</v>
      </c>
      <c r="I1989" t="str">
        <f t="shared" si="124"/>
        <v>End Times</v>
      </c>
      <c r="J1989" t="str">
        <f t="shared" si="125"/>
        <v>es</v>
      </c>
      <c r="K1989" t="str">
        <f t="shared" si="126"/>
        <v>End Times</v>
      </c>
      <c r="L1989" t="str">
        <f t="shared" si="127"/>
        <v>End Times</v>
      </c>
    </row>
    <row r="1990" spans="1:12" x14ac:dyDescent="0.35">
      <c r="A1990">
        <v>2003</v>
      </c>
      <c r="B1990" t="s">
        <v>5258</v>
      </c>
      <c r="C1990" t="s">
        <v>9862</v>
      </c>
      <c r="D1990" t="s">
        <v>5257</v>
      </c>
      <c r="E1990" t="s">
        <v>5256</v>
      </c>
      <c r="F1990" t="s">
        <v>5183</v>
      </c>
      <c r="G1990" t="s">
        <v>5182</v>
      </c>
      <c r="I1990" t="str">
        <f t="shared" si="124"/>
        <v>760-750</v>
      </c>
      <c r="J1990" t="str">
        <f t="shared" si="125"/>
        <v>BC</v>
      </c>
      <c r="K1990">
        <f t="shared" si="126"/>
        <v>-760</v>
      </c>
      <c r="L1990">
        <f t="shared" si="127"/>
        <v>-750</v>
      </c>
    </row>
    <row r="1991" spans="1:12" x14ac:dyDescent="0.35">
      <c r="A1991">
        <v>2004</v>
      </c>
      <c r="B1991" t="s">
        <v>5255</v>
      </c>
      <c r="C1991" t="s">
        <v>10498</v>
      </c>
      <c r="D1991" t="s">
        <v>5254</v>
      </c>
      <c r="E1991" t="s">
        <v>5253</v>
      </c>
      <c r="F1991" t="s">
        <v>5183</v>
      </c>
      <c r="G1991" t="s">
        <v>5182</v>
      </c>
      <c r="I1991" t="str">
        <f t="shared" si="124"/>
        <v>760-750</v>
      </c>
      <c r="J1991" t="str">
        <f t="shared" si="125"/>
        <v>BC</v>
      </c>
      <c r="K1991">
        <f t="shared" si="126"/>
        <v>-760</v>
      </c>
      <c r="L1991">
        <f t="shared" si="127"/>
        <v>-750</v>
      </c>
    </row>
    <row r="1992" spans="1:12" x14ac:dyDescent="0.35">
      <c r="A1992">
        <v>2005</v>
      </c>
      <c r="B1992" t="s">
        <v>5252</v>
      </c>
      <c r="C1992" t="s">
        <v>10498</v>
      </c>
      <c r="D1992" t="s">
        <v>5251</v>
      </c>
      <c r="E1992" t="s">
        <v>5250</v>
      </c>
      <c r="F1992" t="s">
        <v>5183</v>
      </c>
      <c r="G1992" t="s">
        <v>5182</v>
      </c>
      <c r="I1992" t="str">
        <f t="shared" si="124"/>
        <v>760-750</v>
      </c>
      <c r="J1992" t="str">
        <f t="shared" si="125"/>
        <v>BC</v>
      </c>
      <c r="K1992">
        <f t="shared" si="126"/>
        <v>-760</v>
      </c>
      <c r="L1992">
        <f t="shared" si="127"/>
        <v>-750</v>
      </c>
    </row>
    <row r="1993" spans="1:12" x14ac:dyDescent="0.35">
      <c r="A1993">
        <v>2006</v>
      </c>
      <c r="B1993" t="s">
        <v>5249</v>
      </c>
      <c r="C1993" t="s">
        <v>10498</v>
      </c>
      <c r="D1993" t="s">
        <v>5248</v>
      </c>
      <c r="E1993" t="s">
        <v>5247</v>
      </c>
      <c r="F1993" t="s">
        <v>5183</v>
      </c>
      <c r="G1993" t="s">
        <v>5182</v>
      </c>
      <c r="I1993" t="str">
        <f t="shared" si="124"/>
        <v>760-750</v>
      </c>
      <c r="J1993" t="str">
        <f t="shared" si="125"/>
        <v>BC</v>
      </c>
      <c r="K1993">
        <f t="shared" si="126"/>
        <v>-760</v>
      </c>
      <c r="L1993">
        <f t="shared" si="127"/>
        <v>-750</v>
      </c>
    </row>
    <row r="1994" spans="1:12" x14ac:dyDescent="0.35">
      <c r="A1994">
        <v>2007</v>
      </c>
      <c r="B1994" t="s">
        <v>5246</v>
      </c>
      <c r="C1994" t="s">
        <v>10498</v>
      </c>
      <c r="D1994" t="s">
        <v>5245</v>
      </c>
      <c r="E1994" t="s">
        <v>635</v>
      </c>
      <c r="F1994" t="s">
        <v>5183</v>
      </c>
      <c r="G1994" t="s">
        <v>5182</v>
      </c>
      <c r="I1994" t="str">
        <f t="shared" si="124"/>
        <v>760-750</v>
      </c>
      <c r="J1994" t="str">
        <f t="shared" si="125"/>
        <v>BC</v>
      </c>
      <c r="K1994">
        <f t="shared" si="126"/>
        <v>-760</v>
      </c>
      <c r="L1994">
        <f t="shared" si="127"/>
        <v>-750</v>
      </c>
    </row>
    <row r="1995" spans="1:12" x14ac:dyDescent="0.35">
      <c r="A1995">
        <v>2008</v>
      </c>
      <c r="B1995" t="s">
        <v>5244</v>
      </c>
      <c r="C1995" t="s">
        <v>10498</v>
      </c>
      <c r="D1995" t="s">
        <v>5243</v>
      </c>
      <c r="E1995" t="s">
        <v>5242</v>
      </c>
      <c r="F1995" t="s">
        <v>5183</v>
      </c>
      <c r="G1995" t="s">
        <v>5182</v>
      </c>
      <c r="I1995" t="str">
        <f t="shared" si="124"/>
        <v>760-750</v>
      </c>
      <c r="J1995" t="str">
        <f t="shared" si="125"/>
        <v>BC</v>
      </c>
      <c r="K1995">
        <f t="shared" si="126"/>
        <v>-760</v>
      </c>
      <c r="L1995">
        <f t="shared" si="127"/>
        <v>-750</v>
      </c>
    </row>
    <row r="1996" spans="1:12" x14ac:dyDescent="0.35">
      <c r="A1996">
        <v>2009</v>
      </c>
      <c r="B1996" t="s">
        <v>5241</v>
      </c>
      <c r="C1996" t="s">
        <v>10498</v>
      </c>
      <c r="D1996" t="s">
        <v>5240</v>
      </c>
      <c r="E1996" t="s">
        <v>647</v>
      </c>
      <c r="F1996" t="s">
        <v>5183</v>
      </c>
      <c r="G1996" t="s">
        <v>5182</v>
      </c>
      <c r="I1996" t="str">
        <f t="shared" si="124"/>
        <v>760-750</v>
      </c>
      <c r="J1996" t="str">
        <f t="shared" si="125"/>
        <v>BC</v>
      </c>
      <c r="K1996">
        <f t="shared" si="126"/>
        <v>-760</v>
      </c>
      <c r="L1996">
        <f t="shared" si="127"/>
        <v>-750</v>
      </c>
    </row>
    <row r="1997" spans="1:12" x14ac:dyDescent="0.35">
      <c r="A1997">
        <v>2010</v>
      </c>
      <c r="B1997" t="s">
        <v>5239</v>
      </c>
      <c r="C1997" t="s">
        <v>10498</v>
      </c>
      <c r="D1997" t="s">
        <v>5238</v>
      </c>
      <c r="E1997" t="s">
        <v>1750</v>
      </c>
      <c r="F1997" t="s">
        <v>5183</v>
      </c>
      <c r="G1997" t="s">
        <v>5182</v>
      </c>
      <c r="I1997" t="str">
        <f t="shared" si="124"/>
        <v>760-750</v>
      </c>
      <c r="J1997" t="str">
        <f t="shared" si="125"/>
        <v>BC</v>
      </c>
      <c r="K1997">
        <f t="shared" si="126"/>
        <v>-760</v>
      </c>
      <c r="L1997">
        <f t="shared" si="127"/>
        <v>-750</v>
      </c>
    </row>
    <row r="1998" spans="1:12" x14ac:dyDescent="0.35">
      <c r="A1998">
        <v>2011</v>
      </c>
      <c r="B1998" t="s">
        <v>5237</v>
      </c>
      <c r="C1998" t="s">
        <v>10498</v>
      </c>
      <c r="D1998" t="s">
        <v>5236</v>
      </c>
      <c r="E1998" t="s">
        <v>5044</v>
      </c>
      <c r="F1998" t="s">
        <v>5183</v>
      </c>
      <c r="G1998" t="s">
        <v>5182</v>
      </c>
      <c r="I1998" t="str">
        <f t="shared" si="124"/>
        <v>760-750</v>
      </c>
      <c r="J1998" t="str">
        <f t="shared" si="125"/>
        <v>BC</v>
      </c>
      <c r="K1998">
        <f t="shared" si="126"/>
        <v>-760</v>
      </c>
      <c r="L1998">
        <f t="shared" si="127"/>
        <v>-750</v>
      </c>
    </row>
    <row r="1999" spans="1:12" x14ac:dyDescent="0.35">
      <c r="A1999">
        <v>2012</v>
      </c>
      <c r="B1999" t="s">
        <v>5235</v>
      </c>
      <c r="C1999" t="s">
        <v>10540</v>
      </c>
      <c r="D1999" t="s">
        <v>5234</v>
      </c>
      <c r="E1999" t="s">
        <v>5044</v>
      </c>
      <c r="F1999" t="s">
        <v>5183</v>
      </c>
      <c r="G1999" t="s">
        <v>5182</v>
      </c>
      <c r="I1999" t="str">
        <f t="shared" si="124"/>
        <v>760-750</v>
      </c>
      <c r="J1999" t="str">
        <f t="shared" si="125"/>
        <v>BC</v>
      </c>
      <c r="K1999">
        <f t="shared" si="126"/>
        <v>-760</v>
      </c>
      <c r="L1999">
        <f t="shared" si="127"/>
        <v>-750</v>
      </c>
    </row>
    <row r="2000" spans="1:12" x14ac:dyDescent="0.35">
      <c r="A2000">
        <v>2013</v>
      </c>
      <c r="B2000" t="s">
        <v>5233</v>
      </c>
      <c r="C2000" t="s">
        <v>10048</v>
      </c>
      <c r="D2000" t="s">
        <v>5232</v>
      </c>
      <c r="E2000" t="s">
        <v>5044</v>
      </c>
      <c r="F2000" t="s">
        <v>5183</v>
      </c>
      <c r="G2000" t="s">
        <v>5182</v>
      </c>
      <c r="I2000" t="str">
        <f t="shared" si="124"/>
        <v>760-750</v>
      </c>
      <c r="J2000" t="str">
        <f t="shared" si="125"/>
        <v>BC</v>
      </c>
      <c r="K2000">
        <f t="shared" si="126"/>
        <v>-760</v>
      </c>
      <c r="L2000">
        <f t="shared" si="127"/>
        <v>-750</v>
      </c>
    </row>
    <row r="2001" spans="1:12" x14ac:dyDescent="0.35">
      <c r="A2001">
        <v>2014</v>
      </c>
      <c r="B2001" t="s">
        <v>5231</v>
      </c>
      <c r="C2001" t="s">
        <v>10544</v>
      </c>
      <c r="D2001" t="s">
        <v>5230</v>
      </c>
      <c r="E2001" t="s">
        <v>5227</v>
      </c>
      <c r="F2001" t="s">
        <v>5183</v>
      </c>
      <c r="G2001" t="s">
        <v>5182</v>
      </c>
      <c r="I2001" t="str">
        <f t="shared" si="124"/>
        <v>760-750</v>
      </c>
      <c r="J2001" t="str">
        <f t="shared" si="125"/>
        <v>BC</v>
      </c>
      <c r="K2001">
        <f t="shared" si="126"/>
        <v>-760</v>
      </c>
      <c r="L2001">
        <f t="shared" si="127"/>
        <v>-750</v>
      </c>
    </row>
    <row r="2002" spans="1:12" x14ac:dyDescent="0.35">
      <c r="A2002">
        <v>2015</v>
      </c>
      <c r="B2002" t="s">
        <v>5229</v>
      </c>
      <c r="C2002" t="s">
        <v>10544</v>
      </c>
      <c r="D2002" t="s">
        <v>5228</v>
      </c>
      <c r="E2002" t="s">
        <v>5227</v>
      </c>
      <c r="F2002" t="s">
        <v>5183</v>
      </c>
      <c r="G2002" t="s">
        <v>5182</v>
      </c>
      <c r="I2002" t="str">
        <f t="shared" si="124"/>
        <v>760-750</v>
      </c>
      <c r="J2002" t="str">
        <f t="shared" si="125"/>
        <v>BC</v>
      </c>
      <c r="K2002">
        <f t="shared" si="126"/>
        <v>-760</v>
      </c>
      <c r="L2002">
        <f t="shared" si="127"/>
        <v>-750</v>
      </c>
    </row>
    <row r="2003" spans="1:12" x14ac:dyDescent="0.35">
      <c r="A2003">
        <v>2016</v>
      </c>
      <c r="B2003" t="s">
        <v>5226</v>
      </c>
      <c r="C2003" t="s">
        <v>10545</v>
      </c>
      <c r="D2003" t="s">
        <v>5225</v>
      </c>
      <c r="E2003" t="s">
        <v>5044</v>
      </c>
      <c r="F2003" t="s">
        <v>5183</v>
      </c>
      <c r="G2003" t="s">
        <v>5182</v>
      </c>
      <c r="I2003" t="str">
        <f t="shared" si="124"/>
        <v>760-750</v>
      </c>
      <c r="J2003" t="str">
        <f t="shared" si="125"/>
        <v>BC</v>
      </c>
      <c r="K2003">
        <f t="shared" si="126"/>
        <v>-760</v>
      </c>
      <c r="L2003">
        <f t="shared" si="127"/>
        <v>-750</v>
      </c>
    </row>
    <row r="2004" spans="1:12" x14ac:dyDescent="0.35">
      <c r="A2004">
        <v>2017</v>
      </c>
      <c r="B2004" t="s">
        <v>5224</v>
      </c>
      <c r="C2004" t="s">
        <v>10546</v>
      </c>
      <c r="D2004" t="s">
        <v>5223</v>
      </c>
      <c r="E2004" t="s">
        <v>5044</v>
      </c>
      <c r="F2004" t="s">
        <v>5183</v>
      </c>
      <c r="G2004" t="s">
        <v>5182</v>
      </c>
      <c r="I2004" t="str">
        <f t="shared" si="124"/>
        <v>760-750</v>
      </c>
      <c r="J2004" t="str">
        <f t="shared" si="125"/>
        <v>BC</v>
      </c>
      <c r="K2004">
        <f t="shared" si="126"/>
        <v>-760</v>
      </c>
      <c r="L2004">
        <f t="shared" si="127"/>
        <v>-750</v>
      </c>
    </row>
    <row r="2005" spans="1:12" x14ac:dyDescent="0.35">
      <c r="A2005">
        <v>2018</v>
      </c>
      <c r="B2005" t="s">
        <v>5222</v>
      </c>
      <c r="C2005" t="s">
        <v>11627</v>
      </c>
      <c r="D2005" t="s">
        <v>5221</v>
      </c>
      <c r="E2005" t="s">
        <v>5044</v>
      </c>
      <c r="F2005" t="s">
        <v>5183</v>
      </c>
      <c r="G2005" t="s">
        <v>53</v>
      </c>
      <c r="I2005" t="str">
        <f t="shared" si="124"/>
        <v>760-750</v>
      </c>
      <c r="J2005" t="str">
        <f t="shared" si="125"/>
        <v>BC</v>
      </c>
      <c r="K2005">
        <f t="shared" si="126"/>
        <v>-760</v>
      </c>
      <c r="L2005">
        <f t="shared" si="127"/>
        <v>-750</v>
      </c>
    </row>
    <row r="2006" spans="1:12" x14ac:dyDescent="0.35">
      <c r="A2006">
        <v>2019</v>
      </c>
      <c r="B2006" t="s">
        <v>5220</v>
      </c>
      <c r="C2006" t="s">
        <v>9653</v>
      </c>
      <c r="D2006" t="s">
        <v>5219</v>
      </c>
      <c r="E2006" t="s">
        <v>5044</v>
      </c>
      <c r="F2006" t="s">
        <v>5183</v>
      </c>
      <c r="G2006" t="s">
        <v>5182</v>
      </c>
      <c r="I2006" t="str">
        <f t="shared" si="124"/>
        <v>760-750</v>
      </c>
      <c r="J2006" t="str">
        <f t="shared" si="125"/>
        <v>BC</v>
      </c>
      <c r="K2006">
        <f t="shared" si="126"/>
        <v>-760</v>
      </c>
      <c r="L2006">
        <f t="shared" si="127"/>
        <v>-750</v>
      </c>
    </row>
    <row r="2007" spans="1:12" x14ac:dyDescent="0.35">
      <c r="A2007">
        <v>2020</v>
      </c>
      <c r="B2007" t="s">
        <v>5218</v>
      </c>
      <c r="C2007" t="s">
        <v>10547</v>
      </c>
      <c r="D2007" t="s">
        <v>5217</v>
      </c>
      <c r="E2007" t="s">
        <v>5044</v>
      </c>
      <c r="F2007" t="s">
        <v>5183</v>
      </c>
      <c r="G2007" t="s">
        <v>5182</v>
      </c>
      <c r="I2007" t="str">
        <f t="shared" si="124"/>
        <v>760-750</v>
      </c>
      <c r="J2007" t="str">
        <f t="shared" si="125"/>
        <v>BC</v>
      </c>
      <c r="K2007">
        <f t="shared" si="126"/>
        <v>-760</v>
      </c>
      <c r="L2007">
        <f t="shared" si="127"/>
        <v>-750</v>
      </c>
    </row>
    <row r="2008" spans="1:12" x14ac:dyDescent="0.35">
      <c r="A2008">
        <v>2021</v>
      </c>
      <c r="B2008" t="s">
        <v>5216</v>
      </c>
      <c r="C2008" t="s">
        <v>11627</v>
      </c>
      <c r="D2008" t="s">
        <v>5215</v>
      </c>
      <c r="E2008" t="s">
        <v>5044</v>
      </c>
      <c r="F2008" t="s">
        <v>5183</v>
      </c>
      <c r="G2008" t="s">
        <v>5182</v>
      </c>
      <c r="I2008" t="str">
        <f t="shared" si="124"/>
        <v>760-750</v>
      </c>
      <c r="J2008" t="str">
        <f t="shared" si="125"/>
        <v>BC</v>
      </c>
      <c r="K2008">
        <f t="shared" si="126"/>
        <v>-760</v>
      </c>
      <c r="L2008">
        <f t="shared" si="127"/>
        <v>-750</v>
      </c>
    </row>
    <row r="2009" spans="1:12" x14ac:dyDescent="0.35">
      <c r="A2009">
        <v>2022</v>
      </c>
      <c r="B2009" t="s">
        <v>5214</v>
      </c>
      <c r="C2009" t="s">
        <v>10540</v>
      </c>
      <c r="D2009" t="s">
        <v>5213</v>
      </c>
      <c r="E2009" t="s">
        <v>5044</v>
      </c>
      <c r="F2009" t="s">
        <v>5183</v>
      </c>
      <c r="G2009" t="s">
        <v>5182</v>
      </c>
      <c r="I2009" t="str">
        <f t="shared" si="124"/>
        <v>760-750</v>
      </c>
      <c r="J2009" t="str">
        <f t="shared" si="125"/>
        <v>BC</v>
      </c>
      <c r="K2009">
        <f t="shared" si="126"/>
        <v>-760</v>
      </c>
      <c r="L2009">
        <f t="shared" si="127"/>
        <v>-750</v>
      </c>
    </row>
    <row r="2010" spans="1:12" x14ac:dyDescent="0.35">
      <c r="A2010">
        <v>2023</v>
      </c>
      <c r="B2010" t="s">
        <v>5212</v>
      </c>
      <c r="C2010" t="s">
        <v>10524</v>
      </c>
      <c r="D2010" t="s">
        <v>5211</v>
      </c>
      <c r="E2010" t="s">
        <v>5044</v>
      </c>
      <c r="F2010" t="s">
        <v>5183</v>
      </c>
      <c r="G2010" t="s">
        <v>5182</v>
      </c>
      <c r="I2010" t="str">
        <f t="shared" si="124"/>
        <v>760-750</v>
      </c>
      <c r="J2010" t="str">
        <f t="shared" si="125"/>
        <v>BC</v>
      </c>
      <c r="K2010">
        <f t="shared" si="126"/>
        <v>-760</v>
      </c>
      <c r="L2010">
        <f t="shared" si="127"/>
        <v>-750</v>
      </c>
    </row>
    <row r="2011" spans="1:12" x14ac:dyDescent="0.35">
      <c r="A2011">
        <v>2024</v>
      </c>
      <c r="B2011" t="s">
        <v>5210</v>
      </c>
      <c r="C2011" t="s">
        <v>10524</v>
      </c>
      <c r="D2011" t="s">
        <v>5209</v>
      </c>
      <c r="E2011" t="s">
        <v>5044</v>
      </c>
      <c r="F2011" t="s">
        <v>5183</v>
      </c>
      <c r="G2011" t="s">
        <v>5182</v>
      </c>
      <c r="I2011" t="str">
        <f t="shared" si="124"/>
        <v>760-750</v>
      </c>
      <c r="J2011" t="str">
        <f t="shared" si="125"/>
        <v>BC</v>
      </c>
      <c r="K2011">
        <f t="shared" si="126"/>
        <v>-760</v>
      </c>
      <c r="L2011">
        <f t="shared" si="127"/>
        <v>-750</v>
      </c>
    </row>
    <row r="2012" spans="1:12" x14ac:dyDescent="0.35">
      <c r="A2012">
        <v>2025</v>
      </c>
      <c r="B2012" t="s">
        <v>5208</v>
      </c>
      <c r="C2012" t="s">
        <v>10524</v>
      </c>
      <c r="D2012" t="s">
        <v>5207</v>
      </c>
      <c r="E2012" t="s">
        <v>5044</v>
      </c>
      <c r="F2012" t="s">
        <v>5183</v>
      </c>
      <c r="G2012" t="s">
        <v>5182</v>
      </c>
      <c r="I2012" t="str">
        <f t="shared" si="124"/>
        <v>760-750</v>
      </c>
      <c r="J2012" t="str">
        <f t="shared" si="125"/>
        <v>BC</v>
      </c>
      <c r="K2012">
        <f t="shared" si="126"/>
        <v>-760</v>
      </c>
      <c r="L2012">
        <f t="shared" si="127"/>
        <v>-750</v>
      </c>
    </row>
    <row r="2013" spans="1:12" x14ac:dyDescent="0.35">
      <c r="A2013">
        <v>2026</v>
      </c>
      <c r="B2013" t="s">
        <v>5206</v>
      </c>
      <c r="C2013" t="s">
        <v>10037</v>
      </c>
      <c r="D2013" t="s">
        <v>5205</v>
      </c>
      <c r="E2013" t="s">
        <v>5044</v>
      </c>
      <c r="F2013" t="s">
        <v>5183</v>
      </c>
      <c r="G2013" t="s">
        <v>5182</v>
      </c>
      <c r="I2013" t="str">
        <f t="shared" si="124"/>
        <v>760-750</v>
      </c>
      <c r="J2013" t="str">
        <f t="shared" si="125"/>
        <v>BC</v>
      </c>
      <c r="K2013">
        <f t="shared" si="126"/>
        <v>-760</v>
      </c>
      <c r="L2013">
        <f t="shared" si="127"/>
        <v>-750</v>
      </c>
    </row>
    <row r="2014" spans="1:12" x14ac:dyDescent="0.35">
      <c r="A2014">
        <v>2027</v>
      </c>
      <c r="B2014" t="s">
        <v>5204</v>
      </c>
      <c r="C2014" t="s">
        <v>10548</v>
      </c>
      <c r="D2014" t="s">
        <v>5203</v>
      </c>
      <c r="E2014" t="s">
        <v>5202</v>
      </c>
      <c r="F2014" t="s">
        <v>5183</v>
      </c>
      <c r="G2014" t="s">
        <v>5182</v>
      </c>
      <c r="I2014" t="str">
        <f t="shared" si="124"/>
        <v>760-750</v>
      </c>
      <c r="J2014" t="str">
        <f t="shared" si="125"/>
        <v>BC</v>
      </c>
      <c r="K2014">
        <f t="shared" si="126"/>
        <v>-760</v>
      </c>
      <c r="L2014">
        <f t="shared" si="127"/>
        <v>-750</v>
      </c>
    </row>
    <row r="2015" spans="1:12" x14ac:dyDescent="0.35">
      <c r="A2015">
        <v>2028</v>
      </c>
      <c r="B2015" t="s">
        <v>5201</v>
      </c>
      <c r="C2015" t="s">
        <v>10524</v>
      </c>
      <c r="D2015" t="s">
        <v>5200</v>
      </c>
      <c r="E2015" t="s">
        <v>5044</v>
      </c>
      <c r="F2015" t="s">
        <v>5183</v>
      </c>
      <c r="G2015" t="s">
        <v>5182</v>
      </c>
      <c r="I2015" t="str">
        <f t="shared" si="124"/>
        <v>760-750</v>
      </c>
      <c r="J2015" t="str">
        <f t="shared" si="125"/>
        <v>BC</v>
      </c>
      <c r="K2015">
        <f t="shared" si="126"/>
        <v>-760</v>
      </c>
      <c r="L2015">
        <f t="shared" si="127"/>
        <v>-750</v>
      </c>
    </row>
    <row r="2016" spans="1:12" x14ac:dyDescent="0.35">
      <c r="A2016">
        <v>2029</v>
      </c>
      <c r="B2016" t="s">
        <v>5199</v>
      </c>
      <c r="C2016" t="s">
        <v>10502</v>
      </c>
      <c r="D2016" t="s">
        <v>5198</v>
      </c>
      <c r="E2016" t="s">
        <v>5044</v>
      </c>
      <c r="F2016" t="s">
        <v>5183</v>
      </c>
      <c r="G2016" t="s">
        <v>5182</v>
      </c>
      <c r="I2016" t="str">
        <f t="shared" si="124"/>
        <v>760-750</v>
      </c>
      <c r="J2016" t="str">
        <f t="shared" si="125"/>
        <v>BC</v>
      </c>
      <c r="K2016">
        <f t="shared" si="126"/>
        <v>-760</v>
      </c>
      <c r="L2016">
        <f t="shared" si="127"/>
        <v>-750</v>
      </c>
    </row>
    <row r="2017" spans="1:12" x14ac:dyDescent="0.35">
      <c r="A2017">
        <v>2030</v>
      </c>
      <c r="B2017" t="s">
        <v>5197</v>
      </c>
      <c r="C2017" t="s">
        <v>10052</v>
      </c>
      <c r="D2017" t="s">
        <v>5196</v>
      </c>
      <c r="E2017" t="s">
        <v>5044</v>
      </c>
      <c r="F2017" t="s">
        <v>5183</v>
      </c>
      <c r="G2017" t="s">
        <v>5182</v>
      </c>
      <c r="I2017" t="str">
        <f t="shared" si="124"/>
        <v>760-750</v>
      </c>
      <c r="J2017" t="str">
        <f t="shared" si="125"/>
        <v>BC</v>
      </c>
      <c r="K2017">
        <f t="shared" si="126"/>
        <v>-760</v>
      </c>
      <c r="L2017">
        <f t="shared" si="127"/>
        <v>-750</v>
      </c>
    </row>
    <row r="2018" spans="1:12" x14ac:dyDescent="0.35">
      <c r="A2018">
        <v>2031</v>
      </c>
      <c r="B2018" t="s">
        <v>5195</v>
      </c>
      <c r="C2018" t="s">
        <v>11627</v>
      </c>
      <c r="D2018" t="s">
        <v>5194</v>
      </c>
      <c r="E2018" t="s">
        <v>5044</v>
      </c>
      <c r="F2018" t="s">
        <v>5183</v>
      </c>
      <c r="G2018" t="s">
        <v>5182</v>
      </c>
      <c r="I2018" t="str">
        <f t="shared" si="124"/>
        <v>760-750</v>
      </c>
      <c r="J2018" t="str">
        <f t="shared" si="125"/>
        <v>BC</v>
      </c>
      <c r="K2018">
        <f t="shared" si="126"/>
        <v>-760</v>
      </c>
      <c r="L2018">
        <f t="shared" si="127"/>
        <v>-750</v>
      </c>
    </row>
    <row r="2019" spans="1:12" x14ac:dyDescent="0.35">
      <c r="A2019">
        <v>2032</v>
      </c>
      <c r="B2019" t="s">
        <v>5193</v>
      </c>
      <c r="C2019" t="s">
        <v>11627</v>
      </c>
      <c r="D2019" t="s">
        <v>5192</v>
      </c>
      <c r="E2019" t="s">
        <v>5044</v>
      </c>
      <c r="F2019" t="s">
        <v>5183</v>
      </c>
      <c r="G2019" t="s">
        <v>5182</v>
      </c>
      <c r="I2019" t="str">
        <f t="shared" si="124"/>
        <v>760-750</v>
      </c>
      <c r="J2019" t="str">
        <f t="shared" si="125"/>
        <v>BC</v>
      </c>
      <c r="K2019">
        <f t="shared" si="126"/>
        <v>-760</v>
      </c>
      <c r="L2019">
        <f t="shared" si="127"/>
        <v>-750</v>
      </c>
    </row>
    <row r="2020" spans="1:12" x14ac:dyDescent="0.35">
      <c r="A2020">
        <v>2033</v>
      </c>
      <c r="B2020" t="s">
        <v>5191</v>
      </c>
      <c r="C2020" t="s">
        <v>11628</v>
      </c>
      <c r="D2020" t="s">
        <v>5190</v>
      </c>
      <c r="E2020" t="s">
        <v>5044</v>
      </c>
      <c r="F2020" t="s">
        <v>5183</v>
      </c>
      <c r="G2020" t="s">
        <v>5182</v>
      </c>
      <c r="I2020" t="str">
        <f t="shared" si="124"/>
        <v>760-750</v>
      </c>
      <c r="J2020" t="str">
        <f t="shared" si="125"/>
        <v>BC</v>
      </c>
      <c r="K2020">
        <f t="shared" si="126"/>
        <v>-760</v>
      </c>
      <c r="L2020">
        <f t="shared" si="127"/>
        <v>-750</v>
      </c>
    </row>
    <row r="2021" spans="1:12" x14ac:dyDescent="0.35">
      <c r="A2021">
        <v>2034</v>
      </c>
      <c r="B2021" t="s">
        <v>5189</v>
      </c>
      <c r="C2021" t="s">
        <v>11629</v>
      </c>
      <c r="D2021" t="s">
        <v>5188</v>
      </c>
      <c r="E2021" t="s">
        <v>5044</v>
      </c>
      <c r="F2021" t="s">
        <v>5183</v>
      </c>
      <c r="G2021" t="s">
        <v>5182</v>
      </c>
      <c r="I2021" t="str">
        <f t="shared" si="124"/>
        <v>760-750</v>
      </c>
      <c r="J2021" t="str">
        <f t="shared" si="125"/>
        <v>BC</v>
      </c>
      <c r="K2021">
        <f t="shared" si="126"/>
        <v>-760</v>
      </c>
      <c r="L2021">
        <f t="shared" si="127"/>
        <v>-750</v>
      </c>
    </row>
    <row r="2022" spans="1:12" x14ac:dyDescent="0.35">
      <c r="A2022">
        <v>2035</v>
      </c>
      <c r="B2022" t="s">
        <v>5187</v>
      </c>
      <c r="C2022" t="s">
        <v>11623</v>
      </c>
      <c r="D2022" t="s">
        <v>5186</v>
      </c>
      <c r="E2022" t="s">
        <v>5044</v>
      </c>
      <c r="F2022" t="s">
        <v>5183</v>
      </c>
      <c r="G2022" t="s">
        <v>5182</v>
      </c>
      <c r="I2022" t="str">
        <f t="shared" si="124"/>
        <v>760-750</v>
      </c>
      <c r="J2022" t="str">
        <f t="shared" si="125"/>
        <v>BC</v>
      </c>
      <c r="K2022">
        <f t="shared" si="126"/>
        <v>-760</v>
      </c>
      <c r="L2022">
        <f t="shared" si="127"/>
        <v>-750</v>
      </c>
    </row>
    <row r="2023" spans="1:12" x14ac:dyDescent="0.35">
      <c r="A2023">
        <v>2036</v>
      </c>
      <c r="B2023" t="s">
        <v>5185</v>
      </c>
      <c r="C2023" t="s">
        <v>10073</v>
      </c>
      <c r="D2023" t="s">
        <v>5184</v>
      </c>
      <c r="E2023" t="s">
        <v>5044</v>
      </c>
      <c r="F2023" t="s">
        <v>5183</v>
      </c>
      <c r="G2023" t="s">
        <v>5182</v>
      </c>
      <c r="I2023" t="str">
        <f t="shared" si="124"/>
        <v>760-750</v>
      </c>
      <c r="J2023" t="str">
        <f t="shared" si="125"/>
        <v>BC</v>
      </c>
      <c r="K2023">
        <f t="shared" si="126"/>
        <v>-760</v>
      </c>
      <c r="L2023">
        <f t="shared" si="127"/>
        <v>-750</v>
      </c>
    </row>
    <row r="2024" spans="1:12" x14ac:dyDescent="0.35">
      <c r="A2024">
        <v>2037</v>
      </c>
      <c r="B2024" t="s">
        <v>5283</v>
      </c>
      <c r="C2024" t="s">
        <v>11630</v>
      </c>
      <c r="D2024" t="s">
        <v>5284</v>
      </c>
      <c r="E2024" t="s">
        <v>5285</v>
      </c>
      <c r="F2024" t="s">
        <v>5286</v>
      </c>
      <c r="G2024" t="s">
        <v>5287</v>
      </c>
      <c r="I2024" t="str">
        <f t="shared" si="124"/>
        <v>586-585</v>
      </c>
      <c r="J2024" t="str">
        <f t="shared" si="125"/>
        <v>BC</v>
      </c>
      <c r="K2024">
        <f t="shared" si="126"/>
        <v>-586</v>
      </c>
      <c r="L2024">
        <f t="shared" si="127"/>
        <v>-585</v>
      </c>
    </row>
    <row r="2025" spans="1:12" x14ac:dyDescent="0.35">
      <c r="A2025">
        <v>2038</v>
      </c>
      <c r="B2025" t="s">
        <v>5288</v>
      </c>
      <c r="C2025" t="s">
        <v>10549</v>
      </c>
      <c r="D2025" t="s">
        <v>5284</v>
      </c>
      <c r="E2025" t="s">
        <v>5289</v>
      </c>
      <c r="F2025" t="s">
        <v>5286</v>
      </c>
      <c r="G2025" t="s">
        <v>53</v>
      </c>
      <c r="I2025" t="str">
        <f t="shared" si="124"/>
        <v>586-585</v>
      </c>
      <c r="J2025" t="str">
        <f t="shared" si="125"/>
        <v>BC</v>
      </c>
      <c r="K2025">
        <f t="shared" si="126"/>
        <v>-586</v>
      </c>
      <c r="L2025">
        <f t="shared" si="127"/>
        <v>-585</v>
      </c>
    </row>
    <row r="2026" spans="1:12" x14ac:dyDescent="0.35">
      <c r="A2026">
        <v>2039</v>
      </c>
      <c r="B2026" t="s">
        <v>5290</v>
      </c>
      <c r="C2026" t="s">
        <v>10310</v>
      </c>
      <c r="D2026" t="s">
        <v>5291</v>
      </c>
      <c r="E2026" t="s">
        <v>5292</v>
      </c>
      <c r="F2026" t="s">
        <v>5286</v>
      </c>
      <c r="G2026" t="s">
        <v>53</v>
      </c>
      <c r="I2026" t="str">
        <f t="shared" si="124"/>
        <v>586-585</v>
      </c>
      <c r="J2026" t="str">
        <f t="shared" si="125"/>
        <v>BC</v>
      </c>
      <c r="K2026">
        <f t="shared" si="126"/>
        <v>-586</v>
      </c>
      <c r="L2026">
        <f t="shared" si="127"/>
        <v>-585</v>
      </c>
    </row>
    <row r="2027" spans="1:12" x14ac:dyDescent="0.35">
      <c r="A2027">
        <v>2040</v>
      </c>
      <c r="B2027" t="s">
        <v>5293</v>
      </c>
      <c r="C2027" t="s">
        <v>10381</v>
      </c>
      <c r="D2027" t="s">
        <v>5294</v>
      </c>
      <c r="E2027" t="s">
        <v>635</v>
      </c>
      <c r="F2027" t="s">
        <v>5286</v>
      </c>
      <c r="G2027" t="s">
        <v>53</v>
      </c>
      <c r="I2027" t="str">
        <f t="shared" si="124"/>
        <v>586-585</v>
      </c>
      <c r="J2027" t="str">
        <f t="shared" si="125"/>
        <v>BC</v>
      </c>
      <c r="K2027">
        <f t="shared" si="126"/>
        <v>-586</v>
      </c>
      <c r="L2027">
        <f t="shared" si="127"/>
        <v>-585</v>
      </c>
    </row>
    <row r="2028" spans="1:12" x14ac:dyDescent="0.35">
      <c r="A2028">
        <v>2041</v>
      </c>
      <c r="B2028" t="s">
        <v>5295</v>
      </c>
      <c r="C2028" t="s">
        <v>11126</v>
      </c>
      <c r="D2028" t="s">
        <v>5296</v>
      </c>
      <c r="E2028" t="s">
        <v>5297</v>
      </c>
      <c r="F2028" t="s">
        <v>5286</v>
      </c>
      <c r="G2028" t="s">
        <v>53</v>
      </c>
      <c r="I2028" t="str">
        <f t="shared" si="124"/>
        <v>586-585</v>
      </c>
      <c r="J2028" t="str">
        <f t="shared" si="125"/>
        <v>BC</v>
      </c>
      <c r="K2028">
        <f t="shared" si="126"/>
        <v>-586</v>
      </c>
      <c r="L2028">
        <f t="shared" si="127"/>
        <v>-585</v>
      </c>
    </row>
    <row r="2029" spans="1:12" x14ac:dyDescent="0.35">
      <c r="A2029">
        <v>2042</v>
      </c>
      <c r="B2029" t="s">
        <v>5298</v>
      </c>
      <c r="C2029" t="s">
        <v>10101</v>
      </c>
      <c r="D2029" t="s">
        <v>5299</v>
      </c>
      <c r="E2029" t="s">
        <v>635</v>
      </c>
      <c r="F2029" t="s">
        <v>5286</v>
      </c>
      <c r="G2029" t="s">
        <v>53</v>
      </c>
      <c r="I2029" t="str">
        <f t="shared" si="124"/>
        <v>586-585</v>
      </c>
      <c r="J2029" t="str">
        <f t="shared" si="125"/>
        <v>BC</v>
      </c>
      <c r="K2029">
        <f t="shared" si="126"/>
        <v>-586</v>
      </c>
      <c r="L2029">
        <f t="shared" si="127"/>
        <v>-585</v>
      </c>
    </row>
    <row r="2030" spans="1:12" x14ac:dyDescent="0.35">
      <c r="A2030">
        <v>2043</v>
      </c>
      <c r="B2030" t="s">
        <v>5300</v>
      </c>
      <c r="C2030" t="s">
        <v>11631</v>
      </c>
      <c r="D2030" t="s">
        <v>5301</v>
      </c>
      <c r="E2030" t="s">
        <v>5302</v>
      </c>
      <c r="F2030" t="s">
        <v>5303</v>
      </c>
      <c r="G2030" t="s">
        <v>53</v>
      </c>
      <c r="I2030" t="str">
        <f t="shared" si="124"/>
        <v>Future/Eschatological</v>
      </c>
      <c r="J2030" t="str">
        <f t="shared" si="125"/>
        <v>al</v>
      </c>
      <c r="K2030" t="str">
        <f t="shared" si="126"/>
        <v>Future/Eschatological</v>
      </c>
      <c r="L2030" t="str">
        <f t="shared" si="127"/>
        <v>Future/Eschatological</v>
      </c>
    </row>
    <row r="2031" spans="1:12" x14ac:dyDescent="0.35">
      <c r="A2031">
        <v>2044</v>
      </c>
      <c r="B2031" t="s">
        <v>5304</v>
      </c>
      <c r="C2031" t="s">
        <v>11242</v>
      </c>
      <c r="D2031" t="s">
        <v>5305</v>
      </c>
      <c r="E2031" t="s">
        <v>5306</v>
      </c>
      <c r="F2031" t="s">
        <v>5307</v>
      </c>
      <c r="G2031" t="s">
        <v>53</v>
      </c>
      <c r="I2031" t="str">
        <f t="shared" si="124"/>
        <v>Future/Messianic</v>
      </c>
      <c r="J2031" t="str">
        <f t="shared" si="125"/>
        <v>ic</v>
      </c>
      <c r="K2031" t="str">
        <f t="shared" si="126"/>
        <v>Future/Messianic</v>
      </c>
      <c r="L2031" t="str">
        <f t="shared" si="127"/>
        <v>Future/Messianic</v>
      </c>
    </row>
    <row r="2032" spans="1:12" x14ac:dyDescent="0.35">
      <c r="A2032">
        <v>2045</v>
      </c>
      <c r="B2032" t="s">
        <v>5308</v>
      </c>
      <c r="C2032" t="s">
        <v>10094</v>
      </c>
      <c r="D2032" t="s">
        <v>5309</v>
      </c>
      <c r="E2032" t="s">
        <v>5310</v>
      </c>
      <c r="F2032" t="s">
        <v>5307</v>
      </c>
      <c r="G2032" t="s">
        <v>53</v>
      </c>
      <c r="I2032" t="str">
        <f t="shared" si="124"/>
        <v>Future/Messianic</v>
      </c>
      <c r="J2032" t="str">
        <f t="shared" si="125"/>
        <v>ic</v>
      </c>
      <c r="K2032" t="str">
        <f t="shared" si="126"/>
        <v>Future/Messianic</v>
      </c>
      <c r="L2032" t="str">
        <f t="shared" si="127"/>
        <v>Future/Messianic</v>
      </c>
    </row>
    <row r="2033" spans="1:12" x14ac:dyDescent="0.35">
      <c r="A2033">
        <v>2046</v>
      </c>
      <c r="B2033" t="s">
        <v>5311</v>
      </c>
      <c r="C2033" t="s">
        <v>10550</v>
      </c>
      <c r="D2033" t="s">
        <v>5312</v>
      </c>
      <c r="E2033" t="s">
        <v>5313</v>
      </c>
      <c r="F2033" t="s">
        <v>5307</v>
      </c>
      <c r="G2033" t="s">
        <v>53</v>
      </c>
      <c r="I2033" t="str">
        <f t="shared" si="124"/>
        <v>Future/Messianic</v>
      </c>
      <c r="J2033" t="str">
        <f t="shared" si="125"/>
        <v>ic</v>
      </c>
      <c r="K2033" t="str">
        <f t="shared" si="126"/>
        <v>Future/Messianic</v>
      </c>
      <c r="L2033" t="str">
        <f t="shared" si="127"/>
        <v>Future/Messianic</v>
      </c>
    </row>
    <row r="2034" spans="1:12" x14ac:dyDescent="0.35">
      <c r="A2034">
        <v>2047</v>
      </c>
      <c r="B2034" t="s">
        <v>5314</v>
      </c>
      <c r="C2034" t="s">
        <v>11632</v>
      </c>
      <c r="D2034" t="s">
        <v>5315</v>
      </c>
      <c r="E2034" t="s">
        <v>5316</v>
      </c>
      <c r="F2034" t="s">
        <v>5307</v>
      </c>
      <c r="G2034" t="s">
        <v>53</v>
      </c>
      <c r="I2034" t="str">
        <f t="shared" si="124"/>
        <v>Future/Messianic</v>
      </c>
      <c r="J2034" t="str">
        <f t="shared" si="125"/>
        <v>ic</v>
      </c>
      <c r="K2034" t="str">
        <f t="shared" si="126"/>
        <v>Future/Messianic</v>
      </c>
      <c r="L2034" t="str">
        <f t="shared" si="127"/>
        <v>Future/Messianic</v>
      </c>
    </row>
    <row r="2035" spans="1:12" x14ac:dyDescent="0.35">
      <c r="A2035">
        <v>2048</v>
      </c>
      <c r="B2035" t="s">
        <v>5352</v>
      </c>
      <c r="C2035" t="s">
        <v>11633</v>
      </c>
      <c r="D2035" t="s">
        <v>5353</v>
      </c>
      <c r="E2035" t="s">
        <v>2337</v>
      </c>
      <c r="F2035" t="s">
        <v>2187</v>
      </c>
      <c r="G2035" t="s">
        <v>5354</v>
      </c>
      <c r="I2035" t="str">
        <f t="shared" si="124"/>
        <v>793-753</v>
      </c>
      <c r="J2035" t="str">
        <f t="shared" si="125"/>
        <v>BC</v>
      </c>
      <c r="K2035">
        <f t="shared" si="126"/>
        <v>-793</v>
      </c>
      <c r="L2035">
        <f t="shared" si="127"/>
        <v>-753</v>
      </c>
    </row>
    <row r="2036" spans="1:12" x14ac:dyDescent="0.35">
      <c r="A2036">
        <v>2049</v>
      </c>
      <c r="B2036" t="s">
        <v>5355</v>
      </c>
      <c r="C2036" t="s">
        <v>10729</v>
      </c>
      <c r="D2036" t="s">
        <v>5356</v>
      </c>
      <c r="E2036" t="s">
        <v>5357</v>
      </c>
      <c r="F2036" t="s">
        <v>2187</v>
      </c>
      <c r="G2036" t="s">
        <v>53</v>
      </c>
      <c r="I2036" t="str">
        <f t="shared" ref="I2036:I2099" si="128">SUBSTITUTE(SUBSTITUTE(SUBSTITUTE(F2036,"c. ","")," BC","")," AD","")</f>
        <v>793-753</v>
      </c>
      <c r="J2036" t="str">
        <f t="shared" si="125"/>
        <v>BC</v>
      </c>
      <c r="K2036">
        <f t="shared" si="126"/>
        <v>-793</v>
      </c>
      <c r="L2036">
        <f t="shared" si="127"/>
        <v>-753</v>
      </c>
    </row>
    <row r="2037" spans="1:12" x14ac:dyDescent="0.35">
      <c r="A2037">
        <v>2050</v>
      </c>
      <c r="B2037" t="s">
        <v>5358</v>
      </c>
      <c r="C2037" t="s">
        <v>10551</v>
      </c>
      <c r="D2037" t="s">
        <v>5359</v>
      </c>
      <c r="E2037" t="s">
        <v>5360</v>
      </c>
      <c r="F2037" t="s">
        <v>2187</v>
      </c>
      <c r="G2037" t="s">
        <v>53</v>
      </c>
      <c r="I2037" t="str">
        <f t="shared" si="128"/>
        <v>793-753</v>
      </c>
      <c r="J2037" t="str">
        <f t="shared" si="125"/>
        <v>BC</v>
      </c>
      <c r="K2037">
        <f t="shared" si="126"/>
        <v>-793</v>
      </c>
      <c r="L2037">
        <f t="shared" si="127"/>
        <v>-753</v>
      </c>
    </row>
    <row r="2038" spans="1:12" x14ac:dyDescent="0.35">
      <c r="A2038">
        <v>2051</v>
      </c>
      <c r="B2038" t="s">
        <v>5361</v>
      </c>
      <c r="C2038" t="s">
        <v>10042</v>
      </c>
      <c r="D2038" t="s">
        <v>5362</v>
      </c>
      <c r="E2038" t="s">
        <v>5357</v>
      </c>
      <c r="F2038" t="s">
        <v>2187</v>
      </c>
      <c r="G2038" t="s">
        <v>53</v>
      </c>
      <c r="I2038" t="str">
        <f t="shared" si="128"/>
        <v>793-753</v>
      </c>
      <c r="J2038" t="str">
        <f t="shared" si="125"/>
        <v>BC</v>
      </c>
      <c r="K2038">
        <f t="shared" si="126"/>
        <v>-793</v>
      </c>
      <c r="L2038">
        <f t="shared" si="127"/>
        <v>-753</v>
      </c>
    </row>
    <row r="2039" spans="1:12" x14ac:dyDescent="0.35">
      <c r="A2039">
        <v>2052</v>
      </c>
      <c r="B2039" t="s">
        <v>5363</v>
      </c>
      <c r="C2039" t="s">
        <v>10667</v>
      </c>
      <c r="D2039" t="s">
        <v>5362</v>
      </c>
      <c r="E2039" t="s">
        <v>5364</v>
      </c>
      <c r="F2039" t="s">
        <v>2187</v>
      </c>
      <c r="G2039" t="s">
        <v>53</v>
      </c>
      <c r="I2039" t="str">
        <f t="shared" si="128"/>
        <v>793-753</v>
      </c>
      <c r="J2039" t="str">
        <f t="shared" si="125"/>
        <v>BC</v>
      </c>
      <c r="K2039">
        <f t="shared" si="126"/>
        <v>-793</v>
      </c>
      <c r="L2039">
        <f t="shared" si="127"/>
        <v>-753</v>
      </c>
    </row>
    <row r="2040" spans="1:12" x14ac:dyDescent="0.35">
      <c r="A2040">
        <v>2053</v>
      </c>
      <c r="B2040" t="s">
        <v>5365</v>
      </c>
      <c r="C2040" t="s">
        <v>10589</v>
      </c>
      <c r="D2040" t="s">
        <v>5366</v>
      </c>
      <c r="E2040" t="s">
        <v>5367</v>
      </c>
      <c r="F2040" t="s">
        <v>2187</v>
      </c>
      <c r="G2040" t="s">
        <v>53</v>
      </c>
      <c r="I2040" t="str">
        <f t="shared" si="128"/>
        <v>793-753</v>
      </c>
      <c r="J2040" t="str">
        <f t="shared" si="125"/>
        <v>BC</v>
      </c>
      <c r="K2040">
        <f t="shared" si="126"/>
        <v>-793</v>
      </c>
      <c r="L2040">
        <f t="shared" si="127"/>
        <v>-753</v>
      </c>
    </row>
    <row r="2041" spans="1:12" x14ac:dyDescent="0.35">
      <c r="A2041">
        <v>2054</v>
      </c>
      <c r="B2041" t="s">
        <v>5368</v>
      </c>
      <c r="C2041" t="s">
        <v>11634</v>
      </c>
      <c r="D2041" t="s">
        <v>5369</v>
      </c>
      <c r="E2041" t="s">
        <v>5370</v>
      </c>
      <c r="F2041" t="s">
        <v>2187</v>
      </c>
      <c r="G2041" t="s">
        <v>5354</v>
      </c>
      <c r="I2041" t="str">
        <f t="shared" si="128"/>
        <v>793-753</v>
      </c>
      <c r="J2041" t="str">
        <f t="shared" si="125"/>
        <v>BC</v>
      </c>
      <c r="K2041">
        <f t="shared" si="126"/>
        <v>-793</v>
      </c>
      <c r="L2041">
        <f t="shared" si="127"/>
        <v>-753</v>
      </c>
    </row>
    <row r="2042" spans="1:12" x14ac:dyDescent="0.35">
      <c r="A2042">
        <v>2055</v>
      </c>
      <c r="B2042" t="s">
        <v>5371</v>
      </c>
      <c r="C2042" t="s">
        <v>11635</v>
      </c>
      <c r="D2042" t="s">
        <v>5372</v>
      </c>
      <c r="E2042" t="s">
        <v>5373</v>
      </c>
      <c r="F2042" t="s">
        <v>2187</v>
      </c>
      <c r="G2042" t="s">
        <v>5354</v>
      </c>
      <c r="I2042" t="str">
        <f t="shared" si="128"/>
        <v>793-753</v>
      </c>
      <c r="J2042" t="str">
        <f t="shared" si="125"/>
        <v>BC</v>
      </c>
      <c r="K2042">
        <f t="shared" si="126"/>
        <v>-793</v>
      </c>
      <c r="L2042">
        <f t="shared" si="127"/>
        <v>-753</v>
      </c>
    </row>
    <row r="2043" spans="1:12" x14ac:dyDescent="0.35">
      <c r="A2043">
        <v>2056</v>
      </c>
      <c r="B2043" t="s">
        <v>5374</v>
      </c>
      <c r="C2043" t="s">
        <v>10125</v>
      </c>
      <c r="D2043" t="s">
        <v>5375</v>
      </c>
      <c r="E2043" t="s">
        <v>5373</v>
      </c>
      <c r="F2043" t="s">
        <v>2187</v>
      </c>
      <c r="G2043" t="s">
        <v>53</v>
      </c>
      <c r="I2043" t="str">
        <f t="shared" si="128"/>
        <v>793-753</v>
      </c>
      <c r="J2043" t="str">
        <f t="shared" si="125"/>
        <v>BC</v>
      </c>
      <c r="K2043">
        <f t="shared" si="126"/>
        <v>-793</v>
      </c>
      <c r="L2043">
        <f t="shared" si="127"/>
        <v>-753</v>
      </c>
    </row>
    <row r="2044" spans="1:12" x14ac:dyDescent="0.35">
      <c r="A2044">
        <v>2057</v>
      </c>
      <c r="B2044" t="s">
        <v>5376</v>
      </c>
      <c r="C2044" t="s">
        <v>11636</v>
      </c>
      <c r="D2044" t="s">
        <v>5377</v>
      </c>
      <c r="E2044" t="s">
        <v>5378</v>
      </c>
      <c r="F2044" t="s">
        <v>2187</v>
      </c>
      <c r="G2044" t="s">
        <v>53</v>
      </c>
      <c r="I2044" t="str">
        <f t="shared" si="128"/>
        <v>793-753</v>
      </c>
      <c r="J2044" t="str">
        <f t="shared" si="125"/>
        <v>BC</v>
      </c>
      <c r="K2044">
        <f t="shared" si="126"/>
        <v>-793</v>
      </c>
      <c r="L2044">
        <f t="shared" si="127"/>
        <v>-753</v>
      </c>
    </row>
    <row r="2045" spans="1:12" x14ac:dyDescent="0.35">
      <c r="A2045">
        <v>2058</v>
      </c>
      <c r="B2045" t="s">
        <v>5379</v>
      </c>
      <c r="C2045" t="s">
        <v>10729</v>
      </c>
      <c r="D2045" t="s">
        <v>5380</v>
      </c>
      <c r="E2045" t="s">
        <v>5378</v>
      </c>
      <c r="F2045" t="s">
        <v>2187</v>
      </c>
      <c r="G2045" t="s">
        <v>53</v>
      </c>
      <c r="I2045" t="str">
        <f t="shared" si="128"/>
        <v>793-753</v>
      </c>
      <c r="J2045" t="str">
        <f t="shared" si="125"/>
        <v>BC</v>
      </c>
      <c r="K2045">
        <f t="shared" si="126"/>
        <v>-793</v>
      </c>
      <c r="L2045">
        <f t="shared" si="127"/>
        <v>-753</v>
      </c>
    </row>
    <row r="2046" spans="1:12" x14ac:dyDescent="0.35">
      <c r="A2046">
        <v>2059</v>
      </c>
      <c r="B2046" t="s">
        <v>5381</v>
      </c>
      <c r="C2046" t="s">
        <v>10730</v>
      </c>
      <c r="D2046" t="s">
        <v>5382</v>
      </c>
      <c r="E2046" t="s">
        <v>5378</v>
      </c>
      <c r="F2046" t="s">
        <v>2187</v>
      </c>
      <c r="G2046" t="s">
        <v>53</v>
      </c>
      <c r="I2046" t="str">
        <f t="shared" si="128"/>
        <v>793-753</v>
      </c>
      <c r="J2046" t="str">
        <f t="shared" si="125"/>
        <v>BC</v>
      </c>
      <c r="K2046">
        <f t="shared" si="126"/>
        <v>-793</v>
      </c>
      <c r="L2046">
        <f t="shared" si="127"/>
        <v>-753</v>
      </c>
    </row>
    <row r="2047" spans="1:12" x14ac:dyDescent="0.35">
      <c r="A2047">
        <v>2060</v>
      </c>
      <c r="B2047" t="s">
        <v>5383</v>
      </c>
      <c r="C2047" t="s">
        <v>10552</v>
      </c>
      <c r="D2047" t="s">
        <v>5384</v>
      </c>
      <c r="E2047" t="s">
        <v>5378</v>
      </c>
      <c r="F2047" t="s">
        <v>2187</v>
      </c>
      <c r="G2047" t="s">
        <v>5354</v>
      </c>
      <c r="I2047" t="str">
        <f t="shared" si="128"/>
        <v>793-753</v>
      </c>
      <c r="J2047" t="str">
        <f t="shared" si="125"/>
        <v>BC</v>
      </c>
      <c r="K2047">
        <f t="shared" si="126"/>
        <v>-793</v>
      </c>
      <c r="L2047">
        <f t="shared" si="127"/>
        <v>-753</v>
      </c>
    </row>
    <row r="2048" spans="1:12" x14ac:dyDescent="0.35">
      <c r="A2048">
        <v>2061</v>
      </c>
      <c r="B2048" t="s">
        <v>5421</v>
      </c>
      <c r="C2048" t="s">
        <v>10553</v>
      </c>
      <c r="D2048" t="s">
        <v>5422</v>
      </c>
      <c r="E2048" t="s">
        <v>5423</v>
      </c>
      <c r="F2048" t="s">
        <v>5424</v>
      </c>
      <c r="G2048" t="s">
        <v>2999</v>
      </c>
      <c r="I2048" t="str">
        <f t="shared" si="128"/>
        <v>740-700</v>
      </c>
      <c r="J2048" t="str">
        <f t="shared" si="125"/>
        <v>BC</v>
      </c>
      <c r="K2048">
        <f t="shared" si="126"/>
        <v>-740</v>
      </c>
      <c r="L2048">
        <f t="shared" si="127"/>
        <v>-700</v>
      </c>
    </row>
    <row r="2049" spans="1:12" x14ac:dyDescent="0.35">
      <c r="A2049">
        <v>2062</v>
      </c>
      <c r="B2049" t="s">
        <v>5425</v>
      </c>
      <c r="C2049" t="s">
        <v>11326</v>
      </c>
      <c r="D2049" t="s">
        <v>5426</v>
      </c>
      <c r="E2049" t="s">
        <v>5423</v>
      </c>
      <c r="F2049" t="s">
        <v>5424</v>
      </c>
      <c r="G2049" t="s">
        <v>53</v>
      </c>
      <c r="I2049" t="str">
        <f t="shared" si="128"/>
        <v>740-700</v>
      </c>
      <c r="J2049" t="str">
        <f t="shared" si="125"/>
        <v>BC</v>
      </c>
      <c r="K2049">
        <f t="shared" si="126"/>
        <v>-740</v>
      </c>
      <c r="L2049">
        <f t="shared" si="127"/>
        <v>-700</v>
      </c>
    </row>
    <row r="2050" spans="1:12" x14ac:dyDescent="0.35">
      <c r="A2050">
        <v>2063</v>
      </c>
      <c r="B2050" t="s">
        <v>5427</v>
      </c>
      <c r="C2050" t="s">
        <v>10536</v>
      </c>
      <c r="D2050" t="s">
        <v>5428</v>
      </c>
      <c r="E2050" t="s">
        <v>5423</v>
      </c>
      <c r="F2050" t="s">
        <v>5424</v>
      </c>
      <c r="G2050" t="s">
        <v>53</v>
      </c>
      <c r="I2050" t="str">
        <f t="shared" si="128"/>
        <v>740-700</v>
      </c>
      <c r="J2050" t="str">
        <f t="shared" ref="J2050:J2113" si="129">RIGHT(F2050, 2)</f>
        <v>BC</v>
      </c>
      <c r="K2050">
        <f t="shared" ref="K2050:K2113" si="130">IF(J2050="BC", 0-IF(ISERROR(FIND("-",I2050)),I2050,LEFT(I2050,FIND("-",I2050)-1)), IF(ISERROR(FIND("-",I2050)),I2050,LEFT(I2050,FIND("-",I2050)-1)))</f>
        <v>-740</v>
      </c>
      <c r="L2050">
        <f t="shared" ref="L2050:L2113" si="131">IF(J2050="BC", 0-IF(ISERROR(FIND("-",I2050)),I2050,RIGHT(I2050,FIND("-",I2050)-1)), IF(ISERROR(FIND("-",I2050)),I2050,RIGHT(I2050,FIND("-",I2050)-1)))</f>
        <v>-700</v>
      </c>
    </row>
    <row r="2051" spans="1:12" x14ac:dyDescent="0.35">
      <c r="A2051">
        <v>2064</v>
      </c>
      <c r="B2051" t="s">
        <v>5429</v>
      </c>
      <c r="C2051" t="s">
        <v>10554</v>
      </c>
      <c r="D2051" t="s">
        <v>5430</v>
      </c>
      <c r="E2051" t="s">
        <v>1787</v>
      </c>
      <c r="F2051" t="s">
        <v>5424</v>
      </c>
      <c r="G2051" t="s">
        <v>53</v>
      </c>
      <c r="I2051" t="str">
        <f t="shared" si="128"/>
        <v>740-700</v>
      </c>
      <c r="J2051" t="str">
        <f t="shared" si="129"/>
        <v>BC</v>
      </c>
      <c r="K2051">
        <f t="shared" si="130"/>
        <v>-740</v>
      </c>
      <c r="L2051">
        <f t="shared" si="131"/>
        <v>-700</v>
      </c>
    </row>
    <row r="2052" spans="1:12" x14ac:dyDescent="0.35">
      <c r="A2052">
        <v>2065</v>
      </c>
      <c r="B2052" t="s">
        <v>5431</v>
      </c>
      <c r="C2052" t="s">
        <v>11310</v>
      </c>
      <c r="D2052" t="s">
        <v>5432</v>
      </c>
      <c r="E2052" t="s">
        <v>5423</v>
      </c>
      <c r="F2052" t="s">
        <v>5424</v>
      </c>
      <c r="G2052" t="s">
        <v>2999</v>
      </c>
      <c r="I2052" t="str">
        <f t="shared" si="128"/>
        <v>740-700</v>
      </c>
      <c r="J2052" t="str">
        <f t="shared" si="129"/>
        <v>BC</v>
      </c>
      <c r="K2052">
        <f t="shared" si="130"/>
        <v>-740</v>
      </c>
      <c r="L2052">
        <f t="shared" si="131"/>
        <v>-700</v>
      </c>
    </row>
    <row r="2053" spans="1:12" x14ac:dyDescent="0.35">
      <c r="A2053">
        <v>2066</v>
      </c>
      <c r="B2053" t="s">
        <v>5433</v>
      </c>
      <c r="C2053" t="s">
        <v>11637</v>
      </c>
      <c r="D2053" t="s">
        <v>5434</v>
      </c>
      <c r="E2053" t="s">
        <v>2337</v>
      </c>
      <c r="F2053" t="s">
        <v>5424</v>
      </c>
      <c r="G2053" t="s">
        <v>53</v>
      </c>
      <c r="I2053" t="str">
        <f t="shared" si="128"/>
        <v>740-700</v>
      </c>
      <c r="J2053" t="str">
        <f t="shared" si="129"/>
        <v>BC</v>
      </c>
      <c r="K2053">
        <f t="shared" si="130"/>
        <v>-740</v>
      </c>
      <c r="L2053">
        <f t="shared" si="131"/>
        <v>-700</v>
      </c>
    </row>
    <row r="2054" spans="1:12" x14ac:dyDescent="0.35">
      <c r="A2054">
        <v>2067</v>
      </c>
      <c r="B2054" t="s">
        <v>5435</v>
      </c>
      <c r="C2054" t="s">
        <v>11242</v>
      </c>
      <c r="D2054" t="s">
        <v>5436</v>
      </c>
      <c r="E2054" t="s">
        <v>2337</v>
      </c>
      <c r="F2054" t="s">
        <v>5424</v>
      </c>
      <c r="G2054" t="s">
        <v>53</v>
      </c>
      <c r="I2054" t="str">
        <f t="shared" si="128"/>
        <v>740-700</v>
      </c>
      <c r="J2054" t="str">
        <f t="shared" si="129"/>
        <v>BC</v>
      </c>
      <c r="K2054">
        <f t="shared" si="130"/>
        <v>-740</v>
      </c>
      <c r="L2054">
        <f t="shared" si="131"/>
        <v>-700</v>
      </c>
    </row>
    <row r="2055" spans="1:12" x14ac:dyDescent="0.35">
      <c r="A2055">
        <v>2068</v>
      </c>
      <c r="B2055" t="s">
        <v>5437</v>
      </c>
      <c r="C2055" t="s">
        <v>10555</v>
      </c>
      <c r="D2055" t="s">
        <v>5438</v>
      </c>
      <c r="E2055" t="s">
        <v>5423</v>
      </c>
      <c r="F2055" t="s">
        <v>5424</v>
      </c>
      <c r="G2055" t="s">
        <v>2999</v>
      </c>
      <c r="I2055" t="str">
        <f t="shared" si="128"/>
        <v>740-700</v>
      </c>
      <c r="J2055" t="str">
        <f t="shared" si="129"/>
        <v>BC</v>
      </c>
      <c r="K2055">
        <f t="shared" si="130"/>
        <v>-740</v>
      </c>
      <c r="L2055">
        <f t="shared" si="131"/>
        <v>-700</v>
      </c>
    </row>
    <row r="2056" spans="1:12" x14ac:dyDescent="0.35">
      <c r="A2056">
        <v>2069</v>
      </c>
      <c r="B2056" t="s">
        <v>5439</v>
      </c>
      <c r="C2056" t="s">
        <v>10556</v>
      </c>
      <c r="D2056" t="s">
        <v>5440</v>
      </c>
      <c r="E2056" t="s">
        <v>5423</v>
      </c>
      <c r="F2056" t="s">
        <v>5424</v>
      </c>
      <c r="G2056" t="s">
        <v>53</v>
      </c>
      <c r="I2056" t="str">
        <f t="shared" si="128"/>
        <v>740-700</v>
      </c>
      <c r="J2056" t="str">
        <f t="shared" si="129"/>
        <v>BC</v>
      </c>
      <c r="K2056">
        <f t="shared" si="130"/>
        <v>-740</v>
      </c>
      <c r="L2056">
        <f t="shared" si="131"/>
        <v>-700</v>
      </c>
    </row>
    <row r="2057" spans="1:12" x14ac:dyDescent="0.35">
      <c r="A2057">
        <v>2070</v>
      </c>
      <c r="B2057" t="s">
        <v>5441</v>
      </c>
      <c r="C2057" t="s">
        <v>10557</v>
      </c>
      <c r="D2057" t="s">
        <v>5442</v>
      </c>
      <c r="E2057" t="s">
        <v>5423</v>
      </c>
      <c r="F2057" t="s">
        <v>5424</v>
      </c>
      <c r="G2057" t="s">
        <v>53</v>
      </c>
      <c r="I2057" t="str">
        <f t="shared" si="128"/>
        <v>740-700</v>
      </c>
      <c r="J2057" t="str">
        <f t="shared" si="129"/>
        <v>BC</v>
      </c>
      <c r="K2057">
        <f t="shared" si="130"/>
        <v>-740</v>
      </c>
      <c r="L2057">
        <f t="shared" si="131"/>
        <v>-700</v>
      </c>
    </row>
    <row r="2058" spans="1:12" x14ac:dyDescent="0.35">
      <c r="A2058">
        <v>2071</v>
      </c>
      <c r="B2058" t="s">
        <v>5443</v>
      </c>
      <c r="C2058" t="s">
        <v>10554</v>
      </c>
      <c r="D2058" t="s">
        <v>5444</v>
      </c>
      <c r="E2058" t="s">
        <v>1211</v>
      </c>
      <c r="F2058" t="s">
        <v>5424</v>
      </c>
      <c r="G2058" t="s">
        <v>53</v>
      </c>
      <c r="I2058" t="str">
        <f t="shared" si="128"/>
        <v>740-700</v>
      </c>
      <c r="J2058" t="str">
        <f t="shared" si="129"/>
        <v>BC</v>
      </c>
      <c r="K2058">
        <f t="shared" si="130"/>
        <v>-740</v>
      </c>
      <c r="L2058">
        <f t="shared" si="131"/>
        <v>-700</v>
      </c>
    </row>
    <row r="2059" spans="1:12" x14ac:dyDescent="0.35">
      <c r="A2059">
        <v>2072</v>
      </c>
      <c r="B2059" t="s">
        <v>5445</v>
      </c>
      <c r="C2059" t="s">
        <v>11220</v>
      </c>
      <c r="D2059" t="s">
        <v>5446</v>
      </c>
      <c r="E2059" t="s">
        <v>5306</v>
      </c>
      <c r="F2059" t="s">
        <v>5424</v>
      </c>
      <c r="G2059" t="s">
        <v>53</v>
      </c>
      <c r="I2059" t="str">
        <f t="shared" si="128"/>
        <v>740-700</v>
      </c>
      <c r="J2059" t="str">
        <f t="shared" si="129"/>
        <v>BC</v>
      </c>
      <c r="K2059">
        <f t="shared" si="130"/>
        <v>-740</v>
      </c>
      <c r="L2059">
        <f t="shared" si="131"/>
        <v>-700</v>
      </c>
    </row>
    <row r="2060" spans="1:12" x14ac:dyDescent="0.35">
      <c r="A2060">
        <v>2073</v>
      </c>
      <c r="B2060" t="s">
        <v>5447</v>
      </c>
      <c r="C2060" t="s">
        <v>11638</v>
      </c>
      <c r="D2060" t="s">
        <v>5448</v>
      </c>
      <c r="E2060" t="s">
        <v>5306</v>
      </c>
      <c r="F2060" t="s">
        <v>5424</v>
      </c>
      <c r="G2060" t="s">
        <v>53</v>
      </c>
      <c r="I2060" t="str">
        <f t="shared" si="128"/>
        <v>740-700</v>
      </c>
      <c r="J2060" t="str">
        <f t="shared" si="129"/>
        <v>BC</v>
      </c>
      <c r="K2060">
        <f t="shared" si="130"/>
        <v>-740</v>
      </c>
      <c r="L2060">
        <f t="shared" si="131"/>
        <v>-700</v>
      </c>
    </row>
    <row r="2061" spans="1:12" x14ac:dyDescent="0.35">
      <c r="A2061">
        <v>2074</v>
      </c>
      <c r="B2061" t="s">
        <v>5449</v>
      </c>
      <c r="C2061" t="s">
        <v>10506</v>
      </c>
      <c r="D2061" t="s">
        <v>5450</v>
      </c>
      <c r="E2061" t="s">
        <v>5306</v>
      </c>
      <c r="F2061" t="s">
        <v>5424</v>
      </c>
      <c r="G2061" t="s">
        <v>53</v>
      </c>
      <c r="I2061" t="str">
        <f t="shared" si="128"/>
        <v>740-700</v>
      </c>
      <c r="J2061" t="str">
        <f t="shared" si="129"/>
        <v>BC</v>
      </c>
      <c r="K2061">
        <f t="shared" si="130"/>
        <v>-740</v>
      </c>
      <c r="L2061">
        <f t="shared" si="131"/>
        <v>-700</v>
      </c>
    </row>
    <row r="2062" spans="1:12" x14ac:dyDescent="0.35">
      <c r="A2062">
        <v>2075</v>
      </c>
      <c r="B2062" t="s">
        <v>5451</v>
      </c>
      <c r="C2062" t="s">
        <v>10535</v>
      </c>
      <c r="D2062" t="s">
        <v>5450</v>
      </c>
      <c r="E2062" t="s">
        <v>170</v>
      </c>
      <c r="F2062" t="s">
        <v>5424</v>
      </c>
      <c r="G2062" t="s">
        <v>53</v>
      </c>
      <c r="I2062" t="str">
        <f t="shared" si="128"/>
        <v>740-700</v>
      </c>
      <c r="J2062" t="str">
        <f t="shared" si="129"/>
        <v>BC</v>
      </c>
      <c r="K2062">
        <f t="shared" si="130"/>
        <v>-740</v>
      </c>
      <c r="L2062">
        <f t="shared" si="131"/>
        <v>-700</v>
      </c>
    </row>
    <row r="2063" spans="1:12" x14ac:dyDescent="0.35">
      <c r="A2063">
        <v>2076</v>
      </c>
      <c r="B2063" t="s">
        <v>5452</v>
      </c>
      <c r="C2063" t="s">
        <v>11639</v>
      </c>
      <c r="D2063" t="s">
        <v>5453</v>
      </c>
      <c r="E2063" t="s">
        <v>2337</v>
      </c>
      <c r="F2063" t="s">
        <v>5424</v>
      </c>
      <c r="G2063" t="s">
        <v>53</v>
      </c>
      <c r="I2063" t="str">
        <f t="shared" si="128"/>
        <v>740-700</v>
      </c>
      <c r="J2063" t="str">
        <f t="shared" si="129"/>
        <v>BC</v>
      </c>
      <c r="K2063">
        <f t="shared" si="130"/>
        <v>-740</v>
      </c>
      <c r="L2063">
        <f t="shared" si="131"/>
        <v>-700</v>
      </c>
    </row>
    <row r="2064" spans="1:12" x14ac:dyDescent="0.35">
      <c r="A2064">
        <v>2077</v>
      </c>
      <c r="B2064" t="s">
        <v>5454</v>
      </c>
      <c r="C2064" t="s">
        <v>10073</v>
      </c>
      <c r="D2064" t="s">
        <v>5455</v>
      </c>
      <c r="E2064" t="s">
        <v>5316</v>
      </c>
      <c r="F2064" t="s">
        <v>5424</v>
      </c>
      <c r="G2064" t="s">
        <v>53</v>
      </c>
      <c r="I2064" t="str">
        <f t="shared" si="128"/>
        <v>740-700</v>
      </c>
      <c r="J2064" t="str">
        <f t="shared" si="129"/>
        <v>BC</v>
      </c>
      <c r="K2064">
        <f t="shared" si="130"/>
        <v>-740</v>
      </c>
      <c r="L2064">
        <f t="shared" si="131"/>
        <v>-700</v>
      </c>
    </row>
    <row r="2065" spans="1:12" x14ac:dyDescent="0.35">
      <c r="A2065">
        <v>2078</v>
      </c>
      <c r="B2065" t="s">
        <v>5456</v>
      </c>
      <c r="C2065" t="s">
        <v>11640</v>
      </c>
      <c r="D2065" t="s">
        <v>5457</v>
      </c>
      <c r="E2065" t="s">
        <v>1102</v>
      </c>
      <c r="F2065" t="s">
        <v>5424</v>
      </c>
      <c r="G2065" t="s">
        <v>53</v>
      </c>
      <c r="I2065" t="str">
        <f t="shared" si="128"/>
        <v>740-700</v>
      </c>
      <c r="J2065" t="str">
        <f t="shared" si="129"/>
        <v>BC</v>
      </c>
      <c r="K2065">
        <f t="shared" si="130"/>
        <v>-740</v>
      </c>
      <c r="L2065">
        <f t="shared" si="131"/>
        <v>-700</v>
      </c>
    </row>
    <row r="2066" spans="1:12" x14ac:dyDescent="0.35">
      <c r="A2066">
        <v>2079</v>
      </c>
      <c r="B2066" t="s">
        <v>5458</v>
      </c>
      <c r="C2066" t="s">
        <v>11641</v>
      </c>
      <c r="D2066" t="s">
        <v>5457</v>
      </c>
      <c r="E2066" t="s">
        <v>1102</v>
      </c>
      <c r="F2066" t="s">
        <v>5424</v>
      </c>
      <c r="G2066" t="s">
        <v>53</v>
      </c>
      <c r="I2066" t="str">
        <f t="shared" si="128"/>
        <v>740-700</v>
      </c>
      <c r="J2066" t="str">
        <f t="shared" si="129"/>
        <v>BC</v>
      </c>
      <c r="K2066">
        <f t="shared" si="130"/>
        <v>-740</v>
      </c>
      <c r="L2066">
        <f t="shared" si="131"/>
        <v>-700</v>
      </c>
    </row>
    <row r="2067" spans="1:12" x14ac:dyDescent="0.35">
      <c r="A2067">
        <v>2080</v>
      </c>
      <c r="B2067" t="s">
        <v>5459</v>
      </c>
      <c r="C2067" t="s">
        <v>11642</v>
      </c>
      <c r="D2067" t="s">
        <v>5460</v>
      </c>
      <c r="E2067" t="s">
        <v>2337</v>
      </c>
      <c r="F2067" t="s">
        <v>5424</v>
      </c>
      <c r="G2067" t="s">
        <v>53</v>
      </c>
      <c r="I2067" t="str">
        <f t="shared" si="128"/>
        <v>740-700</v>
      </c>
      <c r="J2067" t="str">
        <f t="shared" si="129"/>
        <v>BC</v>
      </c>
      <c r="K2067">
        <f t="shared" si="130"/>
        <v>-740</v>
      </c>
      <c r="L2067">
        <f t="shared" si="131"/>
        <v>-700</v>
      </c>
    </row>
    <row r="2068" spans="1:12" x14ac:dyDescent="0.35">
      <c r="A2068">
        <v>2081</v>
      </c>
      <c r="B2068" t="s">
        <v>5461</v>
      </c>
      <c r="C2068" t="s">
        <v>10558</v>
      </c>
      <c r="D2068" t="s">
        <v>5460</v>
      </c>
      <c r="E2068" t="s">
        <v>170</v>
      </c>
      <c r="F2068" t="s">
        <v>5424</v>
      </c>
      <c r="G2068" t="s">
        <v>53</v>
      </c>
      <c r="I2068" t="str">
        <f t="shared" si="128"/>
        <v>740-700</v>
      </c>
      <c r="J2068" t="str">
        <f t="shared" si="129"/>
        <v>BC</v>
      </c>
      <c r="K2068">
        <f t="shared" si="130"/>
        <v>-740</v>
      </c>
      <c r="L2068">
        <f t="shared" si="131"/>
        <v>-700</v>
      </c>
    </row>
    <row r="2069" spans="1:12" x14ac:dyDescent="0.35">
      <c r="A2069">
        <v>2082</v>
      </c>
      <c r="B2069" t="s">
        <v>5462</v>
      </c>
      <c r="C2069" t="s">
        <v>11643</v>
      </c>
      <c r="D2069" t="s">
        <v>5463</v>
      </c>
      <c r="E2069" t="s">
        <v>2337</v>
      </c>
      <c r="F2069" t="s">
        <v>5424</v>
      </c>
      <c r="G2069" t="s">
        <v>53</v>
      </c>
      <c r="I2069" t="str">
        <f t="shared" si="128"/>
        <v>740-700</v>
      </c>
      <c r="J2069" t="str">
        <f t="shared" si="129"/>
        <v>BC</v>
      </c>
      <c r="K2069">
        <f t="shared" si="130"/>
        <v>-740</v>
      </c>
      <c r="L2069">
        <f t="shared" si="131"/>
        <v>-700</v>
      </c>
    </row>
    <row r="2070" spans="1:12" x14ac:dyDescent="0.35">
      <c r="A2070">
        <v>2083</v>
      </c>
      <c r="B2070" t="s">
        <v>5464</v>
      </c>
      <c r="C2070" t="s">
        <v>10506</v>
      </c>
      <c r="D2070" t="s">
        <v>5465</v>
      </c>
      <c r="E2070" t="s">
        <v>5466</v>
      </c>
      <c r="F2070" t="s">
        <v>5424</v>
      </c>
      <c r="G2070" t="s">
        <v>53</v>
      </c>
      <c r="I2070" t="str">
        <f t="shared" si="128"/>
        <v>740-700</v>
      </c>
      <c r="J2070" t="str">
        <f t="shared" si="129"/>
        <v>BC</v>
      </c>
      <c r="K2070">
        <f t="shared" si="130"/>
        <v>-740</v>
      </c>
      <c r="L2070">
        <f t="shared" si="131"/>
        <v>-700</v>
      </c>
    </row>
    <row r="2071" spans="1:12" x14ac:dyDescent="0.35">
      <c r="A2071">
        <v>2084</v>
      </c>
      <c r="B2071" t="s">
        <v>5467</v>
      </c>
      <c r="C2071" t="s">
        <v>10553</v>
      </c>
      <c r="D2071" t="s">
        <v>5468</v>
      </c>
      <c r="E2071" t="s">
        <v>5423</v>
      </c>
      <c r="F2071" t="s">
        <v>5424</v>
      </c>
      <c r="G2071" t="s">
        <v>53</v>
      </c>
      <c r="I2071" t="str">
        <f t="shared" si="128"/>
        <v>740-700</v>
      </c>
      <c r="J2071" t="str">
        <f t="shared" si="129"/>
        <v>BC</v>
      </c>
      <c r="K2071">
        <f t="shared" si="130"/>
        <v>-740</v>
      </c>
      <c r="L2071">
        <f t="shared" si="131"/>
        <v>-700</v>
      </c>
    </row>
    <row r="2072" spans="1:12" x14ac:dyDescent="0.35">
      <c r="A2072">
        <v>2085</v>
      </c>
      <c r="B2072" t="s">
        <v>5469</v>
      </c>
      <c r="C2072" t="s">
        <v>10727</v>
      </c>
      <c r="D2072" t="s">
        <v>5470</v>
      </c>
      <c r="E2072" t="s">
        <v>5471</v>
      </c>
      <c r="F2072" t="s">
        <v>5424</v>
      </c>
      <c r="G2072" t="s">
        <v>53</v>
      </c>
      <c r="I2072" t="str">
        <f t="shared" si="128"/>
        <v>740-700</v>
      </c>
      <c r="J2072" t="str">
        <f t="shared" si="129"/>
        <v>BC</v>
      </c>
      <c r="K2072">
        <f t="shared" si="130"/>
        <v>-740</v>
      </c>
      <c r="L2072">
        <f t="shared" si="131"/>
        <v>-700</v>
      </c>
    </row>
    <row r="2073" spans="1:12" x14ac:dyDescent="0.35">
      <c r="A2073">
        <v>2086</v>
      </c>
      <c r="B2073" t="s">
        <v>5472</v>
      </c>
      <c r="C2073" t="s">
        <v>10727</v>
      </c>
      <c r="D2073" t="s">
        <v>5473</v>
      </c>
      <c r="E2073" t="s">
        <v>647</v>
      </c>
      <c r="F2073" t="s">
        <v>5424</v>
      </c>
      <c r="G2073" t="s">
        <v>53</v>
      </c>
      <c r="I2073" t="str">
        <f t="shared" si="128"/>
        <v>740-700</v>
      </c>
      <c r="J2073" t="str">
        <f t="shared" si="129"/>
        <v>BC</v>
      </c>
      <c r="K2073">
        <f t="shared" si="130"/>
        <v>-740</v>
      </c>
      <c r="L2073">
        <f t="shared" si="131"/>
        <v>-700</v>
      </c>
    </row>
    <row r="2074" spans="1:12" x14ac:dyDescent="0.35">
      <c r="A2074">
        <v>2087</v>
      </c>
      <c r="B2074" t="s">
        <v>5474</v>
      </c>
      <c r="C2074" t="s">
        <v>11644</v>
      </c>
      <c r="D2074" t="s">
        <v>5475</v>
      </c>
      <c r="E2074" t="s">
        <v>5423</v>
      </c>
      <c r="F2074" t="s">
        <v>5424</v>
      </c>
      <c r="G2074" t="s">
        <v>53</v>
      </c>
      <c r="I2074" t="str">
        <f t="shared" si="128"/>
        <v>740-700</v>
      </c>
      <c r="J2074" t="str">
        <f t="shared" si="129"/>
        <v>BC</v>
      </c>
      <c r="K2074">
        <f t="shared" si="130"/>
        <v>-740</v>
      </c>
      <c r="L2074">
        <f t="shared" si="131"/>
        <v>-700</v>
      </c>
    </row>
    <row r="2075" spans="1:12" x14ac:dyDescent="0.35">
      <c r="A2075">
        <v>2088</v>
      </c>
      <c r="B2075" t="s">
        <v>5476</v>
      </c>
      <c r="C2075" t="s">
        <v>11258</v>
      </c>
      <c r="D2075" t="s">
        <v>5477</v>
      </c>
      <c r="E2075" t="s">
        <v>5423</v>
      </c>
      <c r="F2075" t="s">
        <v>5424</v>
      </c>
      <c r="G2075" t="s">
        <v>53</v>
      </c>
      <c r="I2075" t="str">
        <f t="shared" si="128"/>
        <v>740-700</v>
      </c>
      <c r="J2075" t="str">
        <f t="shared" si="129"/>
        <v>BC</v>
      </c>
      <c r="K2075">
        <f t="shared" si="130"/>
        <v>-740</v>
      </c>
      <c r="L2075">
        <f t="shared" si="131"/>
        <v>-700</v>
      </c>
    </row>
    <row r="2076" spans="1:12" x14ac:dyDescent="0.35">
      <c r="A2076">
        <v>2089</v>
      </c>
      <c r="B2076" t="s">
        <v>5478</v>
      </c>
      <c r="C2076" t="s">
        <v>10094</v>
      </c>
      <c r="D2076" t="s">
        <v>5479</v>
      </c>
      <c r="E2076" t="s">
        <v>5466</v>
      </c>
      <c r="F2076" t="s">
        <v>5424</v>
      </c>
      <c r="G2076" t="s">
        <v>53</v>
      </c>
      <c r="I2076" t="str">
        <f t="shared" si="128"/>
        <v>740-700</v>
      </c>
      <c r="J2076" t="str">
        <f t="shared" si="129"/>
        <v>BC</v>
      </c>
      <c r="K2076">
        <f t="shared" si="130"/>
        <v>-740</v>
      </c>
      <c r="L2076">
        <f t="shared" si="131"/>
        <v>-700</v>
      </c>
    </row>
    <row r="2077" spans="1:12" x14ac:dyDescent="0.35">
      <c r="A2077">
        <v>2090</v>
      </c>
      <c r="B2077" t="s">
        <v>5480</v>
      </c>
      <c r="C2077" t="s">
        <v>11645</v>
      </c>
      <c r="D2077" t="s">
        <v>5481</v>
      </c>
      <c r="E2077" t="s">
        <v>2337</v>
      </c>
      <c r="F2077" t="s">
        <v>5424</v>
      </c>
      <c r="G2077" t="s">
        <v>53</v>
      </c>
      <c r="I2077" t="str">
        <f t="shared" si="128"/>
        <v>740-700</v>
      </c>
      <c r="J2077" t="str">
        <f t="shared" si="129"/>
        <v>BC</v>
      </c>
      <c r="K2077">
        <f t="shared" si="130"/>
        <v>-740</v>
      </c>
      <c r="L2077">
        <f t="shared" si="131"/>
        <v>-700</v>
      </c>
    </row>
    <row r="2078" spans="1:12" x14ac:dyDescent="0.35">
      <c r="A2078">
        <v>2091</v>
      </c>
      <c r="B2078" t="s">
        <v>5482</v>
      </c>
      <c r="C2078" t="s">
        <v>11646</v>
      </c>
      <c r="D2078" t="s">
        <v>5483</v>
      </c>
      <c r="E2078" t="s">
        <v>5466</v>
      </c>
      <c r="F2078" t="s">
        <v>5424</v>
      </c>
      <c r="G2078" t="s">
        <v>53</v>
      </c>
      <c r="I2078" t="str">
        <f t="shared" si="128"/>
        <v>740-700</v>
      </c>
      <c r="J2078" t="str">
        <f t="shared" si="129"/>
        <v>BC</v>
      </c>
      <c r="K2078">
        <f t="shared" si="130"/>
        <v>-740</v>
      </c>
      <c r="L2078">
        <f t="shared" si="131"/>
        <v>-700</v>
      </c>
    </row>
    <row r="2079" spans="1:12" x14ac:dyDescent="0.35">
      <c r="A2079">
        <v>2092</v>
      </c>
      <c r="B2079" t="s">
        <v>5484</v>
      </c>
      <c r="C2079" t="s">
        <v>10559</v>
      </c>
      <c r="D2079" t="s">
        <v>5485</v>
      </c>
      <c r="E2079" t="s">
        <v>5466</v>
      </c>
      <c r="F2079" t="s">
        <v>5424</v>
      </c>
      <c r="G2079" t="s">
        <v>53</v>
      </c>
      <c r="I2079" t="str">
        <f t="shared" si="128"/>
        <v>740-700</v>
      </c>
      <c r="J2079" t="str">
        <f t="shared" si="129"/>
        <v>BC</v>
      </c>
      <c r="K2079">
        <f t="shared" si="130"/>
        <v>-740</v>
      </c>
      <c r="L2079">
        <f t="shared" si="131"/>
        <v>-700</v>
      </c>
    </row>
    <row r="2080" spans="1:12" x14ac:dyDescent="0.35">
      <c r="A2080">
        <v>2093</v>
      </c>
      <c r="B2080" t="s">
        <v>5486</v>
      </c>
      <c r="C2080" t="s">
        <v>10560</v>
      </c>
      <c r="D2080" t="s">
        <v>5487</v>
      </c>
      <c r="E2080" t="s">
        <v>2337</v>
      </c>
      <c r="F2080" t="s">
        <v>5424</v>
      </c>
      <c r="G2080" t="s">
        <v>53</v>
      </c>
      <c r="I2080" t="str">
        <f t="shared" si="128"/>
        <v>740-700</v>
      </c>
      <c r="J2080" t="str">
        <f t="shared" si="129"/>
        <v>BC</v>
      </c>
      <c r="K2080">
        <f t="shared" si="130"/>
        <v>-740</v>
      </c>
      <c r="L2080">
        <f t="shared" si="131"/>
        <v>-700</v>
      </c>
    </row>
    <row r="2081" spans="1:12" x14ac:dyDescent="0.35">
      <c r="A2081">
        <v>2094</v>
      </c>
      <c r="B2081" t="s">
        <v>5488</v>
      </c>
      <c r="C2081" t="s">
        <v>11647</v>
      </c>
      <c r="D2081" t="s">
        <v>5489</v>
      </c>
      <c r="E2081" t="s">
        <v>2337</v>
      </c>
      <c r="F2081" t="s">
        <v>5424</v>
      </c>
      <c r="G2081" t="s">
        <v>53</v>
      </c>
      <c r="I2081" t="str">
        <f t="shared" si="128"/>
        <v>740-700</v>
      </c>
      <c r="J2081" t="str">
        <f t="shared" si="129"/>
        <v>BC</v>
      </c>
      <c r="K2081">
        <f t="shared" si="130"/>
        <v>-740</v>
      </c>
      <c r="L2081">
        <f t="shared" si="131"/>
        <v>-700</v>
      </c>
    </row>
    <row r="2082" spans="1:12" x14ac:dyDescent="0.35">
      <c r="A2082">
        <v>2095</v>
      </c>
      <c r="B2082" t="s">
        <v>5490</v>
      </c>
      <c r="C2082" t="s">
        <v>11648</v>
      </c>
      <c r="D2082" t="s">
        <v>5491</v>
      </c>
      <c r="E2082" t="s">
        <v>2337</v>
      </c>
      <c r="F2082" t="s">
        <v>5424</v>
      </c>
      <c r="G2082" t="s">
        <v>53</v>
      </c>
      <c r="I2082" t="str">
        <f t="shared" si="128"/>
        <v>740-700</v>
      </c>
      <c r="J2082" t="str">
        <f t="shared" si="129"/>
        <v>BC</v>
      </c>
      <c r="K2082">
        <f t="shared" si="130"/>
        <v>-740</v>
      </c>
      <c r="L2082">
        <f t="shared" si="131"/>
        <v>-700</v>
      </c>
    </row>
    <row r="2083" spans="1:12" x14ac:dyDescent="0.35">
      <c r="A2083">
        <v>2096</v>
      </c>
      <c r="B2083" t="s">
        <v>5525</v>
      </c>
      <c r="C2083" t="s">
        <v>11649</v>
      </c>
      <c r="D2083" t="s">
        <v>5526</v>
      </c>
      <c r="E2083" t="s">
        <v>5527</v>
      </c>
      <c r="F2083" t="s">
        <v>5528</v>
      </c>
      <c r="G2083" t="s">
        <v>5529</v>
      </c>
      <c r="I2083" t="str">
        <f t="shared" si="128"/>
        <v>663-612</v>
      </c>
      <c r="J2083" t="str">
        <f t="shared" si="129"/>
        <v>BC</v>
      </c>
      <c r="K2083">
        <f t="shared" si="130"/>
        <v>-663</v>
      </c>
      <c r="L2083">
        <f t="shared" si="131"/>
        <v>-612</v>
      </c>
    </row>
    <row r="2084" spans="1:12" x14ac:dyDescent="0.35">
      <c r="A2084">
        <v>2097</v>
      </c>
      <c r="B2084" t="s">
        <v>5530</v>
      </c>
      <c r="C2084" t="s">
        <v>11487</v>
      </c>
      <c r="D2084" t="s">
        <v>5531</v>
      </c>
      <c r="E2084" t="s">
        <v>5532</v>
      </c>
      <c r="F2084" t="s">
        <v>5528</v>
      </c>
      <c r="G2084" t="s">
        <v>53</v>
      </c>
      <c r="I2084" t="str">
        <f t="shared" si="128"/>
        <v>663-612</v>
      </c>
      <c r="J2084" t="str">
        <f t="shared" si="129"/>
        <v>BC</v>
      </c>
      <c r="K2084">
        <f t="shared" si="130"/>
        <v>-663</v>
      </c>
      <c r="L2084">
        <f t="shared" si="131"/>
        <v>-612</v>
      </c>
    </row>
    <row r="2085" spans="1:12" x14ac:dyDescent="0.35">
      <c r="A2085">
        <v>2098</v>
      </c>
      <c r="B2085" t="s">
        <v>5533</v>
      </c>
      <c r="C2085" t="s">
        <v>10561</v>
      </c>
      <c r="D2085" t="s">
        <v>5534</v>
      </c>
      <c r="E2085" t="s">
        <v>1750</v>
      </c>
      <c r="F2085" t="s">
        <v>5528</v>
      </c>
      <c r="G2085" t="s">
        <v>5529</v>
      </c>
      <c r="I2085" t="str">
        <f t="shared" si="128"/>
        <v>663-612</v>
      </c>
      <c r="J2085" t="str">
        <f t="shared" si="129"/>
        <v>BC</v>
      </c>
      <c r="K2085">
        <f t="shared" si="130"/>
        <v>-663</v>
      </c>
      <c r="L2085">
        <f t="shared" si="131"/>
        <v>-612</v>
      </c>
    </row>
    <row r="2086" spans="1:12" x14ac:dyDescent="0.35">
      <c r="A2086">
        <v>2099</v>
      </c>
      <c r="B2086" t="s">
        <v>5535</v>
      </c>
      <c r="C2086" t="s">
        <v>10037</v>
      </c>
      <c r="D2086" t="s">
        <v>5536</v>
      </c>
      <c r="E2086" t="s">
        <v>5373</v>
      </c>
      <c r="F2086" t="s">
        <v>5528</v>
      </c>
      <c r="G2086" t="s">
        <v>5529</v>
      </c>
      <c r="I2086" t="str">
        <f t="shared" si="128"/>
        <v>663-612</v>
      </c>
      <c r="J2086" t="str">
        <f t="shared" si="129"/>
        <v>BC</v>
      </c>
      <c r="K2086">
        <f t="shared" si="130"/>
        <v>-663</v>
      </c>
      <c r="L2086">
        <f t="shared" si="131"/>
        <v>-612</v>
      </c>
    </row>
    <row r="2087" spans="1:12" x14ac:dyDescent="0.35">
      <c r="A2087">
        <v>2100</v>
      </c>
      <c r="B2087" t="s">
        <v>5537</v>
      </c>
      <c r="C2087" t="s">
        <v>11242</v>
      </c>
      <c r="D2087" t="s">
        <v>5538</v>
      </c>
      <c r="E2087" t="s">
        <v>5539</v>
      </c>
      <c r="F2087" t="s">
        <v>5528</v>
      </c>
      <c r="G2087" t="s">
        <v>5529</v>
      </c>
      <c r="I2087" t="str">
        <f t="shared" si="128"/>
        <v>663-612</v>
      </c>
      <c r="J2087" t="str">
        <f t="shared" si="129"/>
        <v>BC</v>
      </c>
      <c r="K2087">
        <f t="shared" si="130"/>
        <v>-663</v>
      </c>
      <c r="L2087">
        <f t="shared" si="131"/>
        <v>-612</v>
      </c>
    </row>
    <row r="2088" spans="1:12" x14ac:dyDescent="0.35">
      <c r="A2088">
        <v>2101</v>
      </c>
      <c r="B2088" t="s">
        <v>5540</v>
      </c>
      <c r="C2088" t="s">
        <v>11650</v>
      </c>
      <c r="D2088" t="s">
        <v>5541</v>
      </c>
      <c r="E2088" t="s">
        <v>5373</v>
      </c>
      <c r="F2088" t="s">
        <v>5528</v>
      </c>
      <c r="G2088" t="s">
        <v>5529</v>
      </c>
      <c r="I2088" t="str">
        <f t="shared" si="128"/>
        <v>663-612</v>
      </c>
      <c r="J2088" t="str">
        <f t="shared" si="129"/>
        <v>BC</v>
      </c>
      <c r="K2088">
        <f t="shared" si="130"/>
        <v>-663</v>
      </c>
      <c r="L2088">
        <f t="shared" si="131"/>
        <v>-612</v>
      </c>
    </row>
    <row r="2089" spans="1:12" x14ac:dyDescent="0.35">
      <c r="A2089">
        <v>2102</v>
      </c>
      <c r="B2089" t="s">
        <v>5542</v>
      </c>
      <c r="C2089" t="s">
        <v>10073</v>
      </c>
      <c r="D2089" t="s">
        <v>5543</v>
      </c>
      <c r="E2089" t="s">
        <v>1750</v>
      </c>
      <c r="F2089" t="s">
        <v>5528</v>
      </c>
      <c r="G2089" t="s">
        <v>5529</v>
      </c>
      <c r="I2089" t="str">
        <f t="shared" si="128"/>
        <v>663-612</v>
      </c>
      <c r="J2089" t="str">
        <f t="shared" si="129"/>
        <v>BC</v>
      </c>
      <c r="K2089">
        <f t="shared" si="130"/>
        <v>-663</v>
      </c>
      <c r="L2089">
        <f t="shared" si="131"/>
        <v>-612</v>
      </c>
    </row>
    <row r="2090" spans="1:12" x14ac:dyDescent="0.35">
      <c r="A2090">
        <v>2103</v>
      </c>
      <c r="B2090" t="s">
        <v>5544</v>
      </c>
      <c r="C2090" t="s">
        <v>10562</v>
      </c>
      <c r="D2090" t="s">
        <v>5545</v>
      </c>
      <c r="E2090" t="s">
        <v>5373</v>
      </c>
      <c r="F2090" t="s">
        <v>5528</v>
      </c>
      <c r="G2090" t="s">
        <v>5529</v>
      </c>
      <c r="I2090" t="str">
        <f t="shared" si="128"/>
        <v>663-612</v>
      </c>
      <c r="J2090" t="str">
        <f t="shared" si="129"/>
        <v>BC</v>
      </c>
      <c r="K2090">
        <f t="shared" si="130"/>
        <v>-663</v>
      </c>
      <c r="L2090">
        <f t="shared" si="131"/>
        <v>-612</v>
      </c>
    </row>
    <row r="2091" spans="1:12" x14ac:dyDescent="0.35">
      <c r="A2091">
        <v>2104</v>
      </c>
      <c r="B2091" t="s">
        <v>5546</v>
      </c>
      <c r="C2091" t="s">
        <v>11630</v>
      </c>
      <c r="D2091" t="s">
        <v>5547</v>
      </c>
      <c r="E2091" t="s">
        <v>5373</v>
      </c>
      <c r="F2091" t="s">
        <v>5528</v>
      </c>
      <c r="G2091" t="s">
        <v>5529</v>
      </c>
      <c r="I2091" t="str">
        <f t="shared" si="128"/>
        <v>663-612</v>
      </c>
      <c r="J2091" t="str">
        <f t="shared" si="129"/>
        <v>BC</v>
      </c>
      <c r="K2091">
        <f t="shared" si="130"/>
        <v>-663</v>
      </c>
      <c r="L2091">
        <f t="shared" si="131"/>
        <v>-612</v>
      </c>
    </row>
    <row r="2092" spans="1:12" x14ac:dyDescent="0.35">
      <c r="A2092">
        <v>2105</v>
      </c>
      <c r="B2092" t="s">
        <v>5548</v>
      </c>
      <c r="C2092" t="s">
        <v>10100</v>
      </c>
      <c r="D2092" t="s">
        <v>5549</v>
      </c>
      <c r="E2092" t="s">
        <v>5373</v>
      </c>
      <c r="F2092" t="s">
        <v>5528</v>
      </c>
      <c r="G2092" t="s">
        <v>5529</v>
      </c>
      <c r="I2092" t="str">
        <f t="shared" si="128"/>
        <v>663-612</v>
      </c>
      <c r="J2092" t="str">
        <f t="shared" si="129"/>
        <v>BC</v>
      </c>
      <c r="K2092">
        <f t="shared" si="130"/>
        <v>-663</v>
      </c>
      <c r="L2092">
        <f t="shared" si="131"/>
        <v>-612</v>
      </c>
    </row>
    <row r="2093" spans="1:12" x14ac:dyDescent="0.35">
      <c r="A2093">
        <v>2106</v>
      </c>
      <c r="B2093" t="s">
        <v>5550</v>
      </c>
      <c r="C2093" t="s">
        <v>10563</v>
      </c>
      <c r="D2093" t="s">
        <v>5551</v>
      </c>
      <c r="E2093" t="s">
        <v>5373</v>
      </c>
      <c r="F2093" t="s">
        <v>5528</v>
      </c>
      <c r="G2093" t="s">
        <v>5529</v>
      </c>
      <c r="I2093" t="str">
        <f t="shared" si="128"/>
        <v>663-612</v>
      </c>
      <c r="J2093" t="str">
        <f t="shared" si="129"/>
        <v>BC</v>
      </c>
      <c r="K2093">
        <f t="shared" si="130"/>
        <v>-663</v>
      </c>
      <c r="L2093">
        <f t="shared" si="131"/>
        <v>-612</v>
      </c>
    </row>
    <row r="2094" spans="1:12" x14ac:dyDescent="0.35">
      <c r="A2094">
        <v>2107</v>
      </c>
      <c r="B2094" t="s">
        <v>5552</v>
      </c>
      <c r="C2094" t="s">
        <v>11630</v>
      </c>
      <c r="D2094" t="s">
        <v>5553</v>
      </c>
      <c r="E2094" t="s">
        <v>5373</v>
      </c>
      <c r="F2094" t="s">
        <v>5528</v>
      </c>
      <c r="G2094" t="s">
        <v>5529</v>
      </c>
      <c r="I2094" t="str">
        <f t="shared" si="128"/>
        <v>663-612</v>
      </c>
      <c r="J2094" t="str">
        <f t="shared" si="129"/>
        <v>BC</v>
      </c>
      <c r="K2094">
        <f t="shared" si="130"/>
        <v>-663</v>
      </c>
      <c r="L2094">
        <f t="shared" si="131"/>
        <v>-612</v>
      </c>
    </row>
    <row r="2095" spans="1:12" x14ac:dyDescent="0.35">
      <c r="A2095">
        <v>2108</v>
      </c>
      <c r="B2095" t="s">
        <v>5554</v>
      </c>
      <c r="C2095" t="s">
        <v>10564</v>
      </c>
      <c r="D2095" t="s">
        <v>5555</v>
      </c>
      <c r="E2095" t="s">
        <v>5556</v>
      </c>
      <c r="F2095" t="s">
        <v>5528</v>
      </c>
      <c r="G2095" t="s">
        <v>5529</v>
      </c>
      <c r="I2095" t="str">
        <f t="shared" si="128"/>
        <v>663-612</v>
      </c>
      <c r="J2095" t="str">
        <f t="shared" si="129"/>
        <v>BC</v>
      </c>
      <c r="K2095">
        <f t="shared" si="130"/>
        <v>-663</v>
      </c>
      <c r="L2095">
        <f t="shared" si="131"/>
        <v>-612</v>
      </c>
    </row>
    <row r="2096" spans="1:12" x14ac:dyDescent="0.35">
      <c r="A2096">
        <v>2109</v>
      </c>
      <c r="B2096" t="s">
        <v>5557</v>
      </c>
      <c r="C2096" t="s">
        <v>11651</v>
      </c>
      <c r="D2096" t="s">
        <v>5558</v>
      </c>
      <c r="E2096" t="s">
        <v>5373</v>
      </c>
      <c r="F2096" t="s">
        <v>5528</v>
      </c>
      <c r="G2096" t="s">
        <v>5529</v>
      </c>
      <c r="I2096" t="str">
        <f t="shared" si="128"/>
        <v>663-612</v>
      </c>
      <c r="J2096" t="str">
        <f t="shared" si="129"/>
        <v>BC</v>
      </c>
      <c r="K2096">
        <f t="shared" si="130"/>
        <v>-663</v>
      </c>
      <c r="L2096">
        <f t="shared" si="131"/>
        <v>-612</v>
      </c>
    </row>
    <row r="2097" spans="1:12" x14ac:dyDescent="0.35">
      <c r="A2097">
        <v>2110</v>
      </c>
      <c r="B2097" t="s">
        <v>5559</v>
      </c>
      <c r="C2097" t="s">
        <v>11652</v>
      </c>
      <c r="D2097" t="s">
        <v>5560</v>
      </c>
      <c r="E2097" t="s">
        <v>5373</v>
      </c>
      <c r="F2097" t="s">
        <v>5528</v>
      </c>
      <c r="G2097" t="s">
        <v>5529</v>
      </c>
      <c r="I2097" t="str">
        <f t="shared" si="128"/>
        <v>663-612</v>
      </c>
      <c r="J2097" t="str">
        <f t="shared" si="129"/>
        <v>BC</v>
      </c>
      <c r="K2097">
        <f t="shared" si="130"/>
        <v>-663</v>
      </c>
      <c r="L2097">
        <f t="shared" si="131"/>
        <v>-612</v>
      </c>
    </row>
    <row r="2098" spans="1:12" x14ac:dyDescent="0.35">
      <c r="A2098">
        <v>2111</v>
      </c>
      <c r="B2098" t="s">
        <v>5650</v>
      </c>
      <c r="C2098" t="s">
        <v>10565</v>
      </c>
      <c r="D2098" t="s">
        <v>5649</v>
      </c>
      <c r="E2098" t="s">
        <v>1750</v>
      </c>
      <c r="F2098" t="s">
        <v>5596</v>
      </c>
      <c r="G2098" t="s">
        <v>5599</v>
      </c>
      <c r="I2098" t="str">
        <f t="shared" si="128"/>
        <v>609-605</v>
      </c>
      <c r="J2098" t="str">
        <f t="shared" si="129"/>
        <v>BC</v>
      </c>
      <c r="K2098">
        <f t="shared" si="130"/>
        <v>-609</v>
      </c>
      <c r="L2098">
        <f t="shared" si="131"/>
        <v>-605</v>
      </c>
    </row>
    <row r="2099" spans="1:12" x14ac:dyDescent="0.35">
      <c r="A2099">
        <v>2112</v>
      </c>
      <c r="B2099" t="s">
        <v>5648</v>
      </c>
      <c r="C2099" t="s">
        <v>11630</v>
      </c>
      <c r="D2099" t="s">
        <v>5647</v>
      </c>
      <c r="E2099" t="s">
        <v>1750</v>
      </c>
      <c r="F2099" t="s">
        <v>5596</v>
      </c>
      <c r="G2099" t="s">
        <v>5599</v>
      </c>
      <c r="I2099" t="str">
        <f t="shared" si="128"/>
        <v>609-605</v>
      </c>
      <c r="J2099" t="str">
        <f t="shared" si="129"/>
        <v>BC</v>
      </c>
      <c r="K2099">
        <f t="shared" si="130"/>
        <v>-609</v>
      </c>
      <c r="L2099">
        <f t="shared" si="131"/>
        <v>-605</v>
      </c>
    </row>
    <row r="2100" spans="1:12" x14ac:dyDescent="0.35">
      <c r="A2100">
        <v>2113</v>
      </c>
      <c r="B2100" t="s">
        <v>5646</v>
      </c>
      <c r="C2100" t="s">
        <v>10565</v>
      </c>
      <c r="D2100" t="s">
        <v>5645</v>
      </c>
      <c r="E2100" t="s">
        <v>1750</v>
      </c>
      <c r="F2100" t="s">
        <v>5596</v>
      </c>
      <c r="G2100" t="s">
        <v>5599</v>
      </c>
      <c r="I2100" t="str">
        <f t="shared" ref="I2100:I2163" si="132">SUBSTITUTE(SUBSTITUTE(SUBSTITUTE(F2100,"c. ","")," BC","")," AD","")</f>
        <v>609-605</v>
      </c>
      <c r="J2100" t="str">
        <f t="shared" si="129"/>
        <v>BC</v>
      </c>
      <c r="K2100">
        <f t="shared" si="130"/>
        <v>-609</v>
      </c>
      <c r="L2100">
        <f t="shared" si="131"/>
        <v>-605</v>
      </c>
    </row>
    <row r="2101" spans="1:12" x14ac:dyDescent="0.35">
      <c r="A2101">
        <v>2114</v>
      </c>
      <c r="B2101" t="s">
        <v>5644</v>
      </c>
      <c r="C2101" t="s">
        <v>11653</v>
      </c>
      <c r="D2101" t="s">
        <v>5643</v>
      </c>
      <c r="E2101" t="s">
        <v>1750</v>
      </c>
      <c r="F2101" t="s">
        <v>5596</v>
      </c>
      <c r="G2101" t="s">
        <v>5599</v>
      </c>
      <c r="I2101" t="str">
        <f t="shared" si="132"/>
        <v>609-605</v>
      </c>
      <c r="J2101" t="str">
        <f t="shared" si="129"/>
        <v>BC</v>
      </c>
      <c r="K2101">
        <f t="shared" si="130"/>
        <v>-609</v>
      </c>
      <c r="L2101">
        <f t="shared" si="131"/>
        <v>-605</v>
      </c>
    </row>
    <row r="2102" spans="1:12" x14ac:dyDescent="0.35">
      <c r="A2102">
        <v>2115</v>
      </c>
      <c r="B2102" t="s">
        <v>5642</v>
      </c>
      <c r="C2102" t="s">
        <v>10566</v>
      </c>
      <c r="D2102" t="s">
        <v>5641</v>
      </c>
      <c r="E2102" t="s">
        <v>1750</v>
      </c>
      <c r="F2102" t="s">
        <v>5596</v>
      </c>
      <c r="G2102" t="s">
        <v>5599</v>
      </c>
      <c r="I2102" t="str">
        <f t="shared" si="132"/>
        <v>609-605</v>
      </c>
      <c r="J2102" t="str">
        <f t="shared" si="129"/>
        <v>BC</v>
      </c>
      <c r="K2102">
        <f t="shared" si="130"/>
        <v>-609</v>
      </c>
      <c r="L2102">
        <f t="shared" si="131"/>
        <v>-605</v>
      </c>
    </row>
    <row r="2103" spans="1:12" x14ac:dyDescent="0.35">
      <c r="A2103">
        <v>2116</v>
      </c>
      <c r="B2103" t="s">
        <v>5640</v>
      </c>
      <c r="C2103" t="s">
        <v>10567</v>
      </c>
      <c r="D2103" t="s">
        <v>5639</v>
      </c>
      <c r="E2103" t="s">
        <v>1750</v>
      </c>
      <c r="F2103" t="s">
        <v>5596</v>
      </c>
      <c r="G2103" t="s">
        <v>5599</v>
      </c>
      <c r="I2103" t="str">
        <f t="shared" si="132"/>
        <v>609-605</v>
      </c>
      <c r="J2103" t="str">
        <f t="shared" si="129"/>
        <v>BC</v>
      </c>
      <c r="K2103">
        <f t="shared" si="130"/>
        <v>-609</v>
      </c>
      <c r="L2103">
        <f t="shared" si="131"/>
        <v>-605</v>
      </c>
    </row>
    <row r="2104" spans="1:12" x14ac:dyDescent="0.35">
      <c r="A2104">
        <v>2117</v>
      </c>
      <c r="B2104" t="s">
        <v>5638</v>
      </c>
      <c r="C2104" t="s">
        <v>10568</v>
      </c>
      <c r="D2104" t="s">
        <v>5637</v>
      </c>
      <c r="E2104" t="s">
        <v>1750</v>
      </c>
      <c r="F2104" t="s">
        <v>5596</v>
      </c>
      <c r="G2104" t="s">
        <v>5599</v>
      </c>
      <c r="I2104" t="str">
        <f t="shared" si="132"/>
        <v>609-605</v>
      </c>
      <c r="J2104" t="str">
        <f t="shared" si="129"/>
        <v>BC</v>
      </c>
      <c r="K2104">
        <f t="shared" si="130"/>
        <v>-609</v>
      </c>
      <c r="L2104">
        <f t="shared" si="131"/>
        <v>-605</v>
      </c>
    </row>
    <row r="2105" spans="1:12" x14ac:dyDescent="0.35">
      <c r="A2105">
        <v>2118</v>
      </c>
      <c r="B2105" t="s">
        <v>5636</v>
      </c>
      <c r="C2105" t="s">
        <v>11654</v>
      </c>
      <c r="D2105" t="s">
        <v>5635</v>
      </c>
      <c r="E2105" t="s">
        <v>1750</v>
      </c>
      <c r="F2105" t="s">
        <v>5596</v>
      </c>
      <c r="G2105" t="s">
        <v>5599</v>
      </c>
      <c r="I2105" t="str">
        <f t="shared" si="132"/>
        <v>609-605</v>
      </c>
      <c r="J2105" t="str">
        <f t="shared" si="129"/>
        <v>BC</v>
      </c>
      <c r="K2105">
        <f t="shared" si="130"/>
        <v>-609</v>
      </c>
      <c r="L2105">
        <f t="shared" si="131"/>
        <v>-605</v>
      </c>
    </row>
    <row r="2106" spans="1:12" x14ac:dyDescent="0.35">
      <c r="A2106">
        <v>2119</v>
      </c>
      <c r="B2106" t="s">
        <v>5634</v>
      </c>
      <c r="C2106" t="s">
        <v>11326</v>
      </c>
      <c r="D2106" t="s">
        <v>5633</v>
      </c>
      <c r="E2106" t="s">
        <v>5630</v>
      </c>
      <c r="F2106" t="s">
        <v>5602</v>
      </c>
      <c r="G2106" t="s">
        <v>53</v>
      </c>
      <c r="I2106" t="str">
        <f t="shared" si="132"/>
        <v>Historical/Prophetic</v>
      </c>
      <c r="J2106" t="str">
        <f t="shared" si="129"/>
        <v>ic</v>
      </c>
      <c r="K2106" t="str">
        <f t="shared" si="130"/>
        <v>Historical/Prophetic</v>
      </c>
      <c r="L2106" t="str">
        <f t="shared" si="131"/>
        <v>Historical/Prophetic</v>
      </c>
    </row>
    <row r="2107" spans="1:12" x14ac:dyDescent="0.35">
      <c r="A2107">
        <v>2120</v>
      </c>
      <c r="B2107" t="s">
        <v>5632</v>
      </c>
      <c r="C2107" t="s">
        <v>10569</v>
      </c>
      <c r="D2107" t="s">
        <v>5631</v>
      </c>
      <c r="E2107" t="s">
        <v>5630</v>
      </c>
      <c r="F2107" t="s">
        <v>5602</v>
      </c>
      <c r="G2107" t="s">
        <v>53</v>
      </c>
      <c r="I2107" t="str">
        <f t="shared" si="132"/>
        <v>Historical/Prophetic</v>
      </c>
      <c r="J2107" t="str">
        <f t="shared" si="129"/>
        <v>ic</v>
      </c>
      <c r="K2107" t="str">
        <f t="shared" si="130"/>
        <v>Historical/Prophetic</v>
      </c>
      <c r="L2107" t="str">
        <f t="shared" si="131"/>
        <v>Historical/Prophetic</v>
      </c>
    </row>
    <row r="2108" spans="1:12" x14ac:dyDescent="0.35">
      <c r="A2108">
        <v>2121</v>
      </c>
      <c r="B2108" t="s">
        <v>5629</v>
      </c>
      <c r="C2108" t="s">
        <v>11655</v>
      </c>
      <c r="D2108" t="s">
        <v>5627</v>
      </c>
      <c r="E2108" t="s">
        <v>5603</v>
      </c>
      <c r="F2108" t="s">
        <v>5602</v>
      </c>
      <c r="G2108" t="s">
        <v>53</v>
      </c>
      <c r="I2108" t="str">
        <f t="shared" si="132"/>
        <v>Historical/Prophetic</v>
      </c>
      <c r="J2108" t="str">
        <f t="shared" si="129"/>
        <v>ic</v>
      </c>
      <c r="K2108" t="str">
        <f t="shared" si="130"/>
        <v>Historical/Prophetic</v>
      </c>
      <c r="L2108" t="str">
        <f t="shared" si="131"/>
        <v>Historical/Prophetic</v>
      </c>
    </row>
    <row r="2109" spans="1:12" x14ac:dyDescent="0.35">
      <c r="A2109">
        <v>2122</v>
      </c>
      <c r="B2109" t="s">
        <v>5628</v>
      </c>
      <c r="C2109" t="s">
        <v>10570</v>
      </c>
      <c r="D2109" t="s">
        <v>5627</v>
      </c>
      <c r="E2109" t="s">
        <v>5603</v>
      </c>
      <c r="F2109" t="s">
        <v>5602</v>
      </c>
      <c r="G2109" t="s">
        <v>53</v>
      </c>
      <c r="I2109" t="str">
        <f t="shared" si="132"/>
        <v>Historical/Prophetic</v>
      </c>
      <c r="J2109" t="str">
        <f t="shared" si="129"/>
        <v>ic</v>
      </c>
      <c r="K2109" t="str">
        <f t="shared" si="130"/>
        <v>Historical/Prophetic</v>
      </c>
      <c r="L2109" t="str">
        <f t="shared" si="131"/>
        <v>Historical/Prophetic</v>
      </c>
    </row>
    <row r="2110" spans="1:12" x14ac:dyDescent="0.35">
      <c r="A2110">
        <v>2123</v>
      </c>
      <c r="B2110" t="s">
        <v>5626</v>
      </c>
      <c r="C2110" t="s">
        <v>11656</v>
      </c>
      <c r="D2110" t="s">
        <v>5625</v>
      </c>
      <c r="E2110" t="s">
        <v>5624</v>
      </c>
      <c r="F2110" t="s">
        <v>5602</v>
      </c>
      <c r="G2110" t="s">
        <v>53</v>
      </c>
      <c r="I2110" t="str">
        <f t="shared" si="132"/>
        <v>Historical/Prophetic</v>
      </c>
      <c r="J2110" t="str">
        <f t="shared" si="129"/>
        <v>ic</v>
      </c>
      <c r="K2110" t="str">
        <f t="shared" si="130"/>
        <v>Historical/Prophetic</v>
      </c>
      <c r="L2110" t="str">
        <f t="shared" si="131"/>
        <v>Historical/Prophetic</v>
      </c>
    </row>
    <row r="2111" spans="1:12" x14ac:dyDescent="0.35">
      <c r="A2111">
        <v>2124</v>
      </c>
      <c r="B2111" t="s">
        <v>5623</v>
      </c>
      <c r="C2111" t="s">
        <v>10571</v>
      </c>
      <c r="D2111" t="s">
        <v>5622</v>
      </c>
      <c r="E2111" t="s">
        <v>5603</v>
      </c>
      <c r="F2111" t="s">
        <v>5602</v>
      </c>
      <c r="G2111" t="s">
        <v>53</v>
      </c>
      <c r="I2111" t="str">
        <f t="shared" si="132"/>
        <v>Historical/Prophetic</v>
      </c>
      <c r="J2111" t="str">
        <f t="shared" si="129"/>
        <v>ic</v>
      </c>
      <c r="K2111" t="str">
        <f t="shared" si="130"/>
        <v>Historical/Prophetic</v>
      </c>
      <c r="L2111" t="str">
        <f t="shared" si="131"/>
        <v>Historical/Prophetic</v>
      </c>
    </row>
    <row r="2112" spans="1:12" x14ac:dyDescent="0.35">
      <c r="A2112">
        <v>2125</v>
      </c>
      <c r="B2112" t="s">
        <v>5621</v>
      </c>
      <c r="C2112" t="s">
        <v>10572</v>
      </c>
      <c r="D2112" t="s">
        <v>5620</v>
      </c>
      <c r="E2112" t="s">
        <v>5603</v>
      </c>
      <c r="F2112" t="s">
        <v>5602</v>
      </c>
      <c r="G2112" t="s">
        <v>53</v>
      </c>
      <c r="I2112" t="str">
        <f t="shared" si="132"/>
        <v>Historical/Prophetic</v>
      </c>
      <c r="J2112" t="str">
        <f t="shared" si="129"/>
        <v>ic</v>
      </c>
      <c r="K2112" t="str">
        <f t="shared" si="130"/>
        <v>Historical/Prophetic</v>
      </c>
      <c r="L2112" t="str">
        <f t="shared" si="131"/>
        <v>Historical/Prophetic</v>
      </c>
    </row>
    <row r="2113" spans="1:12" x14ac:dyDescent="0.35">
      <c r="A2113">
        <v>2126</v>
      </c>
      <c r="B2113" t="s">
        <v>5619</v>
      </c>
      <c r="C2113" t="s">
        <v>10573</v>
      </c>
      <c r="D2113" t="s">
        <v>5617</v>
      </c>
      <c r="E2113" t="s">
        <v>5603</v>
      </c>
      <c r="F2113" t="s">
        <v>5602</v>
      </c>
      <c r="G2113" t="s">
        <v>53</v>
      </c>
      <c r="I2113" t="str">
        <f t="shared" si="132"/>
        <v>Historical/Prophetic</v>
      </c>
      <c r="J2113" t="str">
        <f t="shared" si="129"/>
        <v>ic</v>
      </c>
      <c r="K2113" t="str">
        <f t="shared" si="130"/>
        <v>Historical/Prophetic</v>
      </c>
      <c r="L2113" t="str">
        <f t="shared" si="131"/>
        <v>Historical/Prophetic</v>
      </c>
    </row>
    <row r="2114" spans="1:12" x14ac:dyDescent="0.35">
      <c r="A2114">
        <v>2127</v>
      </c>
      <c r="B2114" t="s">
        <v>5618</v>
      </c>
      <c r="C2114" t="s">
        <v>10574</v>
      </c>
      <c r="D2114" t="s">
        <v>5617</v>
      </c>
      <c r="E2114" t="s">
        <v>5603</v>
      </c>
      <c r="F2114" t="s">
        <v>5602</v>
      </c>
      <c r="G2114" t="s">
        <v>53</v>
      </c>
      <c r="I2114" t="str">
        <f t="shared" si="132"/>
        <v>Historical/Prophetic</v>
      </c>
      <c r="J2114" t="str">
        <f t="shared" ref="J2114:J2177" si="133">RIGHT(F2114, 2)</f>
        <v>ic</v>
      </c>
      <c r="K2114" t="str">
        <f t="shared" ref="K2114:K2177" si="134">IF(J2114="BC", 0-IF(ISERROR(FIND("-",I2114)),I2114,LEFT(I2114,FIND("-",I2114)-1)), IF(ISERROR(FIND("-",I2114)),I2114,LEFT(I2114,FIND("-",I2114)-1)))</f>
        <v>Historical/Prophetic</v>
      </c>
      <c r="L2114" t="str">
        <f t="shared" ref="L2114:L2177" si="135">IF(J2114="BC", 0-IF(ISERROR(FIND("-",I2114)),I2114,RIGHT(I2114,FIND("-",I2114)-1)), IF(ISERROR(FIND("-",I2114)),I2114,RIGHT(I2114,FIND("-",I2114)-1)))</f>
        <v>Historical/Prophetic</v>
      </c>
    </row>
    <row r="2115" spans="1:12" x14ac:dyDescent="0.35">
      <c r="A2115">
        <v>2128</v>
      </c>
      <c r="B2115" t="s">
        <v>5616</v>
      </c>
      <c r="C2115" t="s">
        <v>11657</v>
      </c>
      <c r="D2115" t="s">
        <v>5614</v>
      </c>
      <c r="E2115" t="s">
        <v>5603</v>
      </c>
      <c r="F2115" t="s">
        <v>5602</v>
      </c>
      <c r="G2115" t="s">
        <v>53</v>
      </c>
      <c r="I2115" t="str">
        <f t="shared" si="132"/>
        <v>Historical/Prophetic</v>
      </c>
      <c r="J2115" t="str">
        <f t="shared" si="133"/>
        <v>ic</v>
      </c>
      <c r="K2115" t="str">
        <f t="shared" si="134"/>
        <v>Historical/Prophetic</v>
      </c>
      <c r="L2115" t="str">
        <f t="shared" si="135"/>
        <v>Historical/Prophetic</v>
      </c>
    </row>
    <row r="2116" spans="1:12" x14ac:dyDescent="0.35">
      <c r="A2116">
        <v>2129</v>
      </c>
      <c r="B2116" t="s">
        <v>5615</v>
      </c>
      <c r="C2116" t="s">
        <v>10569</v>
      </c>
      <c r="D2116" t="s">
        <v>5614</v>
      </c>
      <c r="E2116" t="s">
        <v>5603</v>
      </c>
      <c r="F2116" t="s">
        <v>5602</v>
      </c>
      <c r="G2116" t="s">
        <v>53</v>
      </c>
      <c r="I2116" t="str">
        <f t="shared" si="132"/>
        <v>Historical/Prophetic</v>
      </c>
      <c r="J2116" t="str">
        <f t="shared" si="133"/>
        <v>ic</v>
      </c>
      <c r="K2116" t="str">
        <f t="shared" si="134"/>
        <v>Historical/Prophetic</v>
      </c>
      <c r="L2116" t="str">
        <f t="shared" si="135"/>
        <v>Historical/Prophetic</v>
      </c>
    </row>
    <row r="2117" spans="1:12" x14ac:dyDescent="0.35">
      <c r="A2117">
        <v>2130</v>
      </c>
      <c r="B2117" t="s">
        <v>5613</v>
      </c>
      <c r="C2117" t="s">
        <v>10575</v>
      </c>
      <c r="D2117" t="s">
        <v>5612</v>
      </c>
      <c r="E2117" t="s">
        <v>5603</v>
      </c>
      <c r="F2117" t="s">
        <v>5602</v>
      </c>
      <c r="G2117" t="s">
        <v>53</v>
      </c>
      <c r="I2117" t="str">
        <f t="shared" si="132"/>
        <v>Historical/Prophetic</v>
      </c>
      <c r="J2117" t="str">
        <f t="shared" si="133"/>
        <v>ic</v>
      </c>
      <c r="K2117" t="str">
        <f t="shared" si="134"/>
        <v>Historical/Prophetic</v>
      </c>
      <c r="L2117" t="str">
        <f t="shared" si="135"/>
        <v>Historical/Prophetic</v>
      </c>
    </row>
    <row r="2118" spans="1:12" x14ac:dyDescent="0.35">
      <c r="A2118">
        <v>2131</v>
      </c>
      <c r="B2118" t="s">
        <v>5611</v>
      </c>
      <c r="C2118" t="s">
        <v>11658</v>
      </c>
      <c r="D2118" t="s">
        <v>5610</v>
      </c>
      <c r="E2118" t="s">
        <v>5603</v>
      </c>
      <c r="F2118" t="s">
        <v>5602</v>
      </c>
      <c r="G2118" t="s">
        <v>53</v>
      </c>
      <c r="I2118" t="str">
        <f t="shared" si="132"/>
        <v>Historical/Prophetic</v>
      </c>
      <c r="J2118" t="str">
        <f t="shared" si="133"/>
        <v>ic</v>
      </c>
      <c r="K2118" t="str">
        <f t="shared" si="134"/>
        <v>Historical/Prophetic</v>
      </c>
      <c r="L2118" t="str">
        <f t="shared" si="135"/>
        <v>Historical/Prophetic</v>
      </c>
    </row>
    <row r="2119" spans="1:12" x14ac:dyDescent="0.35">
      <c r="A2119">
        <v>2132</v>
      </c>
      <c r="B2119" t="s">
        <v>5609</v>
      </c>
      <c r="C2119" t="s">
        <v>11226</v>
      </c>
      <c r="D2119" t="s">
        <v>5608</v>
      </c>
      <c r="E2119" t="s">
        <v>5603</v>
      </c>
      <c r="F2119" t="s">
        <v>5602</v>
      </c>
      <c r="G2119" t="s">
        <v>53</v>
      </c>
      <c r="I2119" t="str">
        <f t="shared" si="132"/>
        <v>Historical/Prophetic</v>
      </c>
      <c r="J2119" t="str">
        <f t="shared" si="133"/>
        <v>ic</v>
      </c>
      <c r="K2119" t="str">
        <f t="shared" si="134"/>
        <v>Historical/Prophetic</v>
      </c>
      <c r="L2119" t="str">
        <f t="shared" si="135"/>
        <v>Historical/Prophetic</v>
      </c>
    </row>
    <row r="2120" spans="1:12" x14ac:dyDescent="0.35">
      <c r="A2120">
        <v>2133</v>
      </c>
      <c r="B2120" t="s">
        <v>5607</v>
      </c>
      <c r="C2120" t="s">
        <v>11659</v>
      </c>
      <c r="D2120" t="s">
        <v>5606</v>
      </c>
      <c r="E2120" t="s">
        <v>5603</v>
      </c>
      <c r="F2120" t="s">
        <v>5602</v>
      </c>
      <c r="G2120" t="s">
        <v>53</v>
      </c>
      <c r="I2120" t="str">
        <f t="shared" si="132"/>
        <v>Historical/Prophetic</v>
      </c>
      <c r="J2120" t="str">
        <f t="shared" si="133"/>
        <v>ic</v>
      </c>
      <c r="K2120" t="str">
        <f t="shared" si="134"/>
        <v>Historical/Prophetic</v>
      </c>
      <c r="L2120" t="str">
        <f t="shared" si="135"/>
        <v>Historical/Prophetic</v>
      </c>
    </row>
    <row r="2121" spans="1:12" x14ac:dyDescent="0.35">
      <c r="A2121">
        <v>2134</v>
      </c>
      <c r="B2121" t="s">
        <v>5605</v>
      </c>
      <c r="C2121" t="s">
        <v>10576</v>
      </c>
      <c r="D2121" t="s">
        <v>5604</v>
      </c>
      <c r="E2121" t="s">
        <v>5603</v>
      </c>
      <c r="F2121" t="s">
        <v>5602</v>
      </c>
      <c r="G2121" t="s">
        <v>53</v>
      </c>
      <c r="I2121" t="str">
        <f t="shared" si="132"/>
        <v>Historical/Prophetic</v>
      </c>
      <c r="J2121" t="str">
        <f t="shared" si="133"/>
        <v>ic</v>
      </c>
      <c r="K2121" t="str">
        <f t="shared" si="134"/>
        <v>Historical/Prophetic</v>
      </c>
      <c r="L2121" t="str">
        <f t="shared" si="135"/>
        <v>Historical/Prophetic</v>
      </c>
    </row>
    <row r="2122" spans="1:12" x14ac:dyDescent="0.35">
      <c r="A2122">
        <v>2135</v>
      </c>
      <c r="B2122" t="s">
        <v>5601</v>
      </c>
      <c r="C2122" t="s">
        <v>10577</v>
      </c>
      <c r="D2122" t="s">
        <v>5600</v>
      </c>
      <c r="E2122" t="s">
        <v>1750</v>
      </c>
      <c r="F2122" t="s">
        <v>5596</v>
      </c>
      <c r="G2122" t="s">
        <v>5599</v>
      </c>
      <c r="I2122" t="str">
        <f t="shared" si="132"/>
        <v>609-605</v>
      </c>
      <c r="J2122" t="str">
        <f t="shared" si="133"/>
        <v>BC</v>
      </c>
      <c r="K2122">
        <f t="shared" si="134"/>
        <v>-609</v>
      </c>
      <c r="L2122">
        <f t="shared" si="135"/>
        <v>-605</v>
      </c>
    </row>
    <row r="2123" spans="1:12" x14ac:dyDescent="0.35">
      <c r="A2123">
        <v>2136</v>
      </c>
      <c r="B2123" t="s">
        <v>5598</v>
      </c>
      <c r="C2123" t="s">
        <v>10578</v>
      </c>
      <c r="D2123" t="s">
        <v>5597</v>
      </c>
      <c r="E2123" t="s">
        <v>1750</v>
      </c>
      <c r="F2123" t="s">
        <v>5596</v>
      </c>
      <c r="G2123" t="s">
        <v>53</v>
      </c>
      <c r="I2123" t="str">
        <f t="shared" si="132"/>
        <v>609-605</v>
      </c>
      <c r="J2123" t="str">
        <f t="shared" si="133"/>
        <v>BC</v>
      </c>
      <c r="K2123">
        <f t="shared" si="134"/>
        <v>-609</v>
      </c>
      <c r="L2123">
        <f t="shared" si="135"/>
        <v>-605</v>
      </c>
    </row>
    <row r="2124" spans="1:12" x14ac:dyDescent="0.35">
      <c r="A2124">
        <v>2137</v>
      </c>
      <c r="B2124" t="s">
        <v>5738</v>
      </c>
      <c r="C2124" t="s">
        <v>11660</v>
      </c>
      <c r="D2124" t="s">
        <v>5737</v>
      </c>
      <c r="E2124" t="s">
        <v>1750</v>
      </c>
      <c r="F2124" t="s">
        <v>5693</v>
      </c>
      <c r="G2124" t="s">
        <v>5736</v>
      </c>
      <c r="I2124" t="str">
        <f t="shared" si="132"/>
        <v>640-609</v>
      </c>
      <c r="J2124" t="str">
        <f t="shared" si="133"/>
        <v>BC</v>
      </c>
      <c r="K2124">
        <f t="shared" si="134"/>
        <v>-640</v>
      </c>
      <c r="L2124">
        <f t="shared" si="135"/>
        <v>-609</v>
      </c>
    </row>
    <row r="2125" spans="1:12" x14ac:dyDescent="0.35">
      <c r="A2125">
        <v>2138</v>
      </c>
      <c r="B2125" t="s">
        <v>5735</v>
      </c>
      <c r="C2125" t="s">
        <v>11661</v>
      </c>
      <c r="D2125" t="s">
        <v>5734</v>
      </c>
      <c r="E2125" t="s">
        <v>5733</v>
      </c>
      <c r="F2125" t="s">
        <v>5693</v>
      </c>
      <c r="G2125" t="s">
        <v>53</v>
      </c>
      <c r="I2125" t="str">
        <f t="shared" si="132"/>
        <v>640-609</v>
      </c>
      <c r="J2125" t="str">
        <f t="shared" si="133"/>
        <v>BC</v>
      </c>
      <c r="K2125">
        <f t="shared" si="134"/>
        <v>-640</v>
      </c>
      <c r="L2125">
        <f t="shared" si="135"/>
        <v>-609</v>
      </c>
    </row>
    <row r="2126" spans="1:12" x14ac:dyDescent="0.35">
      <c r="A2126">
        <v>2139</v>
      </c>
      <c r="B2126" t="s">
        <v>5732</v>
      </c>
      <c r="C2126" t="s">
        <v>11117</v>
      </c>
      <c r="D2126" t="s">
        <v>5731</v>
      </c>
      <c r="E2126" t="s">
        <v>5285</v>
      </c>
      <c r="F2126" t="s">
        <v>5693</v>
      </c>
      <c r="G2126" t="s">
        <v>53</v>
      </c>
      <c r="I2126" t="str">
        <f t="shared" si="132"/>
        <v>640-609</v>
      </c>
      <c r="J2126" t="str">
        <f t="shared" si="133"/>
        <v>BC</v>
      </c>
      <c r="K2126">
        <f t="shared" si="134"/>
        <v>-640</v>
      </c>
      <c r="L2126">
        <f t="shared" si="135"/>
        <v>-609</v>
      </c>
    </row>
    <row r="2127" spans="1:12" x14ac:dyDescent="0.35">
      <c r="A2127">
        <v>2140</v>
      </c>
      <c r="B2127" t="s">
        <v>5730</v>
      </c>
      <c r="C2127" t="s">
        <v>11662</v>
      </c>
      <c r="D2127" t="s">
        <v>5729</v>
      </c>
      <c r="E2127" t="s">
        <v>1750</v>
      </c>
      <c r="F2127" t="s">
        <v>5693</v>
      </c>
      <c r="G2127" t="s">
        <v>53</v>
      </c>
      <c r="I2127" t="str">
        <f t="shared" si="132"/>
        <v>640-609</v>
      </c>
      <c r="J2127" t="str">
        <f t="shared" si="133"/>
        <v>BC</v>
      </c>
      <c r="K2127">
        <f t="shared" si="134"/>
        <v>-640</v>
      </c>
      <c r="L2127">
        <f t="shared" si="135"/>
        <v>-609</v>
      </c>
    </row>
    <row r="2128" spans="1:12" x14ac:dyDescent="0.35">
      <c r="A2128">
        <v>2141</v>
      </c>
      <c r="B2128" t="s">
        <v>5728</v>
      </c>
      <c r="C2128" t="s">
        <v>11663</v>
      </c>
      <c r="D2128" t="s">
        <v>5727</v>
      </c>
      <c r="E2128" t="s">
        <v>1750</v>
      </c>
      <c r="F2128" t="s">
        <v>5693</v>
      </c>
      <c r="G2128" t="s">
        <v>53</v>
      </c>
      <c r="I2128" t="str">
        <f t="shared" si="132"/>
        <v>640-609</v>
      </c>
      <c r="J2128" t="str">
        <f t="shared" si="133"/>
        <v>BC</v>
      </c>
      <c r="K2128">
        <f t="shared" si="134"/>
        <v>-640</v>
      </c>
      <c r="L2128">
        <f t="shared" si="135"/>
        <v>-609</v>
      </c>
    </row>
    <row r="2129" spans="1:12" x14ac:dyDescent="0.35">
      <c r="A2129">
        <v>2142</v>
      </c>
      <c r="B2129" t="s">
        <v>5726</v>
      </c>
      <c r="C2129" t="s">
        <v>10579</v>
      </c>
      <c r="D2129" t="s">
        <v>5725</v>
      </c>
      <c r="E2129" t="s">
        <v>1211</v>
      </c>
      <c r="F2129" t="s">
        <v>5693</v>
      </c>
      <c r="G2129" t="s">
        <v>53</v>
      </c>
      <c r="I2129" t="str">
        <f t="shared" si="132"/>
        <v>640-609</v>
      </c>
      <c r="J2129" t="str">
        <f t="shared" si="133"/>
        <v>BC</v>
      </c>
      <c r="K2129">
        <f t="shared" si="134"/>
        <v>-640</v>
      </c>
      <c r="L2129">
        <f t="shared" si="135"/>
        <v>-609</v>
      </c>
    </row>
    <row r="2130" spans="1:12" x14ac:dyDescent="0.35">
      <c r="A2130">
        <v>2143</v>
      </c>
      <c r="B2130" t="s">
        <v>5724</v>
      </c>
      <c r="C2130" t="s">
        <v>11664</v>
      </c>
      <c r="D2130" t="s">
        <v>5723</v>
      </c>
      <c r="E2130" t="s">
        <v>5603</v>
      </c>
      <c r="F2130" t="s">
        <v>5693</v>
      </c>
      <c r="G2130" t="s">
        <v>53</v>
      </c>
      <c r="I2130" t="str">
        <f t="shared" si="132"/>
        <v>640-609</v>
      </c>
      <c r="J2130" t="str">
        <f t="shared" si="133"/>
        <v>BC</v>
      </c>
      <c r="K2130">
        <f t="shared" si="134"/>
        <v>-640</v>
      </c>
      <c r="L2130">
        <f t="shared" si="135"/>
        <v>-609</v>
      </c>
    </row>
    <row r="2131" spans="1:12" x14ac:dyDescent="0.35">
      <c r="A2131">
        <v>2144</v>
      </c>
      <c r="B2131" t="s">
        <v>5722</v>
      </c>
      <c r="C2131" t="s">
        <v>10580</v>
      </c>
      <c r="D2131" t="s">
        <v>5721</v>
      </c>
      <c r="E2131" t="s">
        <v>1750</v>
      </c>
      <c r="F2131" t="s">
        <v>5693</v>
      </c>
      <c r="G2131" t="s">
        <v>53</v>
      </c>
      <c r="I2131" t="str">
        <f t="shared" si="132"/>
        <v>640-609</v>
      </c>
      <c r="J2131" t="str">
        <f t="shared" si="133"/>
        <v>BC</v>
      </c>
      <c r="K2131">
        <f t="shared" si="134"/>
        <v>-640</v>
      </c>
      <c r="L2131">
        <f t="shared" si="135"/>
        <v>-609</v>
      </c>
    </row>
    <row r="2132" spans="1:12" x14ac:dyDescent="0.35">
      <c r="A2132">
        <v>2145</v>
      </c>
      <c r="B2132" t="s">
        <v>5720</v>
      </c>
      <c r="C2132" t="s">
        <v>10581</v>
      </c>
      <c r="D2132" t="s">
        <v>5719</v>
      </c>
      <c r="E2132" t="s">
        <v>1069</v>
      </c>
      <c r="F2132" t="s">
        <v>5693</v>
      </c>
      <c r="G2132" t="s">
        <v>53</v>
      </c>
      <c r="I2132" t="str">
        <f t="shared" si="132"/>
        <v>640-609</v>
      </c>
      <c r="J2132" t="str">
        <f t="shared" si="133"/>
        <v>BC</v>
      </c>
      <c r="K2132">
        <f t="shared" si="134"/>
        <v>-640</v>
      </c>
      <c r="L2132">
        <f t="shared" si="135"/>
        <v>-609</v>
      </c>
    </row>
    <row r="2133" spans="1:12" x14ac:dyDescent="0.35">
      <c r="A2133">
        <v>2146</v>
      </c>
      <c r="B2133" t="s">
        <v>5718</v>
      </c>
      <c r="C2133" t="s">
        <v>11665</v>
      </c>
      <c r="D2133" t="s">
        <v>5717</v>
      </c>
      <c r="E2133" t="s">
        <v>5716</v>
      </c>
      <c r="F2133" t="s">
        <v>5693</v>
      </c>
      <c r="G2133" t="s">
        <v>53</v>
      </c>
      <c r="I2133" t="str">
        <f t="shared" si="132"/>
        <v>640-609</v>
      </c>
      <c r="J2133" t="str">
        <f t="shared" si="133"/>
        <v>BC</v>
      </c>
      <c r="K2133">
        <f t="shared" si="134"/>
        <v>-640</v>
      </c>
      <c r="L2133">
        <f t="shared" si="135"/>
        <v>-609</v>
      </c>
    </row>
    <row r="2134" spans="1:12" x14ac:dyDescent="0.35">
      <c r="A2134">
        <v>2147</v>
      </c>
      <c r="B2134" t="s">
        <v>5715</v>
      </c>
      <c r="C2134" t="s">
        <v>10582</v>
      </c>
      <c r="D2134" t="s">
        <v>5714</v>
      </c>
      <c r="E2134" t="s">
        <v>5713</v>
      </c>
      <c r="F2134" t="s">
        <v>5693</v>
      </c>
      <c r="G2134" t="s">
        <v>53</v>
      </c>
      <c r="I2134" t="str">
        <f t="shared" si="132"/>
        <v>640-609</v>
      </c>
      <c r="J2134" t="str">
        <f t="shared" si="133"/>
        <v>BC</v>
      </c>
      <c r="K2134">
        <f t="shared" si="134"/>
        <v>-640</v>
      </c>
      <c r="L2134">
        <f t="shared" si="135"/>
        <v>-609</v>
      </c>
    </row>
    <row r="2135" spans="1:12" x14ac:dyDescent="0.35">
      <c r="A2135">
        <v>2148</v>
      </c>
      <c r="B2135" t="s">
        <v>5712</v>
      </c>
      <c r="C2135" t="s">
        <v>11666</v>
      </c>
      <c r="D2135" t="s">
        <v>5711</v>
      </c>
      <c r="E2135" t="s">
        <v>5603</v>
      </c>
      <c r="F2135" t="s">
        <v>5693</v>
      </c>
      <c r="G2135" t="s">
        <v>53</v>
      </c>
      <c r="I2135" t="str">
        <f t="shared" si="132"/>
        <v>640-609</v>
      </c>
      <c r="J2135" t="str">
        <f t="shared" si="133"/>
        <v>BC</v>
      </c>
      <c r="K2135">
        <f t="shared" si="134"/>
        <v>-640</v>
      </c>
      <c r="L2135">
        <f t="shared" si="135"/>
        <v>-609</v>
      </c>
    </row>
    <row r="2136" spans="1:12" x14ac:dyDescent="0.35">
      <c r="A2136">
        <v>2149</v>
      </c>
      <c r="B2136" t="s">
        <v>5710</v>
      </c>
      <c r="C2136" t="s">
        <v>10581</v>
      </c>
      <c r="D2136" t="s">
        <v>5709</v>
      </c>
      <c r="E2136" t="s">
        <v>5708</v>
      </c>
      <c r="F2136" t="s">
        <v>5693</v>
      </c>
      <c r="G2136" t="s">
        <v>53</v>
      </c>
      <c r="I2136" t="str">
        <f t="shared" si="132"/>
        <v>640-609</v>
      </c>
      <c r="J2136" t="str">
        <f t="shared" si="133"/>
        <v>BC</v>
      </c>
      <c r="K2136">
        <f t="shared" si="134"/>
        <v>-640</v>
      </c>
      <c r="L2136">
        <f t="shared" si="135"/>
        <v>-609</v>
      </c>
    </row>
    <row r="2137" spans="1:12" x14ac:dyDescent="0.35">
      <c r="A2137">
        <v>2150</v>
      </c>
      <c r="B2137" t="s">
        <v>5707</v>
      </c>
      <c r="C2137" t="s">
        <v>11667</v>
      </c>
      <c r="D2137" t="s">
        <v>5706</v>
      </c>
      <c r="E2137" t="s">
        <v>5705</v>
      </c>
      <c r="F2137" t="s">
        <v>5693</v>
      </c>
      <c r="G2137" t="s">
        <v>53</v>
      </c>
      <c r="I2137" t="str">
        <f t="shared" si="132"/>
        <v>640-609</v>
      </c>
      <c r="J2137" t="str">
        <f t="shared" si="133"/>
        <v>BC</v>
      </c>
      <c r="K2137">
        <f t="shared" si="134"/>
        <v>-640</v>
      </c>
      <c r="L2137">
        <f t="shared" si="135"/>
        <v>-609</v>
      </c>
    </row>
    <row r="2138" spans="1:12" x14ac:dyDescent="0.35">
      <c r="A2138">
        <v>2151</v>
      </c>
      <c r="B2138" t="s">
        <v>5704</v>
      </c>
      <c r="C2138" t="s">
        <v>11668</v>
      </c>
      <c r="D2138" t="s">
        <v>5703</v>
      </c>
      <c r="E2138" t="s">
        <v>1211</v>
      </c>
      <c r="F2138" t="s">
        <v>5693</v>
      </c>
      <c r="G2138" t="s">
        <v>53</v>
      </c>
      <c r="I2138" t="str">
        <f t="shared" si="132"/>
        <v>640-609</v>
      </c>
      <c r="J2138" t="str">
        <f t="shared" si="133"/>
        <v>BC</v>
      </c>
      <c r="K2138">
        <f t="shared" si="134"/>
        <v>-640</v>
      </c>
      <c r="L2138">
        <f t="shared" si="135"/>
        <v>-609</v>
      </c>
    </row>
    <row r="2139" spans="1:12" x14ac:dyDescent="0.35">
      <c r="A2139">
        <v>2152</v>
      </c>
      <c r="B2139" t="s">
        <v>5702</v>
      </c>
      <c r="C2139" t="s">
        <v>10583</v>
      </c>
      <c r="D2139" t="s">
        <v>5701</v>
      </c>
      <c r="E2139" t="s">
        <v>5603</v>
      </c>
      <c r="F2139" t="s">
        <v>5693</v>
      </c>
      <c r="G2139" t="s">
        <v>53</v>
      </c>
      <c r="I2139" t="str">
        <f t="shared" si="132"/>
        <v>640-609</v>
      </c>
      <c r="J2139" t="str">
        <f t="shared" si="133"/>
        <v>BC</v>
      </c>
      <c r="K2139">
        <f t="shared" si="134"/>
        <v>-640</v>
      </c>
      <c r="L2139">
        <f t="shared" si="135"/>
        <v>-609</v>
      </c>
    </row>
    <row r="2140" spans="1:12" x14ac:dyDescent="0.35">
      <c r="A2140">
        <v>2153</v>
      </c>
      <c r="B2140" t="s">
        <v>5700</v>
      </c>
      <c r="C2140" t="s">
        <v>11669</v>
      </c>
      <c r="D2140" t="s">
        <v>5699</v>
      </c>
      <c r="E2140" t="s">
        <v>5603</v>
      </c>
      <c r="F2140" t="s">
        <v>5693</v>
      </c>
      <c r="G2140" t="s">
        <v>53</v>
      </c>
      <c r="I2140" t="str">
        <f t="shared" si="132"/>
        <v>640-609</v>
      </c>
      <c r="J2140" t="str">
        <f t="shared" si="133"/>
        <v>BC</v>
      </c>
      <c r="K2140">
        <f t="shared" si="134"/>
        <v>-640</v>
      </c>
      <c r="L2140">
        <f t="shared" si="135"/>
        <v>-609</v>
      </c>
    </row>
    <row r="2141" spans="1:12" x14ac:dyDescent="0.35">
      <c r="A2141">
        <v>2154</v>
      </c>
      <c r="B2141" t="s">
        <v>5698</v>
      </c>
      <c r="C2141" t="s">
        <v>10584</v>
      </c>
      <c r="D2141" t="s">
        <v>5697</v>
      </c>
      <c r="E2141" t="s">
        <v>5696</v>
      </c>
      <c r="F2141" t="s">
        <v>5693</v>
      </c>
      <c r="G2141" t="s">
        <v>53</v>
      </c>
      <c r="I2141" t="str">
        <f t="shared" si="132"/>
        <v>640-609</v>
      </c>
      <c r="J2141" t="str">
        <f t="shared" si="133"/>
        <v>BC</v>
      </c>
      <c r="K2141">
        <f t="shared" si="134"/>
        <v>-640</v>
      </c>
      <c r="L2141">
        <f t="shared" si="135"/>
        <v>-609</v>
      </c>
    </row>
    <row r="2142" spans="1:12" x14ac:dyDescent="0.35">
      <c r="A2142">
        <v>2155</v>
      </c>
      <c r="B2142" t="s">
        <v>5695</v>
      </c>
      <c r="C2142" t="s">
        <v>10585</v>
      </c>
      <c r="D2142" t="s">
        <v>5694</v>
      </c>
      <c r="E2142" t="s">
        <v>5285</v>
      </c>
      <c r="F2142" t="s">
        <v>5693</v>
      </c>
      <c r="G2142" t="s">
        <v>53</v>
      </c>
      <c r="I2142" t="str">
        <f t="shared" si="132"/>
        <v>640-609</v>
      </c>
      <c r="J2142" t="str">
        <f t="shared" si="133"/>
        <v>BC</v>
      </c>
      <c r="K2142">
        <f t="shared" si="134"/>
        <v>-640</v>
      </c>
      <c r="L2142">
        <f t="shared" si="135"/>
        <v>-609</v>
      </c>
    </row>
    <row r="2143" spans="1:12" x14ac:dyDescent="0.35">
      <c r="A2143">
        <v>2156</v>
      </c>
      <c r="B2143" t="s">
        <v>5692</v>
      </c>
      <c r="C2143" t="s">
        <v>11670</v>
      </c>
      <c r="D2143" t="s">
        <v>5691</v>
      </c>
      <c r="E2143" t="s">
        <v>5285</v>
      </c>
      <c r="F2143" t="s">
        <v>4363</v>
      </c>
      <c r="G2143" t="s">
        <v>53</v>
      </c>
      <c r="I2143" t="str">
        <f t="shared" si="132"/>
        <v>Future</v>
      </c>
      <c r="J2143" t="str">
        <f t="shared" si="133"/>
        <v>re</v>
      </c>
      <c r="K2143" t="str">
        <f t="shared" si="134"/>
        <v>Future</v>
      </c>
      <c r="L2143" t="str">
        <f t="shared" si="135"/>
        <v>Future</v>
      </c>
    </row>
    <row r="2144" spans="1:12" x14ac:dyDescent="0.35">
      <c r="A2144">
        <v>2157</v>
      </c>
      <c r="B2144" t="s">
        <v>5690</v>
      </c>
      <c r="C2144" t="s">
        <v>11671</v>
      </c>
      <c r="D2144" t="s">
        <v>5689</v>
      </c>
      <c r="E2144" t="s">
        <v>5285</v>
      </c>
      <c r="F2144" t="s">
        <v>4363</v>
      </c>
      <c r="G2144" t="s">
        <v>53</v>
      </c>
      <c r="I2144" t="str">
        <f t="shared" si="132"/>
        <v>Future</v>
      </c>
      <c r="J2144" t="str">
        <f t="shared" si="133"/>
        <v>re</v>
      </c>
      <c r="K2144" t="str">
        <f t="shared" si="134"/>
        <v>Future</v>
      </c>
      <c r="L2144" t="str">
        <f t="shared" si="135"/>
        <v>Future</v>
      </c>
    </row>
    <row r="2145" spans="1:12" x14ac:dyDescent="0.35">
      <c r="A2145">
        <v>2158</v>
      </c>
      <c r="B2145" t="s">
        <v>5688</v>
      </c>
      <c r="C2145" t="s">
        <v>10586</v>
      </c>
      <c r="D2145" t="s">
        <v>5687</v>
      </c>
      <c r="E2145" t="s">
        <v>5603</v>
      </c>
      <c r="F2145" t="s">
        <v>4363</v>
      </c>
      <c r="G2145" t="s">
        <v>53</v>
      </c>
      <c r="I2145" t="str">
        <f t="shared" si="132"/>
        <v>Future</v>
      </c>
      <c r="J2145" t="str">
        <f t="shared" si="133"/>
        <v>re</v>
      </c>
      <c r="K2145" t="str">
        <f t="shared" si="134"/>
        <v>Future</v>
      </c>
      <c r="L2145" t="str">
        <f t="shared" si="135"/>
        <v>Future</v>
      </c>
    </row>
    <row r="2146" spans="1:12" x14ac:dyDescent="0.35">
      <c r="A2146">
        <v>2159</v>
      </c>
      <c r="B2146" t="s">
        <v>5686</v>
      </c>
      <c r="C2146" t="s">
        <v>10587</v>
      </c>
      <c r="D2146" t="s">
        <v>5685</v>
      </c>
      <c r="E2146" t="s">
        <v>5603</v>
      </c>
      <c r="F2146" t="s">
        <v>4363</v>
      </c>
      <c r="G2146" t="s">
        <v>53</v>
      </c>
      <c r="I2146" t="str">
        <f t="shared" si="132"/>
        <v>Future</v>
      </c>
      <c r="J2146" t="str">
        <f t="shared" si="133"/>
        <v>re</v>
      </c>
      <c r="K2146" t="str">
        <f t="shared" si="134"/>
        <v>Future</v>
      </c>
      <c r="L2146" t="str">
        <f t="shared" si="135"/>
        <v>Future</v>
      </c>
    </row>
    <row r="2147" spans="1:12" x14ac:dyDescent="0.35">
      <c r="A2147">
        <v>2160</v>
      </c>
      <c r="B2147" t="s">
        <v>5812</v>
      </c>
      <c r="C2147" t="s">
        <v>10588</v>
      </c>
      <c r="D2147" t="s">
        <v>5811</v>
      </c>
      <c r="E2147" t="s">
        <v>5776</v>
      </c>
      <c r="F2147" t="s">
        <v>5804</v>
      </c>
      <c r="G2147" t="s">
        <v>5774</v>
      </c>
      <c r="I2147" t="str">
        <f t="shared" si="132"/>
        <v>August 29, 520</v>
      </c>
      <c r="J2147" t="str">
        <f t="shared" si="133"/>
        <v>BC</v>
      </c>
      <c r="K2147" t="e">
        <f t="shared" si="134"/>
        <v>#VALUE!</v>
      </c>
      <c r="L2147" t="e">
        <f t="shared" si="135"/>
        <v>#VALUE!</v>
      </c>
    </row>
    <row r="2148" spans="1:12" x14ac:dyDescent="0.35">
      <c r="A2148">
        <v>2161</v>
      </c>
      <c r="B2148" t="s">
        <v>5810</v>
      </c>
      <c r="C2148" t="s">
        <v>10048</v>
      </c>
      <c r="D2148" t="s">
        <v>5809</v>
      </c>
      <c r="E2148" t="s">
        <v>5776</v>
      </c>
      <c r="F2148" t="s">
        <v>5804</v>
      </c>
      <c r="G2148" t="s">
        <v>5774</v>
      </c>
      <c r="I2148" t="str">
        <f t="shared" si="132"/>
        <v>August 29, 520</v>
      </c>
      <c r="J2148" t="str">
        <f t="shared" si="133"/>
        <v>BC</v>
      </c>
      <c r="K2148" t="e">
        <f t="shared" si="134"/>
        <v>#VALUE!</v>
      </c>
      <c r="L2148" t="e">
        <f t="shared" si="135"/>
        <v>#VALUE!</v>
      </c>
    </row>
    <row r="2149" spans="1:12" x14ac:dyDescent="0.35">
      <c r="A2149">
        <v>2162</v>
      </c>
      <c r="B2149" t="s">
        <v>5808</v>
      </c>
      <c r="C2149" t="s">
        <v>10589</v>
      </c>
      <c r="D2149" t="s">
        <v>5807</v>
      </c>
      <c r="E2149" t="s">
        <v>5776</v>
      </c>
      <c r="F2149" t="s">
        <v>5804</v>
      </c>
      <c r="G2149" t="s">
        <v>5774</v>
      </c>
      <c r="I2149" t="str">
        <f t="shared" si="132"/>
        <v>August 29, 520</v>
      </c>
      <c r="J2149" t="str">
        <f t="shared" si="133"/>
        <v>BC</v>
      </c>
      <c r="K2149" t="e">
        <f t="shared" si="134"/>
        <v>#VALUE!</v>
      </c>
      <c r="L2149" t="e">
        <f t="shared" si="135"/>
        <v>#VALUE!</v>
      </c>
    </row>
    <row r="2150" spans="1:12" x14ac:dyDescent="0.35">
      <c r="A2150">
        <v>2163</v>
      </c>
      <c r="B2150" t="s">
        <v>5806</v>
      </c>
      <c r="C2150" t="s">
        <v>10590</v>
      </c>
      <c r="D2150" t="s">
        <v>5805</v>
      </c>
      <c r="E2150" t="s">
        <v>5776</v>
      </c>
      <c r="F2150" t="s">
        <v>5804</v>
      </c>
      <c r="G2150" t="s">
        <v>5774</v>
      </c>
      <c r="I2150" t="str">
        <f t="shared" si="132"/>
        <v>August 29, 520</v>
      </c>
      <c r="J2150" t="str">
        <f t="shared" si="133"/>
        <v>BC</v>
      </c>
      <c r="K2150" t="e">
        <f t="shared" si="134"/>
        <v>#VALUE!</v>
      </c>
      <c r="L2150" t="e">
        <f t="shared" si="135"/>
        <v>#VALUE!</v>
      </c>
    </row>
    <row r="2151" spans="1:12" x14ac:dyDescent="0.35">
      <c r="A2151">
        <v>2164</v>
      </c>
      <c r="B2151" t="s">
        <v>5803</v>
      </c>
      <c r="C2151" t="s">
        <v>10591</v>
      </c>
      <c r="D2151" t="s">
        <v>5802</v>
      </c>
      <c r="E2151" t="s">
        <v>5776</v>
      </c>
      <c r="F2151" t="s">
        <v>5799</v>
      </c>
      <c r="G2151" t="s">
        <v>53</v>
      </c>
      <c r="I2151" t="str">
        <f t="shared" si="132"/>
        <v>September 21, 520</v>
      </c>
      <c r="J2151" t="str">
        <f t="shared" si="133"/>
        <v>BC</v>
      </c>
      <c r="K2151" t="e">
        <f t="shared" si="134"/>
        <v>#VALUE!</v>
      </c>
      <c r="L2151" t="e">
        <f t="shared" si="135"/>
        <v>#VALUE!</v>
      </c>
    </row>
    <row r="2152" spans="1:12" x14ac:dyDescent="0.35">
      <c r="A2152">
        <v>2165</v>
      </c>
      <c r="B2152" t="s">
        <v>5801</v>
      </c>
      <c r="C2152" t="s">
        <v>11173</v>
      </c>
      <c r="D2152" t="s">
        <v>5800</v>
      </c>
      <c r="E2152" t="s">
        <v>5776</v>
      </c>
      <c r="F2152" t="s">
        <v>5799</v>
      </c>
      <c r="G2152" t="s">
        <v>5774</v>
      </c>
      <c r="I2152" t="str">
        <f t="shared" si="132"/>
        <v>September 21, 520</v>
      </c>
      <c r="J2152" t="str">
        <f t="shared" si="133"/>
        <v>BC</v>
      </c>
      <c r="K2152" t="e">
        <f t="shared" si="134"/>
        <v>#VALUE!</v>
      </c>
      <c r="L2152" t="e">
        <f t="shared" si="135"/>
        <v>#VALUE!</v>
      </c>
    </row>
    <row r="2153" spans="1:12" x14ac:dyDescent="0.35">
      <c r="A2153">
        <v>2166</v>
      </c>
      <c r="B2153" t="s">
        <v>5798</v>
      </c>
      <c r="C2153" t="s">
        <v>10592</v>
      </c>
      <c r="D2153" t="s">
        <v>5797</v>
      </c>
      <c r="E2153" t="s">
        <v>5776</v>
      </c>
      <c r="F2153" t="s">
        <v>5787</v>
      </c>
      <c r="G2153" t="s">
        <v>5774</v>
      </c>
      <c r="I2153" t="str">
        <f t="shared" si="132"/>
        <v>October 17, 520</v>
      </c>
      <c r="J2153" t="str">
        <f t="shared" si="133"/>
        <v>BC</v>
      </c>
      <c r="K2153" t="e">
        <f t="shared" si="134"/>
        <v>#VALUE!</v>
      </c>
      <c r="L2153" t="e">
        <f t="shared" si="135"/>
        <v>#VALUE!</v>
      </c>
    </row>
    <row r="2154" spans="1:12" x14ac:dyDescent="0.35">
      <c r="A2154">
        <v>2167</v>
      </c>
      <c r="B2154" t="s">
        <v>5796</v>
      </c>
      <c r="C2154" t="s">
        <v>11173</v>
      </c>
      <c r="D2154" t="s">
        <v>5795</v>
      </c>
      <c r="E2154" t="s">
        <v>5776</v>
      </c>
      <c r="F2154" t="s">
        <v>5787</v>
      </c>
      <c r="G2154" t="s">
        <v>5774</v>
      </c>
      <c r="I2154" t="str">
        <f t="shared" si="132"/>
        <v>October 17, 520</v>
      </c>
      <c r="J2154" t="str">
        <f t="shared" si="133"/>
        <v>BC</v>
      </c>
      <c r="K2154" t="e">
        <f t="shared" si="134"/>
        <v>#VALUE!</v>
      </c>
      <c r="L2154" t="e">
        <f t="shared" si="135"/>
        <v>#VALUE!</v>
      </c>
    </row>
    <row r="2155" spans="1:12" x14ac:dyDescent="0.35">
      <c r="A2155">
        <v>2168</v>
      </c>
      <c r="B2155" t="s">
        <v>5794</v>
      </c>
      <c r="C2155" t="s">
        <v>11672</v>
      </c>
      <c r="D2155" t="s">
        <v>5793</v>
      </c>
      <c r="E2155" t="s">
        <v>5776</v>
      </c>
      <c r="F2155" t="s">
        <v>5787</v>
      </c>
      <c r="G2155" t="s">
        <v>5774</v>
      </c>
      <c r="I2155" t="str">
        <f t="shared" si="132"/>
        <v>October 17, 520</v>
      </c>
      <c r="J2155" t="str">
        <f t="shared" si="133"/>
        <v>BC</v>
      </c>
      <c r="K2155" t="e">
        <f t="shared" si="134"/>
        <v>#VALUE!</v>
      </c>
      <c r="L2155" t="e">
        <f t="shared" si="135"/>
        <v>#VALUE!</v>
      </c>
    </row>
    <row r="2156" spans="1:12" x14ac:dyDescent="0.35">
      <c r="A2156">
        <v>2169</v>
      </c>
      <c r="B2156" t="s">
        <v>5792</v>
      </c>
      <c r="C2156" t="s">
        <v>10593</v>
      </c>
      <c r="D2156" t="s">
        <v>5791</v>
      </c>
      <c r="E2156" t="s">
        <v>5776</v>
      </c>
      <c r="F2156" t="s">
        <v>5787</v>
      </c>
      <c r="G2156" t="s">
        <v>5774</v>
      </c>
      <c r="I2156" t="str">
        <f t="shared" si="132"/>
        <v>October 17, 520</v>
      </c>
      <c r="J2156" t="str">
        <f t="shared" si="133"/>
        <v>BC</v>
      </c>
      <c r="K2156" t="e">
        <f t="shared" si="134"/>
        <v>#VALUE!</v>
      </c>
      <c r="L2156" t="e">
        <f t="shared" si="135"/>
        <v>#VALUE!</v>
      </c>
    </row>
    <row r="2157" spans="1:12" x14ac:dyDescent="0.35">
      <c r="A2157">
        <v>2170</v>
      </c>
      <c r="B2157" t="s">
        <v>5790</v>
      </c>
      <c r="C2157" t="s">
        <v>11673</v>
      </c>
      <c r="D2157" t="s">
        <v>5788</v>
      </c>
      <c r="E2157" t="s">
        <v>5776</v>
      </c>
      <c r="F2157" t="s">
        <v>5787</v>
      </c>
      <c r="G2157" t="s">
        <v>5774</v>
      </c>
      <c r="I2157" t="str">
        <f t="shared" si="132"/>
        <v>October 17, 520</v>
      </c>
      <c r="J2157" t="str">
        <f t="shared" si="133"/>
        <v>BC</v>
      </c>
      <c r="K2157" t="e">
        <f t="shared" si="134"/>
        <v>#VALUE!</v>
      </c>
      <c r="L2157" t="e">
        <f t="shared" si="135"/>
        <v>#VALUE!</v>
      </c>
    </row>
    <row r="2158" spans="1:12" x14ac:dyDescent="0.35">
      <c r="A2158">
        <v>2171</v>
      </c>
      <c r="B2158" t="s">
        <v>5789</v>
      </c>
      <c r="C2158" t="s">
        <v>11585</v>
      </c>
      <c r="D2158" t="s">
        <v>5788</v>
      </c>
      <c r="E2158" t="s">
        <v>5776</v>
      </c>
      <c r="F2158" t="s">
        <v>5787</v>
      </c>
      <c r="G2158" t="s">
        <v>5774</v>
      </c>
      <c r="I2158" t="str">
        <f t="shared" si="132"/>
        <v>October 17, 520</v>
      </c>
      <c r="J2158" t="str">
        <f t="shared" si="133"/>
        <v>BC</v>
      </c>
      <c r="K2158" t="e">
        <f t="shared" si="134"/>
        <v>#VALUE!</v>
      </c>
      <c r="L2158" t="e">
        <f t="shared" si="135"/>
        <v>#VALUE!</v>
      </c>
    </row>
    <row r="2159" spans="1:12" x14ac:dyDescent="0.35">
      <c r="A2159">
        <v>2172</v>
      </c>
      <c r="B2159" t="s">
        <v>5786</v>
      </c>
      <c r="C2159" t="s">
        <v>11674</v>
      </c>
      <c r="D2159" t="s">
        <v>5785</v>
      </c>
      <c r="E2159" t="s">
        <v>5776</v>
      </c>
      <c r="F2159" t="s">
        <v>5775</v>
      </c>
      <c r="G2159" t="s">
        <v>5774</v>
      </c>
      <c r="I2159" t="str">
        <f t="shared" si="132"/>
        <v>December 18, 520</v>
      </c>
      <c r="J2159" t="str">
        <f t="shared" si="133"/>
        <v>BC</v>
      </c>
      <c r="K2159" t="e">
        <f t="shared" si="134"/>
        <v>#VALUE!</v>
      </c>
      <c r="L2159" t="e">
        <f t="shared" si="135"/>
        <v>#VALUE!</v>
      </c>
    </row>
    <row r="2160" spans="1:12" x14ac:dyDescent="0.35">
      <c r="A2160">
        <v>2173</v>
      </c>
      <c r="B2160" t="s">
        <v>5784</v>
      </c>
      <c r="C2160" t="s">
        <v>11623</v>
      </c>
      <c r="D2160" t="s">
        <v>5783</v>
      </c>
      <c r="E2160" t="s">
        <v>5776</v>
      </c>
      <c r="F2160" t="s">
        <v>5775</v>
      </c>
      <c r="G2160" t="s">
        <v>5774</v>
      </c>
      <c r="I2160" t="str">
        <f t="shared" si="132"/>
        <v>December 18, 520</v>
      </c>
      <c r="J2160" t="str">
        <f t="shared" si="133"/>
        <v>BC</v>
      </c>
      <c r="K2160" t="e">
        <f t="shared" si="134"/>
        <v>#VALUE!</v>
      </c>
      <c r="L2160" t="e">
        <f t="shared" si="135"/>
        <v>#VALUE!</v>
      </c>
    </row>
    <row r="2161" spans="1:12" x14ac:dyDescent="0.35">
      <c r="A2161">
        <v>2174</v>
      </c>
      <c r="B2161" t="s">
        <v>5782</v>
      </c>
      <c r="C2161" t="s">
        <v>11675</v>
      </c>
      <c r="D2161" t="s">
        <v>5781</v>
      </c>
      <c r="E2161" t="s">
        <v>5776</v>
      </c>
      <c r="F2161" t="s">
        <v>5775</v>
      </c>
      <c r="G2161" t="s">
        <v>5774</v>
      </c>
      <c r="I2161" t="str">
        <f t="shared" si="132"/>
        <v>December 18, 520</v>
      </c>
      <c r="J2161" t="str">
        <f t="shared" si="133"/>
        <v>BC</v>
      </c>
      <c r="K2161" t="e">
        <f t="shared" si="134"/>
        <v>#VALUE!</v>
      </c>
      <c r="L2161" t="e">
        <f t="shared" si="135"/>
        <v>#VALUE!</v>
      </c>
    </row>
    <row r="2162" spans="1:12" x14ac:dyDescent="0.35">
      <c r="A2162">
        <v>2175</v>
      </c>
      <c r="B2162" t="s">
        <v>5780</v>
      </c>
      <c r="C2162" t="s">
        <v>11676</v>
      </c>
      <c r="D2162" t="s">
        <v>5779</v>
      </c>
      <c r="E2162" t="s">
        <v>5776</v>
      </c>
      <c r="F2162" t="s">
        <v>5775</v>
      </c>
      <c r="G2162" t="s">
        <v>5774</v>
      </c>
      <c r="I2162" t="str">
        <f t="shared" si="132"/>
        <v>December 18, 520</v>
      </c>
      <c r="J2162" t="str">
        <f t="shared" si="133"/>
        <v>BC</v>
      </c>
      <c r="K2162" t="e">
        <f t="shared" si="134"/>
        <v>#VALUE!</v>
      </c>
      <c r="L2162" t="e">
        <f t="shared" si="135"/>
        <v>#VALUE!</v>
      </c>
    </row>
    <row r="2163" spans="1:12" x14ac:dyDescent="0.35">
      <c r="A2163">
        <v>2176</v>
      </c>
      <c r="B2163" t="s">
        <v>5778</v>
      </c>
      <c r="C2163" t="s">
        <v>11677</v>
      </c>
      <c r="D2163" t="s">
        <v>5777</v>
      </c>
      <c r="E2163" t="s">
        <v>5776</v>
      </c>
      <c r="F2163" t="s">
        <v>5775</v>
      </c>
      <c r="G2163" t="s">
        <v>5774</v>
      </c>
      <c r="I2163" t="str">
        <f t="shared" si="132"/>
        <v>December 18, 520</v>
      </c>
      <c r="J2163" t="str">
        <f t="shared" si="133"/>
        <v>BC</v>
      </c>
      <c r="K2163" t="e">
        <f t="shared" si="134"/>
        <v>#VALUE!</v>
      </c>
      <c r="L2163" t="e">
        <f t="shared" si="135"/>
        <v>#VALUE!</v>
      </c>
    </row>
    <row r="2164" spans="1:12" x14ac:dyDescent="0.35">
      <c r="A2164">
        <v>2177</v>
      </c>
      <c r="B2164" t="s">
        <v>5928</v>
      </c>
      <c r="C2164" t="s">
        <v>10541</v>
      </c>
      <c r="D2164" t="s">
        <v>5927</v>
      </c>
      <c r="E2164" t="s">
        <v>4662</v>
      </c>
      <c r="F2164" t="s">
        <v>5898</v>
      </c>
      <c r="G2164" t="s">
        <v>5773</v>
      </c>
      <c r="I2164" t="str">
        <f t="shared" ref="I2164:I2227" si="136">SUBSTITUTE(SUBSTITUTE(SUBSTITUTE(F2164,"c. ","")," BC","")," AD","")</f>
        <v>520-518</v>
      </c>
      <c r="J2164" t="str">
        <f t="shared" si="133"/>
        <v>BC</v>
      </c>
      <c r="K2164">
        <f t="shared" si="134"/>
        <v>-520</v>
      </c>
      <c r="L2164">
        <f t="shared" si="135"/>
        <v>-518</v>
      </c>
    </row>
    <row r="2165" spans="1:12" x14ac:dyDescent="0.35">
      <c r="A2165">
        <v>2178</v>
      </c>
      <c r="B2165" t="s">
        <v>5926</v>
      </c>
      <c r="C2165" t="s">
        <v>10524</v>
      </c>
      <c r="D2165" t="s">
        <v>5925</v>
      </c>
      <c r="E2165" t="s">
        <v>4662</v>
      </c>
      <c r="F2165" t="s">
        <v>5898</v>
      </c>
      <c r="G2165" t="s">
        <v>63</v>
      </c>
      <c r="I2165" t="str">
        <f t="shared" si="136"/>
        <v>520-518</v>
      </c>
      <c r="J2165" t="str">
        <f t="shared" si="133"/>
        <v>BC</v>
      </c>
      <c r="K2165">
        <f t="shared" si="134"/>
        <v>-520</v>
      </c>
      <c r="L2165">
        <f t="shared" si="135"/>
        <v>-518</v>
      </c>
    </row>
    <row r="2166" spans="1:12" x14ac:dyDescent="0.35">
      <c r="A2166">
        <v>2179</v>
      </c>
      <c r="B2166" t="s">
        <v>5924</v>
      </c>
      <c r="C2166" t="s">
        <v>11678</v>
      </c>
      <c r="D2166" t="s">
        <v>5923</v>
      </c>
      <c r="E2166" t="s">
        <v>4662</v>
      </c>
      <c r="F2166" t="s">
        <v>5898</v>
      </c>
      <c r="G2166" t="s">
        <v>4938</v>
      </c>
      <c r="I2166" t="str">
        <f t="shared" si="136"/>
        <v>520-518</v>
      </c>
      <c r="J2166" t="str">
        <f t="shared" si="133"/>
        <v>BC</v>
      </c>
      <c r="K2166">
        <f t="shared" si="134"/>
        <v>-520</v>
      </c>
      <c r="L2166">
        <f t="shared" si="135"/>
        <v>-518</v>
      </c>
    </row>
    <row r="2167" spans="1:12" x14ac:dyDescent="0.35">
      <c r="A2167">
        <v>2180</v>
      </c>
      <c r="B2167" t="s">
        <v>5922</v>
      </c>
      <c r="C2167" t="s">
        <v>11679</v>
      </c>
      <c r="D2167" t="s">
        <v>5921</v>
      </c>
      <c r="E2167" t="s">
        <v>4662</v>
      </c>
      <c r="F2167" t="s">
        <v>5898</v>
      </c>
      <c r="G2167" t="s">
        <v>4938</v>
      </c>
      <c r="I2167" t="str">
        <f t="shared" si="136"/>
        <v>520-518</v>
      </c>
      <c r="J2167" t="str">
        <f t="shared" si="133"/>
        <v>BC</v>
      </c>
      <c r="K2167">
        <f t="shared" si="134"/>
        <v>-520</v>
      </c>
      <c r="L2167">
        <f t="shared" si="135"/>
        <v>-518</v>
      </c>
    </row>
    <row r="2168" spans="1:12" x14ac:dyDescent="0.35">
      <c r="A2168">
        <v>2181</v>
      </c>
      <c r="B2168" t="s">
        <v>5920</v>
      </c>
      <c r="C2168" t="s">
        <v>10252</v>
      </c>
      <c r="D2168" t="s">
        <v>5919</v>
      </c>
      <c r="E2168" t="s">
        <v>4662</v>
      </c>
      <c r="F2168" t="s">
        <v>5898</v>
      </c>
      <c r="G2168" t="s">
        <v>53</v>
      </c>
      <c r="I2168" t="str">
        <f t="shared" si="136"/>
        <v>520-518</v>
      </c>
      <c r="J2168" t="str">
        <f t="shared" si="133"/>
        <v>BC</v>
      </c>
      <c r="K2168">
        <f t="shared" si="134"/>
        <v>-520</v>
      </c>
      <c r="L2168">
        <f t="shared" si="135"/>
        <v>-518</v>
      </c>
    </row>
    <row r="2169" spans="1:12" x14ac:dyDescent="0.35">
      <c r="A2169">
        <v>2182</v>
      </c>
      <c r="B2169" t="s">
        <v>5918</v>
      </c>
      <c r="C2169" t="s">
        <v>11680</v>
      </c>
      <c r="D2169" t="s">
        <v>5917</v>
      </c>
      <c r="E2169" t="s">
        <v>4662</v>
      </c>
      <c r="F2169" t="s">
        <v>5898</v>
      </c>
      <c r="G2169" t="s">
        <v>63</v>
      </c>
      <c r="I2169" t="str">
        <f t="shared" si="136"/>
        <v>520-518</v>
      </c>
      <c r="J2169" t="str">
        <f t="shared" si="133"/>
        <v>BC</v>
      </c>
      <c r="K2169">
        <f t="shared" si="134"/>
        <v>-520</v>
      </c>
      <c r="L2169">
        <f t="shared" si="135"/>
        <v>-518</v>
      </c>
    </row>
    <row r="2170" spans="1:12" x14ac:dyDescent="0.35">
      <c r="A2170">
        <v>2183</v>
      </c>
      <c r="B2170" t="s">
        <v>5916</v>
      </c>
      <c r="C2170" t="s">
        <v>11681</v>
      </c>
      <c r="D2170" t="s">
        <v>5915</v>
      </c>
      <c r="E2170" t="s">
        <v>4662</v>
      </c>
      <c r="F2170" t="s">
        <v>5898</v>
      </c>
      <c r="G2170" t="s">
        <v>63</v>
      </c>
      <c r="I2170" t="str">
        <f t="shared" si="136"/>
        <v>520-518</v>
      </c>
      <c r="J2170" t="str">
        <f t="shared" si="133"/>
        <v>BC</v>
      </c>
      <c r="K2170">
        <f t="shared" si="134"/>
        <v>-520</v>
      </c>
      <c r="L2170">
        <f t="shared" si="135"/>
        <v>-518</v>
      </c>
    </row>
    <row r="2171" spans="1:12" x14ac:dyDescent="0.35">
      <c r="A2171">
        <v>2184</v>
      </c>
      <c r="B2171" t="s">
        <v>5914</v>
      </c>
      <c r="C2171" t="s">
        <v>11643</v>
      </c>
      <c r="D2171" t="s">
        <v>5913</v>
      </c>
      <c r="E2171" t="s">
        <v>4662</v>
      </c>
      <c r="F2171" t="s">
        <v>5898</v>
      </c>
      <c r="G2171" t="s">
        <v>63</v>
      </c>
      <c r="I2171" t="str">
        <f t="shared" si="136"/>
        <v>520-518</v>
      </c>
      <c r="J2171" t="str">
        <f t="shared" si="133"/>
        <v>BC</v>
      </c>
      <c r="K2171">
        <f t="shared" si="134"/>
        <v>-520</v>
      </c>
      <c r="L2171">
        <f t="shared" si="135"/>
        <v>-518</v>
      </c>
    </row>
    <row r="2172" spans="1:12" x14ac:dyDescent="0.35">
      <c r="A2172">
        <v>2185</v>
      </c>
      <c r="B2172" t="s">
        <v>5912</v>
      </c>
      <c r="C2172" t="s">
        <v>10524</v>
      </c>
      <c r="D2172" t="s">
        <v>5911</v>
      </c>
      <c r="E2172" t="s">
        <v>4662</v>
      </c>
      <c r="F2172" t="s">
        <v>5898</v>
      </c>
      <c r="G2172" t="s">
        <v>4938</v>
      </c>
      <c r="I2172" t="str">
        <f t="shared" si="136"/>
        <v>520-518</v>
      </c>
      <c r="J2172" t="str">
        <f t="shared" si="133"/>
        <v>BC</v>
      </c>
      <c r="K2172">
        <f t="shared" si="134"/>
        <v>-520</v>
      </c>
      <c r="L2172">
        <f t="shared" si="135"/>
        <v>-518</v>
      </c>
    </row>
    <row r="2173" spans="1:12" x14ac:dyDescent="0.35">
      <c r="A2173">
        <v>2186</v>
      </c>
      <c r="B2173" t="s">
        <v>5910</v>
      </c>
      <c r="C2173" t="s">
        <v>10594</v>
      </c>
      <c r="D2173" t="s">
        <v>5909</v>
      </c>
      <c r="E2173" t="s">
        <v>4662</v>
      </c>
      <c r="F2173" t="s">
        <v>5898</v>
      </c>
      <c r="G2173" t="s">
        <v>4938</v>
      </c>
      <c r="I2173" t="str">
        <f t="shared" si="136"/>
        <v>520-518</v>
      </c>
      <c r="J2173" t="str">
        <f t="shared" si="133"/>
        <v>BC</v>
      </c>
      <c r="K2173">
        <f t="shared" si="134"/>
        <v>-520</v>
      </c>
      <c r="L2173">
        <f t="shared" si="135"/>
        <v>-518</v>
      </c>
    </row>
    <row r="2174" spans="1:12" x14ac:dyDescent="0.35">
      <c r="A2174">
        <v>2187</v>
      </c>
      <c r="B2174" t="s">
        <v>5908</v>
      </c>
      <c r="C2174" t="s">
        <v>11361</v>
      </c>
      <c r="D2174" t="s">
        <v>5907</v>
      </c>
      <c r="E2174" t="s">
        <v>4662</v>
      </c>
      <c r="F2174" t="s">
        <v>5898</v>
      </c>
      <c r="G2174" t="s">
        <v>53</v>
      </c>
      <c r="I2174" t="str">
        <f t="shared" si="136"/>
        <v>520-518</v>
      </c>
      <c r="J2174" t="str">
        <f t="shared" si="133"/>
        <v>BC</v>
      </c>
      <c r="K2174">
        <f t="shared" si="134"/>
        <v>-520</v>
      </c>
      <c r="L2174">
        <f t="shared" si="135"/>
        <v>-518</v>
      </c>
    </row>
    <row r="2175" spans="1:12" x14ac:dyDescent="0.35">
      <c r="A2175">
        <v>2188</v>
      </c>
      <c r="B2175" t="s">
        <v>5906</v>
      </c>
      <c r="C2175" t="s">
        <v>11591</v>
      </c>
      <c r="D2175" t="s">
        <v>5905</v>
      </c>
      <c r="E2175" t="s">
        <v>4662</v>
      </c>
      <c r="F2175" t="s">
        <v>5898</v>
      </c>
      <c r="G2175" t="s">
        <v>4938</v>
      </c>
      <c r="I2175" t="str">
        <f t="shared" si="136"/>
        <v>520-518</v>
      </c>
      <c r="J2175" t="str">
        <f t="shared" si="133"/>
        <v>BC</v>
      </c>
      <c r="K2175">
        <f t="shared" si="134"/>
        <v>-520</v>
      </c>
      <c r="L2175">
        <f t="shared" si="135"/>
        <v>-518</v>
      </c>
    </row>
    <row r="2176" spans="1:12" x14ac:dyDescent="0.35">
      <c r="A2176">
        <v>2189</v>
      </c>
      <c r="B2176" t="s">
        <v>5904</v>
      </c>
      <c r="C2176" t="s">
        <v>11680</v>
      </c>
      <c r="D2176" t="s">
        <v>5903</v>
      </c>
      <c r="E2176" t="s">
        <v>4662</v>
      </c>
      <c r="F2176" t="s">
        <v>5898</v>
      </c>
      <c r="G2176" t="s">
        <v>4938</v>
      </c>
      <c r="I2176" t="str">
        <f t="shared" si="136"/>
        <v>520-518</v>
      </c>
      <c r="J2176" t="str">
        <f t="shared" si="133"/>
        <v>BC</v>
      </c>
      <c r="K2176">
        <f t="shared" si="134"/>
        <v>-520</v>
      </c>
      <c r="L2176">
        <f t="shared" si="135"/>
        <v>-518</v>
      </c>
    </row>
    <row r="2177" spans="1:12" x14ac:dyDescent="0.35">
      <c r="A2177">
        <v>2190</v>
      </c>
      <c r="B2177" t="s">
        <v>5902</v>
      </c>
      <c r="C2177" t="s">
        <v>11682</v>
      </c>
      <c r="D2177" t="s">
        <v>5901</v>
      </c>
      <c r="E2177" t="s">
        <v>4662</v>
      </c>
      <c r="F2177" t="s">
        <v>5898</v>
      </c>
      <c r="G2177" t="s">
        <v>4938</v>
      </c>
      <c r="I2177" t="str">
        <f t="shared" si="136"/>
        <v>520-518</v>
      </c>
      <c r="J2177" t="str">
        <f t="shared" si="133"/>
        <v>BC</v>
      </c>
      <c r="K2177">
        <f t="shared" si="134"/>
        <v>-520</v>
      </c>
      <c r="L2177">
        <f t="shared" si="135"/>
        <v>-518</v>
      </c>
    </row>
    <row r="2178" spans="1:12" x14ac:dyDescent="0.35">
      <c r="A2178">
        <v>2191</v>
      </c>
      <c r="B2178" t="s">
        <v>5900</v>
      </c>
      <c r="C2178" t="s">
        <v>11621</v>
      </c>
      <c r="D2178" t="s">
        <v>5899</v>
      </c>
      <c r="E2178" t="s">
        <v>4662</v>
      </c>
      <c r="F2178" t="s">
        <v>5898</v>
      </c>
      <c r="G2178" t="s">
        <v>5773</v>
      </c>
      <c r="I2178" t="str">
        <f t="shared" si="136"/>
        <v>520-518</v>
      </c>
      <c r="J2178" t="str">
        <f t="shared" ref="J2178:J2241" si="137">RIGHT(F2178, 2)</f>
        <v>BC</v>
      </c>
      <c r="K2178">
        <f t="shared" ref="K2178:K2241" si="138">IF(J2178="BC", 0-IF(ISERROR(FIND("-",I2178)),I2178,LEFT(I2178,FIND("-",I2178)-1)), IF(ISERROR(FIND("-",I2178)),I2178,LEFT(I2178,FIND("-",I2178)-1)))</f>
        <v>-520</v>
      </c>
      <c r="L2178">
        <f t="shared" ref="L2178:L2241" si="139">IF(J2178="BC", 0-IF(ISERROR(FIND("-",I2178)),I2178,RIGHT(I2178,FIND("-",I2178)-1)), IF(ISERROR(FIND("-",I2178)),I2178,RIGHT(I2178,FIND("-",I2178)-1)))</f>
        <v>-518</v>
      </c>
    </row>
    <row r="2179" spans="1:12" x14ac:dyDescent="0.35">
      <c r="A2179">
        <v>2192</v>
      </c>
      <c r="B2179" t="s">
        <v>5897</v>
      </c>
      <c r="C2179" t="s">
        <v>10498</v>
      </c>
      <c r="D2179" t="s">
        <v>5896</v>
      </c>
      <c r="E2179" t="s">
        <v>4662</v>
      </c>
      <c r="F2179" t="s">
        <v>5878</v>
      </c>
      <c r="G2179" t="s">
        <v>5773</v>
      </c>
      <c r="I2179" t="str">
        <f t="shared" si="136"/>
        <v>518</v>
      </c>
      <c r="J2179" t="str">
        <f t="shared" si="137"/>
        <v>BC</v>
      </c>
      <c r="K2179">
        <f t="shared" si="138"/>
        <v>-518</v>
      </c>
      <c r="L2179">
        <f t="shared" si="139"/>
        <v>-518</v>
      </c>
    </row>
    <row r="2180" spans="1:12" x14ac:dyDescent="0.35">
      <c r="A2180">
        <v>2193</v>
      </c>
      <c r="B2180" t="s">
        <v>5895</v>
      </c>
      <c r="C2180" t="s">
        <v>11173</v>
      </c>
      <c r="D2180" t="s">
        <v>5894</v>
      </c>
      <c r="E2180" t="s">
        <v>4662</v>
      </c>
      <c r="F2180" t="s">
        <v>5878</v>
      </c>
      <c r="G2180" t="s">
        <v>53</v>
      </c>
      <c r="I2180" t="str">
        <f t="shared" si="136"/>
        <v>518</v>
      </c>
      <c r="J2180" t="str">
        <f t="shared" si="137"/>
        <v>BC</v>
      </c>
      <c r="K2180">
        <f t="shared" si="138"/>
        <v>-518</v>
      </c>
      <c r="L2180">
        <f t="shared" si="139"/>
        <v>-518</v>
      </c>
    </row>
    <row r="2181" spans="1:12" x14ac:dyDescent="0.35">
      <c r="A2181">
        <v>2194</v>
      </c>
      <c r="B2181" t="s">
        <v>5893</v>
      </c>
      <c r="C2181" t="s">
        <v>10073</v>
      </c>
      <c r="D2181" t="s">
        <v>5892</v>
      </c>
      <c r="E2181" t="s">
        <v>4662</v>
      </c>
      <c r="F2181" t="s">
        <v>5878</v>
      </c>
      <c r="G2181" t="s">
        <v>53</v>
      </c>
      <c r="I2181" t="str">
        <f t="shared" si="136"/>
        <v>518</v>
      </c>
      <c r="J2181" t="str">
        <f t="shared" si="137"/>
        <v>BC</v>
      </c>
      <c r="K2181">
        <f t="shared" si="138"/>
        <v>-518</v>
      </c>
      <c r="L2181">
        <f t="shared" si="139"/>
        <v>-518</v>
      </c>
    </row>
    <row r="2182" spans="1:12" x14ac:dyDescent="0.35">
      <c r="A2182">
        <v>2195</v>
      </c>
      <c r="B2182" t="s">
        <v>5891</v>
      </c>
      <c r="C2182" t="s">
        <v>10037</v>
      </c>
      <c r="D2182" t="s">
        <v>5890</v>
      </c>
      <c r="E2182" t="s">
        <v>5881</v>
      </c>
      <c r="F2182" t="s">
        <v>5878</v>
      </c>
      <c r="G2182" t="s">
        <v>5773</v>
      </c>
      <c r="I2182" t="str">
        <f t="shared" si="136"/>
        <v>518</v>
      </c>
      <c r="J2182" t="str">
        <f t="shared" si="137"/>
        <v>BC</v>
      </c>
      <c r="K2182">
        <f t="shared" si="138"/>
        <v>-518</v>
      </c>
      <c r="L2182">
        <f t="shared" si="139"/>
        <v>-518</v>
      </c>
    </row>
    <row r="2183" spans="1:12" x14ac:dyDescent="0.35">
      <c r="A2183">
        <v>2196</v>
      </c>
      <c r="B2183" t="s">
        <v>5889</v>
      </c>
      <c r="C2183" t="s">
        <v>10595</v>
      </c>
      <c r="D2183" t="s">
        <v>5888</v>
      </c>
      <c r="E2183" t="s">
        <v>1211</v>
      </c>
      <c r="F2183" t="s">
        <v>5878</v>
      </c>
      <c r="G2183" t="s">
        <v>5773</v>
      </c>
      <c r="I2183" t="str">
        <f t="shared" si="136"/>
        <v>518</v>
      </c>
      <c r="J2183" t="str">
        <f t="shared" si="137"/>
        <v>BC</v>
      </c>
      <c r="K2183">
        <f t="shared" si="138"/>
        <v>-518</v>
      </c>
      <c r="L2183">
        <f t="shared" si="139"/>
        <v>-518</v>
      </c>
    </row>
    <row r="2184" spans="1:12" x14ac:dyDescent="0.35">
      <c r="A2184">
        <v>2197</v>
      </c>
      <c r="B2184" t="s">
        <v>5887</v>
      </c>
      <c r="C2184" t="s">
        <v>11242</v>
      </c>
      <c r="D2184" t="s">
        <v>5886</v>
      </c>
      <c r="E2184" t="s">
        <v>4662</v>
      </c>
      <c r="F2184" t="s">
        <v>5878</v>
      </c>
      <c r="G2184" t="s">
        <v>53</v>
      </c>
      <c r="I2184" t="str">
        <f t="shared" si="136"/>
        <v>518</v>
      </c>
      <c r="J2184" t="str">
        <f t="shared" si="137"/>
        <v>BC</v>
      </c>
      <c r="K2184">
        <f t="shared" si="138"/>
        <v>-518</v>
      </c>
      <c r="L2184">
        <f t="shared" si="139"/>
        <v>-518</v>
      </c>
    </row>
    <row r="2185" spans="1:12" x14ac:dyDescent="0.35">
      <c r="A2185">
        <v>2198</v>
      </c>
      <c r="B2185" t="s">
        <v>5885</v>
      </c>
      <c r="C2185" t="s">
        <v>10537</v>
      </c>
      <c r="D2185" t="s">
        <v>5884</v>
      </c>
      <c r="E2185" t="s">
        <v>4662</v>
      </c>
      <c r="F2185" t="s">
        <v>5878</v>
      </c>
      <c r="G2185" t="s">
        <v>53</v>
      </c>
      <c r="I2185" t="str">
        <f t="shared" si="136"/>
        <v>518</v>
      </c>
      <c r="J2185" t="str">
        <f t="shared" si="137"/>
        <v>BC</v>
      </c>
      <c r="K2185">
        <f t="shared" si="138"/>
        <v>-518</v>
      </c>
      <c r="L2185">
        <f t="shared" si="139"/>
        <v>-518</v>
      </c>
    </row>
    <row r="2186" spans="1:12" x14ac:dyDescent="0.35">
      <c r="A2186">
        <v>2199</v>
      </c>
      <c r="B2186" t="s">
        <v>5883</v>
      </c>
      <c r="C2186" t="s">
        <v>11637</v>
      </c>
      <c r="D2186" t="s">
        <v>5882</v>
      </c>
      <c r="E2186" t="s">
        <v>5881</v>
      </c>
      <c r="F2186" t="s">
        <v>5878</v>
      </c>
      <c r="G2186" t="s">
        <v>53</v>
      </c>
      <c r="I2186" t="str">
        <f t="shared" si="136"/>
        <v>518</v>
      </c>
      <c r="J2186" t="str">
        <f t="shared" si="137"/>
        <v>BC</v>
      </c>
      <c r="K2186">
        <f t="shared" si="138"/>
        <v>-518</v>
      </c>
      <c r="L2186">
        <f t="shared" si="139"/>
        <v>-518</v>
      </c>
    </row>
    <row r="2187" spans="1:12" x14ac:dyDescent="0.35">
      <c r="A2187">
        <v>2200</v>
      </c>
      <c r="B2187" t="s">
        <v>5880</v>
      </c>
      <c r="C2187" t="s">
        <v>10596</v>
      </c>
      <c r="D2187" t="s">
        <v>5879</v>
      </c>
      <c r="E2187" t="s">
        <v>4662</v>
      </c>
      <c r="F2187" t="s">
        <v>5878</v>
      </c>
      <c r="G2187" t="s">
        <v>5773</v>
      </c>
      <c r="I2187" t="str">
        <f t="shared" si="136"/>
        <v>518</v>
      </c>
      <c r="J2187" t="str">
        <f t="shared" si="137"/>
        <v>BC</v>
      </c>
      <c r="K2187">
        <f t="shared" si="138"/>
        <v>-518</v>
      </c>
      <c r="L2187">
        <f t="shared" si="139"/>
        <v>-518</v>
      </c>
    </row>
    <row r="2188" spans="1:12" x14ac:dyDescent="0.35">
      <c r="A2188">
        <v>2201</v>
      </c>
      <c r="B2188" t="s">
        <v>5877</v>
      </c>
      <c r="C2188" t="s">
        <v>11683</v>
      </c>
      <c r="D2188" t="s">
        <v>5876</v>
      </c>
      <c r="E2188" t="s">
        <v>1211</v>
      </c>
      <c r="F2188" t="s">
        <v>5303</v>
      </c>
      <c r="G2188" t="s">
        <v>53</v>
      </c>
      <c r="I2188" t="str">
        <f t="shared" si="136"/>
        <v>Future/Eschatological</v>
      </c>
      <c r="J2188" t="str">
        <f t="shared" si="137"/>
        <v>al</v>
      </c>
      <c r="K2188" t="str">
        <f t="shared" si="138"/>
        <v>Future/Eschatological</v>
      </c>
      <c r="L2188" t="str">
        <f t="shared" si="139"/>
        <v>Future/Eschatological</v>
      </c>
    </row>
    <row r="2189" spans="1:12" x14ac:dyDescent="0.35">
      <c r="A2189">
        <v>2202</v>
      </c>
      <c r="B2189" t="s">
        <v>5875</v>
      </c>
      <c r="C2189" t="s">
        <v>10252</v>
      </c>
      <c r="D2189" t="s">
        <v>5874</v>
      </c>
      <c r="E2189" t="s">
        <v>1211</v>
      </c>
      <c r="F2189" t="s">
        <v>5303</v>
      </c>
      <c r="G2189" t="s">
        <v>53</v>
      </c>
      <c r="I2189" t="str">
        <f t="shared" si="136"/>
        <v>Future/Eschatological</v>
      </c>
      <c r="J2189" t="str">
        <f t="shared" si="137"/>
        <v>al</v>
      </c>
      <c r="K2189" t="str">
        <f t="shared" si="138"/>
        <v>Future/Eschatological</v>
      </c>
      <c r="L2189" t="str">
        <f t="shared" si="139"/>
        <v>Future/Eschatological</v>
      </c>
    </row>
    <row r="2190" spans="1:12" x14ac:dyDescent="0.35">
      <c r="A2190">
        <v>2203</v>
      </c>
      <c r="B2190" t="s">
        <v>5873</v>
      </c>
      <c r="C2190" t="s">
        <v>11624</v>
      </c>
      <c r="D2190" t="s">
        <v>5872</v>
      </c>
      <c r="E2190" t="s">
        <v>4662</v>
      </c>
      <c r="F2190" t="s">
        <v>5303</v>
      </c>
      <c r="G2190" t="s">
        <v>53</v>
      </c>
      <c r="I2190" t="str">
        <f t="shared" si="136"/>
        <v>Future/Eschatological</v>
      </c>
      <c r="J2190" t="str">
        <f t="shared" si="137"/>
        <v>al</v>
      </c>
      <c r="K2190" t="str">
        <f t="shared" si="138"/>
        <v>Future/Eschatological</v>
      </c>
      <c r="L2190" t="str">
        <f t="shared" si="139"/>
        <v>Future/Eschatological</v>
      </c>
    </row>
    <row r="2191" spans="1:12" x14ac:dyDescent="0.35">
      <c r="A2191">
        <v>2204</v>
      </c>
      <c r="B2191" t="s">
        <v>5871</v>
      </c>
      <c r="C2191" t="s">
        <v>11643</v>
      </c>
      <c r="D2191" t="s">
        <v>5870</v>
      </c>
      <c r="E2191" t="s">
        <v>4662</v>
      </c>
      <c r="F2191" t="s">
        <v>5303</v>
      </c>
      <c r="G2191" t="s">
        <v>53</v>
      </c>
      <c r="I2191" t="str">
        <f t="shared" si="136"/>
        <v>Future/Eschatological</v>
      </c>
      <c r="J2191" t="str">
        <f t="shared" si="137"/>
        <v>al</v>
      </c>
      <c r="K2191" t="str">
        <f t="shared" si="138"/>
        <v>Future/Eschatological</v>
      </c>
      <c r="L2191" t="str">
        <f t="shared" si="139"/>
        <v>Future/Eschatological</v>
      </c>
    </row>
    <row r="2192" spans="1:12" x14ac:dyDescent="0.35">
      <c r="A2192">
        <v>2205</v>
      </c>
      <c r="B2192" t="s">
        <v>5869</v>
      </c>
      <c r="C2192" t="s">
        <v>10597</v>
      </c>
      <c r="D2192" t="s">
        <v>5868</v>
      </c>
      <c r="E2192" t="s">
        <v>4662</v>
      </c>
      <c r="F2192" t="s">
        <v>5303</v>
      </c>
      <c r="G2192" t="s">
        <v>53</v>
      </c>
      <c r="I2192" t="str">
        <f t="shared" si="136"/>
        <v>Future/Eschatological</v>
      </c>
      <c r="J2192" t="str">
        <f t="shared" si="137"/>
        <v>al</v>
      </c>
      <c r="K2192" t="str">
        <f t="shared" si="138"/>
        <v>Future/Eschatological</v>
      </c>
      <c r="L2192" t="str">
        <f t="shared" si="139"/>
        <v>Future/Eschatological</v>
      </c>
    </row>
    <row r="2193" spans="1:12" x14ac:dyDescent="0.35">
      <c r="A2193">
        <v>2206</v>
      </c>
      <c r="B2193" t="s">
        <v>5867</v>
      </c>
      <c r="C2193" t="s">
        <v>11684</v>
      </c>
      <c r="D2193" t="s">
        <v>5866</v>
      </c>
      <c r="E2193" t="s">
        <v>4662</v>
      </c>
      <c r="F2193" t="s">
        <v>5307</v>
      </c>
      <c r="G2193" t="s">
        <v>53</v>
      </c>
      <c r="I2193" t="str">
        <f t="shared" si="136"/>
        <v>Future/Messianic</v>
      </c>
      <c r="J2193" t="str">
        <f t="shared" si="137"/>
        <v>ic</v>
      </c>
      <c r="K2193" t="str">
        <f t="shared" si="138"/>
        <v>Future/Messianic</v>
      </c>
      <c r="L2193" t="str">
        <f t="shared" si="139"/>
        <v>Future/Messianic</v>
      </c>
    </row>
    <row r="2194" spans="1:12" x14ac:dyDescent="0.35">
      <c r="A2194">
        <v>2207</v>
      </c>
      <c r="B2194" t="s">
        <v>5865</v>
      </c>
      <c r="C2194" t="s">
        <v>10597</v>
      </c>
      <c r="D2194" t="s">
        <v>5864</v>
      </c>
      <c r="E2194" t="s">
        <v>4662</v>
      </c>
      <c r="F2194" t="s">
        <v>5303</v>
      </c>
      <c r="G2194" t="s">
        <v>53</v>
      </c>
      <c r="I2194" t="str">
        <f t="shared" si="136"/>
        <v>Future/Eschatological</v>
      </c>
      <c r="J2194" t="str">
        <f t="shared" si="137"/>
        <v>al</v>
      </c>
      <c r="K2194" t="str">
        <f t="shared" si="138"/>
        <v>Future/Eschatological</v>
      </c>
      <c r="L2194" t="str">
        <f t="shared" si="139"/>
        <v>Future/Eschatological</v>
      </c>
    </row>
    <row r="2195" spans="1:12" x14ac:dyDescent="0.35">
      <c r="A2195">
        <v>2208</v>
      </c>
      <c r="B2195" t="s">
        <v>5863</v>
      </c>
      <c r="C2195" t="s">
        <v>10598</v>
      </c>
      <c r="D2195" t="s">
        <v>5862</v>
      </c>
      <c r="E2195" t="s">
        <v>5142</v>
      </c>
      <c r="F2195" t="s">
        <v>5303</v>
      </c>
      <c r="G2195" t="s">
        <v>53</v>
      </c>
      <c r="I2195" t="str">
        <f t="shared" si="136"/>
        <v>Future/Eschatological</v>
      </c>
      <c r="J2195" t="str">
        <f t="shared" si="137"/>
        <v>al</v>
      </c>
      <c r="K2195" t="str">
        <f t="shared" si="138"/>
        <v>Future/Eschatological</v>
      </c>
      <c r="L2195" t="str">
        <f t="shared" si="139"/>
        <v>Future/Eschatological</v>
      </c>
    </row>
    <row r="2196" spans="1:12" x14ac:dyDescent="0.35">
      <c r="A2196">
        <v>2209</v>
      </c>
      <c r="B2196" t="s">
        <v>5861</v>
      </c>
      <c r="C2196" t="s">
        <v>11685</v>
      </c>
      <c r="D2196" t="s">
        <v>5860</v>
      </c>
      <c r="E2196" t="s">
        <v>1351</v>
      </c>
      <c r="F2196" t="s">
        <v>5303</v>
      </c>
      <c r="G2196" t="s">
        <v>53</v>
      </c>
      <c r="I2196" t="str">
        <f t="shared" si="136"/>
        <v>Future/Eschatological</v>
      </c>
      <c r="J2196" t="str">
        <f t="shared" si="137"/>
        <v>al</v>
      </c>
      <c r="K2196" t="str">
        <f t="shared" si="138"/>
        <v>Future/Eschatological</v>
      </c>
      <c r="L2196" t="str">
        <f t="shared" si="139"/>
        <v>Future/Eschatological</v>
      </c>
    </row>
    <row r="2197" spans="1:12" x14ac:dyDescent="0.35">
      <c r="A2197">
        <v>2210</v>
      </c>
      <c r="B2197" t="s">
        <v>5859</v>
      </c>
      <c r="C2197" t="s">
        <v>10049</v>
      </c>
      <c r="D2197" t="s">
        <v>5858</v>
      </c>
      <c r="E2197" t="s">
        <v>4437</v>
      </c>
      <c r="F2197" t="s">
        <v>5303</v>
      </c>
      <c r="G2197" t="s">
        <v>53</v>
      </c>
      <c r="I2197" t="str">
        <f t="shared" si="136"/>
        <v>Future/Eschatological</v>
      </c>
      <c r="J2197" t="str">
        <f t="shared" si="137"/>
        <v>al</v>
      </c>
      <c r="K2197" t="str">
        <f t="shared" si="138"/>
        <v>Future/Eschatological</v>
      </c>
      <c r="L2197" t="str">
        <f t="shared" si="139"/>
        <v>Future/Eschatological</v>
      </c>
    </row>
    <row r="2198" spans="1:12" x14ac:dyDescent="0.35">
      <c r="A2198">
        <v>2211</v>
      </c>
      <c r="B2198" t="s">
        <v>5857</v>
      </c>
      <c r="C2198" t="s">
        <v>11686</v>
      </c>
      <c r="D2198" t="s">
        <v>5856</v>
      </c>
      <c r="E2198" t="s">
        <v>5603</v>
      </c>
      <c r="F2198" t="s">
        <v>5303</v>
      </c>
      <c r="G2198" t="s">
        <v>53</v>
      </c>
      <c r="I2198" t="str">
        <f t="shared" si="136"/>
        <v>Future/Eschatological</v>
      </c>
      <c r="J2198" t="str">
        <f t="shared" si="137"/>
        <v>al</v>
      </c>
      <c r="K2198" t="str">
        <f t="shared" si="138"/>
        <v>Future/Eschatological</v>
      </c>
      <c r="L2198" t="str">
        <f t="shared" si="139"/>
        <v>Future/Eschatological</v>
      </c>
    </row>
    <row r="2199" spans="1:12" x14ac:dyDescent="0.35">
      <c r="A2199">
        <v>2212</v>
      </c>
      <c r="B2199" t="s">
        <v>5961</v>
      </c>
      <c r="C2199" t="s">
        <v>10599</v>
      </c>
      <c r="D2199" t="s">
        <v>5962</v>
      </c>
      <c r="E2199" t="s">
        <v>4662</v>
      </c>
      <c r="F2199" t="s">
        <v>5963</v>
      </c>
      <c r="G2199" t="s">
        <v>5964</v>
      </c>
      <c r="I2199" t="str">
        <f t="shared" si="136"/>
        <v>430-400</v>
      </c>
      <c r="J2199" t="str">
        <f t="shared" si="137"/>
        <v>BC</v>
      </c>
      <c r="K2199">
        <f t="shared" si="138"/>
        <v>-430</v>
      </c>
      <c r="L2199">
        <f t="shared" si="139"/>
        <v>-400</v>
      </c>
    </row>
    <row r="2200" spans="1:12" x14ac:dyDescent="0.35">
      <c r="A2200">
        <v>2213</v>
      </c>
      <c r="B2200" t="s">
        <v>5965</v>
      </c>
      <c r="C2200" t="s">
        <v>10538</v>
      </c>
      <c r="D2200" t="s">
        <v>5966</v>
      </c>
      <c r="E2200" t="s">
        <v>4662</v>
      </c>
      <c r="F2200" t="s">
        <v>5963</v>
      </c>
      <c r="G2200" t="s">
        <v>5964</v>
      </c>
      <c r="I2200" t="str">
        <f t="shared" si="136"/>
        <v>430-400</v>
      </c>
      <c r="J2200" t="str">
        <f t="shared" si="137"/>
        <v>BC</v>
      </c>
      <c r="K2200">
        <f t="shared" si="138"/>
        <v>-430</v>
      </c>
      <c r="L2200">
        <f t="shared" si="139"/>
        <v>-400</v>
      </c>
    </row>
    <row r="2201" spans="1:12" x14ac:dyDescent="0.35">
      <c r="A2201">
        <v>2214</v>
      </c>
      <c r="B2201" t="s">
        <v>5967</v>
      </c>
      <c r="C2201" t="s">
        <v>11687</v>
      </c>
      <c r="D2201" t="s">
        <v>5968</v>
      </c>
      <c r="E2201" t="s">
        <v>4662</v>
      </c>
      <c r="F2201" t="s">
        <v>5963</v>
      </c>
      <c r="G2201" t="s">
        <v>5964</v>
      </c>
      <c r="I2201" t="str">
        <f t="shared" si="136"/>
        <v>430-400</v>
      </c>
      <c r="J2201" t="str">
        <f t="shared" si="137"/>
        <v>BC</v>
      </c>
      <c r="K2201">
        <f t="shared" si="138"/>
        <v>-430</v>
      </c>
      <c r="L2201">
        <f t="shared" si="139"/>
        <v>-400</v>
      </c>
    </row>
    <row r="2202" spans="1:12" x14ac:dyDescent="0.35">
      <c r="A2202">
        <v>2215</v>
      </c>
      <c r="B2202" t="s">
        <v>5969</v>
      </c>
      <c r="C2202" t="s">
        <v>10600</v>
      </c>
      <c r="D2202" t="s">
        <v>5970</v>
      </c>
      <c r="E2202" t="s">
        <v>4662</v>
      </c>
      <c r="F2202" t="s">
        <v>5963</v>
      </c>
      <c r="G2202" t="s">
        <v>5964</v>
      </c>
      <c r="I2202" t="str">
        <f t="shared" si="136"/>
        <v>430-400</v>
      </c>
      <c r="J2202" t="str">
        <f t="shared" si="137"/>
        <v>BC</v>
      </c>
      <c r="K2202">
        <f t="shared" si="138"/>
        <v>-430</v>
      </c>
      <c r="L2202">
        <f t="shared" si="139"/>
        <v>-400</v>
      </c>
    </row>
    <row r="2203" spans="1:12" x14ac:dyDescent="0.35">
      <c r="A2203">
        <v>2216</v>
      </c>
      <c r="B2203" t="s">
        <v>5971</v>
      </c>
      <c r="C2203" t="s">
        <v>10555</v>
      </c>
      <c r="D2203" t="s">
        <v>5972</v>
      </c>
      <c r="E2203" t="s">
        <v>4662</v>
      </c>
      <c r="F2203" t="s">
        <v>5963</v>
      </c>
      <c r="G2203" t="s">
        <v>5964</v>
      </c>
      <c r="I2203" t="str">
        <f t="shared" si="136"/>
        <v>430-400</v>
      </c>
      <c r="J2203" t="str">
        <f t="shared" si="137"/>
        <v>BC</v>
      </c>
      <c r="K2203">
        <f t="shared" si="138"/>
        <v>-430</v>
      </c>
      <c r="L2203">
        <f t="shared" si="139"/>
        <v>-400</v>
      </c>
    </row>
    <row r="2204" spans="1:12" x14ac:dyDescent="0.35">
      <c r="A2204">
        <v>2217</v>
      </c>
      <c r="B2204" t="s">
        <v>5973</v>
      </c>
      <c r="C2204" t="s">
        <v>11629</v>
      </c>
      <c r="D2204" t="s">
        <v>5974</v>
      </c>
      <c r="E2204" t="s">
        <v>4662</v>
      </c>
      <c r="F2204" t="s">
        <v>5963</v>
      </c>
      <c r="G2204" t="s">
        <v>5964</v>
      </c>
      <c r="I2204" t="str">
        <f t="shared" si="136"/>
        <v>430-400</v>
      </c>
      <c r="J2204" t="str">
        <f t="shared" si="137"/>
        <v>BC</v>
      </c>
      <c r="K2204">
        <f t="shared" si="138"/>
        <v>-430</v>
      </c>
      <c r="L2204">
        <f t="shared" si="139"/>
        <v>-400</v>
      </c>
    </row>
    <row r="2205" spans="1:12" x14ac:dyDescent="0.35">
      <c r="A2205">
        <v>2218</v>
      </c>
      <c r="B2205" t="s">
        <v>5975</v>
      </c>
      <c r="C2205" t="s">
        <v>11688</v>
      </c>
      <c r="D2205" t="s">
        <v>5976</v>
      </c>
      <c r="E2205" t="s">
        <v>4662</v>
      </c>
      <c r="F2205" t="s">
        <v>5963</v>
      </c>
      <c r="G2205" t="s">
        <v>5964</v>
      </c>
      <c r="I2205" t="str">
        <f t="shared" si="136"/>
        <v>430-400</v>
      </c>
      <c r="J2205" t="str">
        <f t="shared" si="137"/>
        <v>BC</v>
      </c>
      <c r="K2205">
        <f t="shared" si="138"/>
        <v>-430</v>
      </c>
      <c r="L2205">
        <f t="shared" si="139"/>
        <v>-400</v>
      </c>
    </row>
    <row r="2206" spans="1:12" x14ac:dyDescent="0.35">
      <c r="A2206">
        <v>2219</v>
      </c>
      <c r="B2206" t="s">
        <v>5977</v>
      </c>
      <c r="C2206" t="s">
        <v>11689</v>
      </c>
      <c r="D2206" t="s">
        <v>5978</v>
      </c>
      <c r="E2206" t="s">
        <v>4662</v>
      </c>
      <c r="F2206" t="s">
        <v>5963</v>
      </c>
      <c r="G2206" t="s">
        <v>5964</v>
      </c>
      <c r="I2206" t="str">
        <f t="shared" si="136"/>
        <v>430-400</v>
      </c>
      <c r="J2206" t="str">
        <f t="shared" si="137"/>
        <v>BC</v>
      </c>
      <c r="K2206">
        <f t="shared" si="138"/>
        <v>-430</v>
      </c>
      <c r="L2206">
        <f t="shared" si="139"/>
        <v>-400</v>
      </c>
    </row>
    <row r="2207" spans="1:12" x14ac:dyDescent="0.35">
      <c r="A2207">
        <v>2220</v>
      </c>
      <c r="B2207" t="s">
        <v>5979</v>
      </c>
      <c r="C2207" t="s">
        <v>10601</v>
      </c>
      <c r="D2207" t="s">
        <v>5980</v>
      </c>
      <c r="E2207" t="s">
        <v>4662</v>
      </c>
      <c r="F2207" t="s">
        <v>5963</v>
      </c>
      <c r="G2207" t="s">
        <v>5964</v>
      </c>
      <c r="I2207" t="str">
        <f t="shared" si="136"/>
        <v>430-400</v>
      </c>
      <c r="J2207" t="str">
        <f t="shared" si="137"/>
        <v>BC</v>
      </c>
      <c r="K2207">
        <f t="shared" si="138"/>
        <v>-430</v>
      </c>
      <c r="L2207">
        <f t="shared" si="139"/>
        <v>-400</v>
      </c>
    </row>
    <row r="2208" spans="1:12" x14ac:dyDescent="0.35">
      <c r="A2208">
        <v>2221</v>
      </c>
      <c r="B2208" t="s">
        <v>5981</v>
      </c>
      <c r="C2208" t="s">
        <v>11623</v>
      </c>
      <c r="D2208" t="s">
        <v>5982</v>
      </c>
      <c r="E2208" t="s">
        <v>4662</v>
      </c>
      <c r="F2208" t="s">
        <v>5963</v>
      </c>
      <c r="G2208" t="s">
        <v>5964</v>
      </c>
      <c r="I2208" t="str">
        <f t="shared" si="136"/>
        <v>430-400</v>
      </c>
      <c r="J2208" t="str">
        <f t="shared" si="137"/>
        <v>BC</v>
      </c>
      <c r="K2208">
        <f t="shared" si="138"/>
        <v>-430</v>
      </c>
      <c r="L2208">
        <f t="shared" si="139"/>
        <v>-400</v>
      </c>
    </row>
    <row r="2209" spans="1:12" x14ac:dyDescent="0.35">
      <c r="A2209">
        <v>2222</v>
      </c>
      <c r="B2209" t="s">
        <v>5983</v>
      </c>
      <c r="C2209" t="s">
        <v>10252</v>
      </c>
      <c r="D2209" t="s">
        <v>5984</v>
      </c>
      <c r="E2209" t="s">
        <v>4662</v>
      </c>
      <c r="F2209" t="s">
        <v>5963</v>
      </c>
      <c r="G2209" t="s">
        <v>5964</v>
      </c>
      <c r="I2209" t="str">
        <f t="shared" si="136"/>
        <v>430-400</v>
      </c>
      <c r="J2209" t="str">
        <f t="shared" si="137"/>
        <v>BC</v>
      </c>
      <c r="K2209">
        <f t="shared" si="138"/>
        <v>-430</v>
      </c>
      <c r="L2209">
        <f t="shared" si="139"/>
        <v>-400</v>
      </c>
    </row>
    <row r="2210" spans="1:12" x14ac:dyDescent="0.35">
      <c r="A2210">
        <v>2223</v>
      </c>
      <c r="B2210" t="s">
        <v>5985</v>
      </c>
      <c r="C2210" t="s">
        <v>11690</v>
      </c>
      <c r="D2210" t="s">
        <v>5986</v>
      </c>
      <c r="E2210" t="s">
        <v>4662</v>
      </c>
      <c r="F2210" t="s">
        <v>5963</v>
      </c>
      <c r="G2210" t="s">
        <v>5964</v>
      </c>
      <c r="I2210" t="str">
        <f t="shared" si="136"/>
        <v>430-400</v>
      </c>
      <c r="J2210" t="str">
        <f t="shared" si="137"/>
        <v>BC</v>
      </c>
      <c r="K2210">
        <f t="shared" si="138"/>
        <v>-430</v>
      </c>
      <c r="L2210">
        <f t="shared" si="139"/>
        <v>-400</v>
      </c>
    </row>
    <row r="2211" spans="1:12" x14ac:dyDescent="0.35">
      <c r="A2211">
        <v>2224</v>
      </c>
      <c r="B2211" t="s">
        <v>5987</v>
      </c>
      <c r="C2211" t="s">
        <v>11691</v>
      </c>
      <c r="D2211" t="s">
        <v>5988</v>
      </c>
      <c r="E2211" t="s">
        <v>4662</v>
      </c>
      <c r="F2211" t="s">
        <v>5963</v>
      </c>
      <c r="G2211" t="s">
        <v>5964</v>
      </c>
      <c r="I2211" t="str">
        <f t="shared" si="136"/>
        <v>430-400</v>
      </c>
      <c r="J2211" t="str">
        <f t="shared" si="137"/>
        <v>BC</v>
      </c>
      <c r="K2211">
        <f t="shared" si="138"/>
        <v>-430</v>
      </c>
      <c r="L2211">
        <f t="shared" si="139"/>
        <v>-400</v>
      </c>
    </row>
    <row r="2212" spans="1:12" x14ac:dyDescent="0.35">
      <c r="A2212">
        <v>2225</v>
      </c>
      <c r="B2212" t="s">
        <v>5989</v>
      </c>
      <c r="C2212" t="s">
        <v>11639</v>
      </c>
      <c r="D2212" t="s">
        <v>5990</v>
      </c>
      <c r="E2212" t="s">
        <v>4662</v>
      </c>
      <c r="F2212" t="s">
        <v>5963</v>
      </c>
      <c r="G2212" t="s">
        <v>5964</v>
      </c>
      <c r="I2212" t="str">
        <f t="shared" si="136"/>
        <v>430-400</v>
      </c>
      <c r="J2212" t="str">
        <f t="shared" si="137"/>
        <v>BC</v>
      </c>
      <c r="K2212">
        <f t="shared" si="138"/>
        <v>-430</v>
      </c>
      <c r="L2212">
        <f t="shared" si="139"/>
        <v>-400</v>
      </c>
    </row>
    <row r="2213" spans="1:12" x14ac:dyDescent="0.35">
      <c r="A2213">
        <v>2226</v>
      </c>
      <c r="B2213" t="s">
        <v>5991</v>
      </c>
      <c r="C2213" t="s">
        <v>11692</v>
      </c>
      <c r="D2213" t="s">
        <v>5992</v>
      </c>
      <c r="E2213" t="s">
        <v>4662</v>
      </c>
      <c r="F2213" t="s">
        <v>5963</v>
      </c>
      <c r="G2213" t="s">
        <v>5964</v>
      </c>
      <c r="I2213" t="str">
        <f t="shared" si="136"/>
        <v>430-400</v>
      </c>
      <c r="J2213" t="str">
        <f t="shared" si="137"/>
        <v>BC</v>
      </c>
      <c r="K2213">
        <f t="shared" si="138"/>
        <v>-430</v>
      </c>
      <c r="L2213">
        <f t="shared" si="139"/>
        <v>-400</v>
      </c>
    </row>
    <row r="2214" spans="1:12" x14ac:dyDescent="0.35">
      <c r="A2214">
        <v>2227</v>
      </c>
      <c r="B2214" t="s">
        <v>5993</v>
      </c>
      <c r="C2214" t="s">
        <v>10602</v>
      </c>
      <c r="D2214" t="s">
        <v>5994</v>
      </c>
      <c r="E2214" t="s">
        <v>4662</v>
      </c>
      <c r="F2214" t="s">
        <v>5963</v>
      </c>
      <c r="G2214" t="s">
        <v>5964</v>
      </c>
      <c r="I2214" t="str">
        <f t="shared" si="136"/>
        <v>430-400</v>
      </c>
      <c r="J2214" t="str">
        <f t="shared" si="137"/>
        <v>BC</v>
      </c>
      <c r="K2214">
        <f t="shared" si="138"/>
        <v>-430</v>
      </c>
      <c r="L2214">
        <f t="shared" si="139"/>
        <v>-400</v>
      </c>
    </row>
    <row r="2215" spans="1:12" x14ac:dyDescent="0.35">
      <c r="A2215">
        <v>2228</v>
      </c>
      <c r="B2215" t="s">
        <v>5995</v>
      </c>
      <c r="C2215" t="s">
        <v>11693</v>
      </c>
      <c r="D2215" t="s">
        <v>5996</v>
      </c>
      <c r="E2215" t="s">
        <v>4662</v>
      </c>
      <c r="F2215" t="s">
        <v>5963</v>
      </c>
      <c r="G2215" t="s">
        <v>5964</v>
      </c>
      <c r="I2215" t="str">
        <f t="shared" si="136"/>
        <v>430-400</v>
      </c>
      <c r="J2215" t="str">
        <f t="shared" si="137"/>
        <v>BC</v>
      </c>
      <c r="K2215">
        <f t="shared" si="138"/>
        <v>-430</v>
      </c>
      <c r="L2215">
        <f t="shared" si="139"/>
        <v>-400</v>
      </c>
    </row>
    <row r="2216" spans="1:12" x14ac:dyDescent="0.35">
      <c r="A2216">
        <v>2229</v>
      </c>
      <c r="B2216" t="s">
        <v>6031</v>
      </c>
      <c r="C2216" t="s">
        <v>10008</v>
      </c>
      <c r="D2216" t="s">
        <v>6032</v>
      </c>
      <c r="E2216" t="s">
        <v>6033</v>
      </c>
      <c r="F2216" t="s">
        <v>6034</v>
      </c>
      <c r="G2216" t="s">
        <v>6035</v>
      </c>
      <c r="H2216" t="s">
        <v>6036</v>
      </c>
      <c r="I2216" t="str">
        <f t="shared" si="136"/>
        <v>5-4</v>
      </c>
      <c r="J2216" t="str">
        <f t="shared" si="137"/>
        <v>BC</v>
      </c>
      <c r="K2216">
        <f t="shared" si="138"/>
        <v>-5</v>
      </c>
      <c r="L2216">
        <f t="shared" si="139"/>
        <v>-4</v>
      </c>
    </row>
    <row r="2217" spans="1:12" x14ac:dyDescent="0.35">
      <c r="A2217">
        <v>2230</v>
      </c>
      <c r="B2217" t="s">
        <v>6037</v>
      </c>
      <c r="C2217" t="s">
        <v>10603</v>
      </c>
      <c r="D2217" t="s">
        <v>6038</v>
      </c>
      <c r="E2217" t="s">
        <v>6039</v>
      </c>
      <c r="F2217" t="s">
        <v>6034</v>
      </c>
      <c r="G2217" t="s">
        <v>6035</v>
      </c>
      <c r="H2217" t="s">
        <v>6041</v>
      </c>
      <c r="I2217" t="str">
        <f t="shared" si="136"/>
        <v>5-4</v>
      </c>
      <c r="J2217" t="str">
        <f t="shared" si="137"/>
        <v>BC</v>
      </c>
      <c r="K2217">
        <f t="shared" si="138"/>
        <v>-5</v>
      </c>
      <c r="L2217">
        <f t="shared" si="139"/>
        <v>-4</v>
      </c>
    </row>
    <row r="2218" spans="1:12" x14ac:dyDescent="0.35">
      <c r="A2218">
        <v>2231</v>
      </c>
      <c r="B2218" t="s">
        <v>6042</v>
      </c>
      <c r="C2218" t="s">
        <v>10604</v>
      </c>
      <c r="D2218" t="s">
        <v>6043</v>
      </c>
      <c r="E2218" t="s">
        <v>1102</v>
      </c>
      <c r="F2218" t="s">
        <v>6034</v>
      </c>
      <c r="G2218" t="s">
        <v>53</v>
      </c>
      <c r="H2218" t="s">
        <v>6045</v>
      </c>
      <c r="I2218" t="str">
        <f t="shared" si="136"/>
        <v>5-4</v>
      </c>
      <c r="J2218" t="str">
        <f t="shared" si="137"/>
        <v>BC</v>
      </c>
      <c r="K2218">
        <f t="shared" si="138"/>
        <v>-5</v>
      </c>
      <c r="L2218">
        <f t="shared" si="139"/>
        <v>-4</v>
      </c>
    </row>
    <row r="2219" spans="1:12" x14ac:dyDescent="0.35">
      <c r="A2219">
        <v>2232</v>
      </c>
      <c r="B2219" t="s">
        <v>6046</v>
      </c>
      <c r="C2219" t="s">
        <v>10603</v>
      </c>
      <c r="D2219" t="s">
        <v>6047</v>
      </c>
      <c r="E2219" t="s">
        <v>1102</v>
      </c>
      <c r="F2219" t="s">
        <v>6048</v>
      </c>
      <c r="G2219" t="s">
        <v>6035</v>
      </c>
      <c r="H2219" t="s">
        <v>5068</v>
      </c>
      <c r="I2219" t="str">
        <f t="shared" si="136"/>
        <v>4</v>
      </c>
      <c r="J2219" t="str">
        <f t="shared" si="137"/>
        <v>BC</v>
      </c>
      <c r="K2219">
        <f t="shared" si="138"/>
        <v>-4</v>
      </c>
      <c r="L2219">
        <f t="shared" si="139"/>
        <v>-4</v>
      </c>
    </row>
    <row r="2220" spans="1:12" x14ac:dyDescent="0.35">
      <c r="A2220">
        <v>2233</v>
      </c>
      <c r="B2220" t="s">
        <v>6049</v>
      </c>
      <c r="C2220" t="s">
        <v>10603</v>
      </c>
      <c r="D2220" t="s">
        <v>6050</v>
      </c>
      <c r="E2220" t="s">
        <v>186</v>
      </c>
      <c r="F2220" t="s">
        <v>6048</v>
      </c>
      <c r="G2220" t="s">
        <v>6035</v>
      </c>
      <c r="H2220" t="s">
        <v>5068</v>
      </c>
      <c r="I2220" t="str">
        <f t="shared" si="136"/>
        <v>4</v>
      </c>
      <c r="J2220" t="str">
        <f t="shared" si="137"/>
        <v>BC</v>
      </c>
      <c r="K2220">
        <f t="shared" si="138"/>
        <v>-4</v>
      </c>
      <c r="L2220">
        <f t="shared" si="139"/>
        <v>-4</v>
      </c>
    </row>
    <row r="2221" spans="1:12" x14ac:dyDescent="0.35">
      <c r="A2221">
        <v>2234</v>
      </c>
      <c r="B2221" t="s">
        <v>6051</v>
      </c>
      <c r="C2221" t="s">
        <v>10540</v>
      </c>
      <c r="D2221" t="s">
        <v>6052</v>
      </c>
      <c r="E2221" t="s">
        <v>874</v>
      </c>
      <c r="F2221" t="s">
        <v>6053</v>
      </c>
      <c r="G2221" t="s">
        <v>60</v>
      </c>
      <c r="H2221" t="s">
        <v>6054</v>
      </c>
      <c r="I2221" t="str">
        <f t="shared" si="136"/>
        <v>30</v>
      </c>
      <c r="J2221" t="str">
        <f t="shared" si="137"/>
        <v>AD</v>
      </c>
      <c r="K2221" t="str">
        <f t="shared" si="138"/>
        <v>30</v>
      </c>
      <c r="L2221" t="str">
        <f t="shared" si="139"/>
        <v>30</v>
      </c>
    </row>
    <row r="2222" spans="1:12" x14ac:dyDescent="0.35">
      <c r="A2222">
        <v>2235</v>
      </c>
      <c r="B2222" t="s">
        <v>6055</v>
      </c>
      <c r="C2222" t="s">
        <v>10569</v>
      </c>
      <c r="D2222" t="s">
        <v>6056</v>
      </c>
      <c r="E2222" t="s">
        <v>874</v>
      </c>
      <c r="F2222" t="s">
        <v>6053</v>
      </c>
      <c r="G2222" t="s">
        <v>61</v>
      </c>
      <c r="H2222" t="s">
        <v>6057</v>
      </c>
      <c r="I2222" t="str">
        <f t="shared" si="136"/>
        <v>30</v>
      </c>
      <c r="J2222" t="str">
        <f t="shared" si="137"/>
        <v>AD</v>
      </c>
      <c r="K2222" t="str">
        <f t="shared" si="138"/>
        <v>30</v>
      </c>
      <c r="L2222" t="str">
        <f t="shared" si="139"/>
        <v>30</v>
      </c>
    </row>
    <row r="2223" spans="1:12" x14ac:dyDescent="0.35">
      <c r="A2223">
        <v>2236</v>
      </c>
      <c r="B2223" t="s">
        <v>6058</v>
      </c>
      <c r="C2223" t="s">
        <v>6062</v>
      </c>
      <c r="D2223" t="s">
        <v>6059</v>
      </c>
      <c r="E2223" t="s">
        <v>6060</v>
      </c>
      <c r="F2223" t="s">
        <v>6053</v>
      </c>
      <c r="G2223" t="s">
        <v>6061</v>
      </c>
      <c r="H2223" t="s">
        <v>6063</v>
      </c>
      <c r="I2223" t="str">
        <f t="shared" si="136"/>
        <v>30</v>
      </c>
      <c r="J2223" t="str">
        <f t="shared" si="137"/>
        <v>AD</v>
      </c>
      <c r="K2223" t="str">
        <f t="shared" si="138"/>
        <v>30</v>
      </c>
      <c r="L2223" t="str">
        <f t="shared" si="139"/>
        <v>30</v>
      </c>
    </row>
    <row r="2224" spans="1:12" x14ac:dyDescent="0.35">
      <c r="A2224">
        <v>2237</v>
      </c>
      <c r="B2224" t="s">
        <v>6064</v>
      </c>
      <c r="C2224" t="s">
        <v>10731</v>
      </c>
      <c r="D2224" t="s">
        <v>6065</v>
      </c>
      <c r="E2224" t="s">
        <v>6066</v>
      </c>
      <c r="F2224" t="s">
        <v>6067</v>
      </c>
      <c r="G2224" t="s">
        <v>59</v>
      </c>
      <c r="H2224" t="s">
        <v>6069</v>
      </c>
      <c r="I2224" t="str">
        <f t="shared" si="136"/>
        <v>30-33</v>
      </c>
      <c r="J2224" t="str">
        <f t="shared" si="137"/>
        <v>AD</v>
      </c>
      <c r="K2224" t="str">
        <f t="shared" si="138"/>
        <v>30</v>
      </c>
      <c r="L2224" t="str">
        <f t="shared" si="139"/>
        <v>33</v>
      </c>
    </row>
    <row r="2225" spans="1:12" x14ac:dyDescent="0.35">
      <c r="A2225">
        <v>2238</v>
      </c>
      <c r="B2225" t="s">
        <v>6070</v>
      </c>
      <c r="C2225" t="s">
        <v>10731</v>
      </c>
      <c r="D2225" t="s">
        <v>6071</v>
      </c>
      <c r="E2225" t="s">
        <v>6072</v>
      </c>
      <c r="F2225" t="s">
        <v>6067</v>
      </c>
      <c r="G2225" t="s">
        <v>59</v>
      </c>
      <c r="H2225" t="s">
        <v>6073</v>
      </c>
      <c r="I2225" t="str">
        <f t="shared" si="136"/>
        <v>30-33</v>
      </c>
      <c r="J2225" t="str">
        <f t="shared" si="137"/>
        <v>AD</v>
      </c>
      <c r="K2225" t="str">
        <f t="shared" si="138"/>
        <v>30</v>
      </c>
      <c r="L2225" t="str">
        <f t="shared" si="139"/>
        <v>33</v>
      </c>
    </row>
    <row r="2226" spans="1:12" x14ac:dyDescent="0.35">
      <c r="A2226">
        <v>2239</v>
      </c>
      <c r="B2226" t="s">
        <v>6074</v>
      </c>
      <c r="C2226" t="s">
        <v>10731</v>
      </c>
      <c r="D2226" t="s">
        <v>6075</v>
      </c>
      <c r="E2226" t="s">
        <v>6072</v>
      </c>
      <c r="F2226" t="s">
        <v>6067</v>
      </c>
      <c r="G2226" t="s">
        <v>59</v>
      </c>
      <c r="H2226" t="s">
        <v>6076</v>
      </c>
      <c r="I2226" t="str">
        <f t="shared" si="136"/>
        <v>30-33</v>
      </c>
      <c r="J2226" t="str">
        <f t="shared" si="137"/>
        <v>AD</v>
      </c>
      <c r="K2226" t="str">
        <f t="shared" si="138"/>
        <v>30</v>
      </c>
      <c r="L2226" t="str">
        <f t="shared" si="139"/>
        <v>33</v>
      </c>
    </row>
    <row r="2227" spans="1:12" x14ac:dyDescent="0.35">
      <c r="A2227">
        <v>2240</v>
      </c>
      <c r="B2227" t="s">
        <v>6077</v>
      </c>
      <c r="C2227" t="s">
        <v>10732</v>
      </c>
      <c r="D2227" t="s">
        <v>6078</v>
      </c>
      <c r="E2227" t="s">
        <v>6079</v>
      </c>
      <c r="F2227" t="s">
        <v>6067</v>
      </c>
      <c r="G2227" t="s">
        <v>59</v>
      </c>
      <c r="H2227" t="s">
        <v>6081</v>
      </c>
      <c r="I2227" t="str">
        <f t="shared" si="136"/>
        <v>30-33</v>
      </c>
      <c r="J2227" t="str">
        <f t="shared" si="137"/>
        <v>AD</v>
      </c>
      <c r="K2227" t="str">
        <f t="shared" si="138"/>
        <v>30</v>
      </c>
      <c r="L2227" t="str">
        <f t="shared" si="139"/>
        <v>33</v>
      </c>
    </row>
    <row r="2228" spans="1:12" x14ac:dyDescent="0.35">
      <c r="A2228">
        <v>2241</v>
      </c>
      <c r="B2228" t="s">
        <v>6082</v>
      </c>
      <c r="C2228" t="s">
        <v>6085</v>
      </c>
      <c r="D2228" t="s">
        <v>6083</v>
      </c>
      <c r="E2228" t="s">
        <v>6084</v>
      </c>
      <c r="F2228" t="s">
        <v>6067</v>
      </c>
      <c r="G2228" t="s">
        <v>59</v>
      </c>
      <c r="H2228" t="s">
        <v>6086</v>
      </c>
      <c r="I2228" t="str">
        <f t="shared" ref="I2228:I2291" si="140">SUBSTITUTE(SUBSTITUTE(SUBSTITUTE(F2228,"c. ","")," BC","")," AD","")</f>
        <v>30-33</v>
      </c>
      <c r="J2228" t="str">
        <f t="shared" si="137"/>
        <v>AD</v>
      </c>
      <c r="K2228" t="str">
        <f t="shared" si="138"/>
        <v>30</v>
      </c>
      <c r="L2228" t="str">
        <f t="shared" si="139"/>
        <v>33</v>
      </c>
    </row>
    <row r="2229" spans="1:12" x14ac:dyDescent="0.35">
      <c r="A2229">
        <v>2242</v>
      </c>
      <c r="B2229" t="s">
        <v>6087</v>
      </c>
      <c r="C2229" t="s">
        <v>10731</v>
      </c>
      <c r="D2229" t="s">
        <v>6088</v>
      </c>
      <c r="E2229" t="s">
        <v>6072</v>
      </c>
      <c r="F2229" t="s">
        <v>6067</v>
      </c>
      <c r="G2229" t="s">
        <v>59</v>
      </c>
      <c r="H2229" t="s">
        <v>6089</v>
      </c>
      <c r="I2229" t="str">
        <f t="shared" si="140"/>
        <v>30-33</v>
      </c>
      <c r="J2229" t="str">
        <f t="shared" si="137"/>
        <v>AD</v>
      </c>
      <c r="K2229" t="str">
        <f t="shared" si="138"/>
        <v>30</v>
      </c>
      <c r="L2229" t="str">
        <f t="shared" si="139"/>
        <v>33</v>
      </c>
    </row>
    <row r="2230" spans="1:12" x14ac:dyDescent="0.35">
      <c r="A2230">
        <v>2243</v>
      </c>
      <c r="B2230" t="s">
        <v>6090</v>
      </c>
      <c r="C2230" t="s">
        <v>10733</v>
      </c>
      <c r="D2230" t="s">
        <v>6091</v>
      </c>
      <c r="E2230" t="s">
        <v>6072</v>
      </c>
      <c r="F2230" t="s">
        <v>6067</v>
      </c>
      <c r="G2230" t="s">
        <v>59</v>
      </c>
      <c r="H2230" t="s">
        <v>6093</v>
      </c>
      <c r="I2230" t="str">
        <f t="shared" si="140"/>
        <v>30-33</v>
      </c>
      <c r="J2230" t="str">
        <f t="shared" si="137"/>
        <v>AD</v>
      </c>
      <c r="K2230" t="str">
        <f t="shared" si="138"/>
        <v>30</v>
      </c>
      <c r="L2230" t="str">
        <f t="shared" si="139"/>
        <v>33</v>
      </c>
    </row>
    <row r="2231" spans="1:12" x14ac:dyDescent="0.35">
      <c r="A2231">
        <v>2244</v>
      </c>
      <c r="B2231" t="s">
        <v>6094</v>
      </c>
      <c r="C2231" t="s">
        <v>10731</v>
      </c>
      <c r="D2231" t="s">
        <v>6095</v>
      </c>
      <c r="E2231" t="s">
        <v>6072</v>
      </c>
      <c r="F2231" t="s">
        <v>6067</v>
      </c>
      <c r="G2231" t="s">
        <v>59</v>
      </c>
      <c r="H2231" t="s">
        <v>6096</v>
      </c>
      <c r="I2231" t="str">
        <f t="shared" si="140"/>
        <v>30-33</v>
      </c>
      <c r="J2231" t="str">
        <f t="shared" si="137"/>
        <v>AD</v>
      </c>
      <c r="K2231" t="str">
        <f t="shared" si="138"/>
        <v>30</v>
      </c>
      <c r="L2231" t="str">
        <f t="shared" si="139"/>
        <v>33</v>
      </c>
    </row>
    <row r="2232" spans="1:12" x14ac:dyDescent="0.35">
      <c r="A2232">
        <v>2245</v>
      </c>
      <c r="B2232" t="s">
        <v>6097</v>
      </c>
      <c r="C2232" t="s">
        <v>10731</v>
      </c>
      <c r="D2232" t="s">
        <v>36</v>
      </c>
      <c r="E2232" t="s">
        <v>6072</v>
      </c>
      <c r="F2232" t="s">
        <v>6067</v>
      </c>
      <c r="G2232" t="s">
        <v>59</v>
      </c>
      <c r="H2232" t="s">
        <v>6098</v>
      </c>
      <c r="I2232" t="str">
        <f t="shared" si="140"/>
        <v>30-33</v>
      </c>
      <c r="J2232" t="str">
        <f t="shared" si="137"/>
        <v>AD</v>
      </c>
      <c r="K2232" t="str">
        <f t="shared" si="138"/>
        <v>30</v>
      </c>
      <c r="L2232" t="str">
        <f t="shared" si="139"/>
        <v>33</v>
      </c>
    </row>
    <row r="2233" spans="1:12" x14ac:dyDescent="0.35">
      <c r="A2233">
        <v>2246</v>
      </c>
      <c r="B2233" t="s">
        <v>6099</v>
      </c>
      <c r="C2233" t="s">
        <v>6100</v>
      </c>
      <c r="D2233" t="s">
        <v>42</v>
      </c>
      <c r="E2233" t="s">
        <v>6066</v>
      </c>
      <c r="F2233" t="s">
        <v>6067</v>
      </c>
      <c r="G2233" t="s">
        <v>59</v>
      </c>
      <c r="H2233" t="s">
        <v>6101</v>
      </c>
      <c r="I2233" t="str">
        <f t="shared" si="140"/>
        <v>30-33</v>
      </c>
      <c r="J2233" t="str">
        <f t="shared" si="137"/>
        <v>AD</v>
      </c>
      <c r="K2233" t="str">
        <f t="shared" si="138"/>
        <v>30</v>
      </c>
      <c r="L2233" t="str">
        <f t="shared" si="139"/>
        <v>33</v>
      </c>
    </row>
    <row r="2234" spans="1:12" x14ac:dyDescent="0.35">
      <c r="A2234">
        <v>2247</v>
      </c>
      <c r="B2234" t="s">
        <v>6102</v>
      </c>
      <c r="C2234" t="s">
        <v>10605</v>
      </c>
      <c r="D2234" t="s">
        <v>6103</v>
      </c>
      <c r="E2234" t="s">
        <v>6066</v>
      </c>
      <c r="F2234" t="s">
        <v>6067</v>
      </c>
      <c r="G2234" t="s">
        <v>59</v>
      </c>
      <c r="H2234" t="s">
        <v>6104</v>
      </c>
      <c r="I2234" t="str">
        <f t="shared" si="140"/>
        <v>30-33</v>
      </c>
      <c r="J2234" t="str">
        <f t="shared" si="137"/>
        <v>AD</v>
      </c>
      <c r="K2234" t="str">
        <f t="shared" si="138"/>
        <v>30</v>
      </c>
      <c r="L2234" t="str">
        <f t="shared" si="139"/>
        <v>33</v>
      </c>
    </row>
    <row r="2235" spans="1:12" x14ac:dyDescent="0.35">
      <c r="A2235">
        <v>2248</v>
      </c>
      <c r="B2235" t="s">
        <v>6105</v>
      </c>
      <c r="C2235" t="s">
        <v>10734</v>
      </c>
      <c r="D2235" t="s">
        <v>6106</v>
      </c>
      <c r="E2235" t="s">
        <v>6107</v>
      </c>
      <c r="F2235" t="s">
        <v>6067</v>
      </c>
      <c r="G2235" t="s">
        <v>59</v>
      </c>
      <c r="H2235" t="s">
        <v>6109</v>
      </c>
      <c r="I2235" t="str">
        <f t="shared" si="140"/>
        <v>30-33</v>
      </c>
      <c r="J2235" t="str">
        <f t="shared" si="137"/>
        <v>AD</v>
      </c>
      <c r="K2235" t="str">
        <f t="shared" si="138"/>
        <v>30</v>
      </c>
      <c r="L2235" t="str">
        <f t="shared" si="139"/>
        <v>33</v>
      </c>
    </row>
    <row r="2236" spans="1:12" x14ac:dyDescent="0.35">
      <c r="A2236">
        <v>2249</v>
      </c>
      <c r="B2236" t="s">
        <v>6110</v>
      </c>
      <c r="C2236" t="s">
        <v>10732</v>
      </c>
      <c r="D2236" t="s">
        <v>6111</v>
      </c>
      <c r="E2236" t="s">
        <v>6079</v>
      </c>
      <c r="F2236" t="s">
        <v>6067</v>
      </c>
      <c r="G2236" t="s">
        <v>59</v>
      </c>
      <c r="H2236" t="s">
        <v>6112</v>
      </c>
      <c r="I2236" t="str">
        <f t="shared" si="140"/>
        <v>30-33</v>
      </c>
      <c r="J2236" t="str">
        <f t="shared" si="137"/>
        <v>AD</v>
      </c>
      <c r="K2236" t="str">
        <f t="shared" si="138"/>
        <v>30</v>
      </c>
      <c r="L2236" t="str">
        <f t="shared" si="139"/>
        <v>33</v>
      </c>
    </row>
    <row r="2237" spans="1:12" x14ac:dyDescent="0.35">
      <c r="A2237">
        <v>2250</v>
      </c>
      <c r="B2237" t="s">
        <v>6113</v>
      </c>
      <c r="C2237" t="s">
        <v>10732</v>
      </c>
      <c r="D2237" t="s">
        <v>6114</v>
      </c>
      <c r="E2237" t="s">
        <v>6079</v>
      </c>
      <c r="F2237" t="s">
        <v>6067</v>
      </c>
      <c r="G2237" t="s">
        <v>6115</v>
      </c>
      <c r="H2237" t="s">
        <v>6116</v>
      </c>
      <c r="I2237" t="str">
        <f t="shared" si="140"/>
        <v>30-33</v>
      </c>
      <c r="J2237" t="str">
        <f t="shared" si="137"/>
        <v>AD</v>
      </c>
      <c r="K2237" t="str">
        <f t="shared" si="138"/>
        <v>30</v>
      </c>
      <c r="L2237" t="str">
        <f t="shared" si="139"/>
        <v>33</v>
      </c>
    </row>
    <row r="2238" spans="1:12" x14ac:dyDescent="0.35">
      <c r="A2238">
        <v>2251</v>
      </c>
      <c r="B2238" t="s">
        <v>6117</v>
      </c>
      <c r="C2238" t="s">
        <v>10731</v>
      </c>
      <c r="D2238" t="s">
        <v>6118</v>
      </c>
      <c r="E2238" t="s">
        <v>6119</v>
      </c>
      <c r="F2238" t="s">
        <v>6067</v>
      </c>
      <c r="G2238" t="s">
        <v>59</v>
      </c>
      <c r="H2238" t="s">
        <v>6120</v>
      </c>
      <c r="I2238" t="str">
        <f t="shared" si="140"/>
        <v>30-33</v>
      </c>
      <c r="J2238" t="str">
        <f t="shared" si="137"/>
        <v>AD</v>
      </c>
      <c r="K2238" t="str">
        <f t="shared" si="138"/>
        <v>30</v>
      </c>
      <c r="L2238" t="str">
        <f t="shared" si="139"/>
        <v>33</v>
      </c>
    </row>
    <row r="2239" spans="1:12" x14ac:dyDescent="0.35">
      <c r="A2239">
        <v>2252</v>
      </c>
      <c r="B2239" t="s">
        <v>6121</v>
      </c>
      <c r="C2239" t="s">
        <v>10731</v>
      </c>
      <c r="D2239" t="s">
        <v>6122</v>
      </c>
      <c r="E2239" t="s">
        <v>6123</v>
      </c>
      <c r="F2239" t="s">
        <v>6067</v>
      </c>
      <c r="G2239" t="s">
        <v>59</v>
      </c>
      <c r="H2239" t="s">
        <v>6124</v>
      </c>
      <c r="I2239" t="str">
        <f t="shared" si="140"/>
        <v>30-33</v>
      </c>
      <c r="J2239" t="str">
        <f t="shared" si="137"/>
        <v>AD</v>
      </c>
      <c r="K2239" t="str">
        <f t="shared" si="138"/>
        <v>30</v>
      </c>
      <c r="L2239" t="str">
        <f t="shared" si="139"/>
        <v>33</v>
      </c>
    </row>
    <row r="2240" spans="1:12" x14ac:dyDescent="0.35">
      <c r="A2240">
        <v>2253</v>
      </c>
      <c r="B2240" t="s">
        <v>6125</v>
      </c>
      <c r="C2240" t="s">
        <v>10731</v>
      </c>
      <c r="D2240" t="s">
        <v>62</v>
      </c>
      <c r="E2240" t="s">
        <v>6066</v>
      </c>
      <c r="F2240" t="s">
        <v>6067</v>
      </c>
      <c r="G2240" t="s">
        <v>59</v>
      </c>
      <c r="H2240" t="s">
        <v>6</v>
      </c>
      <c r="I2240" t="str">
        <f t="shared" si="140"/>
        <v>30-33</v>
      </c>
      <c r="J2240" t="str">
        <f t="shared" si="137"/>
        <v>AD</v>
      </c>
      <c r="K2240" t="str">
        <f t="shared" si="138"/>
        <v>30</v>
      </c>
      <c r="L2240" t="str">
        <f t="shared" si="139"/>
        <v>33</v>
      </c>
    </row>
    <row r="2241" spans="1:12" x14ac:dyDescent="0.35">
      <c r="A2241">
        <v>2254</v>
      </c>
      <c r="B2241" t="s">
        <v>6126</v>
      </c>
      <c r="C2241" t="s">
        <v>10734</v>
      </c>
      <c r="D2241" t="s">
        <v>6127</v>
      </c>
      <c r="E2241" t="s">
        <v>6066</v>
      </c>
      <c r="F2241" t="s">
        <v>6067</v>
      </c>
      <c r="G2241" t="s">
        <v>59</v>
      </c>
      <c r="H2241" t="s">
        <v>6128</v>
      </c>
      <c r="I2241" t="str">
        <f t="shared" si="140"/>
        <v>30-33</v>
      </c>
      <c r="J2241" t="str">
        <f t="shared" si="137"/>
        <v>AD</v>
      </c>
      <c r="K2241" t="str">
        <f t="shared" si="138"/>
        <v>30</v>
      </c>
      <c r="L2241" t="str">
        <f t="shared" si="139"/>
        <v>33</v>
      </c>
    </row>
    <row r="2242" spans="1:12" x14ac:dyDescent="0.35">
      <c r="A2242">
        <v>2255</v>
      </c>
      <c r="B2242" t="s">
        <v>6129</v>
      </c>
      <c r="C2242" t="s">
        <v>10540</v>
      </c>
      <c r="D2242" t="s">
        <v>6130</v>
      </c>
      <c r="E2242" t="s">
        <v>6131</v>
      </c>
      <c r="F2242" t="s">
        <v>6067</v>
      </c>
      <c r="G2242" t="s">
        <v>60</v>
      </c>
      <c r="H2242" t="s">
        <v>6132</v>
      </c>
      <c r="I2242" t="str">
        <f t="shared" si="140"/>
        <v>30-33</v>
      </c>
      <c r="J2242" t="str">
        <f t="shared" ref="J2242:J2305" si="141">RIGHT(F2242, 2)</f>
        <v>AD</v>
      </c>
      <c r="K2242" t="str">
        <f t="shared" ref="K2242:K2305" si="142">IF(J2242="BC", 0-IF(ISERROR(FIND("-",I2242)),I2242,LEFT(I2242,FIND("-",I2242)-1)), IF(ISERROR(FIND("-",I2242)),I2242,LEFT(I2242,FIND("-",I2242)-1)))</f>
        <v>30</v>
      </c>
      <c r="L2242" t="str">
        <f t="shared" ref="L2242:L2305" si="143">IF(J2242="BC", 0-IF(ISERROR(FIND("-",I2242)),I2242,RIGHT(I2242,FIND("-",I2242)-1)), IF(ISERROR(FIND("-",I2242)),I2242,RIGHT(I2242,FIND("-",I2242)-1)))</f>
        <v>33</v>
      </c>
    </row>
    <row r="2243" spans="1:12" x14ac:dyDescent="0.35">
      <c r="A2243">
        <v>2256</v>
      </c>
      <c r="B2243" t="s">
        <v>6133</v>
      </c>
      <c r="C2243" t="s">
        <v>10569</v>
      </c>
      <c r="D2243" t="s">
        <v>6134</v>
      </c>
      <c r="E2243" t="s">
        <v>6131</v>
      </c>
      <c r="F2243" t="s">
        <v>6067</v>
      </c>
      <c r="G2243" t="s">
        <v>59</v>
      </c>
      <c r="H2243" t="s">
        <v>6135</v>
      </c>
      <c r="I2243" t="str">
        <f t="shared" si="140"/>
        <v>30-33</v>
      </c>
      <c r="J2243" t="str">
        <f t="shared" si="141"/>
        <v>AD</v>
      </c>
      <c r="K2243" t="str">
        <f t="shared" si="142"/>
        <v>30</v>
      </c>
      <c r="L2243" t="str">
        <f t="shared" si="143"/>
        <v>33</v>
      </c>
    </row>
    <row r="2244" spans="1:12" x14ac:dyDescent="0.35">
      <c r="A2244">
        <v>2257</v>
      </c>
      <c r="B2244" t="s">
        <v>6136</v>
      </c>
      <c r="C2244" t="s">
        <v>10606</v>
      </c>
      <c r="D2244" t="s">
        <v>6137</v>
      </c>
      <c r="E2244" t="s">
        <v>6131</v>
      </c>
      <c r="F2244" t="s">
        <v>6067</v>
      </c>
      <c r="G2244" t="s">
        <v>6138</v>
      </c>
      <c r="H2244" t="s">
        <v>6140</v>
      </c>
      <c r="I2244" t="str">
        <f t="shared" si="140"/>
        <v>30-33</v>
      </c>
      <c r="J2244" t="str">
        <f t="shared" si="141"/>
        <v>AD</v>
      </c>
      <c r="K2244" t="str">
        <f t="shared" si="142"/>
        <v>30</v>
      </c>
      <c r="L2244" t="str">
        <f t="shared" si="143"/>
        <v>33</v>
      </c>
    </row>
    <row r="2245" spans="1:12" x14ac:dyDescent="0.35">
      <c r="A2245">
        <v>2258</v>
      </c>
      <c r="B2245" t="s">
        <v>6141</v>
      </c>
      <c r="C2245" t="s">
        <v>11694</v>
      </c>
      <c r="D2245" t="s">
        <v>6142</v>
      </c>
      <c r="E2245" t="s">
        <v>6066</v>
      </c>
      <c r="F2245" t="s">
        <v>6067</v>
      </c>
      <c r="G2245" t="s">
        <v>59</v>
      </c>
      <c r="H2245" t="s">
        <v>6144</v>
      </c>
      <c r="I2245" t="str">
        <f t="shared" si="140"/>
        <v>30-33</v>
      </c>
      <c r="J2245" t="str">
        <f t="shared" si="141"/>
        <v>AD</v>
      </c>
      <c r="K2245" t="str">
        <f t="shared" si="142"/>
        <v>30</v>
      </c>
      <c r="L2245" t="str">
        <f t="shared" si="143"/>
        <v>33</v>
      </c>
    </row>
    <row r="2246" spans="1:12" x14ac:dyDescent="0.35">
      <c r="A2246">
        <v>2259</v>
      </c>
      <c r="B2246" t="s">
        <v>6145</v>
      </c>
      <c r="C2246" t="s">
        <v>10734</v>
      </c>
      <c r="D2246" t="s">
        <v>37</v>
      </c>
      <c r="E2246" t="s">
        <v>6072</v>
      </c>
      <c r="F2246" t="s">
        <v>6067</v>
      </c>
      <c r="G2246" t="s">
        <v>59</v>
      </c>
      <c r="H2246" t="s">
        <v>6146</v>
      </c>
      <c r="I2246" t="str">
        <f t="shared" si="140"/>
        <v>30-33</v>
      </c>
      <c r="J2246" t="str">
        <f t="shared" si="141"/>
        <v>AD</v>
      </c>
      <c r="K2246" t="str">
        <f t="shared" si="142"/>
        <v>30</v>
      </c>
      <c r="L2246" t="str">
        <f t="shared" si="143"/>
        <v>33</v>
      </c>
    </row>
    <row r="2247" spans="1:12" x14ac:dyDescent="0.35">
      <c r="A2247">
        <v>2260</v>
      </c>
      <c r="B2247" t="s">
        <v>6147</v>
      </c>
      <c r="C2247" t="s">
        <v>10731</v>
      </c>
      <c r="D2247" t="s">
        <v>6148</v>
      </c>
      <c r="E2247" t="s">
        <v>865</v>
      </c>
      <c r="F2247" t="s">
        <v>6149</v>
      </c>
      <c r="G2247" t="s">
        <v>59</v>
      </c>
      <c r="H2247" t="s">
        <v>6150</v>
      </c>
      <c r="I2247" t="str">
        <f t="shared" si="140"/>
        <v>33</v>
      </c>
      <c r="J2247" t="str">
        <f t="shared" si="141"/>
        <v>AD</v>
      </c>
      <c r="K2247" t="str">
        <f t="shared" si="142"/>
        <v>33</v>
      </c>
      <c r="L2247" t="str">
        <f t="shared" si="143"/>
        <v>33</v>
      </c>
    </row>
    <row r="2248" spans="1:12" x14ac:dyDescent="0.35">
      <c r="A2248">
        <v>2261</v>
      </c>
      <c r="B2248" t="s">
        <v>6151</v>
      </c>
      <c r="C2248" t="s">
        <v>10732</v>
      </c>
      <c r="D2248" t="s">
        <v>6152</v>
      </c>
      <c r="E2248" t="s">
        <v>6153</v>
      </c>
      <c r="F2248" t="s">
        <v>6149</v>
      </c>
      <c r="G2248" t="s">
        <v>59</v>
      </c>
      <c r="H2248" t="s">
        <v>6154</v>
      </c>
      <c r="I2248" t="str">
        <f t="shared" si="140"/>
        <v>33</v>
      </c>
      <c r="J2248" t="str">
        <f t="shared" si="141"/>
        <v>AD</v>
      </c>
      <c r="K2248" t="str">
        <f t="shared" si="142"/>
        <v>33</v>
      </c>
      <c r="L2248" t="str">
        <f t="shared" si="143"/>
        <v>33</v>
      </c>
    </row>
    <row r="2249" spans="1:12" x14ac:dyDescent="0.35">
      <c r="A2249">
        <v>2262</v>
      </c>
      <c r="B2249" t="s">
        <v>6155</v>
      </c>
      <c r="C2249" t="s">
        <v>6157</v>
      </c>
      <c r="D2249" t="s">
        <v>6156</v>
      </c>
      <c r="E2249" t="s">
        <v>1211</v>
      </c>
      <c r="F2249" t="s">
        <v>6149</v>
      </c>
      <c r="G2249" t="s">
        <v>59</v>
      </c>
      <c r="H2249" t="s">
        <v>6158</v>
      </c>
      <c r="I2249" t="str">
        <f t="shared" si="140"/>
        <v>33</v>
      </c>
      <c r="J2249" t="str">
        <f t="shared" si="141"/>
        <v>AD</v>
      </c>
      <c r="K2249" t="str">
        <f t="shared" si="142"/>
        <v>33</v>
      </c>
      <c r="L2249" t="str">
        <f t="shared" si="143"/>
        <v>33</v>
      </c>
    </row>
    <row r="2250" spans="1:12" x14ac:dyDescent="0.35">
      <c r="A2250">
        <v>2263</v>
      </c>
      <c r="B2250" t="s">
        <v>6159</v>
      </c>
      <c r="C2250" t="s">
        <v>10607</v>
      </c>
      <c r="D2250" t="s">
        <v>6160</v>
      </c>
      <c r="E2250" t="s">
        <v>1211</v>
      </c>
      <c r="F2250" t="s">
        <v>6149</v>
      </c>
      <c r="G2250" t="s">
        <v>59</v>
      </c>
      <c r="H2250" t="s">
        <v>6161</v>
      </c>
      <c r="I2250" t="str">
        <f t="shared" si="140"/>
        <v>33</v>
      </c>
      <c r="J2250" t="str">
        <f t="shared" si="141"/>
        <v>AD</v>
      </c>
      <c r="K2250" t="str">
        <f t="shared" si="142"/>
        <v>33</v>
      </c>
      <c r="L2250" t="str">
        <f t="shared" si="143"/>
        <v>33</v>
      </c>
    </row>
    <row r="2251" spans="1:12" x14ac:dyDescent="0.35">
      <c r="A2251">
        <v>2264</v>
      </c>
      <c r="B2251" t="s">
        <v>6162</v>
      </c>
      <c r="C2251" t="s">
        <v>10608</v>
      </c>
      <c r="D2251" t="s">
        <v>6163</v>
      </c>
      <c r="E2251" t="s">
        <v>1211</v>
      </c>
      <c r="F2251" t="s">
        <v>6149</v>
      </c>
      <c r="G2251" t="s">
        <v>59</v>
      </c>
      <c r="H2251" t="s">
        <v>6165</v>
      </c>
      <c r="I2251" t="str">
        <f t="shared" si="140"/>
        <v>33</v>
      </c>
      <c r="J2251" t="str">
        <f t="shared" si="141"/>
        <v>AD</v>
      </c>
      <c r="K2251" t="str">
        <f t="shared" si="142"/>
        <v>33</v>
      </c>
      <c r="L2251" t="str">
        <f t="shared" si="143"/>
        <v>33</v>
      </c>
    </row>
    <row r="2252" spans="1:12" x14ac:dyDescent="0.35">
      <c r="A2252">
        <v>2265</v>
      </c>
      <c r="B2252" t="s">
        <v>6166</v>
      </c>
      <c r="C2252" t="s">
        <v>6157</v>
      </c>
      <c r="D2252" t="s">
        <v>6167</v>
      </c>
      <c r="E2252" t="s">
        <v>1211</v>
      </c>
      <c r="F2252" t="s">
        <v>6149</v>
      </c>
      <c r="G2252" t="s">
        <v>59</v>
      </c>
      <c r="H2252" t="s">
        <v>6168</v>
      </c>
      <c r="I2252" t="str">
        <f t="shared" si="140"/>
        <v>33</v>
      </c>
      <c r="J2252" t="str">
        <f t="shared" si="141"/>
        <v>AD</v>
      </c>
      <c r="K2252" t="str">
        <f t="shared" si="142"/>
        <v>33</v>
      </c>
      <c r="L2252" t="str">
        <f t="shared" si="143"/>
        <v>33</v>
      </c>
    </row>
    <row r="2253" spans="1:12" x14ac:dyDescent="0.35">
      <c r="A2253">
        <v>2266</v>
      </c>
      <c r="B2253" t="s">
        <v>6169</v>
      </c>
      <c r="C2253" t="s">
        <v>10609</v>
      </c>
      <c r="D2253" t="s">
        <v>6170</v>
      </c>
      <c r="E2253" t="s">
        <v>6171</v>
      </c>
      <c r="F2253" t="s">
        <v>6149</v>
      </c>
      <c r="G2253" t="s">
        <v>4938</v>
      </c>
      <c r="H2253" t="s">
        <v>6173</v>
      </c>
      <c r="I2253" t="str">
        <f t="shared" si="140"/>
        <v>33</v>
      </c>
      <c r="J2253" t="str">
        <f t="shared" si="141"/>
        <v>AD</v>
      </c>
      <c r="K2253" t="str">
        <f t="shared" si="142"/>
        <v>33</v>
      </c>
      <c r="L2253" t="str">
        <f t="shared" si="143"/>
        <v>33</v>
      </c>
    </row>
    <row r="2254" spans="1:12" x14ac:dyDescent="0.35">
      <c r="A2254">
        <v>2267</v>
      </c>
      <c r="B2254" t="s">
        <v>6174</v>
      </c>
      <c r="C2254" t="s">
        <v>10604</v>
      </c>
      <c r="D2254" t="s">
        <v>6175</v>
      </c>
      <c r="E2254" t="s">
        <v>1211</v>
      </c>
      <c r="F2254" t="s">
        <v>6149</v>
      </c>
      <c r="G2254" t="s">
        <v>53</v>
      </c>
      <c r="H2254" t="s">
        <v>6176</v>
      </c>
      <c r="I2254" t="str">
        <f t="shared" si="140"/>
        <v>33</v>
      </c>
      <c r="J2254" t="str">
        <f t="shared" si="141"/>
        <v>AD</v>
      </c>
      <c r="K2254" t="str">
        <f t="shared" si="142"/>
        <v>33</v>
      </c>
      <c r="L2254" t="str">
        <f t="shared" si="143"/>
        <v>33</v>
      </c>
    </row>
    <row r="2255" spans="1:12" x14ac:dyDescent="0.35">
      <c r="A2255">
        <v>2268</v>
      </c>
      <c r="B2255" t="s">
        <v>6177</v>
      </c>
      <c r="C2255" t="s">
        <v>10604</v>
      </c>
      <c r="D2255" t="s">
        <v>46</v>
      </c>
      <c r="E2255" t="s">
        <v>1211</v>
      </c>
      <c r="F2255" t="s">
        <v>6149</v>
      </c>
      <c r="G2255" t="s">
        <v>53</v>
      </c>
      <c r="H2255" t="s">
        <v>6178</v>
      </c>
      <c r="I2255" t="str">
        <f t="shared" si="140"/>
        <v>33</v>
      </c>
      <c r="J2255" t="str">
        <f t="shared" si="141"/>
        <v>AD</v>
      </c>
      <c r="K2255" t="str">
        <f t="shared" si="142"/>
        <v>33</v>
      </c>
      <c r="L2255" t="str">
        <f t="shared" si="143"/>
        <v>33</v>
      </c>
    </row>
    <row r="2256" spans="1:12" x14ac:dyDescent="0.35">
      <c r="A2256">
        <v>2269</v>
      </c>
      <c r="B2256" t="s">
        <v>6179</v>
      </c>
      <c r="C2256" t="s">
        <v>10732</v>
      </c>
      <c r="D2256" t="s">
        <v>46</v>
      </c>
      <c r="E2256" t="s">
        <v>1211</v>
      </c>
      <c r="F2256" t="s">
        <v>6149</v>
      </c>
      <c r="G2256" t="s">
        <v>53</v>
      </c>
      <c r="H2256" t="s">
        <v>6146</v>
      </c>
      <c r="I2256" t="str">
        <f t="shared" si="140"/>
        <v>33</v>
      </c>
      <c r="J2256" t="str">
        <f t="shared" si="141"/>
        <v>AD</v>
      </c>
      <c r="K2256" t="str">
        <f t="shared" si="142"/>
        <v>33</v>
      </c>
      <c r="L2256" t="str">
        <f t="shared" si="143"/>
        <v>33</v>
      </c>
    </row>
    <row r="2257" spans="1:12" x14ac:dyDescent="0.35">
      <c r="A2257">
        <v>2270</v>
      </c>
      <c r="B2257" t="s">
        <v>6180</v>
      </c>
      <c r="C2257" t="s">
        <v>10733</v>
      </c>
      <c r="D2257" t="s">
        <v>47</v>
      </c>
      <c r="E2257" t="s">
        <v>1211</v>
      </c>
      <c r="F2257" t="s">
        <v>6149</v>
      </c>
      <c r="G2257" t="s">
        <v>53</v>
      </c>
      <c r="H2257" t="s">
        <v>6146</v>
      </c>
      <c r="I2257" t="str">
        <f t="shared" si="140"/>
        <v>33</v>
      </c>
      <c r="J2257" t="str">
        <f t="shared" si="141"/>
        <v>AD</v>
      </c>
      <c r="K2257" t="str">
        <f t="shared" si="142"/>
        <v>33</v>
      </c>
      <c r="L2257" t="str">
        <f t="shared" si="143"/>
        <v>33</v>
      </c>
    </row>
    <row r="2258" spans="1:12" x14ac:dyDescent="0.35">
      <c r="A2258">
        <v>2271</v>
      </c>
      <c r="B2258" t="s">
        <v>6181</v>
      </c>
      <c r="C2258" t="s">
        <v>10048</v>
      </c>
      <c r="D2258" t="s">
        <v>6182</v>
      </c>
      <c r="E2258" t="s">
        <v>1211</v>
      </c>
      <c r="F2258" t="s">
        <v>6149</v>
      </c>
      <c r="G2258" t="s">
        <v>6183</v>
      </c>
      <c r="H2258" t="s">
        <v>6184</v>
      </c>
      <c r="I2258" t="str">
        <f t="shared" si="140"/>
        <v>33</v>
      </c>
      <c r="J2258" t="str">
        <f t="shared" si="141"/>
        <v>AD</v>
      </c>
      <c r="K2258" t="str">
        <f t="shared" si="142"/>
        <v>33</v>
      </c>
      <c r="L2258" t="str">
        <f t="shared" si="143"/>
        <v>33</v>
      </c>
    </row>
    <row r="2259" spans="1:12" x14ac:dyDescent="0.35">
      <c r="A2259">
        <v>2272</v>
      </c>
      <c r="B2259" t="s">
        <v>6185</v>
      </c>
      <c r="C2259" t="s">
        <v>10610</v>
      </c>
      <c r="D2259" t="s">
        <v>6186</v>
      </c>
      <c r="E2259" t="s">
        <v>1211</v>
      </c>
      <c r="F2259" t="s">
        <v>6149</v>
      </c>
      <c r="G2259" t="s">
        <v>6035</v>
      </c>
      <c r="H2259" t="s">
        <v>6188</v>
      </c>
      <c r="I2259" t="str">
        <f t="shared" si="140"/>
        <v>33</v>
      </c>
      <c r="J2259" t="str">
        <f t="shared" si="141"/>
        <v>AD</v>
      </c>
      <c r="K2259" t="str">
        <f t="shared" si="142"/>
        <v>33</v>
      </c>
      <c r="L2259" t="str">
        <f t="shared" si="143"/>
        <v>33</v>
      </c>
    </row>
    <row r="2260" spans="1:12" x14ac:dyDescent="0.35">
      <c r="A2260">
        <v>2273</v>
      </c>
      <c r="B2260" t="s">
        <v>6189</v>
      </c>
      <c r="C2260" t="s">
        <v>10733</v>
      </c>
      <c r="D2260" t="s">
        <v>6190</v>
      </c>
      <c r="E2260" t="s">
        <v>1211</v>
      </c>
      <c r="F2260" t="s">
        <v>6149</v>
      </c>
      <c r="G2260" t="s">
        <v>59</v>
      </c>
      <c r="H2260" t="s">
        <v>6191</v>
      </c>
      <c r="I2260" t="str">
        <f t="shared" si="140"/>
        <v>33</v>
      </c>
      <c r="J2260" t="str">
        <f t="shared" si="141"/>
        <v>AD</v>
      </c>
      <c r="K2260" t="str">
        <f t="shared" si="142"/>
        <v>33</v>
      </c>
      <c r="L2260" t="str">
        <f t="shared" si="143"/>
        <v>33</v>
      </c>
    </row>
    <row r="2261" spans="1:12" x14ac:dyDescent="0.35">
      <c r="A2261">
        <v>2274</v>
      </c>
      <c r="B2261" t="s">
        <v>6192</v>
      </c>
      <c r="C2261" t="s">
        <v>6194</v>
      </c>
      <c r="D2261" t="s">
        <v>6193</v>
      </c>
      <c r="E2261" t="s">
        <v>1211</v>
      </c>
      <c r="F2261" t="s">
        <v>6149</v>
      </c>
      <c r="G2261" t="s">
        <v>59</v>
      </c>
      <c r="H2261" t="s">
        <v>6195</v>
      </c>
      <c r="I2261" t="str">
        <f t="shared" si="140"/>
        <v>33</v>
      </c>
      <c r="J2261" t="str">
        <f t="shared" si="141"/>
        <v>AD</v>
      </c>
      <c r="K2261" t="str">
        <f t="shared" si="142"/>
        <v>33</v>
      </c>
      <c r="L2261" t="str">
        <f t="shared" si="143"/>
        <v>33</v>
      </c>
    </row>
    <row r="2262" spans="1:12" x14ac:dyDescent="0.35">
      <c r="A2262">
        <v>2275</v>
      </c>
      <c r="B2262" t="s">
        <v>6196</v>
      </c>
      <c r="C2262" t="s">
        <v>6194</v>
      </c>
      <c r="D2262" t="s">
        <v>6197</v>
      </c>
      <c r="E2262" t="s">
        <v>6066</v>
      </c>
      <c r="F2262" t="s">
        <v>6149</v>
      </c>
      <c r="G2262" t="s">
        <v>59</v>
      </c>
      <c r="H2262" t="s">
        <v>6198</v>
      </c>
      <c r="I2262" t="str">
        <f t="shared" si="140"/>
        <v>33</v>
      </c>
      <c r="J2262" t="str">
        <f t="shared" si="141"/>
        <v>AD</v>
      </c>
      <c r="K2262" t="str">
        <f t="shared" si="142"/>
        <v>33</v>
      </c>
      <c r="L2262" t="str">
        <f t="shared" si="143"/>
        <v>33</v>
      </c>
    </row>
    <row r="2263" spans="1:12" x14ac:dyDescent="0.35">
      <c r="A2263">
        <v>2276</v>
      </c>
      <c r="B2263" t="s">
        <v>6051</v>
      </c>
      <c r="C2263" t="s">
        <v>10540</v>
      </c>
      <c r="D2263" t="s">
        <v>6237</v>
      </c>
      <c r="E2263" t="s">
        <v>874</v>
      </c>
      <c r="F2263" t="s">
        <v>6053</v>
      </c>
      <c r="G2263" t="s">
        <v>60</v>
      </c>
      <c r="H2263" t="s">
        <v>6238</v>
      </c>
      <c r="I2263" t="str">
        <f t="shared" si="140"/>
        <v>30</v>
      </c>
      <c r="J2263" t="str">
        <f t="shared" si="141"/>
        <v>AD</v>
      </c>
      <c r="K2263" t="str">
        <f t="shared" si="142"/>
        <v>30</v>
      </c>
      <c r="L2263" t="str">
        <f t="shared" si="143"/>
        <v>30</v>
      </c>
    </row>
    <row r="2264" spans="1:12" x14ac:dyDescent="0.35">
      <c r="A2264">
        <v>2277</v>
      </c>
      <c r="B2264" t="s">
        <v>6055</v>
      </c>
      <c r="C2264" t="s">
        <v>10569</v>
      </c>
      <c r="D2264" t="s">
        <v>6239</v>
      </c>
      <c r="E2264" t="s">
        <v>874</v>
      </c>
      <c r="F2264" t="s">
        <v>6053</v>
      </c>
      <c r="G2264" t="s">
        <v>61</v>
      </c>
      <c r="H2264" t="s">
        <v>6240</v>
      </c>
      <c r="I2264" t="str">
        <f t="shared" si="140"/>
        <v>30</v>
      </c>
      <c r="J2264" t="str">
        <f t="shared" si="141"/>
        <v>AD</v>
      </c>
      <c r="K2264" t="str">
        <f t="shared" si="142"/>
        <v>30</v>
      </c>
      <c r="L2264" t="str">
        <f t="shared" si="143"/>
        <v>30</v>
      </c>
    </row>
    <row r="2265" spans="1:12" x14ac:dyDescent="0.35">
      <c r="A2265">
        <v>2278</v>
      </c>
      <c r="B2265" t="s">
        <v>6058</v>
      </c>
      <c r="C2265" t="s">
        <v>6062</v>
      </c>
      <c r="D2265" t="s">
        <v>6241</v>
      </c>
      <c r="E2265" t="s">
        <v>6060</v>
      </c>
      <c r="F2265" t="s">
        <v>6053</v>
      </c>
      <c r="G2265" t="s">
        <v>6061</v>
      </c>
      <c r="H2265" t="s">
        <v>6242</v>
      </c>
      <c r="I2265" t="str">
        <f t="shared" si="140"/>
        <v>30</v>
      </c>
      <c r="J2265" t="str">
        <f t="shared" si="141"/>
        <v>AD</v>
      </c>
      <c r="K2265" t="str">
        <f t="shared" si="142"/>
        <v>30</v>
      </c>
      <c r="L2265" t="str">
        <f t="shared" si="143"/>
        <v>30</v>
      </c>
    </row>
    <row r="2266" spans="1:12" x14ac:dyDescent="0.35">
      <c r="A2266">
        <v>2279</v>
      </c>
      <c r="B2266" t="s">
        <v>6243</v>
      </c>
      <c r="C2266" t="s">
        <v>6085</v>
      </c>
      <c r="D2266" t="s">
        <v>6244</v>
      </c>
      <c r="E2266" t="s">
        <v>6072</v>
      </c>
      <c r="F2266" t="s">
        <v>6067</v>
      </c>
      <c r="G2266" t="s">
        <v>59</v>
      </c>
      <c r="H2266" t="s">
        <v>6245</v>
      </c>
      <c r="I2266" t="str">
        <f t="shared" si="140"/>
        <v>30-33</v>
      </c>
      <c r="J2266" t="str">
        <f t="shared" si="141"/>
        <v>AD</v>
      </c>
      <c r="K2266" t="str">
        <f t="shared" si="142"/>
        <v>30</v>
      </c>
      <c r="L2266" t="str">
        <f t="shared" si="143"/>
        <v>33</v>
      </c>
    </row>
    <row r="2267" spans="1:12" x14ac:dyDescent="0.35">
      <c r="A2267">
        <v>2280</v>
      </c>
      <c r="B2267" t="s">
        <v>6074</v>
      </c>
      <c r="C2267" t="s">
        <v>10731</v>
      </c>
      <c r="D2267" t="s">
        <v>6246</v>
      </c>
      <c r="E2267" t="s">
        <v>6072</v>
      </c>
      <c r="F2267" t="s">
        <v>6067</v>
      </c>
      <c r="G2267" t="s">
        <v>59</v>
      </c>
      <c r="H2267" t="s">
        <v>6247</v>
      </c>
      <c r="I2267" t="str">
        <f t="shared" si="140"/>
        <v>30-33</v>
      </c>
      <c r="J2267" t="str">
        <f t="shared" si="141"/>
        <v>AD</v>
      </c>
      <c r="K2267" t="str">
        <f t="shared" si="142"/>
        <v>30</v>
      </c>
      <c r="L2267" t="str">
        <f t="shared" si="143"/>
        <v>33</v>
      </c>
    </row>
    <row r="2268" spans="1:12" x14ac:dyDescent="0.35">
      <c r="A2268">
        <v>2281</v>
      </c>
      <c r="B2268" t="s">
        <v>6248</v>
      </c>
      <c r="C2268" t="s">
        <v>11694</v>
      </c>
      <c r="D2268" t="s">
        <v>6249</v>
      </c>
      <c r="E2268" t="s">
        <v>6072</v>
      </c>
      <c r="F2268" t="s">
        <v>6067</v>
      </c>
      <c r="G2268" t="s">
        <v>59</v>
      </c>
      <c r="H2268" t="s">
        <v>6250</v>
      </c>
      <c r="I2268" t="str">
        <f t="shared" si="140"/>
        <v>30-33</v>
      </c>
      <c r="J2268" t="str">
        <f t="shared" si="141"/>
        <v>AD</v>
      </c>
      <c r="K2268" t="str">
        <f t="shared" si="142"/>
        <v>30</v>
      </c>
      <c r="L2268" t="str">
        <f t="shared" si="143"/>
        <v>33</v>
      </c>
    </row>
    <row r="2269" spans="1:12" x14ac:dyDescent="0.35">
      <c r="A2269">
        <v>2282</v>
      </c>
      <c r="B2269" t="s">
        <v>6064</v>
      </c>
      <c r="C2269" t="s">
        <v>10731</v>
      </c>
      <c r="D2269" t="s">
        <v>6251</v>
      </c>
      <c r="E2269" t="s">
        <v>6066</v>
      </c>
      <c r="F2269" t="s">
        <v>6067</v>
      </c>
      <c r="G2269" t="s">
        <v>59</v>
      </c>
      <c r="H2269" t="s">
        <v>6252</v>
      </c>
      <c r="I2269" t="str">
        <f t="shared" si="140"/>
        <v>30-33</v>
      </c>
      <c r="J2269" t="str">
        <f t="shared" si="141"/>
        <v>AD</v>
      </c>
      <c r="K2269" t="str">
        <f t="shared" si="142"/>
        <v>30</v>
      </c>
      <c r="L2269" t="str">
        <f t="shared" si="143"/>
        <v>33</v>
      </c>
    </row>
    <row r="2270" spans="1:12" x14ac:dyDescent="0.35">
      <c r="A2270">
        <v>2283</v>
      </c>
      <c r="B2270" t="s">
        <v>6087</v>
      </c>
      <c r="C2270" t="s">
        <v>10731</v>
      </c>
      <c r="D2270" t="s">
        <v>6253</v>
      </c>
      <c r="E2270" t="s">
        <v>6072</v>
      </c>
      <c r="F2270" t="s">
        <v>6067</v>
      </c>
      <c r="G2270" t="s">
        <v>59</v>
      </c>
      <c r="H2270" t="s">
        <v>6254</v>
      </c>
      <c r="I2270" t="str">
        <f t="shared" si="140"/>
        <v>30-33</v>
      </c>
      <c r="J2270" t="str">
        <f t="shared" si="141"/>
        <v>AD</v>
      </c>
      <c r="K2270" t="str">
        <f t="shared" si="142"/>
        <v>30</v>
      </c>
      <c r="L2270" t="str">
        <f t="shared" si="143"/>
        <v>33</v>
      </c>
    </row>
    <row r="2271" spans="1:12" x14ac:dyDescent="0.35">
      <c r="A2271">
        <v>2284</v>
      </c>
      <c r="B2271" t="s">
        <v>6255</v>
      </c>
      <c r="C2271" t="s">
        <v>10731</v>
      </c>
      <c r="D2271" t="s">
        <v>6256</v>
      </c>
      <c r="E2271" t="s">
        <v>6257</v>
      </c>
      <c r="F2271" t="s">
        <v>6067</v>
      </c>
      <c r="G2271" t="s">
        <v>59</v>
      </c>
      <c r="H2271" t="s">
        <v>6258</v>
      </c>
      <c r="I2271" t="str">
        <f t="shared" si="140"/>
        <v>30-33</v>
      </c>
      <c r="J2271" t="str">
        <f t="shared" si="141"/>
        <v>AD</v>
      </c>
      <c r="K2271" t="str">
        <f t="shared" si="142"/>
        <v>30</v>
      </c>
      <c r="L2271" t="str">
        <f t="shared" si="143"/>
        <v>33</v>
      </c>
    </row>
    <row r="2272" spans="1:12" x14ac:dyDescent="0.35">
      <c r="A2272">
        <v>2285</v>
      </c>
      <c r="B2272" t="s">
        <v>6259</v>
      </c>
      <c r="C2272" t="s">
        <v>11694</v>
      </c>
      <c r="D2272" t="s">
        <v>6260</v>
      </c>
      <c r="E2272" t="s">
        <v>6079</v>
      </c>
      <c r="F2272" t="s">
        <v>6067</v>
      </c>
      <c r="G2272" t="s">
        <v>59</v>
      </c>
      <c r="H2272" t="s">
        <v>6261</v>
      </c>
      <c r="I2272" t="str">
        <f t="shared" si="140"/>
        <v>30-33</v>
      </c>
      <c r="J2272" t="str">
        <f t="shared" si="141"/>
        <v>AD</v>
      </c>
      <c r="K2272" t="str">
        <f t="shared" si="142"/>
        <v>30</v>
      </c>
      <c r="L2272" t="str">
        <f t="shared" si="143"/>
        <v>33</v>
      </c>
    </row>
    <row r="2273" spans="1:12" x14ac:dyDescent="0.35">
      <c r="A2273">
        <v>2286</v>
      </c>
      <c r="B2273" t="s">
        <v>6077</v>
      </c>
      <c r="C2273" t="s">
        <v>10732</v>
      </c>
      <c r="D2273" t="s">
        <v>6262</v>
      </c>
      <c r="E2273" t="s">
        <v>6079</v>
      </c>
      <c r="F2273" t="s">
        <v>6067</v>
      </c>
      <c r="G2273" t="s">
        <v>59</v>
      </c>
      <c r="H2273" t="s">
        <v>6263</v>
      </c>
      <c r="I2273" t="str">
        <f t="shared" si="140"/>
        <v>30-33</v>
      </c>
      <c r="J2273" t="str">
        <f t="shared" si="141"/>
        <v>AD</v>
      </c>
      <c r="K2273" t="str">
        <f t="shared" si="142"/>
        <v>30</v>
      </c>
      <c r="L2273" t="str">
        <f t="shared" si="143"/>
        <v>33</v>
      </c>
    </row>
    <row r="2274" spans="1:12" x14ac:dyDescent="0.35">
      <c r="A2274">
        <v>2287</v>
      </c>
      <c r="B2274" t="s">
        <v>6264</v>
      </c>
      <c r="C2274" t="s">
        <v>6085</v>
      </c>
      <c r="D2274" t="s">
        <v>6265</v>
      </c>
      <c r="E2274" t="s">
        <v>6084</v>
      </c>
      <c r="F2274" t="s">
        <v>6067</v>
      </c>
      <c r="G2274" t="s">
        <v>59</v>
      </c>
      <c r="H2274" t="s">
        <v>6266</v>
      </c>
      <c r="I2274" t="str">
        <f t="shared" si="140"/>
        <v>30-33</v>
      </c>
      <c r="J2274" t="str">
        <f t="shared" si="141"/>
        <v>AD</v>
      </c>
      <c r="K2274" t="str">
        <f t="shared" si="142"/>
        <v>30</v>
      </c>
      <c r="L2274" t="str">
        <f t="shared" si="143"/>
        <v>33</v>
      </c>
    </row>
    <row r="2275" spans="1:12" x14ac:dyDescent="0.35">
      <c r="A2275">
        <v>2288</v>
      </c>
      <c r="B2275" t="s">
        <v>6094</v>
      </c>
      <c r="C2275" t="s">
        <v>10731</v>
      </c>
      <c r="D2275" t="s">
        <v>6267</v>
      </c>
      <c r="E2275" t="s">
        <v>6072</v>
      </c>
      <c r="F2275" t="s">
        <v>6067</v>
      </c>
      <c r="G2275" t="s">
        <v>59</v>
      </c>
      <c r="H2275" t="s">
        <v>6268</v>
      </c>
      <c r="I2275" t="str">
        <f t="shared" si="140"/>
        <v>30-33</v>
      </c>
      <c r="J2275" t="str">
        <f t="shared" si="141"/>
        <v>AD</v>
      </c>
      <c r="K2275" t="str">
        <f t="shared" si="142"/>
        <v>30</v>
      </c>
      <c r="L2275" t="str">
        <f t="shared" si="143"/>
        <v>33</v>
      </c>
    </row>
    <row r="2276" spans="1:12" x14ac:dyDescent="0.35">
      <c r="A2276">
        <v>2289</v>
      </c>
      <c r="B2276" t="s">
        <v>6090</v>
      </c>
      <c r="C2276" t="s">
        <v>10733</v>
      </c>
      <c r="D2276" t="s">
        <v>6269</v>
      </c>
      <c r="E2276" t="s">
        <v>6072</v>
      </c>
      <c r="F2276" t="s">
        <v>6067</v>
      </c>
      <c r="G2276" t="s">
        <v>59</v>
      </c>
      <c r="H2276" t="s">
        <v>6270</v>
      </c>
      <c r="I2276" t="str">
        <f t="shared" si="140"/>
        <v>30-33</v>
      </c>
      <c r="J2276" t="str">
        <f t="shared" si="141"/>
        <v>AD</v>
      </c>
      <c r="K2276" t="str">
        <f t="shared" si="142"/>
        <v>30</v>
      </c>
      <c r="L2276" t="str">
        <f t="shared" si="143"/>
        <v>33</v>
      </c>
    </row>
    <row r="2277" spans="1:12" x14ac:dyDescent="0.35">
      <c r="A2277">
        <v>2290</v>
      </c>
      <c r="B2277" t="s">
        <v>6271</v>
      </c>
      <c r="C2277" t="s">
        <v>10048</v>
      </c>
      <c r="D2277" t="s">
        <v>6272</v>
      </c>
      <c r="E2277" t="s">
        <v>6039</v>
      </c>
      <c r="F2277" t="s">
        <v>6067</v>
      </c>
      <c r="G2277" t="s">
        <v>59</v>
      </c>
      <c r="H2277" t="s">
        <v>6273</v>
      </c>
      <c r="I2277" t="str">
        <f t="shared" si="140"/>
        <v>30-33</v>
      </c>
      <c r="J2277" t="str">
        <f t="shared" si="141"/>
        <v>AD</v>
      </c>
      <c r="K2277" t="str">
        <f t="shared" si="142"/>
        <v>30</v>
      </c>
      <c r="L2277" t="str">
        <f t="shared" si="143"/>
        <v>33</v>
      </c>
    </row>
    <row r="2278" spans="1:12" x14ac:dyDescent="0.35">
      <c r="A2278">
        <v>2291</v>
      </c>
      <c r="B2278" t="s">
        <v>6274</v>
      </c>
      <c r="C2278" t="s">
        <v>10605</v>
      </c>
      <c r="D2278" t="s">
        <v>6275</v>
      </c>
      <c r="E2278" t="s">
        <v>6066</v>
      </c>
      <c r="F2278" t="s">
        <v>6067</v>
      </c>
      <c r="G2278" t="s">
        <v>59</v>
      </c>
      <c r="H2278" t="s">
        <v>6276</v>
      </c>
      <c r="I2278" t="str">
        <f t="shared" si="140"/>
        <v>30-33</v>
      </c>
      <c r="J2278" t="str">
        <f t="shared" si="141"/>
        <v>AD</v>
      </c>
      <c r="K2278" t="str">
        <f t="shared" si="142"/>
        <v>30</v>
      </c>
      <c r="L2278" t="str">
        <f t="shared" si="143"/>
        <v>33</v>
      </c>
    </row>
    <row r="2279" spans="1:12" x14ac:dyDescent="0.35">
      <c r="A2279">
        <v>2292</v>
      </c>
      <c r="B2279" t="s">
        <v>6105</v>
      </c>
      <c r="C2279" t="s">
        <v>10734</v>
      </c>
      <c r="D2279" t="s">
        <v>6277</v>
      </c>
      <c r="E2279" t="s">
        <v>6107</v>
      </c>
      <c r="F2279" t="s">
        <v>6067</v>
      </c>
      <c r="G2279" t="s">
        <v>59</v>
      </c>
      <c r="H2279" t="s">
        <v>6278</v>
      </c>
      <c r="I2279" t="str">
        <f t="shared" si="140"/>
        <v>30-33</v>
      </c>
      <c r="J2279" t="str">
        <f t="shared" si="141"/>
        <v>AD</v>
      </c>
      <c r="K2279" t="str">
        <f t="shared" si="142"/>
        <v>30</v>
      </c>
      <c r="L2279" t="str">
        <f t="shared" si="143"/>
        <v>33</v>
      </c>
    </row>
    <row r="2280" spans="1:12" x14ac:dyDescent="0.35">
      <c r="A2280">
        <v>2293</v>
      </c>
      <c r="B2280" t="s">
        <v>6110</v>
      </c>
      <c r="C2280" t="s">
        <v>10732</v>
      </c>
      <c r="D2280" t="s">
        <v>6116</v>
      </c>
      <c r="E2280" t="s">
        <v>6079</v>
      </c>
      <c r="F2280" t="s">
        <v>6067</v>
      </c>
      <c r="G2280" t="s">
        <v>59</v>
      </c>
      <c r="H2280" t="s">
        <v>6279</v>
      </c>
      <c r="I2280" t="str">
        <f t="shared" si="140"/>
        <v>30-33</v>
      </c>
      <c r="J2280" t="str">
        <f t="shared" si="141"/>
        <v>AD</v>
      </c>
      <c r="K2280" t="str">
        <f t="shared" si="142"/>
        <v>30</v>
      </c>
      <c r="L2280" t="str">
        <f t="shared" si="143"/>
        <v>33</v>
      </c>
    </row>
    <row r="2281" spans="1:12" x14ac:dyDescent="0.35">
      <c r="A2281">
        <v>2294</v>
      </c>
      <c r="B2281" t="s">
        <v>6117</v>
      </c>
      <c r="C2281" t="s">
        <v>10731</v>
      </c>
      <c r="D2281" t="s">
        <v>6120</v>
      </c>
      <c r="E2281" t="s">
        <v>6119</v>
      </c>
      <c r="F2281" t="s">
        <v>6067</v>
      </c>
      <c r="G2281" t="s">
        <v>59</v>
      </c>
      <c r="H2281" t="s">
        <v>6118</v>
      </c>
      <c r="I2281" t="str">
        <f t="shared" si="140"/>
        <v>30-33</v>
      </c>
      <c r="J2281" t="str">
        <f t="shared" si="141"/>
        <v>AD</v>
      </c>
      <c r="K2281" t="str">
        <f t="shared" si="142"/>
        <v>30</v>
      </c>
      <c r="L2281" t="str">
        <f t="shared" si="143"/>
        <v>33</v>
      </c>
    </row>
    <row r="2282" spans="1:12" x14ac:dyDescent="0.35">
      <c r="A2282">
        <v>2295</v>
      </c>
      <c r="B2282" t="s">
        <v>6280</v>
      </c>
      <c r="C2282" t="s">
        <v>11694</v>
      </c>
      <c r="D2282" t="s">
        <v>6124</v>
      </c>
      <c r="E2282" t="s">
        <v>1573</v>
      </c>
      <c r="F2282" t="s">
        <v>6067</v>
      </c>
      <c r="G2282" t="s">
        <v>59</v>
      </c>
      <c r="H2282" t="s">
        <v>6122</v>
      </c>
      <c r="I2282" t="str">
        <f t="shared" si="140"/>
        <v>30-33</v>
      </c>
      <c r="J2282" t="str">
        <f t="shared" si="141"/>
        <v>AD</v>
      </c>
      <c r="K2282" t="str">
        <f t="shared" si="142"/>
        <v>30</v>
      </c>
      <c r="L2282" t="str">
        <f t="shared" si="143"/>
        <v>33</v>
      </c>
    </row>
    <row r="2283" spans="1:12" x14ac:dyDescent="0.35">
      <c r="A2283">
        <v>2296</v>
      </c>
      <c r="B2283" t="s">
        <v>6281</v>
      </c>
      <c r="C2283" t="s">
        <v>10731</v>
      </c>
      <c r="D2283" t="s">
        <v>6</v>
      </c>
      <c r="E2283" t="s">
        <v>6282</v>
      </c>
      <c r="F2283" t="s">
        <v>6067</v>
      </c>
      <c r="G2283" t="s">
        <v>59</v>
      </c>
      <c r="H2283" t="s">
        <v>62</v>
      </c>
      <c r="I2283" t="str">
        <f t="shared" si="140"/>
        <v>30-33</v>
      </c>
      <c r="J2283" t="str">
        <f t="shared" si="141"/>
        <v>AD</v>
      </c>
      <c r="K2283" t="str">
        <f t="shared" si="142"/>
        <v>30</v>
      </c>
      <c r="L2283" t="str">
        <f t="shared" si="143"/>
        <v>33</v>
      </c>
    </row>
    <row r="2284" spans="1:12" x14ac:dyDescent="0.35">
      <c r="A2284">
        <v>2297</v>
      </c>
      <c r="B2284" t="s">
        <v>6126</v>
      </c>
      <c r="C2284" t="s">
        <v>10734</v>
      </c>
      <c r="D2284" t="s">
        <v>6128</v>
      </c>
      <c r="E2284" t="s">
        <v>6066</v>
      </c>
      <c r="F2284" t="s">
        <v>6067</v>
      </c>
      <c r="G2284" t="s">
        <v>59</v>
      </c>
      <c r="H2284" t="s">
        <v>6127</v>
      </c>
      <c r="I2284" t="str">
        <f t="shared" si="140"/>
        <v>30-33</v>
      </c>
      <c r="J2284" t="str">
        <f t="shared" si="141"/>
        <v>AD</v>
      </c>
      <c r="K2284" t="str">
        <f t="shared" si="142"/>
        <v>30</v>
      </c>
      <c r="L2284" t="str">
        <f t="shared" si="143"/>
        <v>33</v>
      </c>
    </row>
    <row r="2285" spans="1:12" x14ac:dyDescent="0.35">
      <c r="A2285">
        <v>2298</v>
      </c>
      <c r="B2285" t="s">
        <v>6283</v>
      </c>
      <c r="C2285" t="s">
        <v>10731</v>
      </c>
      <c r="D2285" t="s">
        <v>8</v>
      </c>
      <c r="E2285" t="s">
        <v>6284</v>
      </c>
      <c r="F2285" t="s">
        <v>6067</v>
      </c>
      <c r="G2285" t="s">
        <v>59</v>
      </c>
      <c r="H2285" t="s">
        <v>6146</v>
      </c>
      <c r="I2285" t="str">
        <f t="shared" si="140"/>
        <v>30-33</v>
      </c>
      <c r="J2285" t="str">
        <f t="shared" si="141"/>
        <v>AD</v>
      </c>
      <c r="K2285" t="str">
        <f t="shared" si="142"/>
        <v>30</v>
      </c>
      <c r="L2285" t="str">
        <f t="shared" si="143"/>
        <v>33</v>
      </c>
    </row>
    <row r="2286" spans="1:12" x14ac:dyDescent="0.35">
      <c r="A2286">
        <v>2299</v>
      </c>
      <c r="B2286" t="s">
        <v>6285</v>
      </c>
      <c r="C2286" t="s">
        <v>10048</v>
      </c>
      <c r="D2286" t="s">
        <v>6286</v>
      </c>
      <c r="E2286" t="s">
        <v>6287</v>
      </c>
      <c r="F2286" t="s">
        <v>6067</v>
      </c>
      <c r="G2286" t="s">
        <v>6115</v>
      </c>
      <c r="H2286" t="s">
        <v>6288</v>
      </c>
      <c r="I2286" t="str">
        <f t="shared" si="140"/>
        <v>30-33</v>
      </c>
      <c r="J2286" t="str">
        <f t="shared" si="141"/>
        <v>AD</v>
      </c>
      <c r="K2286" t="str">
        <f t="shared" si="142"/>
        <v>30</v>
      </c>
      <c r="L2286" t="str">
        <f t="shared" si="143"/>
        <v>33</v>
      </c>
    </row>
    <row r="2287" spans="1:12" x14ac:dyDescent="0.35">
      <c r="A2287">
        <v>2300</v>
      </c>
      <c r="B2287" t="s">
        <v>6155</v>
      </c>
      <c r="C2287" t="s">
        <v>6157</v>
      </c>
      <c r="D2287" t="s">
        <v>6289</v>
      </c>
      <c r="E2287" t="s">
        <v>6287</v>
      </c>
      <c r="F2287" t="s">
        <v>6067</v>
      </c>
      <c r="G2287" t="s">
        <v>59</v>
      </c>
      <c r="H2287" t="s">
        <v>6290</v>
      </c>
      <c r="I2287" t="str">
        <f t="shared" si="140"/>
        <v>30-33</v>
      </c>
      <c r="J2287" t="str">
        <f t="shared" si="141"/>
        <v>AD</v>
      </c>
      <c r="K2287" t="str">
        <f t="shared" si="142"/>
        <v>30</v>
      </c>
      <c r="L2287" t="str">
        <f t="shared" si="143"/>
        <v>33</v>
      </c>
    </row>
    <row r="2288" spans="1:12" x14ac:dyDescent="0.35">
      <c r="A2288">
        <v>2301</v>
      </c>
      <c r="B2288" t="s">
        <v>6133</v>
      </c>
      <c r="C2288" t="s">
        <v>10569</v>
      </c>
      <c r="D2288" t="s">
        <v>6291</v>
      </c>
      <c r="E2288" t="s">
        <v>6131</v>
      </c>
      <c r="F2288" t="s">
        <v>6067</v>
      </c>
      <c r="G2288" t="s">
        <v>59</v>
      </c>
      <c r="H2288" t="s">
        <v>6292</v>
      </c>
      <c r="I2288" t="str">
        <f t="shared" si="140"/>
        <v>30-33</v>
      </c>
      <c r="J2288" t="str">
        <f t="shared" si="141"/>
        <v>AD</v>
      </c>
      <c r="K2288" t="str">
        <f t="shared" si="142"/>
        <v>30</v>
      </c>
      <c r="L2288" t="str">
        <f t="shared" si="143"/>
        <v>33</v>
      </c>
    </row>
    <row r="2289" spans="1:12" x14ac:dyDescent="0.35">
      <c r="A2289">
        <v>2302</v>
      </c>
      <c r="B2289" t="s">
        <v>6136</v>
      </c>
      <c r="C2289" t="s">
        <v>10606</v>
      </c>
      <c r="D2289" t="s">
        <v>6293</v>
      </c>
      <c r="E2289" t="s">
        <v>6131</v>
      </c>
      <c r="F2289" t="s">
        <v>6067</v>
      </c>
      <c r="G2289" t="s">
        <v>6138</v>
      </c>
      <c r="H2289" t="s">
        <v>6294</v>
      </c>
      <c r="I2289" t="str">
        <f t="shared" si="140"/>
        <v>30-33</v>
      </c>
      <c r="J2289" t="str">
        <f t="shared" si="141"/>
        <v>AD</v>
      </c>
      <c r="K2289" t="str">
        <f t="shared" si="142"/>
        <v>30</v>
      </c>
      <c r="L2289" t="str">
        <f t="shared" si="143"/>
        <v>33</v>
      </c>
    </row>
    <row r="2290" spans="1:12" x14ac:dyDescent="0.35">
      <c r="A2290">
        <v>2303</v>
      </c>
      <c r="B2290" t="s">
        <v>6129</v>
      </c>
      <c r="C2290" t="s">
        <v>10540</v>
      </c>
      <c r="D2290" t="s">
        <v>6295</v>
      </c>
      <c r="E2290" t="s">
        <v>6131</v>
      </c>
      <c r="F2290" t="s">
        <v>6067</v>
      </c>
      <c r="G2290" t="s">
        <v>60</v>
      </c>
      <c r="H2290" t="s">
        <v>6296</v>
      </c>
      <c r="I2290" t="str">
        <f t="shared" si="140"/>
        <v>30-33</v>
      </c>
      <c r="J2290" t="str">
        <f t="shared" si="141"/>
        <v>AD</v>
      </c>
      <c r="K2290" t="str">
        <f t="shared" si="142"/>
        <v>30</v>
      </c>
      <c r="L2290" t="str">
        <f t="shared" si="143"/>
        <v>33</v>
      </c>
    </row>
    <row r="2291" spans="1:12" x14ac:dyDescent="0.35">
      <c r="A2291">
        <v>2304</v>
      </c>
      <c r="B2291" t="s">
        <v>6141</v>
      </c>
      <c r="C2291" t="s">
        <v>11694</v>
      </c>
      <c r="D2291" t="s">
        <v>6297</v>
      </c>
      <c r="E2291" t="s">
        <v>6066</v>
      </c>
      <c r="F2291" t="s">
        <v>6067</v>
      </c>
      <c r="G2291" t="s">
        <v>59</v>
      </c>
      <c r="H2291" t="s">
        <v>6298</v>
      </c>
      <c r="I2291" t="str">
        <f t="shared" si="140"/>
        <v>30-33</v>
      </c>
      <c r="J2291" t="str">
        <f t="shared" si="141"/>
        <v>AD</v>
      </c>
      <c r="K2291" t="str">
        <f t="shared" si="142"/>
        <v>30</v>
      </c>
      <c r="L2291" t="str">
        <f t="shared" si="143"/>
        <v>33</v>
      </c>
    </row>
    <row r="2292" spans="1:12" x14ac:dyDescent="0.35">
      <c r="A2292">
        <v>2305</v>
      </c>
      <c r="B2292" t="s">
        <v>6299</v>
      </c>
      <c r="C2292" t="s">
        <v>6157</v>
      </c>
      <c r="D2292" t="s">
        <v>6300</v>
      </c>
      <c r="E2292" t="s">
        <v>6066</v>
      </c>
      <c r="F2292" t="s">
        <v>6067</v>
      </c>
      <c r="G2292" t="s">
        <v>59</v>
      </c>
      <c r="H2292" t="s">
        <v>6301</v>
      </c>
      <c r="I2292" t="str">
        <f t="shared" ref="I2292:I2355" si="144">SUBSTITUTE(SUBSTITUTE(SUBSTITUTE(F2292,"c. ","")," BC","")," AD","")</f>
        <v>30-33</v>
      </c>
      <c r="J2292" t="str">
        <f t="shared" si="141"/>
        <v>AD</v>
      </c>
      <c r="K2292" t="str">
        <f t="shared" si="142"/>
        <v>30</v>
      </c>
      <c r="L2292" t="str">
        <f t="shared" si="143"/>
        <v>33</v>
      </c>
    </row>
    <row r="2293" spans="1:12" x14ac:dyDescent="0.35">
      <c r="A2293">
        <v>2306</v>
      </c>
      <c r="B2293" t="s">
        <v>6302</v>
      </c>
      <c r="C2293" t="s">
        <v>6157</v>
      </c>
      <c r="D2293" t="s">
        <v>6303</v>
      </c>
      <c r="E2293" t="s">
        <v>6304</v>
      </c>
      <c r="F2293" t="s">
        <v>6149</v>
      </c>
      <c r="G2293" t="s">
        <v>59</v>
      </c>
      <c r="H2293" t="s">
        <v>6305</v>
      </c>
      <c r="I2293" t="str">
        <f t="shared" si="144"/>
        <v>33</v>
      </c>
      <c r="J2293" t="str">
        <f t="shared" si="141"/>
        <v>AD</v>
      </c>
      <c r="K2293" t="str">
        <f t="shared" si="142"/>
        <v>33</v>
      </c>
      <c r="L2293" t="str">
        <f t="shared" si="143"/>
        <v>33</v>
      </c>
    </row>
    <row r="2294" spans="1:12" x14ac:dyDescent="0.35">
      <c r="A2294">
        <v>2307</v>
      </c>
      <c r="B2294" t="s">
        <v>6306</v>
      </c>
      <c r="C2294" t="s">
        <v>10731</v>
      </c>
      <c r="D2294" t="s">
        <v>6307</v>
      </c>
      <c r="E2294" t="s">
        <v>865</v>
      </c>
      <c r="F2294" t="s">
        <v>6149</v>
      </c>
      <c r="G2294" t="s">
        <v>59</v>
      </c>
      <c r="H2294" t="s">
        <v>6308</v>
      </c>
      <c r="I2294" t="str">
        <f t="shared" si="144"/>
        <v>33</v>
      </c>
      <c r="J2294" t="str">
        <f t="shared" si="141"/>
        <v>AD</v>
      </c>
      <c r="K2294" t="str">
        <f t="shared" si="142"/>
        <v>33</v>
      </c>
      <c r="L2294" t="str">
        <f t="shared" si="143"/>
        <v>33</v>
      </c>
    </row>
    <row r="2295" spans="1:12" x14ac:dyDescent="0.35">
      <c r="A2295">
        <v>2308</v>
      </c>
      <c r="B2295" t="s">
        <v>6151</v>
      </c>
      <c r="C2295" t="s">
        <v>10732</v>
      </c>
      <c r="D2295" t="s">
        <v>6154</v>
      </c>
      <c r="E2295" t="s">
        <v>6153</v>
      </c>
      <c r="F2295" t="s">
        <v>6149</v>
      </c>
      <c r="G2295" t="s">
        <v>59</v>
      </c>
      <c r="H2295" t="s">
        <v>6152</v>
      </c>
      <c r="I2295" t="str">
        <f t="shared" si="144"/>
        <v>33</v>
      </c>
      <c r="J2295" t="str">
        <f t="shared" si="141"/>
        <v>AD</v>
      </c>
      <c r="K2295" t="str">
        <f t="shared" si="142"/>
        <v>33</v>
      </c>
      <c r="L2295" t="str">
        <f t="shared" si="143"/>
        <v>33</v>
      </c>
    </row>
    <row r="2296" spans="1:12" x14ac:dyDescent="0.35">
      <c r="A2296">
        <v>2309</v>
      </c>
      <c r="B2296" t="s">
        <v>6309</v>
      </c>
      <c r="C2296" t="s">
        <v>6157</v>
      </c>
      <c r="D2296" t="s">
        <v>6310</v>
      </c>
      <c r="E2296" t="s">
        <v>1211</v>
      </c>
      <c r="F2296" t="s">
        <v>6149</v>
      </c>
      <c r="G2296" t="s">
        <v>59</v>
      </c>
      <c r="H2296" t="s">
        <v>6311</v>
      </c>
      <c r="I2296" t="str">
        <f t="shared" si="144"/>
        <v>33</v>
      </c>
      <c r="J2296" t="str">
        <f t="shared" si="141"/>
        <v>AD</v>
      </c>
      <c r="K2296" t="str">
        <f t="shared" si="142"/>
        <v>33</v>
      </c>
      <c r="L2296" t="str">
        <f t="shared" si="143"/>
        <v>33</v>
      </c>
    </row>
    <row r="2297" spans="1:12" x14ac:dyDescent="0.35">
      <c r="A2297">
        <v>2310</v>
      </c>
      <c r="B2297" t="s">
        <v>6312</v>
      </c>
      <c r="C2297" t="s">
        <v>6157</v>
      </c>
      <c r="D2297" t="s">
        <v>6313</v>
      </c>
      <c r="E2297" t="s">
        <v>1351</v>
      </c>
      <c r="F2297" t="s">
        <v>6149</v>
      </c>
      <c r="G2297" t="s">
        <v>59</v>
      </c>
      <c r="H2297" t="s">
        <v>6314</v>
      </c>
      <c r="I2297" t="str">
        <f t="shared" si="144"/>
        <v>33</v>
      </c>
      <c r="J2297" t="str">
        <f t="shared" si="141"/>
        <v>AD</v>
      </c>
      <c r="K2297" t="str">
        <f t="shared" si="142"/>
        <v>33</v>
      </c>
      <c r="L2297" t="str">
        <f t="shared" si="143"/>
        <v>33</v>
      </c>
    </row>
    <row r="2298" spans="1:12" x14ac:dyDescent="0.35">
      <c r="A2298">
        <v>2311</v>
      </c>
      <c r="B2298" t="s">
        <v>6159</v>
      </c>
      <c r="C2298" t="s">
        <v>10607</v>
      </c>
      <c r="D2298" t="s">
        <v>6315</v>
      </c>
      <c r="E2298" t="s">
        <v>1211</v>
      </c>
      <c r="F2298" t="s">
        <v>6149</v>
      </c>
      <c r="G2298" t="s">
        <v>59</v>
      </c>
      <c r="H2298" t="s">
        <v>6316</v>
      </c>
      <c r="I2298" t="str">
        <f t="shared" si="144"/>
        <v>33</v>
      </c>
      <c r="J2298" t="str">
        <f t="shared" si="141"/>
        <v>AD</v>
      </c>
      <c r="K2298" t="str">
        <f t="shared" si="142"/>
        <v>33</v>
      </c>
      <c r="L2298" t="str">
        <f t="shared" si="143"/>
        <v>33</v>
      </c>
    </row>
    <row r="2299" spans="1:12" x14ac:dyDescent="0.35">
      <c r="A2299">
        <v>2312</v>
      </c>
      <c r="B2299" t="s">
        <v>6162</v>
      </c>
      <c r="C2299" t="s">
        <v>10608</v>
      </c>
      <c r="D2299" t="s">
        <v>6317</v>
      </c>
      <c r="E2299" t="s">
        <v>1211</v>
      </c>
      <c r="F2299" t="s">
        <v>6149</v>
      </c>
      <c r="G2299" t="s">
        <v>59</v>
      </c>
      <c r="H2299" t="s">
        <v>6318</v>
      </c>
      <c r="I2299" t="str">
        <f t="shared" si="144"/>
        <v>33</v>
      </c>
      <c r="J2299" t="str">
        <f t="shared" si="141"/>
        <v>AD</v>
      </c>
      <c r="K2299" t="str">
        <f t="shared" si="142"/>
        <v>33</v>
      </c>
      <c r="L2299" t="str">
        <f t="shared" si="143"/>
        <v>33</v>
      </c>
    </row>
    <row r="2300" spans="1:12" x14ac:dyDescent="0.35">
      <c r="A2300">
        <v>2313</v>
      </c>
      <c r="B2300" t="s">
        <v>6166</v>
      </c>
      <c r="C2300" t="s">
        <v>6157</v>
      </c>
      <c r="D2300" t="s">
        <v>6319</v>
      </c>
      <c r="E2300" t="s">
        <v>1211</v>
      </c>
      <c r="F2300" t="s">
        <v>6149</v>
      </c>
      <c r="G2300" t="s">
        <v>59</v>
      </c>
      <c r="H2300" t="s">
        <v>6320</v>
      </c>
      <c r="I2300" t="str">
        <f t="shared" si="144"/>
        <v>33</v>
      </c>
      <c r="J2300" t="str">
        <f t="shared" si="141"/>
        <v>AD</v>
      </c>
      <c r="K2300" t="str">
        <f t="shared" si="142"/>
        <v>33</v>
      </c>
      <c r="L2300" t="str">
        <f t="shared" si="143"/>
        <v>33</v>
      </c>
    </row>
    <row r="2301" spans="1:12" x14ac:dyDescent="0.35">
      <c r="A2301">
        <v>2314</v>
      </c>
      <c r="B2301" t="s">
        <v>6321</v>
      </c>
      <c r="C2301" t="s">
        <v>10540</v>
      </c>
      <c r="D2301" t="s">
        <v>6322</v>
      </c>
      <c r="E2301" t="s">
        <v>6171</v>
      </c>
      <c r="F2301" t="s">
        <v>6149</v>
      </c>
      <c r="G2301" t="s">
        <v>59</v>
      </c>
      <c r="H2301" t="s">
        <v>6323</v>
      </c>
      <c r="I2301" t="str">
        <f t="shared" si="144"/>
        <v>33</v>
      </c>
      <c r="J2301" t="str">
        <f t="shared" si="141"/>
        <v>AD</v>
      </c>
      <c r="K2301" t="str">
        <f t="shared" si="142"/>
        <v>33</v>
      </c>
      <c r="L2301" t="str">
        <f t="shared" si="143"/>
        <v>33</v>
      </c>
    </row>
    <row r="2302" spans="1:12" x14ac:dyDescent="0.35">
      <c r="A2302">
        <v>2315</v>
      </c>
      <c r="B2302" t="s">
        <v>6324</v>
      </c>
      <c r="C2302" t="s">
        <v>10731</v>
      </c>
      <c r="D2302" t="s">
        <v>6325</v>
      </c>
      <c r="E2302" t="s">
        <v>6171</v>
      </c>
      <c r="F2302" t="s">
        <v>6149</v>
      </c>
      <c r="G2302" t="s">
        <v>59</v>
      </c>
      <c r="H2302" t="s">
        <v>6326</v>
      </c>
      <c r="I2302" t="str">
        <f t="shared" si="144"/>
        <v>33</v>
      </c>
      <c r="J2302" t="str">
        <f t="shared" si="141"/>
        <v>AD</v>
      </c>
      <c r="K2302" t="str">
        <f t="shared" si="142"/>
        <v>33</v>
      </c>
      <c r="L2302" t="str">
        <f t="shared" si="143"/>
        <v>33</v>
      </c>
    </row>
    <row r="2303" spans="1:12" x14ac:dyDescent="0.35">
      <c r="A2303">
        <v>2316</v>
      </c>
      <c r="B2303" t="s">
        <v>6174</v>
      </c>
      <c r="C2303" t="s">
        <v>10604</v>
      </c>
      <c r="D2303" t="s">
        <v>6327</v>
      </c>
      <c r="E2303" t="s">
        <v>1211</v>
      </c>
      <c r="F2303" t="s">
        <v>6149</v>
      </c>
      <c r="G2303" t="s">
        <v>53</v>
      </c>
      <c r="H2303" t="s">
        <v>6328</v>
      </c>
      <c r="I2303" t="str">
        <f t="shared" si="144"/>
        <v>33</v>
      </c>
      <c r="J2303" t="str">
        <f t="shared" si="141"/>
        <v>AD</v>
      </c>
      <c r="K2303" t="str">
        <f t="shared" si="142"/>
        <v>33</v>
      </c>
      <c r="L2303" t="str">
        <f t="shared" si="143"/>
        <v>33</v>
      </c>
    </row>
    <row r="2304" spans="1:12" x14ac:dyDescent="0.35">
      <c r="A2304">
        <v>2317</v>
      </c>
      <c r="B2304" t="s">
        <v>6329</v>
      </c>
      <c r="C2304" t="s">
        <v>10540</v>
      </c>
      <c r="D2304" t="s">
        <v>6330</v>
      </c>
      <c r="E2304" t="s">
        <v>1211</v>
      </c>
      <c r="F2304" t="s">
        <v>6149</v>
      </c>
      <c r="G2304" t="s">
        <v>59</v>
      </c>
      <c r="H2304" t="s">
        <v>6331</v>
      </c>
      <c r="I2304" t="str">
        <f t="shared" si="144"/>
        <v>33</v>
      </c>
      <c r="J2304" t="str">
        <f t="shared" si="141"/>
        <v>AD</v>
      </c>
      <c r="K2304" t="str">
        <f t="shared" si="142"/>
        <v>33</v>
      </c>
      <c r="L2304" t="str">
        <f t="shared" si="143"/>
        <v>33</v>
      </c>
    </row>
    <row r="2305" spans="1:12" x14ac:dyDescent="0.35">
      <c r="A2305">
        <v>2318</v>
      </c>
      <c r="B2305" t="s">
        <v>6177</v>
      </c>
      <c r="C2305" t="s">
        <v>10604</v>
      </c>
      <c r="D2305" t="s">
        <v>6332</v>
      </c>
      <c r="E2305" t="s">
        <v>1211</v>
      </c>
      <c r="F2305" t="s">
        <v>6149</v>
      </c>
      <c r="G2305" t="s">
        <v>53</v>
      </c>
      <c r="H2305" t="s">
        <v>6333</v>
      </c>
      <c r="I2305" t="str">
        <f t="shared" si="144"/>
        <v>33</v>
      </c>
      <c r="J2305" t="str">
        <f t="shared" si="141"/>
        <v>AD</v>
      </c>
      <c r="K2305" t="str">
        <f t="shared" si="142"/>
        <v>33</v>
      </c>
      <c r="L2305" t="str">
        <f t="shared" si="143"/>
        <v>33</v>
      </c>
    </row>
    <row r="2306" spans="1:12" x14ac:dyDescent="0.35">
      <c r="A2306">
        <v>2319</v>
      </c>
      <c r="B2306" t="s">
        <v>6181</v>
      </c>
      <c r="C2306" t="s">
        <v>10048</v>
      </c>
      <c r="D2306" t="s">
        <v>6334</v>
      </c>
      <c r="E2306" t="s">
        <v>1211</v>
      </c>
      <c r="F2306" t="s">
        <v>6149</v>
      </c>
      <c r="G2306" t="s">
        <v>6183</v>
      </c>
      <c r="H2306" t="s">
        <v>6335</v>
      </c>
      <c r="I2306" t="str">
        <f t="shared" si="144"/>
        <v>33</v>
      </c>
      <c r="J2306" t="str">
        <f t="shared" ref="J2306:J2369" si="145">RIGHT(F2306, 2)</f>
        <v>AD</v>
      </c>
      <c r="K2306" t="str">
        <f t="shared" ref="K2306:K2369" si="146">IF(J2306="BC", 0-IF(ISERROR(FIND("-",I2306)),I2306,LEFT(I2306,FIND("-",I2306)-1)), IF(ISERROR(FIND("-",I2306)),I2306,LEFT(I2306,FIND("-",I2306)-1)))</f>
        <v>33</v>
      </c>
      <c r="L2306" t="str">
        <f t="shared" ref="L2306:L2369" si="147">IF(J2306="BC", 0-IF(ISERROR(FIND("-",I2306)),I2306,RIGHT(I2306,FIND("-",I2306)-1)), IF(ISERROR(FIND("-",I2306)),I2306,RIGHT(I2306,FIND("-",I2306)-1)))</f>
        <v>33</v>
      </c>
    </row>
    <row r="2307" spans="1:12" x14ac:dyDescent="0.35">
      <c r="A2307">
        <v>2320</v>
      </c>
      <c r="B2307" t="s">
        <v>6336</v>
      </c>
      <c r="C2307" t="s">
        <v>10610</v>
      </c>
      <c r="D2307" t="s">
        <v>6337</v>
      </c>
      <c r="E2307" t="s">
        <v>1211</v>
      </c>
      <c r="F2307" t="s">
        <v>6149</v>
      </c>
      <c r="G2307" t="s">
        <v>4938</v>
      </c>
      <c r="H2307" t="s">
        <v>6338</v>
      </c>
      <c r="I2307" t="str">
        <f t="shared" si="144"/>
        <v>33</v>
      </c>
      <c r="J2307" t="str">
        <f t="shared" si="145"/>
        <v>AD</v>
      </c>
      <c r="K2307" t="str">
        <f t="shared" si="146"/>
        <v>33</v>
      </c>
      <c r="L2307" t="str">
        <f t="shared" si="147"/>
        <v>33</v>
      </c>
    </row>
    <row r="2308" spans="1:12" x14ac:dyDescent="0.35">
      <c r="A2308">
        <v>2321</v>
      </c>
      <c r="B2308" t="s">
        <v>6339</v>
      </c>
      <c r="C2308" t="s">
        <v>10540</v>
      </c>
      <c r="D2308" t="s">
        <v>6340</v>
      </c>
      <c r="E2308" t="s">
        <v>1211</v>
      </c>
      <c r="F2308" t="s">
        <v>6149</v>
      </c>
      <c r="G2308" t="s">
        <v>4938</v>
      </c>
      <c r="H2308" t="s">
        <v>6341</v>
      </c>
      <c r="I2308" t="str">
        <f t="shared" si="144"/>
        <v>33</v>
      </c>
      <c r="J2308" t="str">
        <f t="shared" si="145"/>
        <v>AD</v>
      </c>
      <c r="K2308" t="str">
        <f t="shared" si="146"/>
        <v>33</v>
      </c>
      <c r="L2308" t="str">
        <f t="shared" si="147"/>
        <v>33</v>
      </c>
    </row>
    <row r="2309" spans="1:12" x14ac:dyDescent="0.35">
      <c r="A2309">
        <v>2322</v>
      </c>
      <c r="B2309" t="s">
        <v>6342</v>
      </c>
      <c r="C2309" t="s">
        <v>6194</v>
      </c>
      <c r="D2309" t="s">
        <v>6343</v>
      </c>
      <c r="E2309" t="s">
        <v>1211</v>
      </c>
      <c r="F2309" t="s">
        <v>6149</v>
      </c>
      <c r="G2309" t="s">
        <v>59</v>
      </c>
      <c r="H2309" t="s">
        <v>6344</v>
      </c>
      <c r="I2309" t="str">
        <f t="shared" si="144"/>
        <v>33</v>
      </c>
      <c r="J2309" t="str">
        <f t="shared" si="145"/>
        <v>AD</v>
      </c>
      <c r="K2309" t="str">
        <f t="shared" si="146"/>
        <v>33</v>
      </c>
      <c r="L2309" t="str">
        <f t="shared" si="147"/>
        <v>33</v>
      </c>
    </row>
    <row r="2310" spans="1:12" x14ac:dyDescent="0.35">
      <c r="A2310">
        <v>2323</v>
      </c>
      <c r="B2310" t="s">
        <v>6345</v>
      </c>
      <c r="C2310" t="s">
        <v>6194</v>
      </c>
      <c r="D2310" t="s">
        <v>6346</v>
      </c>
      <c r="E2310" t="s">
        <v>6347</v>
      </c>
      <c r="F2310" t="s">
        <v>6149</v>
      </c>
      <c r="G2310" t="s">
        <v>59</v>
      </c>
      <c r="H2310" t="s">
        <v>6348</v>
      </c>
      <c r="I2310" t="str">
        <f t="shared" si="144"/>
        <v>33</v>
      </c>
      <c r="J2310" t="str">
        <f t="shared" si="145"/>
        <v>AD</v>
      </c>
      <c r="K2310" t="str">
        <f t="shared" si="146"/>
        <v>33</v>
      </c>
      <c r="L2310" t="str">
        <f t="shared" si="147"/>
        <v>33</v>
      </c>
    </row>
    <row r="2311" spans="1:12" x14ac:dyDescent="0.35">
      <c r="A2311">
        <v>2324</v>
      </c>
      <c r="B2311" t="s">
        <v>6196</v>
      </c>
      <c r="C2311" t="s">
        <v>6194</v>
      </c>
      <c r="D2311" t="s">
        <v>6349</v>
      </c>
      <c r="E2311" t="s">
        <v>1211</v>
      </c>
      <c r="F2311" t="s">
        <v>6149</v>
      </c>
      <c r="G2311" t="s">
        <v>59</v>
      </c>
      <c r="H2311" t="s">
        <v>6350</v>
      </c>
      <c r="I2311" t="str">
        <f t="shared" si="144"/>
        <v>33</v>
      </c>
      <c r="J2311" t="str">
        <f t="shared" si="145"/>
        <v>AD</v>
      </c>
      <c r="K2311" t="str">
        <f t="shared" si="146"/>
        <v>33</v>
      </c>
      <c r="L2311" t="str">
        <f t="shared" si="147"/>
        <v>33</v>
      </c>
    </row>
    <row r="2312" spans="1:12" x14ac:dyDescent="0.35">
      <c r="A2312">
        <v>2325</v>
      </c>
      <c r="B2312" t="s">
        <v>6351</v>
      </c>
      <c r="C2312" t="s">
        <v>6353</v>
      </c>
      <c r="D2312" t="s">
        <v>6352</v>
      </c>
      <c r="E2312" t="s">
        <v>6153</v>
      </c>
      <c r="F2312" t="s">
        <v>6149</v>
      </c>
      <c r="G2312" t="s">
        <v>59</v>
      </c>
      <c r="H2312" t="s">
        <v>6354</v>
      </c>
      <c r="I2312" t="str">
        <f t="shared" si="144"/>
        <v>33</v>
      </c>
      <c r="J2312" t="str">
        <f t="shared" si="145"/>
        <v>AD</v>
      </c>
      <c r="K2312" t="str">
        <f t="shared" si="146"/>
        <v>33</v>
      </c>
      <c r="L2312" t="str">
        <f t="shared" si="147"/>
        <v>33</v>
      </c>
    </row>
    <row r="2313" spans="1:12" x14ac:dyDescent="0.35">
      <c r="A2313">
        <v>2326</v>
      </c>
      <c r="B2313" t="s">
        <v>6355</v>
      </c>
      <c r="C2313" t="s">
        <v>10735</v>
      </c>
      <c r="D2313" t="s">
        <v>6356</v>
      </c>
      <c r="E2313" t="s">
        <v>1112</v>
      </c>
      <c r="F2313" t="s">
        <v>6357</v>
      </c>
      <c r="G2313" t="s">
        <v>6358</v>
      </c>
      <c r="H2313" t="s">
        <v>6359</v>
      </c>
      <c r="I2313" t="str">
        <f t="shared" si="144"/>
        <v>33 onward</v>
      </c>
      <c r="J2313" t="str">
        <f t="shared" si="145"/>
        <v>rd</v>
      </c>
      <c r="K2313" t="str">
        <f t="shared" si="146"/>
        <v>33 onward</v>
      </c>
      <c r="L2313" t="str">
        <f t="shared" si="147"/>
        <v>33 onward</v>
      </c>
    </row>
    <row r="2314" spans="1:12" x14ac:dyDescent="0.35">
      <c r="A2314">
        <v>2327</v>
      </c>
      <c r="B2314" t="s">
        <v>6542</v>
      </c>
      <c r="C2314" t="s">
        <v>10540</v>
      </c>
      <c r="D2314" t="s">
        <v>6541</v>
      </c>
      <c r="E2314" t="s">
        <v>4320</v>
      </c>
      <c r="F2314" t="s">
        <v>6538</v>
      </c>
      <c r="G2314" t="s">
        <v>6536</v>
      </c>
      <c r="H2314" t="s">
        <v>6540</v>
      </c>
      <c r="I2314" t="str">
        <f t="shared" si="144"/>
        <v>6-5</v>
      </c>
      <c r="J2314" t="str">
        <f t="shared" si="145"/>
        <v>BC</v>
      </c>
      <c r="K2314">
        <f t="shared" si="146"/>
        <v>-6</v>
      </c>
      <c r="L2314">
        <f t="shared" si="147"/>
        <v>-5</v>
      </c>
    </row>
    <row r="2315" spans="1:12" x14ac:dyDescent="0.35">
      <c r="A2315">
        <v>2328</v>
      </c>
      <c r="B2315" t="s">
        <v>6539</v>
      </c>
      <c r="C2315" t="s">
        <v>10544</v>
      </c>
      <c r="D2315" t="s">
        <v>6522</v>
      </c>
      <c r="E2315" t="s">
        <v>4320</v>
      </c>
      <c r="F2315" t="s">
        <v>6538</v>
      </c>
      <c r="G2315" t="s">
        <v>6536</v>
      </c>
      <c r="H2315" t="s">
        <v>6146</v>
      </c>
      <c r="I2315" t="str">
        <f t="shared" si="144"/>
        <v>6-5</v>
      </c>
      <c r="J2315" t="str">
        <f t="shared" si="145"/>
        <v>BC</v>
      </c>
      <c r="K2315">
        <f t="shared" si="146"/>
        <v>-6</v>
      </c>
      <c r="L2315">
        <f t="shared" si="147"/>
        <v>-5</v>
      </c>
    </row>
    <row r="2316" spans="1:12" x14ac:dyDescent="0.35">
      <c r="A2316">
        <v>2329</v>
      </c>
      <c r="B2316" t="s">
        <v>6537</v>
      </c>
      <c r="C2316" t="s">
        <v>10540</v>
      </c>
      <c r="D2316" t="s">
        <v>6041</v>
      </c>
      <c r="E2316" t="s">
        <v>6039</v>
      </c>
      <c r="F2316" t="s">
        <v>6518</v>
      </c>
      <c r="G2316" t="s">
        <v>6536</v>
      </c>
      <c r="H2316" t="s">
        <v>6533</v>
      </c>
      <c r="I2316" t="str">
        <f t="shared" si="144"/>
        <v>5</v>
      </c>
      <c r="J2316" t="str">
        <f t="shared" si="145"/>
        <v>BC</v>
      </c>
      <c r="K2316">
        <f t="shared" si="146"/>
        <v>-5</v>
      </c>
      <c r="L2316">
        <f t="shared" si="147"/>
        <v>-5</v>
      </c>
    </row>
    <row r="2317" spans="1:12" x14ac:dyDescent="0.35">
      <c r="A2317">
        <v>2330</v>
      </c>
      <c r="B2317" t="s">
        <v>6535</v>
      </c>
      <c r="C2317" t="s">
        <v>10611</v>
      </c>
      <c r="D2317" t="s">
        <v>6534</v>
      </c>
      <c r="E2317" t="s">
        <v>6039</v>
      </c>
      <c r="F2317" t="s">
        <v>6518</v>
      </c>
      <c r="G2317" t="s">
        <v>61</v>
      </c>
      <c r="H2317" t="s">
        <v>6533</v>
      </c>
      <c r="I2317" t="str">
        <f t="shared" si="144"/>
        <v>5</v>
      </c>
      <c r="J2317" t="str">
        <f t="shared" si="145"/>
        <v>BC</v>
      </c>
      <c r="K2317">
        <f t="shared" si="146"/>
        <v>-5</v>
      </c>
      <c r="L2317">
        <f t="shared" si="147"/>
        <v>-5</v>
      </c>
    </row>
    <row r="2318" spans="1:12" x14ac:dyDescent="0.35">
      <c r="A2318">
        <v>2331</v>
      </c>
      <c r="B2318" t="s">
        <v>6532</v>
      </c>
      <c r="C2318" t="s">
        <v>10612</v>
      </c>
      <c r="D2318" t="s">
        <v>6531</v>
      </c>
      <c r="E2318" t="s">
        <v>6519</v>
      </c>
      <c r="F2318" t="s">
        <v>6518</v>
      </c>
      <c r="G2318" t="s">
        <v>6530</v>
      </c>
      <c r="H2318" t="s">
        <v>6146</v>
      </c>
      <c r="I2318" t="str">
        <f t="shared" si="144"/>
        <v>5</v>
      </c>
      <c r="J2318" t="str">
        <f t="shared" si="145"/>
        <v>BC</v>
      </c>
      <c r="K2318">
        <f t="shared" si="146"/>
        <v>-5</v>
      </c>
      <c r="L2318">
        <f t="shared" si="147"/>
        <v>-5</v>
      </c>
    </row>
    <row r="2319" spans="1:12" x14ac:dyDescent="0.35">
      <c r="A2319">
        <v>2332</v>
      </c>
      <c r="B2319" t="s">
        <v>6529</v>
      </c>
      <c r="C2319" t="s">
        <v>10613</v>
      </c>
      <c r="D2319" t="s">
        <v>6528</v>
      </c>
      <c r="E2319" t="s">
        <v>6519</v>
      </c>
      <c r="F2319" t="s">
        <v>6518</v>
      </c>
      <c r="G2319" t="s">
        <v>61</v>
      </c>
      <c r="H2319" t="s">
        <v>6146</v>
      </c>
      <c r="I2319" t="str">
        <f t="shared" si="144"/>
        <v>5</v>
      </c>
      <c r="J2319" t="str">
        <f t="shared" si="145"/>
        <v>BC</v>
      </c>
      <c r="K2319">
        <f t="shared" si="146"/>
        <v>-5</v>
      </c>
      <c r="L2319">
        <f t="shared" si="147"/>
        <v>-5</v>
      </c>
    </row>
    <row r="2320" spans="1:12" x14ac:dyDescent="0.35">
      <c r="A2320">
        <v>2333</v>
      </c>
      <c r="B2320" t="s">
        <v>6527</v>
      </c>
      <c r="C2320" t="s">
        <v>10613</v>
      </c>
      <c r="D2320" t="s">
        <v>6526</v>
      </c>
      <c r="E2320" t="s">
        <v>6519</v>
      </c>
      <c r="F2320" t="s">
        <v>6518</v>
      </c>
      <c r="G2320" t="s">
        <v>61</v>
      </c>
      <c r="H2320" t="s">
        <v>6525</v>
      </c>
      <c r="I2320" t="str">
        <f t="shared" si="144"/>
        <v>5</v>
      </c>
      <c r="J2320" t="str">
        <f t="shared" si="145"/>
        <v>BC</v>
      </c>
      <c r="K2320">
        <f t="shared" si="146"/>
        <v>-5</v>
      </c>
      <c r="L2320">
        <f t="shared" si="147"/>
        <v>-5</v>
      </c>
    </row>
    <row r="2321" spans="1:12" x14ac:dyDescent="0.35">
      <c r="A2321">
        <v>2334</v>
      </c>
      <c r="B2321" t="s">
        <v>6524</v>
      </c>
      <c r="C2321" t="s">
        <v>10731</v>
      </c>
      <c r="D2321" t="s">
        <v>6523</v>
      </c>
      <c r="E2321" t="s">
        <v>6519</v>
      </c>
      <c r="F2321" t="s">
        <v>6518</v>
      </c>
      <c r="G2321" t="s">
        <v>53</v>
      </c>
      <c r="H2321" t="s">
        <v>6522</v>
      </c>
      <c r="I2321" t="str">
        <f t="shared" si="144"/>
        <v>5</v>
      </c>
      <c r="J2321" t="str">
        <f t="shared" si="145"/>
        <v>BC</v>
      </c>
      <c r="K2321">
        <f t="shared" si="146"/>
        <v>-5</v>
      </c>
      <c r="L2321">
        <f t="shared" si="147"/>
        <v>-5</v>
      </c>
    </row>
    <row r="2322" spans="1:12" x14ac:dyDescent="0.35">
      <c r="A2322">
        <v>2335</v>
      </c>
      <c r="B2322" t="s">
        <v>6521</v>
      </c>
      <c r="C2322" t="s">
        <v>10168</v>
      </c>
      <c r="D2322" t="s">
        <v>6520</v>
      </c>
      <c r="E2322" t="s">
        <v>6519</v>
      </c>
      <c r="F2322" t="s">
        <v>6518</v>
      </c>
      <c r="G2322" t="s">
        <v>61</v>
      </c>
      <c r="H2322" t="s">
        <v>6517</v>
      </c>
      <c r="I2322" t="str">
        <f t="shared" si="144"/>
        <v>5</v>
      </c>
      <c r="J2322" t="str">
        <f t="shared" si="145"/>
        <v>BC</v>
      </c>
      <c r="K2322">
        <f t="shared" si="146"/>
        <v>-5</v>
      </c>
      <c r="L2322">
        <f t="shared" si="147"/>
        <v>-5</v>
      </c>
    </row>
    <row r="2323" spans="1:12" x14ac:dyDescent="0.35">
      <c r="A2323">
        <v>2336</v>
      </c>
      <c r="B2323" t="s">
        <v>6516</v>
      </c>
      <c r="C2323" t="s">
        <v>10540</v>
      </c>
      <c r="D2323" t="s">
        <v>6515</v>
      </c>
      <c r="E2323" t="s">
        <v>1102</v>
      </c>
      <c r="F2323" t="s">
        <v>6034</v>
      </c>
      <c r="G2323" t="s">
        <v>6035</v>
      </c>
      <c r="H2323" t="s">
        <v>45</v>
      </c>
      <c r="I2323" t="str">
        <f t="shared" si="144"/>
        <v>5-4</v>
      </c>
      <c r="J2323" t="str">
        <f t="shared" si="145"/>
        <v>BC</v>
      </c>
      <c r="K2323">
        <f t="shared" si="146"/>
        <v>-5</v>
      </c>
      <c r="L2323">
        <f t="shared" si="147"/>
        <v>-4</v>
      </c>
    </row>
    <row r="2324" spans="1:12" x14ac:dyDescent="0.35">
      <c r="A2324">
        <v>2337</v>
      </c>
      <c r="B2324" t="s">
        <v>6514</v>
      </c>
      <c r="C2324" t="s">
        <v>10569</v>
      </c>
      <c r="D2324" t="s">
        <v>6513</v>
      </c>
      <c r="E2324" t="s">
        <v>1102</v>
      </c>
      <c r="F2324" t="s">
        <v>6034</v>
      </c>
      <c r="G2324" t="s">
        <v>6512</v>
      </c>
      <c r="H2324" t="s">
        <v>6146</v>
      </c>
      <c r="I2324" t="str">
        <f t="shared" si="144"/>
        <v>5-4</v>
      </c>
      <c r="J2324" t="str">
        <f t="shared" si="145"/>
        <v>BC</v>
      </c>
      <c r="K2324">
        <f t="shared" si="146"/>
        <v>-5</v>
      </c>
      <c r="L2324">
        <f t="shared" si="147"/>
        <v>-4</v>
      </c>
    </row>
    <row r="2325" spans="1:12" x14ac:dyDescent="0.35">
      <c r="A2325">
        <v>2338</v>
      </c>
      <c r="B2325" t="s">
        <v>6511</v>
      </c>
      <c r="C2325" t="s">
        <v>10048</v>
      </c>
      <c r="D2325" t="s">
        <v>6510</v>
      </c>
      <c r="E2325" t="s">
        <v>4320</v>
      </c>
      <c r="F2325" t="s">
        <v>6034</v>
      </c>
      <c r="G2325" t="s">
        <v>61</v>
      </c>
      <c r="H2325" t="s">
        <v>6509</v>
      </c>
      <c r="I2325" t="str">
        <f t="shared" si="144"/>
        <v>5-4</v>
      </c>
      <c r="J2325" t="str">
        <f t="shared" si="145"/>
        <v>BC</v>
      </c>
      <c r="K2325">
        <f t="shared" si="146"/>
        <v>-5</v>
      </c>
      <c r="L2325">
        <f t="shared" si="147"/>
        <v>-4</v>
      </c>
    </row>
    <row r="2326" spans="1:12" x14ac:dyDescent="0.35">
      <c r="A2326">
        <v>2339</v>
      </c>
      <c r="B2326" t="s">
        <v>6508</v>
      </c>
      <c r="C2326" t="s">
        <v>10048</v>
      </c>
      <c r="D2326" t="s">
        <v>6507</v>
      </c>
      <c r="E2326" t="s">
        <v>4320</v>
      </c>
      <c r="F2326" t="s">
        <v>6034</v>
      </c>
      <c r="G2326" t="s">
        <v>61</v>
      </c>
      <c r="H2326" t="s">
        <v>6146</v>
      </c>
      <c r="I2326" t="str">
        <f t="shared" si="144"/>
        <v>5-4</v>
      </c>
      <c r="J2326" t="str">
        <f t="shared" si="145"/>
        <v>BC</v>
      </c>
      <c r="K2326">
        <f t="shared" si="146"/>
        <v>-5</v>
      </c>
      <c r="L2326">
        <f t="shared" si="147"/>
        <v>-4</v>
      </c>
    </row>
    <row r="2327" spans="1:12" x14ac:dyDescent="0.35">
      <c r="A2327">
        <v>2340</v>
      </c>
      <c r="B2327" t="s">
        <v>6051</v>
      </c>
      <c r="C2327" t="s">
        <v>10540</v>
      </c>
      <c r="D2327" t="s">
        <v>6505</v>
      </c>
      <c r="E2327" t="s">
        <v>874</v>
      </c>
      <c r="F2327" t="s">
        <v>6053</v>
      </c>
      <c r="G2327" t="s">
        <v>60</v>
      </c>
      <c r="H2327" t="s">
        <v>6506</v>
      </c>
      <c r="I2327" t="str">
        <f t="shared" si="144"/>
        <v>30</v>
      </c>
      <c r="J2327" t="str">
        <f t="shared" si="145"/>
        <v>AD</v>
      </c>
      <c r="K2327" t="str">
        <f t="shared" si="146"/>
        <v>30</v>
      </c>
      <c r="L2327" t="str">
        <f t="shared" si="147"/>
        <v>30</v>
      </c>
    </row>
    <row r="2328" spans="1:12" x14ac:dyDescent="0.35">
      <c r="A2328">
        <v>2341</v>
      </c>
      <c r="B2328" t="s">
        <v>6055</v>
      </c>
      <c r="C2328" t="s">
        <v>10569</v>
      </c>
      <c r="D2328" t="s">
        <v>6505</v>
      </c>
      <c r="E2328" t="s">
        <v>874</v>
      </c>
      <c r="F2328" t="s">
        <v>6053</v>
      </c>
      <c r="G2328" t="s">
        <v>61</v>
      </c>
      <c r="H2328" t="s">
        <v>6504</v>
      </c>
      <c r="I2328" t="str">
        <f t="shared" si="144"/>
        <v>30</v>
      </c>
      <c r="J2328" t="str">
        <f t="shared" si="145"/>
        <v>AD</v>
      </c>
      <c r="K2328" t="str">
        <f t="shared" si="146"/>
        <v>30</v>
      </c>
      <c r="L2328" t="str">
        <f t="shared" si="147"/>
        <v>30</v>
      </c>
    </row>
    <row r="2329" spans="1:12" x14ac:dyDescent="0.35">
      <c r="A2329">
        <v>2342</v>
      </c>
      <c r="B2329" t="s">
        <v>6503</v>
      </c>
      <c r="C2329" t="s">
        <v>10614</v>
      </c>
      <c r="D2329" t="s">
        <v>6502</v>
      </c>
      <c r="E2329" t="s">
        <v>6060</v>
      </c>
      <c r="F2329" t="s">
        <v>6053</v>
      </c>
      <c r="G2329" t="s">
        <v>61</v>
      </c>
      <c r="H2329" t="s">
        <v>6500</v>
      </c>
      <c r="I2329" t="str">
        <f t="shared" si="144"/>
        <v>30</v>
      </c>
      <c r="J2329" t="str">
        <f t="shared" si="145"/>
        <v>AD</v>
      </c>
      <c r="K2329" t="str">
        <f t="shared" si="146"/>
        <v>30</v>
      </c>
      <c r="L2329" t="str">
        <f t="shared" si="147"/>
        <v>30</v>
      </c>
    </row>
    <row r="2330" spans="1:12" x14ac:dyDescent="0.35">
      <c r="A2330">
        <v>2343</v>
      </c>
      <c r="B2330" t="s">
        <v>6058</v>
      </c>
      <c r="C2330" t="s">
        <v>6062</v>
      </c>
      <c r="D2330" t="s">
        <v>6499</v>
      </c>
      <c r="E2330" t="s">
        <v>6060</v>
      </c>
      <c r="F2330" t="s">
        <v>6053</v>
      </c>
      <c r="G2330" t="s">
        <v>6061</v>
      </c>
      <c r="H2330" t="s">
        <v>6498</v>
      </c>
      <c r="I2330" t="str">
        <f t="shared" si="144"/>
        <v>30</v>
      </c>
      <c r="J2330" t="str">
        <f t="shared" si="145"/>
        <v>AD</v>
      </c>
      <c r="K2330" t="str">
        <f t="shared" si="146"/>
        <v>30</v>
      </c>
      <c r="L2330" t="str">
        <f t="shared" si="147"/>
        <v>30</v>
      </c>
    </row>
    <row r="2331" spans="1:12" x14ac:dyDescent="0.35">
      <c r="A2331">
        <v>2344</v>
      </c>
      <c r="B2331" t="s">
        <v>6497</v>
      </c>
      <c r="C2331" t="s">
        <v>10048</v>
      </c>
      <c r="D2331" t="s">
        <v>6496</v>
      </c>
      <c r="E2331" t="s">
        <v>6039</v>
      </c>
      <c r="F2331" t="s">
        <v>6053</v>
      </c>
      <c r="G2331" t="s">
        <v>59</v>
      </c>
      <c r="H2331" t="s">
        <v>6495</v>
      </c>
      <c r="I2331" t="str">
        <f t="shared" si="144"/>
        <v>30</v>
      </c>
      <c r="J2331" t="str">
        <f t="shared" si="145"/>
        <v>AD</v>
      </c>
      <c r="K2331" t="str">
        <f t="shared" si="146"/>
        <v>30</v>
      </c>
      <c r="L2331" t="str">
        <f t="shared" si="147"/>
        <v>30</v>
      </c>
    </row>
    <row r="2332" spans="1:12" x14ac:dyDescent="0.35">
      <c r="A2332">
        <v>2345</v>
      </c>
      <c r="B2332" t="s">
        <v>6494</v>
      </c>
      <c r="C2332" t="s">
        <v>10615</v>
      </c>
      <c r="D2332" t="s">
        <v>6493</v>
      </c>
      <c r="E2332" t="s">
        <v>6039</v>
      </c>
      <c r="F2332" t="s">
        <v>6053</v>
      </c>
      <c r="G2332" t="s">
        <v>59</v>
      </c>
      <c r="H2332" t="s">
        <v>6146</v>
      </c>
      <c r="I2332" t="str">
        <f t="shared" si="144"/>
        <v>30</v>
      </c>
      <c r="J2332" t="str">
        <f t="shared" si="145"/>
        <v>AD</v>
      </c>
      <c r="K2332" t="str">
        <f t="shared" si="146"/>
        <v>30</v>
      </c>
      <c r="L2332" t="str">
        <f t="shared" si="147"/>
        <v>30</v>
      </c>
    </row>
    <row r="2333" spans="1:12" x14ac:dyDescent="0.35">
      <c r="A2333">
        <v>2346</v>
      </c>
      <c r="B2333" t="s">
        <v>6492</v>
      </c>
      <c r="C2333" t="s">
        <v>6085</v>
      </c>
      <c r="D2333" t="s">
        <v>6245</v>
      </c>
      <c r="E2333" t="s">
        <v>6072</v>
      </c>
      <c r="F2333" t="s">
        <v>6067</v>
      </c>
      <c r="G2333" t="s">
        <v>59</v>
      </c>
      <c r="H2333" t="s">
        <v>6244</v>
      </c>
      <c r="I2333" t="str">
        <f t="shared" si="144"/>
        <v>30-33</v>
      </c>
      <c r="J2333" t="str">
        <f t="shared" si="145"/>
        <v>AD</v>
      </c>
      <c r="K2333" t="str">
        <f t="shared" si="146"/>
        <v>30</v>
      </c>
      <c r="L2333" t="str">
        <f t="shared" si="147"/>
        <v>33</v>
      </c>
    </row>
    <row r="2334" spans="1:12" x14ac:dyDescent="0.35">
      <c r="A2334">
        <v>2347</v>
      </c>
      <c r="B2334" t="s">
        <v>6074</v>
      </c>
      <c r="C2334" t="s">
        <v>10731</v>
      </c>
      <c r="D2334" t="s">
        <v>6491</v>
      </c>
      <c r="E2334" t="s">
        <v>6072</v>
      </c>
      <c r="F2334" t="s">
        <v>6067</v>
      </c>
      <c r="G2334" t="s">
        <v>59</v>
      </c>
      <c r="H2334" t="s">
        <v>6490</v>
      </c>
      <c r="I2334" t="str">
        <f t="shared" si="144"/>
        <v>30-33</v>
      </c>
      <c r="J2334" t="str">
        <f t="shared" si="145"/>
        <v>AD</v>
      </c>
      <c r="K2334" t="str">
        <f t="shared" si="146"/>
        <v>30</v>
      </c>
      <c r="L2334" t="str">
        <f t="shared" si="147"/>
        <v>33</v>
      </c>
    </row>
    <row r="2335" spans="1:12" x14ac:dyDescent="0.35">
      <c r="A2335">
        <v>2348</v>
      </c>
      <c r="B2335" t="s">
        <v>6489</v>
      </c>
      <c r="C2335" t="s">
        <v>6100</v>
      </c>
      <c r="D2335" t="s">
        <v>6488</v>
      </c>
      <c r="E2335" t="s">
        <v>6072</v>
      </c>
      <c r="F2335" t="s">
        <v>6067</v>
      </c>
      <c r="G2335" t="s">
        <v>59</v>
      </c>
      <c r="H2335" t="s">
        <v>6487</v>
      </c>
      <c r="I2335" t="str">
        <f t="shared" si="144"/>
        <v>30-33</v>
      </c>
      <c r="J2335" t="str">
        <f t="shared" si="145"/>
        <v>AD</v>
      </c>
      <c r="K2335" t="str">
        <f t="shared" si="146"/>
        <v>30</v>
      </c>
      <c r="L2335" t="str">
        <f t="shared" si="147"/>
        <v>33</v>
      </c>
    </row>
    <row r="2336" spans="1:12" x14ac:dyDescent="0.35">
      <c r="A2336">
        <v>2349</v>
      </c>
      <c r="B2336" t="s">
        <v>6486</v>
      </c>
      <c r="C2336" t="s">
        <v>10732</v>
      </c>
      <c r="D2336" t="s">
        <v>4</v>
      </c>
      <c r="E2336" t="s">
        <v>6079</v>
      </c>
      <c r="F2336" t="s">
        <v>6067</v>
      </c>
      <c r="G2336" t="s">
        <v>59</v>
      </c>
      <c r="H2336" t="s">
        <v>6485</v>
      </c>
      <c r="I2336" t="str">
        <f t="shared" si="144"/>
        <v>30-33</v>
      </c>
      <c r="J2336" t="str">
        <f t="shared" si="145"/>
        <v>AD</v>
      </c>
      <c r="K2336" t="str">
        <f t="shared" si="146"/>
        <v>30</v>
      </c>
      <c r="L2336" t="str">
        <f t="shared" si="147"/>
        <v>33</v>
      </c>
    </row>
    <row r="2337" spans="1:12" x14ac:dyDescent="0.35">
      <c r="A2337">
        <v>2350</v>
      </c>
      <c r="B2337" t="s">
        <v>6064</v>
      </c>
      <c r="C2337" t="s">
        <v>10731</v>
      </c>
      <c r="D2337" t="s">
        <v>6484</v>
      </c>
      <c r="E2337" t="s">
        <v>6066</v>
      </c>
      <c r="F2337" t="s">
        <v>6067</v>
      </c>
      <c r="G2337" t="s">
        <v>59</v>
      </c>
      <c r="H2337" t="s">
        <v>6483</v>
      </c>
      <c r="I2337" t="str">
        <f t="shared" si="144"/>
        <v>30-33</v>
      </c>
      <c r="J2337" t="str">
        <f t="shared" si="145"/>
        <v>AD</v>
      </c>
      <c r="K2337" t="str">
        <f t="shared" si="146"/>
        <v>30</v>
      </c>
      <c r="L2337" t="str">
        <f t="shared" si="147"/>
        <v>33</v>
      </c>
    </row>
    <row r="2338" spans="1:12" x14ac:dyDescent="0.35">
      <c r="A2338">
        <v>2351</v>
      </c>
      <c r="B2338" t="s">
        <v>6087</v>
      </c>
      <c r="C2338" t="s">
        <v>10731</v>
      </c>
      <c r="D2338" t="s">
        <v>6482</v>
      </c>
      <c r="E2338" t="s">
        <v>6072</v>
      </c>
      <c r="F2338" t="s">
        <v>6067</v>
      </c>
      <c r="G2338" t="s">
        <v>59</v>
      </c>
      <c r="H2338" t="s">
        <v>6481</v>
      </c>
      <c r="I2338" t="str">
        <f t="shared" si="144"/>
        <v>30-33</v>
      </c>
      <c r="J2338" t="str">
        <f t="shared" si="145"/>
        <v>AD</v>
      </c>
      <c r="K2338" t="str">
        <f t="shared" si="146"/>
        <v>30</v>
      </c>
      <c r="L2338" t="str">
        <f t="shared" si="147"/>
        <v>33</v>
      </c>
    </row>
    <row r="2339" spans="1:12" x14ac:dyDescent="0.35">
      <c r="A2339">
        <v>2352</v>
      </c>
      <c r="B2339" t="s">
        <v>6480</v>
      </c>
      <c r="C2339" t="s">
        <v>10731</v>
      </c>
      <c r="D2339" t="s">
        <v>6479</v>
      </c>
      <c r="E2339" t="s">
        <v>6257</v>
      </c>
      <c r="F2339" t="s">
        <v>6067</v>
      </c>
      <c r="G2339" t="s">
        <v>59</v>
      </c>
      <c r="H2339" t="s">
        <v>6478</v>
      </c>
      <c r="I2339" t="str">
        <f t="shared" si="144"/>
        <v>30-33</v>
      </c>
      <c r="J2339" t="str">
        <f t="shared" si="145"/>
        <v>AD</v>
      </c>
      <c r="K2339" t="str">
        <f t="shared" si="146"/>
        <v>30</v>
      </c>
      <c r="L2339" t="str">
        <f t="shared" si="147"/>
        <v>33</v>
      </c>
    </row>
    <row r="2340" spans="1:12" x14ac:dyDescent="0.35">
      <c r="A2340">
        <v>2353</v>
      </c>
      <c r="B2340" t="s">
        <v>6070</v>
      </c>
      <c r="C2340" t="s">
        <v>10731</v>
      </c>
      <c r="D2340" t="s">
        <v>6477</v>
      </c>
      <c r="E2340" t="s">
        <v>6072</v>
      </c>
      <c r="F2340" t="s">
        <v>6067</v>
      </c>
      <c r="G2340" t="s">
        <v>59</v>
      </c>
      <c r="H2340" t="s">
        <v>6476</v>
      </c>
      <c r="I2340" t="str">
        <f t="shared" si="144"/>
        <v>30-33</v>
      </c>
      <c r="J2340" t="str">
        <f t="shared" si="145"/>
        <v>AD</v>
      </c>
      <c r="K2340" t="str">
        <f t="shared" si="146"/>
        <v>30</v>
      </c>
      <c r="L2340" t="str">
        <f t="shared" si="147"/>
        <v>33</v>
      </c>
    </row>
    <row r="2341" spans="1:12" x14ac:dyDescent="0.35">
      <c r="A2341">
        <v>2354</v>
      </c>
      <c r="B2341" t="s">
        <v>6475</v>
      </c>
      <c r="C2341" t="s">
        <v>10733</v>
      </c>
      <c r="D2341" t="s">
        <v>5</v>
      </c>
      <c r="E2341" t="s">
        <v>6474</v>
      </c>
      <c r="F2341" t="s">
        <v>6067</v>
      </c>
      <c r="G2341" t="s">
        <v>59</v>
      </c>
      <c r="H2341" t="s">
        <v>6473</v>
      </c>
      <c r="I2341" t="str">
        <f t="shared" si="144"/>
        <v>30-33</v>
      </c>
      <c r="J2341" t="str">
        <f t="shared" si="145"/>
        <v>AD</v>
      </c>
      <c r="K2341" t="str">
        <f t="shared" si="146"/>
        <v>30</v>
      </c>
      <c r="L2341" t="str">
        <f t="shared" si="147"/>
        <v>33</v>
      </c>
    </row>
    <row r="2342" spans="1:12" x14ac:dyDescent="0.35">
      <c r="A2342">
        <v>2355</v>
      </c>
      <c r="B2342" t="s">
        <v>6077</v>
      </c>
      <c r="C2342" t="s">
        <v>10732</v>
      </c>
      <c r="D2342" t="s">
        <v>6472</v>
      </c>
      <c r="E2342" t="s">
        <v>6079</v>
      </c>
      <c r="F2342" t="s">
        <v>6067</v>
      </c>
      <c r="G2342" t="s">
        <v>59</v>
      </c>
      <c r="H2342" t="s">
        <v>6471</v>
      </c>
      <c r="I2342" t="str">
        <f t="shared" si="144"/>
        <v>30-33</v>
      </c>
      <c r="J2342" t="str">
        <f t="shared" si="145"/>
        <v>AD</v>
      </c>
      <c r="K2342" t="str">
        <f t="shared" si="146"/>
        <v>30</v>
      </c>
      <c r="L2342" t="str">
        <f t="shared" si="147"/>
        <v>33</v>
      </c>
    </row>
    <row r="2343" spans="1:12" x14ac:dyDescent="0.35">
      <c r="A2343">
        <v>2356</v>
      </c>
      <c r="B2343" t="s">
        <v>6470</v>
      </c>
      <c r="C2343" t="s">
        <v>6085</v>
      </c>
      <c r="D2343" t="s">
        <v>6469</v>
      </c>
      <c r="E2343" t="s">
        <v>6468</v>
      </c>
      <c r="F2343" t="s">
        <v>6067</v>
      </c>
      <c r="G2343" t="s">
        <v>59</v>
      </c>
      <c r="H2343" t="s">
        <v>6467</v>
      </c>
      <c r="I2343" t="str">
        <f t="shared" si="144"/>
        <v>30-33</v>
      </c>
      <c r="J2343" t="str">
        <f t="shared" si="145"/>
        <v>AD</v>
      </c>
      <c r="K2343" t="str">
        <f t="shared" si="146"/>
        <v>30</v>
      </c>
      <c r="L2343" t="str">
        <f t="shared" si="147"/>
        <v>33</v>
      </c>
    </row>
    <row r="2344" spans="1:12" x14ac:dyDescent="0.35">
      <c r="A2344">
        <v>2357</v>
      </c>
      <c r="B2344" t="s">
        <v>6466</v>
      </c>
      <c r="C2344" t="s">
        <v>10731</v>
      </c>
      <c r="D2344" t="s">
        <v>6465</v>
      </c>
      <c r="E2344" t="s">
        <v>6072</v>
      </c>
      <c r="F2344" t="s">
        <v>6067</v>
      </c>
      <c r="G2344" t="s">
        <v>59</v>
      </c>
      <c r="H2344" t="s">
        <v>6464</v>
      </c>
      <c r="I2344" t="str">
        <f t="shared" si="144"/>
        <v>30-33</v>
      </c>
      <c r="J2344" t="str">
        <f t="shared" si="145"/>
        <v>AD</v>
      </c>
      <c r="K2344" t="str">
        <f t="shared" si="146"/>
        <v>30</v>
      </c>
      <c r="L2344" t="str">
        <f t="shared" si="147"/>
        <v>33</v>
      </c>
    </row>
    <row r="2345" spans="1:12" x14ac:dyDescent="0.35">
      <c r="A2345">
        <v>2358</v>
      </c>
      <c r="B2345" t="s">
        <v>6090</v>
      </c>
      <c r="C2345" t="s">
        <v>10733</v>
      </c>
      <c r="D2345" t="s">
        <v>6463</v>
      </c>
      <c r="E2345" t="s">
        <v>6072</v>
      </c>
      <c r="F2345" t="s">
        <v>6067</v>
      </c>
      <c r="G2345" t="s">
        <v>59</v>
      </c>
      <c r="H2345" t="s">
        <v>6462</v>
      </c>
      <c r="I2345" t="str">
        <f t="shared" si="144"/>
        <v>30-33</v>
      </c>
      <c r="J2345" t="str">
        <f t="shared" si="145"/>
        <v>AD</v>
      </c>
      <c r="K2345" t="str">
        <f t="shared" si="146"/>
        <v>30</v>
      </c>
      <c r="L2345" t="str">
        <f t="shared" si="147"/>
        <v>33</v>
      </c>
    </row>
    <row r="2346" spans="1:12" x14ac:dyDescent="0.35">
      <c r="A2346">
        <v>2359</v>
      </c>
      <c r="B2346" t="s">
        <v>6461</v>
      </c>
      <c r="C2346" t="s">
        <v>10605</v>
      </c>
      <c r="D2346" t="s">
        <v>6460</v>
      </c>
      <c r="E2346" t="s">
        <v>6066</v>
      </c>
      <c r="F2346" t="s">
        <v>6067</v>
      </c>
      <c r="G2346" t="s">
        <v>59</v>
      </c>
      <c r="H2346" t="s">
        <v>6459</v>
      </c>
      <c r="I2346" t="str">
        <f t="shared" si="144"/>
        <v>30-33</v>
      </c>
      <c r="J2346" t="str">
        <f t="shared" si="145"/>
        <v>AD</v>
      </c>
      <c r="K2346" t="str">
        <f t="shared" si="146"/>
        <v>30</v>
      </c>
      <c r="L2346" t="str">
        <f t="shared" si="147"/>
        <v>33</v>
      </c>
    </row>
    <row r="2347" spans="1:12" x14ac:dyDescent="0.35">
      <c r="A2347">
        <v>2360</v>
      </c>
      <c r="B2347" t="s">
        <v>6105</v>
      </c>
      <c r="C2347" t="s">
        <v>10734</v>
      </c>
      <c r="D2347" t="s">
        <v>6458</v>
      </c>
      <c r="E2347" t="s">
        <v>6107</v>
      </c>
      <c r="F2347" t="s">
        <v>6067</v>
      </c>
      <c r="G2347" t="s">
        <v>59</v>
      </c>
      <c r="H2347" t="s">
        <v>6457</v>
      </c>
      <c r="I2347" t="str">
        <f t="shared" si="144"/>
        <v>30-33</v>
      </c>
      <c r="J2347" t="str">
        <f t="shared" si="145"/>
        <v>AD</v>
      </c>
      <c r="K2347" t="str">
        <f t="shared" si="146"/>
        <v>30</v>
      </c>
      <c r="L2347" t="str">
        <f t="shared" si="147"/>
        <v>33</v>
      </c>
    </row>
    <row r="2348" spans="1:12" x14ac:dyDescent="0.35">
      <c r="A2348">
        <v>2361</v>
      </c>
      <c r="B2348" t="s">
        <v>6133</v>
      </c>
      <c r="C2348" t="s">
        <v>10569</v>
      </c>
      <c r="D2348" t="s">
        <v>6456</v>
      </c>
      <c r="E2348" t="s">
        <v>6131</v>
      </c>
      <c r="F2348" t="s">
        <v>6067</v>
      </c>
      <c r="G2348" t="s">
        <v>59</v>
      </c>
      <c r="H2348" t="s">
        <v>6455</v>
      </c>
      <c r="I2348" t="str">
        <f t="shared" si="144"/>
        <v>30-33</v>
      </c>
      <c r="J2348" t="str">
        <f t="shared" si="145"/>
        <v>AD</v>
      </c>
      <c r="K2348" t="str">
        <f t="shared" si="146"/>
        <v>30</v>
      </c>
      <c r="L2348" t="str">
        <f t="shared" si="147"/>
        <v>33</v>
      </c>
    </row>
    <row r="2349" spans="1:12" x14ac:dyDescent="0.35">
      <c r="A2349">
        <v>2362</v>
      </c>
      <c r="B2349" t="s">
        <v>6136</v>
      </c>
      <c r="C2349" t="s">
        <v>10606</v>
      </c>
      <c r="D2349" t="s">
        <v>6454</v>
      </c>
      <c r="E2349" t="s">
        <v>6131</v>
      </c>
      <c r="F2349" t="s">
        <v>6067</v>
      </c>
      <c r="G2349" t="s">
        <v>6138</v>
      </c>
      <c r="H2349" t="s">
        <v>6453</v>
      </c>
      <c r="I2349" t="str">
        <f t="shared" si="144"/>
        <v>30-33</v>
      </c>
      <c r="J2349" t="str">
        <f t="shared" si="145"/>
        <v>AD</v>
      </c>
      <c r="K2349" t="str">
        <f t="shared" si="146"/>
        <v>30</v>
      </c>
      <c r="L2349" t="str">
        <f t="shared" si="147"/>
        <v>33</v>
      </c>
    </row>
    <row r="2350" spans="1:12" x14ac:dyDescent="0.35">
      <c r="A2350">
        <v>2363</v>
      </c>
      <c r="B2350" t="s">
        <v>6129</v>
      </c>
      <c r="C2350" t="s">
        <v>10540</v>
      </c>
      <c r="D2350" t="s">
        <v>6452</v>
      </c>
      <c r="E2350" t="s">
        <v>6131</v>
      </c>
      <c r="F2350" t="s">
        <v>6067</v>
      </c>
      <c r="G2350" t="s">
        <v>60</v>
      </c>
      <c r="H2350" t="s">
        <v>6451</v>
      </c>
      <c r="I2350" t="str">
        <f t="shared" si="144"/>
        <v>30-33</v>
      </c>
      <c r="J2350" t="str">
        <f t="shared" si="145"/>
        <v>AD</v>
      </c>
      <c r="K2350" t="str">
        <f t="shared" si="146"/>
        <v>30</v>
      </c>
      <c r="L2350" t="str">
        <f t="shared" si="147"/>
        <v>33</v>
      </c>
    </row>
    <row r="2351" spans="1:12" x14ac:dyDescent="0.35">
      <c r="A2351">
        <v>2364</v>
      </c>
      <c r="B2351" t="s">
        <v>6141</v>
      </c>
      <c r="C2351" t="s">
        <v>6100</v>
      </c>
      <c r="D2351" t="s">
        <v>6450</v>
      </c>
      <c r="E2351" t="s">
        <v>6066</v>
      </c>
      <c r="F2351" t="s">
        <v>6067</v>
      </c>
      <c r="G2351" t="s">
        <v>59</v>
      </c>
      <c r="H2351" t="s">
        <v>6449</v>
      </c>
      <c r="I2351" t="str">
        <f t="shared" si="144"/>
        <v>30-33</v>
      </c>
      <c r="J2351" t="str">
        <f t="shared" si="145"/>
        <v>AD</v>
      </c>
      <c r="K2351" t="str">
        <f t="shared" si="146"/>
        <v>30</v>
      </c>
      <c r="L2351" t="str">
        <f t="shared" si="147"/>
        <v>33</v>
      </c>
    </row>
    <row r="2352" spans="1:12" x14ac:dyDescent="0.35">
      <c r="A2352">
        <v>2365</v>
      </c>
      <c r="B2352" t="s">
        <v>6448</v>
      </c>
      <c r="C2352" t="s">
        <v>10605</v>
      </c>
      <c r="D2352" t="s">
        <v>6447</v>
      </c>
      <c r="E2352" t="s">
        <v>6066</v>
      </c>
      <c r="F2352" t="s">
        <v>6067</v>
      </c>
      <c r="G2352" t="s">
        <v>59</v>
      </c>
      <c r="H2352" t="s">
        <v>6146</v>
      </c>
      <c r="I2352" t="str">
        <f t="shared" si="144"/>
        <v>30-33</v>
      </c>
      <c r="J2352" t="str">
        <f t="shared" si="145"/>
        <v>AD</v>
      </c>
      <c r="K2352" t="str">
        <f t="shared" si="146"/>
        <v>30</v>
      </c>
      <c r="L2352" t="str">
        <f t="shared" si="147"/>
        <v>33</v>
      </c>
    </row>
    <row r="2353" spans="1:12" x14ac:dyDescent="0.35">
      <c r="A2353">
        <v>2366</v>
      </c>
      <c r="B2353" t="s">
        <v>6446</v>
      </c>
      <c r="C2353" t="s">
        <v>10613</v>
      </c>
      <c r="D2353" t="s">
        <v>6445</v>
      </c>
      <c r="E2353" t="s">
        <v>6066</v>
      </c>
      <c r="F2353" t="s">
        <v>6067</v>
      </c>
      <c r="G2353" t="s">
        <v>6444</v>
      </c>
      <c r="H2353" t="s">
        <v>6442</v>
      </c>
      <c r="I2353" t="str">
        <f t="shared" si="144"/>
        <v>30-33</v>
      </c>
      <c r="J2353" t="str">
        <f t="shared" si="145"/>
        <v>AD</v>
      </c>
      <c r="K2353" t="str">
        <f t="shared" si="146"/>
        <v>30</v>
      </c>
      <c r="L2353" t="str">
        <f t="shared" si="147"/>
        <v>33</v>
      </c>
    </row>
    <row r="2354" spans="1:12" x14ac:dyDescent="0.35">
      <c r="A2354">
        <v>2367</v>
      </c>
      <c r="B2354" t="s">
        <v>6441</v>
      </c>
      <c r="C2354" t="s">
        <v>6085</v>
      </c>
      <c r="D2354" t="s">
        <v>6440</v>
      </c>
      <c r="E2354" t="s">
        <v>6066</v>
      </c>
      <c r="F2354" t="s">
        <v>6067</v>
      </c>
      <c r="G2354" t="s">
        <v>59</v>
      </c>
      <c r="H2354" t="s">
        <v>6439</v>
      </c>
      <c r="I2354" t="str">
        <f t="shared" si="144"/>
        <v>30-33</v>
      </c>
      <c r="J2354" t="str">
        <f t="shared" si="145"/>
        <v>AD</v>
      </c>
      <c r="K2354" t="str">
        <f t="shared" si="146"/>
        <v>30</v>
      </c>
      <c r="L2354" t="str">
        <f t="shared" si="147"/>
        <v>33</v>
      </c>
    </row>
    <row r="2355" spans="1:12" x14ac:dyDescent="0.35">
      <c r="A2355">
        <v>2368</v>
      </c>
      <c r="B2355" t="s">
        <v>6438</v>
      </c>
      <c r="C2355" t="s">
        <v>6100</v>
      </c>
      <c r="D2355" t="s">
        <v>43</v>
      </c>
      <c r="E2355" t="s">
        <v>6257</v>
      </c>
      <c r="F2355" t="s">
        <v>6067</v>
      </c>
      <c r="G2355" t="s">
        <v>59</v>
      </c>
      <c r="H2355" t="s">
        <v>6146</v>
      </c>
      <c r="I2355" t="str">
        <f t="shared" si="144"/>
        <v>30-33</v>
      </c>
      <c r="J2355" t="str">
        <f t="shared" si="145"/>
        <v>AD</v>
      </c>
      <c r="K2355" t="str">
        <f t="shared" si="146"/>
        <v>30</v>
      </c>
      <c r="L2355" t="str">
        <f t="shared" si="147"/>
        <v>33</v>
      </c>
    </row>
    <row r="2356" spans="1:12" x14ac:dyDescent="0.35">
      <c r="A2356">
        <v>2369</v>
      </c>
      <c r="B2356" t="s">
        <v>6437</v>
      </c>
      <c r="C2356" t="s">
        <v>10731</v>
      </c>
      <c r="D2356" t="s">
        <v>10</v>
      </c>
      <c r="E2356" t="s">
        <v>6436</v>
      </c>
      <c r="F2356" t="s">
        <v>6067</v>
      </c>
      <c r="G2356" t="s">
        <v>59</v>
      </c>
      <c r="H2356" t="s">
        <v>6146</v>
      </c>
      <c r="I2356" t="str">
        <f t="shared" ref="I2356:I2419" si="148">SUBSTITUTE(SUBSTITUTE(SUBSTITUTE(F2356,"c. ","")," BC","")," AD","")</f>
        <v>30-33</v>
      </c>
      <c r="J2356" t="str">
        <f t="shared" si="145"/>
        <v>AD</v>
      </c>
      <c r="K2356" t="str">
        <f t="shared" si="146"/>
        <v>30</v>
      </c>
      <c r="L2356" t="str">
        <f t="shared" si="147"/>
        <v>33</v>
      </c>
    </row>
    <row r="2357" spans="1:12" x14ac:dyDescent="0.35">
      <c r="A2357">
        <v>2370</v>
      </c>
      <c r="B2357" t="s">
        <v>6435</v>
      </c>
      <c r="C2357" t="s">
        <v>10731</v>
      </c>
      <c r="D2357" t="s">
        <v>11</v>
      </c>
      <c r="E2357" t="s">
        <v>6434</v>
      </c>
      <c r="F2357" t="s">
        <v>6067</v>
      </c>
      <c r="G2357" t="s">
        <v>59</v>
      </c>
      <c r="H2357" t="s">
        <v>6146</v>
      </c>
      <c r="I2357" t="str">
        <f t="shared" si="148"/>
        <v>30-33</v>
      </c>
      <c r="J2357" t="str">
        <f t="shared" si="145"/>
        <v>AD</v>
      </c>
      <c r="K2357" t="str">
        <f t="shared" si="146"/>
        <v>30</v>
      </c>
      <c r="L2357" t="str">
        <f t="shared" si="147"/>
        <v>33</v>
      </c>
    </row>
    <row r="2358" spans="1:12" x14ac:dyDescent="0.35">
      <c r="A2358">
        <v>2371</v>
      </c>
      <c r="B2358" t="s">
        <v>6306</v>
      </c>
      <c r="C2358" t="s">
        <v>10731</v>
      </c>
      <c r="D2358" t="s">
        <v>6433</v>
      </c>
      <c r="E2358" t="s">
        <v>865</v>
      </c>
      <c r="F2358" t="s">
        <v>6149</v>
      </c>
      <c r="G2358" t="s">
        <v>59</v>
      </c>
      <c r="H2358" t="s">
        <v>6432</v>
      </c>
      <c r="I2358" t="str">
        <f t="shared" si="148"/>
        <v>33</v>
      </c>
      <c r="J2358" t="str">
        <f t="shared" si="145"/>
        <v>AD</v>
      </c>
      <c r="K2358" t="str">
        <f t="shared" si="146"/>
        <v>33</v>
      </c>
      <c r="L2358" t="str">
        <f t="shared" si="147"/>
        <v>33</v>
      </c>
    </row>
    <row r="2359" spans="1:12" x14ac:dyDescent="0.35">
      <c r="A2359">
        <v>2372</v>
      </c>
      <c r="B2359" t="s">
        <v>6431</v>
      </c>
      <c r="C2359" t="s">
        <v>10607</v>
      </c>
      <c r="D2359" t="s">
        <v>6430</v>
      </c>
      <c r="E2359" t="s">
        <v>865</v>
      </c>
      <c r="F2359" t="s">
        <v>6149</v>
      </c>
      <c r="G2359" t="s">
        <v>59</v>
      </c>
      <c r="H2359" t="s">
        <v>6146</v>
      </c>
      <c r="I2359" t="str">
        <f t="shared" si="148"/>
        <v>33</v>
      </c>
      <c r="J2359" t="str">
        <f t="shared" si="145"/>
        <v>AD</v>
      </c>
      <c r="K2359" t="str">
        <f t="shared" si="146"/>
        <v>33</v>
      </c>
      <c r="L2359" t="str">
        <f t="shared" si="147"/>
        <v>33</v>
      </c>
    </row>
    <row r="2360" spans="1:12" x14ac:dyDescent="0.35">
      <c r="A2360">
        <v>2373</v>
      </c>
      <c r="B2360" t="s">
        <v>6166</v>
      </c>
      <c r="C2360" t="s">
        <v>6157</v>
      </c>
      <c r="D2360" t="s">
        <v>6429</v>
      </c>
      <c r="E2360" t="s">
        <v>1211</v>
      </c>
      <c r="F2360" t="s">
        <v>6149</v>
      </c>
      <c r="G2360" t="s">
        <v>59</v>
      </c>
      <c r="H2360" t="s">
        <v>6428</v>
      </c>
      <c r="I2360" t="str">
        <f t="shared" si="148"/>
        <v>33</v>
      </c>
      <c r="J2360" t="str">
        <f t="shared" si="145"/>
        <v>AD</v>
      </c>
      <c r="K2360" t="str">
        <f t="shared" si="146"/>
        <v>33</v>
      </c>
      <c r="L2360" t="str">
        <f t="shared" si="147"/>
        <v>33</v>
      </c>
    </row>
    <row r="2361" spans="1:12" x14ac:dyDescent="0.35">
      <c r="A2361">
        <v>2374</v>
      </c>
      <c r="B2361" t="s">
        <v>6169</v>
      </c>
      <c r="C2361" t="s">
        <v>10609</v>
      </c>
      <c r="D2361" t="s">
        <v>6427</v>
      </c>
      <c r="E2361" t="s">
        <v>6171</v>
      </c>
      <c r="F2361" t="s">
        <v>6149</v>
      </c>
      <c r="G2361" t="s">
        <v>4938</v>
      </c>
      <c r="H2361" t="s">
        <v>6426</v>
      </c>
      <c r="I2361" t="str">
        <f t="shared" si="148"/>
        <v>33</v>
      </c>
      <c r="J2361" t="str">
        <f t="shared" si="145"/>
        <v>AD</v>
      </c>
      <c r="K2361" t="str">
        <f t="shared" si="146"/>
        <v>33</v>
      </c>
      <c r="L2361" t="str">
        <f t="shared" si="147"/>
        <v>33</v>
      </c>
    </row>
    <row r="2362" spans="1:12" x14ac:dyDescent="0.35">
      <c r="A2362">
        <v>2375</v>
      </c>
      <c r="B2362" t="s">
        <v>6324</v>
      </c>
      <c r="C2362" t="s">
        <v>10731</v>
      </c>
      <c r="D2362" t="s">
        <v>6425</v>
      </c>
      <c r="E2362" t="s">
        <v>6171</v>
      </c>
      <c r="F2362" t="s">
        <v>6149</v>
      </c>
      <c r="G2362" t="s">
        <v>59</v>
      </c>
      <c r="H2362" t="s">
        <v>6424</v>
      </c>
      <c r="I2362" t="str">
        <f t="shared" si="148"/>
        <v>33</v>
      </c>
      <c r="J2362" t="str">
        <f t="shared" si="145"/>
        <v>AD</v>
      </c>
      <c r="K2362" t="str">
        <f t="shared" si="146"/>
        <v>33</v>
      </c>
      <c r="L2362" t="str">
        <f t="shared" si="147"/>
        <v>33</v>
      </c>
    </row>
    <row r="2363" spans="1:12" x14ac:dyDescent="0.35">
      <c r="A2363">
        <v>2376</v>
      </c>
      <c r="B2363" t="s">
        <v>6174</v>
      </c>
      <c r="C2363" t="s">
        <v>10604</v>
      </c>
      <c r="D2363" t="s">
        <v>6423</v>
      </c>
      <c r="E2363" t="s">
        <v>1211</v>
      </c>
      <c r="F2363" t="s">
        <v>6149</v>
      </c>
      <c r="G2363" t="s">
        <v>53</v>
      </c>
      <c r="H2363" t="s">
        <v>6422</v>
      </c>
      <c r="I2363" t="str">
        <f t="shared" si="148"/>
        <v>33</v>
      </c>
      <c r="J2363" t="str">
        <f t="shared" si="145"/>
        <v>AD</v>
      </c>
      <c r="K2363" t="str">
        <f t="shared" si="146"/>
        <v>33</v>
      </c>
      <c r="L2363" t="str">
        <f t="shared" si="147"/>
        <v>33</v>
      </c>
    </row>
    <row r="2364" spans="1:12" x14ac:dyDescent="0.35">
      <c r="A2364">
        <v>2377</v>
      </c>
      <c r="B2364" t="s">
        <v>6177</v>
      </c>
      <c r="C2364" t="s">
        <v>10604</v>
      </c>
      <c r="D2364" t="s">
        <v>6421</v>
      </c>
      <c r="E2364" t="s">
        <v>1211</v>
      </c>
      <c r="F2364" t="s">
        <v>6149</v>
      </c>
      <c r="G2364" t="s">
        <v>53</v>
      </c>
      <c r="H2364" t="s">
        <v>6420</v>
      </c>
      <c r="I2364" t="str">
        <f t="shared" si="148"/>
        <v>33</v>
      </c>
      <c r="J2364" t="str">
        <f t="shared" si="145"/>
        <v>AD</v>
      </c>
      <c r="K2364" t="str">
        <f t="shared" si="146"/>
        <v>33</v>
      </c>
      <c r="L2364" t="str">
        <f t="shared" si="147"/>
        <v>33</v>
      </c>
    </row>
    <row r="2365" spans="1:12" x14ac:dyDescent="0.35">
      <c r="A2365">
        <v>2378</v>
      </c>
      <c r="B2365" t="s">
        <v>6419</v>
      </c>
      <c r="C2365" t="s">
        <v>10612</v>
      </c>
      <c r="D2365" t="s">
        <v>6418</v>
      </c>
      <c r="E2365" t="s">
        <v>1211</v>
      </c>
      <c r="F2365" t="s">
        <v>6149</v>
      </c>
      <c r="G2365" t="s">
        <v>6183</v>
      </c>
      <c r="H2365" t="s">
        <v>6417</v>
      </c>
      <c r="I2365" t="str">
        <f t="shared" si="148"/>
        <v>33</v>
      </c>
      <c r="J2365" t="str">
        <f t="shared" si="145"/>
        <v>AD</v>
      </c>
      <c r="K2365" t="str">
        <f t="shared" si="146"/>
        <v>33</v>
      </c>
      <c r="L2365" t="str">
        <f t="shared" si="147"/>
        <v>33</v>
      </c>
    </row>
    <row r="2366" spans="1:12" x14ac:dyDescent="0.35">
      <c r="A2366">
        <v>2379</v>
      </c>
      <c r="B2366" t="s">
        <v>6189</v>
      </c>
      <c r="C2366" t="s">
        <v>10733</v>
      </c>
      <c r="D2366" t="s">
        <v>6416</v>
      </c>
      <c r="E2366" t="s">
        <v>1211</v>
      </c>
      <c r="F2366" t="s">
        <v>6149</v>
      </c>
      <c r="G2366" t="s">
        <v>59</v>
      </c>
      <c r="H2366" t="s">
        <v>6415</v>
      </c>
      <c r="I2366" t="str">
        <f t="shared" si="148"/>
        <v>33</v>
      </c>
      <c r="J2366" t="str">
        <f t="shared" si="145"/>
        <v>AD</v>
      </c>
      <c r="K2366" t="str">
        <f t="shared" si="146"/>
        <v>33</v>
      </c>
      <c r="L2366" t="str">
        <f t="shared" si="147"/>
        <v>33</v>
      </c>
    </row>
    <row r="2367" spans="1:12" x14ac:dyDescent="0.35">
      <c r="A2367">
        <v>2380</v>
      </c>
      <c r="B2367" t="s">
        <v>6414</v>
      </c>
      <c r="C2367" t="s">
        <v>6194</v>
      </c>
      <c r="D2367" t="s">
        <v>6348</v>
      </c>
      <c r="E2367" t="s">
        <v>6413</v>
      </c>
      <c r="F2367" t="s">
        <v>6149</v>
      </c>
      <c r="G2367" t="s">
        <v>59</v>
      </c>
      <c r="H2367" t="s">
        <v>6412</v>
      </c>
      <c r="I2367" t="str">
        <f t="shared" si="148"/>
        <v>33</v>
      </c>
      <c r="J2367" t="str">
        <f t="shared" si="145"/>
        <v>AD</v>
      </c>
      <c r="K2367" t="str">
        <f t="shared" si="146"/>
        <v>33</v>
      </c>
      <c r="L2367" t="str">
        <f t="shared" si="147"/>
        <v>33</v>
      </c>
    </row>
    <row r="2368" spans="1:12" x14ac:dyDescent="0.35">
      <c r="A2368">
        <v>2381</v>
      </c>
      <c r="B2368" t="s">
        <v>6411</v>
      </c>
      <c r="C2368" t="s">
        <v>6194</v>
      </c>
      <c r="D2368" t="s">
        <v>6410</v>
      </c>
      <c r="E2368" t="s">
        <v>1211</v>
      </c>
      <c r="F2368" t="s">
        <v>6149</v>
      </c>
      <c r="G2368" t="s">
        <v>59</v>
      </c>
      <c r="H2368" t="s">
        <v>6409</v>
      </c>
      <c r="I2368" t="str">
        <f t="shared" si="148"/>
        <v>33</v>
      </c>
      <c r="J2368" t="str">
        <f t="shared" si="145"/>
        <v>AD</v>
      </c>
      <c r="K2368" t="str">
        <f t="shared" si="146"/>
        <v>33</v>
      </c>
      <c r="L2368" t="str">
        <f t="shared" si="147"/>
        <v>33</v>
      </c>
    </row>
    <row r="2369" spans="1:12" x14ac:dyDescent="0.35">
      <c r="A2369">
        <v>2382</v>
      </c>
      <c r="B2369" t="s">
        <v>6408</v>
      </c>
      <c r="C2369" t="s">
        <v>6353</v>
      </c>
      <c r="D2369" t="s">
        <v>6407</v>
      </c>
      <c r="E2369" t="s">
        <v>6153</v>
      </c>
      <c r="F2369" t="s">
        <v>6149</v>
      </c>
      <c r="G2369" t="s">
        <v>59</v>
      </c>
      <c r="H2369" t="s">
        <v>6406</v>
      </c>
      <c r="I2369" t="str">
        <f t="shared" si="148"/>
        <v>33</v>
      </c>
      <c r="J2369" t="str">
        <f t="shared" si="145"/>
        <v>AD</v>
      </c>
      <c r="K2369" t="str">
        <f t="shared" si="146"/>
        <v>33</v>
      </c>
      <c r="L2369" t="str">
        <f t="shared" si="147"/>
        <v>33</v>
      </c>
    </row>
    <row r="2370" spans="1:12" x14ac:dyDescent="0.35">
      <c r="A2370">
        <v>2383</v>
      </c>
      <c r="B2370" t="s">
        <v>6587</v>
      </c>
      <c r="C2370" t="s">
        <v>7340</v>
      </c>
      <c r="D2370" t="s">
        <v>6588</v>
      </c>
      <c r="E2370" t="s">
        <v>1102</v>
      </c>
      <c r="F2370" t="s">
        <v>6034</v>
      </c>
      <c r="G2370" t="s">
        <v>6589</v>
      </c>
      <c r="H2370" t="s">
        <v>6590</v>
      </c>
      <c r="I2370" t="str">
        <f t="shared" si="148"/>
        <v>5-4</v>
      </c>
      <c r="J2370" t="str">
        <f t="shared" ref="J2370:J2433" si="149">RIGHT(F2370, 2)</f>
        <v>BC</v>
      </c>
      <c r="K2370">
        <f t="shared" ref="K2370:K2433" si="150">IF(J2370="BC", 0-IF(ISERROR(FIND("-",I2370)),I2370,LEFT(I2370,FIND("-",I2370)-1)), IF(ISERROR(FIND("-",I2370)),I2370,LEFT(I2370,FIND("-",I2370)-1)))</f>
        <v>-5</v>
      </c>
      <c r="L2370">
        <f t="shared" ref="L2370:L2433" si="151">IF(J2370="BC", 0-IF(ISERROR(FIND("-",I2370)),I2370,RIGHT(I2370,FIND("-",I2370)-1)), IF(ISERROR(FIND("-",I2370)),I2370,RIGHT(I2370,FIND("-",I2370)-1)))</f>
        <v>-4</v>
      </c>
    </row>
    <row r="2371" spans="1:12" x14ac:dyDescent="0.35">
      <c r="A2371">
        <v>2384</v>
      </c>
      <c r="B2371" t="s">
        <v>6591</v>
      </c>
      <c r="C2371" t="s">
        <v>10569</v>
      </c>
      <c r="D2371" t="s">
        <v>6592</v>
      </c>
      <c r="E2371" t="s">
        <v>874</v>
      </c>
      <c r="F2371" t="s">
        <v>6053</v>
      </c>
      <c r="G2371" t="s">
        <v>61</v>
      </c>
      <c r="H2371" t="s">
        <v>6593</v>
      </c>
      <c r="I2371" t="str">
        <f t="shared" si="148"/>
        <v>30</v>
      </c>
      <c r="J2371" t="str">
        <f t="shared" si="149"/>
        <v>AD</v>
      </c>
      <c r="K2371" t="str">
        <f t="shared" si="150"/>
        <v>30</v>
      </c>
      <c r="L2371" t="str">
        <f t="shared" si="151"/>
        <v>30</v>
      </c>
    </row>
    <row r="2372" spans="1:12" x14ac:dyDescent="0.35">
      <c r="A2372">
        <v>2385</v>
      </c>
      <c r="B2372" t="s">
        <v>6594</v>
      </c>
      <c r="C2372" t="s">
        <v>10732</v>
      </c>
      <c r="D2372" t="s">
        <v>1</v>
      </c>
      <c r="E2372" t="s">
        <v>6595</v>
      </c>
      <c r="F2372" t="s">
        <v>6053</v>
      </c>
      <c r="G2372" t="s">
        <v>59</v>
      </c>
      <c r="H2372" t="s">
        <v>6146</v>
      </c>
      <c r="I2372" t="str">
        <f t="shared" si="148"/>
        <v>30</v>
      </c>
      <c r="J2372" t="str">
        <f t="shared" si="149"/>
        <v>AD</v>
      </c>
      <c r="K2372" t="str">
        <f t="shared" si="150"/>
        <v>30</v>
      </c>
      <c r="L2372" t="str">
        <f t="shared" si="151"/>
        <v>30</v>
      </c>
    </row>
    <row r="2373" spans="1:12" x14ac:dyDescent="0.35">
      <c r="A2373">
        <v>2386</v>
      </c>
      <c r="B2373" t="s">
        <v>6596</v>
      </c>
      <c r="C2373" t="s">
        <v>6157</v>
      </c>
      <c r="D2373" t="s">
        <v>6597</v>
      </c>
      <c r="E2373" t="s">
        <v>1211</v>
      </c>
      <c r="F2373" t="s">
        <v>6053</v>
      </c>
      <c r="G2373" t="s">
        <v>59</v>
      </c>
      <c r="H2373" t="s">
        <v>6598</v>
      </c>
      <c r="I2373" t="str">
        <f t="shared" si="148"/>
        <v>30</v>
      </c>
      <c r="J2373" t="str">
        <f t="shared" si="149"/>
        <v>AD</v>
      </c>
      <c r="K2373" t="str">
        <f t="shared" si="150"/>
        <v>30</v>
      </c>
      <c r="L2373" t="str">
        <f t="shared" si="151"/>
        <v>30</v>
      </c>
    </row>
    <row r="2374" spans="1:12" x14ac:dyDescent="0.35">
      <c r="A2374">
        <v>2387</v>
      </c>
      <c r="B2374" t="s">
        <v>6599</v>
      </c>
      <c r="C2374" t="s">
        <v>10607</v>
      </c>
      <c r="D2374" t="s">
        <v>6600</v>
      </c>
      <c r="E2374" t="s">
        <v>1211</v>
      </c>
      <c r="F2374" t="s">
        <v>6053</v>
      </c>
      <c r="G2374" t="s">
        <v>59</v>
      </c>
      <c r="H2374" t="s">
        <v>6146</v>
      </c>
      <c r="I2374" t="str">
        <f t="shared" si="148"/>
        <v>30</v>
      </c>
      <c r="J2374" t="str">
        <f t="shared" si="149"/>
        <v>AD</v>
      </c>
      <c r="K2374" t="str">
        <f t="shared" si="150"/>
        <v>30</v>
      </c>
      <c r="L2374" t="str">
        <f t="shared" si="151"/>
        <v>30</v>
      </c>
    </row>
    <row r="2375" spans="1:12" x14ac:dyDescent="0.35">
      <c r="A2375">
        <v>2388</v>
      </c>
      <c r="B2375" t="s">
        <v>6601</v>
      </c>
      <c r="C2375" t="s">
        <v>10616</v>
      </c>
      <c r="D2375" t="s">
        <v>6602</v>
      </c>
      <c r="E2375" t="s">
        <v>6603</v>
      </c>
      <c r="F2375" t="s">
        <v>6053</v>
      </c>
      <c r="G2375" t="s">
        <v>59</v>
      </c>
      <c r="H2375" t="s">
        <v>6146</v>
      </c>
      <c r="I2375" t="str">
        <f t="shared" si="148"/>
        <v>30</v>
      </c>
      <c r="J2375" t="str">
        <f t="shared" si="149"/>
        <v>AD</v>
      </c>
      <c r="K2375" t="str">
        <f t="shared" si="150"/>
        <v>30</v>
      </c>
      <c r="L2375" t="str">
        <f t="shared" si="151"/>
        <v>30</v>
      </c>
    </row>
    <row r="2376" spans="1:12" x14ac:dyDescent="0.35">
      <c r="A2376">
        <v>2389</v>
      </c>
      <c r="B2376" t="s">
        <v>6604</v>
      </c>
      <c r="C2376" t="s">
        <v>10731</v>
      </c>
      <c r="D2376" t="s">
        <v>2</v>
      </c>
      <c r="E2376" t="s">
        <v>6072</v>
      </c>
      <c r="F2376" t="s">
        <v>6053</v>
      </c>
      <c r="G2376" t="s">
        <v>59</v>
      </c>
      <c r="H2376" t="s">
        <v>6605</v>
      </c>
      <c r="I2376" t="str">
        <f t="shared" si="148"/>
        <v>30</v>
      </c>
      <c r="J2376" t="str">
        <f t="shared" si="149"/>
        <v>AD</v>
      </c>
      <c r="K2376" t="str">
        <f t="shared" si="150"/>
        <v>30</v>
      </c>
      <c r="L2376" t="str">
        <f t="shared" si="151"/>
        <v>30</v>
      </c>
    </row>
    <row r="2377" spans="1:12" x14ac:dyDescent="0.35">
      <c r="A2377">
        <v>2390</v>
      </c>
      <c r="B2377" t="s">
        <v>6606</v>
      </c>
      <c r="C2377" t="s">
        <v>10731</v>
      </c>
      <c r="D2377" t="s">
        <v>6607</v>
      </c>
      <c r="E2377" t="s">
        <v>1211</v>
      </c>
      <c r="F2377" t="s">
        <v>6067</v>
      </c>
      <c r="G2377" t="s">
        <v>59</v>
      </c>
      <c r="H2377" t="s">
        <v>6146</v>
      </c>
      <c r="I2377" t="str">
        <f t="shared" si="148"/>
        <v>30-33</v>
      </c>
      <c r="J2377" t="str">
        <f t="shared" si="149"/>
        <v>AD</v>
      </c>
      <c r="K2377" t="str">
        <f t="shared" si="150"/>
        <v>30</v>
      </c>
      <c r="L2377" t="str">
        <f t="shared" si="151"/>
        <v>33</v>
      </c>
    </row>
    <row r="2378" spans="1:12" x14ac:dyDescent="0.35">
      <c r="A2378">
        <v>2391</v>
      </c>
      <c r="B2378" t="s">
        <v>6105</v>
      </c>
      <c r="C2378" t="s">
        <v>10734</v>
      </c>
      <c r="D2378" t="s">
        <v>6608</v>
      </c>
      <c r="E2378" t="s">
        <v>6609</v>
      </c>
      <c r="F2378" t="s">
        <v>6067</v>
      </c>
      <c r="G2378" t="s">
        <v>59</v>
      </c>
      <c r="H2378" t="s">
        <v>6610</v>
      </c>
      <c r="I2378" t="str">
        <f t="shared" si="148"/>
        <v>30-33</v>
      </c>
      <c r="J2378" t="str">
        <f t="shared" si="149"/>
        <v>AD</v>
      </c>
      <c r="K2378" t="str">
        <f t="shared" si="150"/>
        <v>30</v>
      </c>
      <c r="L2378" t="str">
        <f t="shared" si="151"/>
        <v>33</v>
      </c>
    </row>
    <row r="2379" spans="1:12" x14ac:dyDescent="0.35">
      <c r="A2379">
        <v>2392</v>
      </c>
      <c r="B2379" t="s">
        <v>6110</v>
      </c>
      <c r="C2379" t="s">
        <v>10732</v>
      </c>
      <c r="D2379" t="s">
        <v>6611</v>
      </c>
      <c r="E2379" t="s">
        <v>6079</v>
      </c>
      <c r="F2379" t="s">
        <v>6067</v>
      </c>
      <c r="G2379" t="s">
        <v>59</v>
      </c>
      <c r="H2379" t="s">
        <v>6612</v>
      </c>
      <c r="I2379" t="str">
        <f t="shared" si="148"/>
        <v>30-33</v>
      </c>
      <c r="J2379" t="str">
        <f t="shared" si="149"/>
        <v>AD</v>
      </c>
      <c r="K2379" t="str">
        <f t="shared" si="150"/>
        <v>30</v>
      </c>
      <c r="L2379" t="str">
        <f t="shared" si="151"/>
        <v>33</v>
      </c>
    </row>
    <row r="2380" spans="1:12" x14ac:dyDescent="0.35">
      <c r="A2380">
        <v>2393</v>
      </c>
      <c r="B2380" t="s">
        <v>6613</v>
      </c>
      <c r="C2380" t="s">
        <v>10617</v>
      </c>
      <c r="D2380" t="s">
        <v>6614</v>
      </c>
      <c r="E2380" t="s">
        <v>6072</v>
      </c>
      <c r="F2380" t="s">
        <v>6067</v>
      </c>
      <c r="G2380" t="s">
        <v>59</v>
      </c>
      <c r="H2380" t="s">
        <v>6146</v>
      </c>
      <c r="I2380" t="str">
        <f t="shared" si="148"/>
        <v>30-33</v>
      </c>
      <c r="J2380" t="str">
        <f t="shared" si="149"/>
        <v>AD</v>
      </c>
      <c r="K2380" t="str">
        <f t="shared" si="150"/>
        <v>30</v>
      </c>
      <c r="L2380" t="str">
        <f t="shared" si="151"/>
        <v>33</v>
      </c>
    </row>
    <row r="2381" spans="1:12" x14ac:dyDescent="0.35">
      <c r="A2381">
        <v>2394</v>
      </c>
      <c r="B2381" t="s">
        <v>6615</v>
      </c>
      <c r="C2381" t="s">
        <v>10607</v>
      </c>
      <c r="D2381" t="s">
        <v>6616</v>
      </c>
      <c r="E2381" t="s">
        <v>6072</v>
      </c>
      <c r="F2381" t="s">
        <v>6067</v>
      </c>
      <c r="G2381" t="s">
        <v>59</v>
      </c>
      <c r="H2381" t="s">
        <v>6146</v>
      </c>
      <c r="I2381" t="str">
        <f t="shared" si="148"/>
        <v>30-33</v>
      </c>
      <c r="J2381" t="str">
        <f t="shared" si="149"/>
        <v>AD</v>
      </c>
      <c r="K2381" t="str">
        <f t="shared" si="150"/>
        <v>30</v>
      </c>
      <c r="L2381" t="str">
        <f t="shared" si="151"/>
        <v>33</v>
      </c>
    </row>
    <row r="2382" spans="1:12" x14ac:dyDescent="0.35">
      <c r="A2382">
        <v>2395</v>
      </c>
      <c r="B2382" t="s">
        <v>6617</v>
      </c>
      <c r="C2382" t="s">
        <v>10617</v>
      </c>
      <c r="D2382" t="s">
        <v>6618</v>
      </c>
      <c r="E2382" t="s">
        <v>1211</v>
      </c>
      <c r="F2382" t="s">
        <v>6067</v>
      </c>
      <c r="G2382" t="s">
        <v>59</v>
      </c>
      <c r="H2382" t="s">
        <v>6619</v>
      </c>
      <c r="I2382" t="str">
        <f t="shared" si="148"/>
        <v>30-33</v>
      </c>
      <c r="J2382" t="str">
        <f t="shared" si="149"/>
        <v>AD</v>
      </c>
      <c r="K2382" t="str">
        <f t="shared" si="150"/>
        <v>30</v>
      </c>
      <c r="L2382" t="str">
        <f t="shared" si="151"/>
        <v>33</v>
      </c>
    </row>
    <row r="2383" spans="1:12" x14ac:dyDescent="0.35">
      <c r="A2383">
        <v>2396</v>
      </c>
      <c r="B2383" t="s">
        <v>6620</v>
      </c>
      <c r="C2383" t="s">
        <v>10040</v>
      </c>
      <c r="D2383" t="s">
        <v>9</v>
      </c>
      <c r="E2383" t="s">
        <v>1211</v>
      </c>
      <c r="F2383" t="s">
        <v>6067</v>
      </c>
      <c r="G2383" t="s">
        <v>59</v>
      </c>
      <c r="H2383" t="s">
        <v>6621</v>
      </c>
      <c r="I2383" t="str">
        <f t="shared" si="148"/>
        <v>30-33</v>
      </c>
      <c r="J2383" t="str">
        <f t="shared" si="149"/>
        <v>AD</v>
      </c>
      <c r="K2383" t="str">
        <f t="shared" si="150"/>
        <v>30</v>
      </c>
      <c r="L2383" t="str">
        <f t="shared" si="151"/>
        <v>33</v>
      </c>
    </row>
    <row r="2384" spans="1:12" x14ac:dyDescent="0.35">
      <c r="A2384">
        <v>2397</v>
      </c>
      <c r="B2384" t="s">
        <v>6622</v>
      </c>
      <c r="C2384" t="s">
        <v>10731</v>
      </c>
      <c r="D2384" t="s">
        <v>38</v>
      </c>
      <c r="E2384" t="s">
        <v>1211</v>
      </c>
      <c r="F2384" t="s">
        <v>6067</v>
      </c>
      <c r="G2384" t="s">
        <v>59</v>
      </c>
      <c r="H2384" t="s">
        <v>6146</v>
      </c>
      <c r="I2384" t="str">
        <f t="shared" si="148"/>
        <v>30-33</v>
      </c>
      <c r="J2384" t="str">
        <f t="shared" si="149"/>
        <v>AD</v>
      </c>
      <c r="K2384" t="str">
        <f t="shared" si="150"/>
        <v>30</v>
      </c>
      <c r="L2384" t="str">
        <f t="shared" si="151"/>
        <v>33</v>
      </c>
    </row>
    <row r="2385" spans="1:12" x14ac:dyDescent="0.35">
      <c r="A2385">
        <v>2398</v>
      </c>
      <c r="B2385" t="s">
        <v>6623</v>
      </c>
      <c r="C2385" t="s">
        <v>10617</v>
      </c>
      <c r="D2385" t="s">
        <v>6624</v>
      </c>
      <c r="E2385" t="s">
        <v>1211</v>
      </c>
      <c r="F2385" t="s">
        <v>6067</v>
      </c>
      <c r="G2385" t="s">
        <v>59</v>
      </c>
      <c r="H2385" t="s">
        <v>6625</v>
      </c>
      <c r="I2385" t="str">
        <f t="shared" si="148"/>
        <v>30-33</v>
      </c>
      <c r="J2385" t="str">
        <f t="shared" si="149"/>
        <v>AD</v>
      </c>
      <c r="K2385" t="str">
        <f t="shared" si="150"/>
        <v>30</v>
      </c>
      <c r="L2385" t="str">
        <f t="shared" si="151"/>
        <v>33</v>
      </c>
    </row>
    <row r="2386" spans="1:12" x14ac:dyDescent="0.35">
      <c r="A2386">
        <v>2399</v>
      </c>
      <c r="B2386" t="s">
        <v>6626</v>
      </c>
      <c r="C2386" t="s">
        <v>10040</v>
      </c>
      <c r="D2386" t="s">
        <v>6627</v>
      </c>
      <c r="E2386" t="s">
        <v>1211</v>
      </c>
      <c r="F2386" t="s">
        <v>6067</v>
      </c>
      <c r="G2386" t="s">
        <v>59</v>
      </c>
      <c r="H2386" t="s">
        <v>6146</v>
      </c>
      <c r="I2386" t="str">
        <f t="shared" si="148"/>
        <v>30-33</v>
      </c>
      <c r="J2386" t="str">
        <f t="shared" si="149"/>
        <v>AD</v>
      </c>
      <c r="K2386" t="str">
        <f t="shared" si="150"/>
        <v>30</v>
      </c>
      <c r="L2386" t="str">
        <f t="shared" si="151"/>
        <v>33</v>
      </c>
    </row>
    <row r="2387" spans="1:12" x14ac:dyDescent="0.35">
      <c r="A2387">
        <v>2400</v>
      </c>
      <c r="B2387" t="s">
        <v>6628</v>
      </c>
      <c r="C2387" t="s">
        <v>10607</v>
      </c>
      <c r="D2387" t="s">
        <v>6629</v>
      </c>
      <c r="E2387" t="s">
        <v>6630</v>
      </c>
      <c r="F2387" t="s">
        <v>6149</v>
      </c>
      <c r="G2387" t="s">
        <v>59</v>
      </c>
      <c r="H2387" t="s">
        <v>6146</v>
      </c>
      <c r="I2387" t="str">
        <f t="shared" si="148"/>
        <v>33</v>
      </c>
      <c r="J2387" t="str">
        <f t="shared" si="149"/>
        <v>AD</v>
      </c>
      <c r="K2387" t="str">
        <f t="shared" si="150"/>
        <v>33</v>
      </c>
      <c r="L2387" t="str">
        <f t="shared" si="151"/>
        <v>33</v>
      </c>
    </row>
    <row r="2388" spans="1:12" x14ac:dyDescent="0.35">
      <c r="A2388">
        <v>2401</v>
      </c>
      <c r="B2388" t="s">
        <v>6631</v>
      </c>
      <c r="C2388" t="s">
        <v>10733</v>
      </c>
      <c r="D2388" t="s">
        <v>6632</v>
      </c>
      <c r="E2388" t="s">
        <v>6153</v>
      </c>
      <c r="F2388" t="s">
        <v>6149</v>
      </c>
      <c r="G2388" t="s">
        <v>59</v>
      </c>
      <c r="H2388" t="s">
        <v>6146</v>
      </c>
      <c r="I2388" t="str">
        <f t="shared" si="148"/>
        <v>33</v>
      </c>
      <c r="J2388" t="str">
        <f t="shared" si="149"/>
        <v>AD</v>
      </c>
      <c r="K2388" t="str">
        <f t="shared" si="150"/>
        <v>33</v>
      </c>
      <c r="L2388" t="str">
        <f t="shared" si="151"/>
        <v>33</v>
      </c>
    </row>
    <row r="2389" spans="1:12" x14ac:dyDescent="0.35">
      <c r="A2389">
        <v>2402</v>
      </c>
      <c r="B2389" t="s">
        <v>6633</v>
      </c>
      <c r="C2389" t="s">
        <v>10540</v>
      </c>
      <c r="D2389" t="s">
        <v>6634</v>
      </c>
      <c r="E2389" t="s">
        <v>1211</v>
      </c>
      <c r="F2389" t="s">
        <v>6149</v>
      </c>
      <c r="G2389" t="s">
        <v>60</v>
      </c>
      <c r="H2389" t="s">
        <v>6635</v>
      </c>
      <c r="I2389" t="str">
        <f t="shared" si="148"/>
        <v>33</v>
      </c>
      <c r="J2389" t="str">
        <f t="shared" si="149"/>
        <v>AD</v>
      </c>
      <c r="K2389" t="str">
        <f t="shared" si="150"/>
        <v>33</v>
      </c>
      <c r="L2389" t="str">
        <f t="shared" si="151"/>
        <v>33</v>
      </c>
    </row>
    <row r="2390" spans="1:12" x14ac:dyDescent="0.35">
      <c r="A2390">
        <v>2403</v>
      </c>
      <c r="B2390" t="s">
        <v>6636</v>
      </c>
      <c r="C2390" t="s">
        <v>6157</v>
      </c>
      <c r="D2390" t="s">
        <v>6637</v>
      </c>
      <c r="E2390" t="s">
        <v>1211</v>
      </c>
      <c r="F2390" t="s">
        <v>6149</v>
      </c>
      <c r="G2390" t="s">
        <v>59</v>
      </c>
      <c r="H2390" t="s">
        <v>6638</v>
      </c>
      <c r="I2390" t="str">
        <f t="shared" si="148"/>
        <v>33</v>
      </c>
      <c r="J2390" t="str">
        <f t="shared" si="149"/>
        <v>AD</v>
      </c>
      <c r="K2390" t="str">
        <f t="shared" si="150"/>
        <v>33</v>
      </c>
      <c r="L2390" t="str">
        <f t="shared" si="151"/>
        <v>33</v>
      </c>
    </row>
    <row r="2391" spans="1:12" x14ac:dyDescent="0.35">
      <c r="A2391">
        <v>2404</v>
      </c>
      <c r="B2391" t="s">
        <v>6639</v>
      </c>
      <c r="C2391" t="s">
        <v>10607</v>
      </c>
      <c r="D2391" t="s">
        <v>6640</v>
      </c>
      <c r="E2391" t="s">
        <v>1211</v>
      </c>
      <c r="F2391" t="s">
        <v>6149</v>
      </c>
      <c r="G2391" t="s">
        <v>59</v>
      </c>
      <c r="H2391" t="s">
        <v>6146</v>
      </c>
      <c r="I2391" t="str">
        <f t="shared" si="148"/>
        <v>33</v>
      </c>
      <c r="J2391" t="str">
        <f t="shared" si="149"/>
        <v>AD</v>
      </c>
      <c r="K2391" t="str">
        <f t="shared" si="150"/>
        <v>33</v>
      </c>
      <c r="L2391" t="str">
        <f t="shared" si="151"/>
        <v>33</v>
      </c>
    </row>
    <row r="2392" spans="1:12" x14ac:dyDescent="0.35">
      <c r="A2392">
        <v>2405</v>
      </c>
      <c r="B2392" t="s">
        <v>6641</v>
      </c>
      <c r="C2392" t="s">
        <v>6643</v>
      </c>
      <c r="D2392" t="s">
        <v>6642</v>
      </c>
      <c r="E2392" t="s">
        <v>1211</v>
      </c>
      <c r="F2392" t="s">
        <v>6149</v>
      </c>
      <c r="G2392" t="s">
        <v>59</v>
      </c>
      <c r="H2392" t="s">
        <v>6146</v>
      </c>
      <c r="I2392" t="str">
        <f t="shared" si="148"/>
        <v>33</v>
      </c>
      <c r="J2392" t="str">
        <f t="shared" si="149"/>
        <v>AD</v>
      </c>
      <c r="K2392" t="str">
        <f t="shared" si="150"/>
        <v>33</v>
      </c>
      <c r="L2392" t="str">
        <f t="shared" si="151"/>
        <v>33</v>
      </c>
    </row>
    <row r="2393" spans="1:12" x14ac:dyDescent="0.35">
      <c r="A2393">
        <v>2406</v>
      </c>
      <c r="B2393" t="s">
        <v>6644</v>
      </c>
      <c r="C2393" t="s">
        <v>6157</v>
      </c>
      <c r="D2393" t="s">
        <v>6645</v>
      </c>
      <c r="E2393" t="s">
        <v>1211</v>
      </c>
      <c r="F2393" t="s">
        <v>6149</v>
      </c>
      <c r="G2393" t="s">
        <v>59</v>
      </c>
      <c r="H2393" t="s">
        <v>6646</v>
      </c>
      <c r="I2393" t="str">
        <f t="shared" si="148"/>
        <v>33</v>
      </c>
      <c r="J2393" t="str">
        <f t="shared" si="149"/>
        <v>AD</v>
      </c>
      <c r="K2393" t="str">
        <f t="shared" si="150"/>
        <v>33</v>
      </c>
      <c r="L2393" t="str">
        <f t="shared" si="151"/>
        <v>33</v>
      </c>
    </row>
    <row r="2394" spans="1:12" x14ac:dyDescent="0.35">
      <c r="A2394">
        <v>2407</v>
      </c>
      <c r="B2394" t="s">
        <v>6166</v>
      </c>
      <c r="C2394" t="s">
        <v>6157</v>
      </c>
      <c r="D2394" t="s">
        <v>6647</v>
      </c>
      <c r="E2394" t="s">
        <v>1211</v>
      </c>
      <c r="F2394" t="s">
        <v>6149</v>
      </c>
      <c r="G2394" t="s">
        <v>59</v>
      </c>
      <c r="H2394" t="s">
        <v>6648</v>
      </c>
      <c r="I2394" t="str">
        <f t="shared" si="148"/>
        <v>33</v>
      </c>
      <c r="J2394" t="str">
        <f t="shared" si="149"/>
        <v>AD</v>
      </c>
      <c r="K2394" t="str">
        <f t="shared" si="150"/>
        <v>33</v>
      </c>
      <c r="L2394" t="str">
        <f t="shared" si="151"/>
        <v>33</v>
      </c>
    </row>
    <row r="2395" spans="1:12" x14ac:dyDescent="0.35">
      <c r="A2395">
        <v>2408</v>
      </c>
      <c r="B2395" t="s">
        <v>6649</v>
      </c>
      <c r="C2395" t="s">
        <v>9456</v>
      </c>
      <c r="D2395" t="s">
        <v>6650</v>
      </c>
      <c r="E2395" t="s">
        <v>1211</v>
      </c>
      <c r="F2395" t="s">
        <v>6149</v>
      </c>
      <c r="G2395" t="s">
        <v>59</v>
      </c>
      <c r="H2395" t="s">
        <v>6651</v>
      </c>
      <c r="I2395" t="str">
        <f t="shared" si="148"/>
        <v>33</v>
      </c>
      <c r="J2395" t="str">
        <f t="shared" si="149"/>
        <v>AD</v>
      </c>
      <c r="K2395" t="str">
        <f t="shared" si="150"/>
        <v>33</v>
      </c>
      <c r="L2395" t="str">
        <f t="shared" si="151"/>
        <v>33</v>
      </c>
    </row>
    <row r="2396" spans="1:12" x14ac:dyDescent="0.35">
      <c r="A2396">
        <v>2409</v>
      </c>
      <c r="B2396" t="s">
        <v>6652</v>
      </c>
      <c r="C2396" t="s">
        <v>10617</v>
      </c>
      <c r="D2396" t="s">
        <v>6653</v>
      </c>
      <c r="E2396" t="s">
        <v>1211</v>
      </c>
      <c r="F2396" t="s">
        <v>6149</v>
      </c>
      <c r="G2396" t="s">
        <v>59</v>
      </c>
      <c r="H2396" t="s">
        <v>6654</v>
      </c>
      <c r="I2396" t="str">
        <f t="shared" si="148"/>
        <v>33</v>
      </c>
      <c r="J2396" t="str">
        <f t="shared" si="149"/>
        <v>AD</v>
      </c>
      <c r="K2396" t="str">
        <f t="shared" si="150"/>
        <v>33</v>
      </c>
      <c r="L2396" t="str">
        <f t="shared" si="151"/>
        <v>33</v>
      </c>
    </row>
    <row r="2397" spans="1:12" x14ac:dyDescent="0.35">
      <c r="A2397">
        <v>2410</v>
      </c>
      <c r="B2397" t="s">
        <v>6655</v>
      </c>
      <c r="C2397" t="s">
        <v>9456</v>
      </c>
      <c r="D2397" t="s">
        <v>6656</v>
      </c>
      <c r="E2397" t="s">
        <v>1211</v>
      </c>
      <c r="F2397" t="s">
        <v>6149</v>
      </c>
      <c r="G2397" t="s">
        <v>59</v>
      </c>
      <c r="H2397" t="s">
        <v>6657</v>
      </c>
      <c r="I2397" t="str">
        <f t="shared" si="148"/>
        <v>33</v>
      </c>
      <c r="J2397" t="str">
        <f t="shared" si="149"/>
        <v>AD</v>
      </c>
      <c r="K2397" t="str">
        <f t="shared" si="150"/>
        <v>33</v>
      </c>
      <c r="L2397" t="str">
        <f t="shared" si="151"/>
        <v>33</v>
      </c>
    </row>
    <row r="2398" spans="1:12" x14ac:dyDescent="0.35">
      <c r="A2398">
        <v>2411</v>
      </c>
      <c r="B2398" t="s">
        <v>6658</v>
      </c>
      <c r="C2398" t="s">
        <v>6157</v>
      </c>
      <c r="D2398" t="s">
        <v>6659</v>
      </c>
      <c r="E2398" t="s">
        <v>1211</v>
      </c>
      <c r="F2398" t="s">
        <v>6149</v>
      </c>
      <c r="G2398" t="s">
        <v>59</v>
      </c>
      <c r="H2398" t="s">
        <v>6660</v>
      </c>
      <c r="I2398" t="str">
        <f t="shared" si="148"/>
        <v>33</v>
      </c>
      <c r="J2398" t="str">
        <f t="shared" si="149"/>
        <v>AD</v>
      </c>
      <c r="K2398" t="str">
        <f t="shared" si="150"/>
        <v>33</v>
      </c>
      <c r="L2398" t="str">
        <f t="shared" si="151"/>
        <v>33</v>
      </c>
    </row>
    <row r="2399" spans="1:12" x14ac:dyDescent="0.35">
      <c r="A2399">
        <v>2412</v>
      </c>
      <c r="B2399" t="s">
        <v>6661</v>
      </c>
      <c r="C2399" t="s">
        <v>10540</v>
      </c>
      <c r="D2399" t="s">
        <v>6662</v>
      </c>
      <c r="E2399" t="s">
        <v>1211</v>
      </c>
      <c r="F2399" t="s">
        <v>6149</v>
      </c>
      <c r="G2399" t="s">
        <v>59</v>
      </c>
      <c r="H2399" t="s">
        <v>6663</v>
      </c>
      <c r="I2399" t="str">
        <f t="shared" si="148"/>
        <v>33</v>
      </c>
      <c r="J2399" t="str">
        <f t="shared" si="149"/>
        <v>AD</v>
      </c>
      <c r="K2399" t="str">
        <f t="shared" si="150"/>
        <v>33</v>
      </c>
      <c r="L2399" t="str">
        <f t="shared" si="151"/>
        <v>33</v>
      </c>
    </row>
    <row r="2400" spans="1:12" x14ac:dyDescent="0.35">
      <c r="A2400">
        <v>2413</v>
      </c>
      <c r="B2400" t="s">
        <v>6664</v>
      </c>
      <c r="C2400" t="s">
        <v>10618</v>
      </c>
      <c r="D2400" t="s">
        <v>6665</v>
      </c>
      <c r="E2400" t="s">
        <v>6171</v>
      </c>
      <c r="F2400" t="s">
        <v>6149</v>
      </c>
      <c r="G2400" t="s">
        <v>59</v>
      </c>
      <c r="H2400" t="s">
        <v>6146</v>
      </c>
      <c r="I2400" t="str">
        <f t="shared" si="148"/>
        <v>33</v>
      </c>
      <c r="J2400" t="str">
        <f t="shared" si="149"/>
        <v>AD</v>
      </c>
      <c r="K2400" t="str">
        <f t="shared" si="150"/>
        <v>33</v>
      </c>
      <c r="L2400" t="str">
        <f t="shared" si="151"/>
        <v>33</v>
      </c>
    </row>
    <row r="2401" spans="1:12" x14ac:dyDescent="0.35">
      <c r="A2401">
        <v>2414</v>
      </c>
      <c r="B2401" t="s">
        <v>6666</v>
      </c>
      <c r="C2401" t="s">
        <v>10731</v>
      </c>
      <c r="D2401" t="s">
        <v>6667</v>
      </c>
      <c r="E2401" t="s">
        <v>6171</v>
      </c>
      <c r="F2401" t="s">
        <v>6149</v>
      </c>
      <c r="G2401" t="s">
        <v>59</v>
      </c>
      <c r="H2401" t="s">
        <v>6668</v>
      </c>
      <c r="I2401" t="str">
        <f t="shared" si="148"/>
        <v>33</v>
      </c>
      <c r="J2401" t="str">
        <f t="shared" si="149"/>
        <v>AD</v>
      </c>
      <c r="K2401" t="str">
        <f t="shared" si="150"/>
        <v>33</v>
      </c>
      <c r="L2401" t="str">
        <f t="shared" si="151"/>
        <v>33</v>
      </c>
    </row>
    <row r="2402" spans="1:12" x14ac:dyDescent="0.35">
      <c r="A2402">
        <v>2415</v>
      </c>
      <c r="B2402" t="s">
        <v>6669</v>
      </c>
      <c r="C2402" t="s">
        <v>10607</v>
      </c>
      <c r="D2402" t="s">
        <v>6670</v>
      </c>
      <c r="E2402" t="s">
        <v>1211</v>
      </c>
      <c r="F2402" t="s">
        <v>6149</v>
      </c>
      <c r="G2402" t="s">
        <v>59</v>
      </c>
      <c r="H2402" t="s">
        <v>6146</v>
      </c>
      <c r="I2402" t="str">
        <f t="shared" si="148"/>
        <v>33</v>
      </c>
      <c r="J2402" t="str">
        <f t="shared" si="149"/>
        <v>AD</v>
      </c>
      <c r="K2402" t="str">
        <f t="shared" si="150"/>
        <v>33</v>
      </c>
      <c r="L2402" t="str">
        <f t="shared" si="151"/>
        <v>33</v>
      </c>
    </row>
    <row r="2403" spans="1:12" x14ac:dyDescent="0.35">
      <c r="A2403">
        <v>2416</v>
      </c>
      <c r="B2403" t="s">
        <v>6671</v>
      </c>
      <c r="C2403" t="s">
        <v>10038</v>
      </c>
      <c r="D2403" t="s">
        <v>6672</v>
      </c>
      <c r="E2403" t="s">
        <v>1211</v>
      </c>
      <c r="F2403" t="s">
        <v>6149</v>
      </c>
      <c r="G2403" t="s">
        <v>59</v>
      </c>
      <c r="H2403" t="s">
        <v>6146</v>
      </c>
      <c r="I2403" t="str">
        <f t="shared" si="148"/>
        <v>33</v>
      </c>
      <c r="J2403" t="str">
        <f t="shared" si="149"/>
        <v>AD</v>
      </c>
      <c r="K2403" t="str">
        <f t="shared" si="150"/>
        <v>33</v>
      </c>
      <c r="L2403" t="str">
        <f t="shared" si="151"/>
        <v>33</v>
      </c>
    </row>
    <row r="2404" spans="1:12" x14ac:dyDescent="0.35">
      <c r="A2404">
        <v>2417</v>
      </c>
      <c r="B2404" t="s">
        <v>6673</v>
      </c>
      <c r="C2404" t="s">
        <v>10619</v>
      </c>
      <c r="D2404" t="s">
        <v>6674</v>
      </c>
      <c r="E2404" t="s">
        <v>1211</v>
      </c>
      <c r="F2404" t="s">
        <v>6149</v>
      </c>
      <c r="G2404" t="s">
        <v>59</v>
      </c>
      <c r="H2404" t="s">
        <v>6146</v>
      </c>
      <c r="I2404" t="str">
        <f t="shared" si="148"/>
        <v>33</v>
      </c>
      <c r="J2404" t="str">
        <f t="shared" si="149"/>
        <v>AD</v>
      </c>
      <c r="K2404" t="str">
        <f t="shared" si="150"/>
        <v>33</v>
      </c>
      <c r="L2404" t="str">
        <f t="shared" si="151"/>
        <v>33</v>
      </c>
    </row>
    <row r="2405" spans="1:12" x14ac:dyDescent="0.35">
      <c r="A2405">
        <v>2418</v>
      </c>
      <c r="B2405" t="s">
        <v>6675</v>
      </c>
      <c r="C2405" t="s">
        <v>10604</v>
      </c>
      <c r="D2405" t="s">
        <v>6676</v>
      </c>
      <c r="E2405" t="s">
        <v>1211</v>
      </c>
      <c r="F2405" t="s">
        <v>6149</v>
      </c>
      <c r="G2405" t="s">
        <v>53</v>
      </c>
      <c r="H2405" t="s">
        <v>6677</v>
      </c>
      <c r="I2405" t="str">
        <f t="shared" si="148"/>
        <v>33</v>
      </c>
      <c r="J2405" t="str">
        <f t="shared" si="149"/>
        <v>AD</v>
      </c>
      <c r="K2405" t="str">
        <f t="shared" si="150"/>
        <v>33</v>
      </c>
      <c r="L2405" t="str">
        <f t="shared" si="151"/>
        <v>33</v>
      </c>
    </row>
    <row r="2406" spans="1:12" x14ac:dyDescent="0.35">
      <c r="A2406">
        <v>2419</v>
      </c>
      <c r="B2406" t="s">
        <v>6189</v>
      </c>
      <c r="C2406" t="s">
        <v>10733</v>
      </c>
      <c r="D2406" t="s">
        <v>6678</v>
      </c>
      <c r="E2406" t="s">
        <v>1211</v>
      </c>
      <c r="F2406" t="s">
        <v>6149</v>
      </c>
      <c r="G2406" t="s">
        <v>59</v>
      </c>
      <c r="H2406" t="s">
        <v>6679</v>
      </c>
      <c r="I2406" t="str">
        <f t="shared" si="148"/>
        <v>33</v>
      </c>
      <c r="J2406" t="str">
        <f t="shared" si="149"/>
        <v>AD</v>
      </c>
      <c r="K2406" t="str">
        <f t="shared" si="150"/>
        <v>33</v>
      </c>
      <c r="L2406" t="str">
        <f t="shared" si="151"/>
        <v>33</v>
      </c>
    </row>
    <row r="2407" spans="1:12" x14ac:dyDescent="0.35">
      <c r="A2407">
        <v>2420</v>
      </c>
      <c r="B2407" t="s">
        <v>6342</v>
      </c>
      <c r="C2407" t="s">
        <v>6194</v>
      </c>
      <c r="D2407" t="s">
        <v>6680</v>
      </c>
      <c r="E2407" t="s">
        <v>1211</v>
      </c>
      <c r="F2407" t="s">
        <v>6149</v>
      </c>
      <c r="G2407" t="s">
        <v>59</v>
      </c>
      <c r="H2407" t="s">
        <v>6681</v>
      </c>
      <c r="I2407" t="str">
        <f t="shared" si="148"/>
        <v>33</v>
      </c>
      <c r="J2407" t="str">
        <f t="shared" si="149"/>
        <v>AD</v>
      </c>
      <c r="K2407" t="str">
        <f t="shared" si="150"/>
        <v>33</v>
      </c>
      <c r="L2407" t="str">
        <f t="shared" si="151"/>
        <v>33</v>
      </c>
    </row>
    <row r="2408" spans="1:12" x14ac:dyDescent="0.35">
      <c r="A2408">
        <v>2421</v>
      </c>
      <c r="B2408" t="s">
        <v>6682</v>
      </c>
      <c r="C2408" t="s">
        <v>6194</v>
      </c>
      <c r="D2408" t="s">
        <v>6683</v>
      </c>
      <c r="E2408" t="s">
        <v>1211</v>
      </c>
      <c r="F2408" t="s">
        <v>6149</v>
      </c>
      <c r="G2408" t="s">
        <v>59</v>
      </c>
      <c r="H2408" t="s">
        <v>6684</v>
      </c>
      <c r="I2408" t="str">
        <f t="shared" si="148"/>
        <v>33</v>
      </c>
      <c r="J2408" t="str">
        <f t="shared" si="149"/>
        <v>AD</v>
      </c>
      <c r="K2408" t="str">
        <f t="shared" si="150"/>
        <v>33</v>
      </c>
      <c r="L2408" t="str">
        <f t="shared" si="151"/>
        <v>33</v>
      </c>
    </row>
    <row r="2409" spans="1:12" x14ac:dyDescent="0.35">
      <c r="A2409">
        <v>2422</v>
      </c>
      <c r="B2409" t="s">
        <v>6685</v>
      </c>
      <c r="C2409" t="s">
        <v>6194</v>
      </c>
      <c r="D2409" t="s">
        <v>6686</v>
      </c>
      <c r="E2409" t="s">
        <v>1211</v>
      </c>
      <c r="F2409" t="s">
        <v>6149</v>
      </c>
      <c r="G2409" t="s">
        <v>59</v>
      </c>
      <c r="H2409" t="s">
        <v>6146</v>
      </c>
      <c r="I2409" t="str">
        <f t="shared" si="148"/>
        <v>33</v>
      </c>
      <c r="J2409" t="str">
        <f t="shared" si="149"/>
        <v>AD</v>
      </c>
      <c r="K2409" t="str">
        <f t="shared" si="150"/>
        <v>33</v>
      </c>
      <c r="L2409" t="str">
        <f t="shared" si="151"/>
        <v>33</v>
      </c>
    </row>
    <row r="2410" spans="1:12" x14ac:dyDescent="0.35">
      <c r="A2410">
        <v>2423</v>
      </c>
      <c r="B2410" t="s">
        <v>6687</v>
      </c>
      <c r="C2410" t="s">
        <v>10734</v>
      </c>
      <c r="D2410" t="s">
        <v>12</v>
      </c>
      <c r="E2410" t="s">
        <v>6079</v>
      </c>
      <c r="F2410" t="s">
        <v>6149</v>
      </c>
      <c r="G2410" t="s">
        <v>59</v>
      </c>
      <c r="H2410" t="s">
        <v>4</v>
      </c>
      <c r="I2410" t="str">
        <f t="shared" si="148"/>
        <v>33</v>
      </c>
      <c r="J2410" t="str">
        <f t="shared" si="149"/>
        <v>AD</v>
      </c>
      <c r="K2410" t="str">
        <f t="shared" si="150"/>
        <v>33</v>
      </c>
      <c r="L2410" t="str">
        <f t="shared" si="151"/>
        <v>33</v>
      </c>
    </row>
    <row r="2411" spans="1:12" x14ac:dyDescent="0.35">
      <c r="A2411">
        <v>2424</v>
      </c>
      <c r="B2411" t="s">
        <v>6688</v>
      </c>
      <c r="C2411" t="s">
        <v>6157</v>
      </c>
      <c r="D2411" t="s">
        <v>6689</v>
      </c>
      <c r="E2411" t="s">
        <v>6079</v>
      </c>
      <c r="F2411" t="s">
        <v>6149</v>
      </c>
      <c r="G2411" t="s">
        <v>59</v>
      </c>
      <c r="H2411" t="s">
        <v>6690</v>
      </c>
      <c r="I2411" t="str">
        <f t="shared" si="148"/>
        <v>33</v>
      </c>
      <c r="J2411" t="str">
        <f t="shared" si="149"/>
        <v>AD</v>
      </c>
      <c r="K2411" t="str">
        <f t="shared" si="150"/>
        <v>33</v>
      </c>
      <c r="L2411" t="str">
        <f t="shared" si="151"/>
        <v>33</v>
      </c>
    </row>
    <row r="2412" spans="1:12" x14ac:dyDescent="0.35">
      <c r="A2412">
        <v>2425</v>
      </c>
      <c r="B2412" t="s">
        <v>6691</v>
      </c>
      <c r="C2412" t="s">
        <v>6157</v>
      </c>
      <c r="D2412" t="s">
        <v>6692</v>
      </c>
      <c r="E2412" t="s">
        <v>6079</v>
      </c>
      <c r="F2412" t="s">
        <v>6149</v>
      </c>
      <c r="G2412" t="s">
        <v>59</v>
      </c>
      <c r="H2412" t="s">
        <v>6693</v>
      </c>
      <c r="I2412" t="str">
        <f t="shared" si="148"/>
        <v>33</v>
      </c>
      <c r="J2412" t="str">
        <f t="shared" si="149"/>
        <v>AD</v>
      </c>
      <c r="K2412" t="str">
        <f t="shared" si="150"/>
        <v>33</v>
      </c>
      <c r="L2412" t="str">
        <f t="shared" si="151"/>
        <v>33</v>
      </c>
    </row>
    <row r="2413" spans="1:12" x14ac:dyDescent="0.35">
      <c r="A2413">
        <v>2426</v>
      </c>
      <c r="B2413" t="s">
        <v>6408</v>
      </c>
      <c r="C2413" t="s">
        <v>6353</v>
      </c>
      <c r="D2413" t="s">
        <v>6868</v>
      </c>
      <c r="E2413" t="s">
        <v>1351</v>
      </c>
      <c r="F2413" t="s">
        <v>6149</v>
      </c>
      <c r="G2413" t="s">
        <v>6867</v>
      </c>
      <c r="H2413" t="s">
        <v>6866</v>
      </c>
      <c r="I2413" t="str">
        <f t="shared" si="148"/>
        <v>33</v>
      </c>
      <c r="J2413" t="str">
        <f t="shared" si="149"/>
        <v>AD</v>
      </c>
      <c r="K2413" t="str">
        <f t="shared" si="150"/>
        <v>33</v>
      </c>
      <c r="L2413" t="str">
        <f t="shared" si="151"/>
        <v>33</v>
      </c>
    </row>
    <row r="2414" spans="1:12" x14ac:dyDescent="0.35">
      <c r="A2414">
        <v>2427</v>
      </c>
      <c r="B2414" t="s">
        <v>6865</v>
      </c>
      <c r="C2414" t="s">
        <v>10620</v>
      </c>
      <c r="D2414" t="s">
        <v>6864</v>
      </c>
      <c r="E2414" t="s">
        <v>1211</v>
      </c>
      <c r="F2414" t="s">
        <v>6149</v>
      </c>
      <c r="G2414" t="s">
        <v>61</v>
      </c>
      <c r="H2414" t="s">
        <v>6863</v>
      </c>
      <c r="I2414" t="str">
        <f t="shared" si="148"/>
        <v>33</v>
      </c>
      <c r="J2414" t="str">
        <f t="shared" si="149"/>
        <v>AD</v>
      </c>
      <c r="K2414" t="str">
        <f t="shared" si="150"/>
        <v>33</v>
      </c>
      <c r="L2414" t="str">
        <f t="shared" si="151"/>
        <v>33</v>
      </c>
    </row>
    <row r="2415" spans="1:12" x14ac:dyDescent="0.35">
      <c r="A2415">
        <v>2428</v>
      </c>
      <c r="B2415" t="s">
        <v>6862</v>
      </c>
      <c r="C2415" t="s">
        <v>10621</v>
      </c>
      <c r="D2415" t="s">
        <v>6861</v>
      </c>
      <c r="E2415" t="s">
        <v>1211</v>
      </c>
      <c r="F2415" t="s">
        <v>6149</v>
      </c>
      <c r="G2415" t="s">
        <v>6860</v>
      </c>
      <c r="H2415" t="s">
        <v>6859</v>
      </c>
      <c r="I2415" t="str">
        <f t="shared" si="148"/>
        <v>33</v>
      </c>
      <c r="J2415" t="str">
        <f t="shared" si="149"/>
        <v>AD</v>
      </c>
      <c r="K2415" t="str">
        <f t="shared" si="150"/>
        <v>33</v>
      </c>
      <c r="L2415" t="str">
        <f t="shared" si="151"/>
        <v>33</v>
      </c>
    </row>
    <row r="2416" spans="1:12" x14ac:dyDescent="0.35">
      <c r="A2416">
        <v>2429</v>
      </c>
      <c r="B2416" t="s">
        <v>6858</v>
      </c>
      <c r="C2416" t="s">
        <v>10731</v>
      </c>
      <c r="D2416" t="s">
        <v>13</v>
      </c>
      <c r="E2416" t="s">
        <v>1211</v>
      </c>
      <c r="F2416" t="s">
        <v>6149</v>
      </c>
      <c r="G2416" t="s">
        <v>6818</v>
      </c>
      <c r="H2416" t="s">
        <v>6857</v>
      </c>
      <c r="I2416" t="str">
        <f t="shared" si="148"/>
        <v>33</v>
      </c>
      <c r="J2416" t="str">
        <f t="shared" si="149"/>
        <v>AD</v>
      </c>
      <c r="K2416" t="str">
        <f t="shared" si="150"/>
        <v>33</v>
      </c>
      <c r="L2416" t="str">
        <f t="shared" si="151"/>
        <v>33</v>
      </c>
    </row>
    <row r="2417" spans="1:12" x14ac:dyDescent="0.35">
      <c r="A2417">
        <v>2430</v>
      </c>
      <c r="B2417" t="s">
        <v>6856</v>
      </c>
      <c r="C2417" t="s">
        <v>10731</v>
      </c>
      <c r="D2417" t="s">
        <v>6855</v>
      </c>
      <c r="E2417" t="s">
        <v>1211</v>
      </c>
      <c r="F2417" t="s">
        <v>6849</v>
      </c>
      <c r="G2417" t="s">
        <v>6818</v>
      </c>
      <c r="H2417" t="s">
        <v>6854</v>
      </c>
      <c r="I2417" t="str">
        <f t="shared" si="148"/>
        <v>33-34</v>
      </c>
      <c r="J2417" t="str">
        <f t="shared" si="149"/>
        <v>AD</v>
      </c>
      <c r="K2417" t="str">
        <f t="shared" si="150"/>
        <v>33</v>
      </c>
      <c r="L2417" t="str">
        <f t="shared" si="151"/>
        <v>34</v>
      </c>
    </row>
    <row r="2418" spans="1:12" x14ac:dyDescent="0.35">
      <c r="A2418">
        <v>2431</v>
      </c>
      <c r="B2418" t="s">
        <v>6853</v>
      </c>
      <c r="C2418" t="s">
        <v>10042</v>
      </c>
      <c r="D2418" t="s">
        <v>6852</v>
      </c>
      <c r="E2418" t="s">
        <v>1211</v>
      </c>
      <c r="F2418" t="s">
        <v>6849</v>
      </c>
      <c r="G2418" t="s">
        <v>6035</v>
      </c>
      <c r="H2418" t="s">
        <v>6851</v>
      </c>
      <c r="I2418" t="str">
        <f t="shared" si="148"/>
        <v>33-34</v>
      </c>
      <c r="J2418" t="str">
        <f t="shared" si="149"/>
        <v>AD</v>
      </c>
      <c r="K2418" t="str">
        <f t="shared" si="150"/>
        <v>33</v>
      </c>
      <c r="L2418" t="str">
        <f t="shared" si="151"/>
        <v>34</v>
      </c>
    </row>
    <row r="2419" spans="1:12" x14ac:dyDescent="0.35">
      <c r="A2419">
        <v>2432</v>
      </c>
      <c r="B2419" t="s">
        <v>6850</v>
      </c>
      <c r="C2419" t="s">
        <v>10544</v>
      </c>
      <c r="D2419" t="s">
        <v>14</v>
      </c>
      <c r="E2419" t="s">
        <v>1211</v>
      </c>
      <c r="F2419" t="s">
        <v>6849</v>
      </c>
      <c r="G2419" t="s">
        <v>6848</v>
      </c>
      <c r="H2419" t="s">
        <v>6847</v>
      </c>
      <c r="I2419" t="str">
        <f t="shared" si="148"/>
        <v>33-34</v>
      </c>
      <c r="J2419" t="str">
        <f t="shared" si="149"/>
        <v>AD</v>
      </c>
      <c r="K2419" t="str">
        <f t="shared" si="150"/>
        <v>33</v>
      </c>
      <c r="L2419" t="str">
        <f t="shared" si="151"/>
        <v>34</v>
      </c>
    </row>
    <row r="2420" spans="1:12" x14ac:dyDescent="0.35">
      <c r="A2420">
        <v>2433</v>
      </c>
      <c r="B2420" t="s">
        <v>6846</v>
      </c>
      <c r="C2420" t="s">
        <v>10622</v>
      </c>
      <c r="D2420" t="s">
        <v>15</v>
      </c>
      <c r="E2420" t="s">
        <v>1211</v>
      </c>
      <c r="F2420" t="s">
        <v>6825</v>
      </c>
      <c r="G2420" t="s">
        <v>6845</v>
      </c>
      <c r="H2420" t="s">
        <v>6844</v>
      </c>
      <c r="I2420" t="str">
        <f t="shared" ref="I2420:I2483" si="152">SUBSTITUTE(SUBSTITUTE(SUBSTITUTE(F2420,"c. ","")," BC","")," AD","")</f>
        <v>34</v>
      </c>
      <c r="J2420" t="str">
        <f t="shared" si="149"/>
        <v>AD</v>
      </c>
      <c r="K2420" t="str">
        <f t="shared" si="150"/>
        <v>34</v>
      </c>
      <c r="L2420" t="str">
        <f t="shared" si="151"/>
        <v>34</v>
      </c>
    </row>
    <row r="2421" spans="1:12" x14ac:dyDescent="0.35">
      <c r="A2421">
        <v>2434</v>
      </c>
      <c r="B2421" t="s">
        <v>6843</v>
      </c>
      <c r="C2421" t="s">
        <v>10623</v>
      </c>
      <c r="D2421" t="s">
        <v>6842</v>
      </c>
      <c r="E2421" t="s">
        <v>6841</v>
      </c>
      <c r="F2421" t="s">
        <v>6825</v>
      </c>
      <c r="G2421" t="s">
        <v>61</v>
      </c>
      <c r="H2421" t="s">
        <v>6840</v>
      </c>
      <c r="I2421" t="str">
        <f t="shared" si="152"/>
        <v>34</v>
      </c>
      <c r="J2421" t="str">
        <f t="shared" si="149"/>
        <v>AD</v>
      </c>
      <c r="K2421" t="str">
        <f t="shared" si="150"/>
        <v>34</v>
      </c>
      <c r="L2421" t="str">
        <f t="shared" si="151"/>
        <v>34</v>
      </c>
    </row>
    <row r="2422" spans="1:12" x14ac:dyDescent="0.35">
      <c r="A2422">
        <v>2435</v>
      </c>
      <c r="B2422" t="s">
        <v>6839</v>
      </c>
      <c r="C2422" t="s">
        <v>6100</v>
      </c>
      <c r="D2422" t="s">
        <v>6838</v>
      </c>
      <c r="E2422" t="s">
        <v>1787</v>
      </c>
      <c r="F2422" t="s">
        <v>6825</v>
      </c>
      <c r="G2422" t="s">
        <v>6837</v>
      </c>
      <c r="H2422" t="s">
        <v>6836</v>
      </c>
      <c r="I2422" t="str">
        <f t="shared" si="152"/>
        <v>34</v>
      </c>
      <c r="J2422" t="str">
        <f t="shared" si="149"/>
        <v>AD</v>
      </c>
      <c r="K2422" t="str">
        <f t="shared" si="150"/>
        <v>34</v>
      </c>
      <c r="L2422" t="str">
        <f t="shared" si="151"/>
        <v>34</v>
      </c>
    </row>
    <row r="2423" spans="1:12" x14ac:dyDescent="0.35">
      <c r="A2423">
        <v>2436</v>
      </c>
      <c r="B2423" t="s">
        <v>6835</v>
      </c>
      <c r="C2423" t="s">
        <v>10621</v>
      </c>
      <c r="D2423" t="s">
        <v>6834</v>
      </c>
      <c r="E2423" t="s">
        <v>1787</v>
      </c>
      <c r="F2423" t="s">
        <v>6825</v>
      </c>
      <c r="G2423" t="s">
        <v>6833</v>
      </c>
      <c r="H2423" t="s">
        <v>6832</v>
      </c>
      <c r="I2423" t="str">
        <f t="shared" si="152"/>
        <v>34</v>
      </c>
      <c r="J2423" t="str">
        <f t="shared" si="149"/>
        <v>AD</v>
      </c>
      <c r="K2423" t="str">
        <f t="shared" si="150"/>
        <v>34</v>
      </c>
      <c r="L2423" t="str">
        <f t="shared" si="151"/>
        <v>34</v>
      </c>
    </row>
    <row r="2424" spans="1:12" x14ac:dyDescent="0.35">
      <c r="A2424">
        <v>2437</v>
      </c>
      <c r="B2424" t="s">
        <v>6831</v>
      </c>
      <c r="C2424" t="s">
        <v>10606</v>
      </c>
      <c r="D2424" t="s">
        <v>6830</v>
      </c>
      <c r="E2424" t="s">
        <v>6829</v>
      </c>
      <c r="F2424" t="s">
        <v>6825</v>
      </c>
      <c r="G2424" t="s">
        <v>59</v>
      </c>
      <c r="H2424" t="s">
        <v>6828</v>
      </c>
      <c r="I2424" t="str">
        <f t="shared" si="152"/>
        <v>34</v>
      </c>
      <c r="J2424" t="str">
        <f t="shared" si="149"/>
        <v>AD</v>
      </c>
      <c r="K2424" t="str">
        <f t="shared" si="150"/>
        <v>34</v>
      </c>
      <c r="L2424" t="str">
        <f t="shared" si="151"/>
        <v>34</v>
      </c>
    </row>
    <row r="2425" spans="1:12" x14ac:dyDescent="0.35">
      <c r="A2425">
        <v>2438</v>
      </c>
      <c r="B2425" t="s">
        <v>6827</v>
      </c>
      <c r="C2425" t="s">
        <v>10731</v>
      </c>
      <c r="D2425" t="s">
        <v>6826</v>
      </c>
      <c r="E2425" t="s">
        <v>2128</v>
      </c>
      <c r="F2425" t="s">
        <v>6825</v>
      </c>
      <c r="G2425" t="s">
        <v>6824</v>
      </c>
      <c r="H2425" t="s">
        <v>6823</v>
      </c>
      <c r="I2425" t="str">
        <f t="shared" si="152"/>
        <v>34</v>
      </c>
      <c r="J2425" t="str">
        <f t="shared" si="149"/>
        <v>AD</v>
      </c>
      <c r="K2425" t="str">
        <f t="shared" si="150"/>
        <v>34</v>
      </c>
      <c r="L2425" t="str">
        <f t="shared" si="151"/>
        <v>34</v>
      </c>
    </row>
    <row r="2426" spans="1:12" x14ac:dyDescent="0.35">
      <c r="A2426">
        <v>2439</v>
      </c>
      <c r="B2426" t="s">
        <v>6822</v>
      </c>
      <c r="C2426" t="s">
        <v>10731</v>
      </c>
      <c r="D2426" t="s">
        <v>48</v>
      </c>
      <c r="E2426" t="s">
        <v>6821</v>
      </c>
      <c r="F2426" t="s">
        <v>6819</v>
      </c>
      <c r="G2426" t="s">
        <v>6818</v>
      </c>
      <c r="H2426" t="s">
        <v>6481</v>
      </c>
      <c r="I2426" t="str">
        <f t="shared" si="152"/>
        <v>35</v>
      </c>
      <c r="J2426" t="str">
        <f t="shared" si="149"/>
        <v>AD</v>
      </c>
      <c r="K2426" t="str">
        <f t="shared" si="150"/>
        <v>35</v>
      </c>
      <c r="L2426" t="str">
        <f t="shared" si="151"/>
        <v>35</v>
      </c>
    </row>
    <row r="2427" spans="1:12" x14ac:dyDescent="0.35">
      <c r="A2427">
        <v>2440</v>
      </c>
      <c r="B2427" t="s">
        <v>6820</v>
      </c>
      <c r="C2427" t="s">
        <v>10733</v>
      </c>
      <c r="D2427" t="s">
        <v>49</v>
      </c>
      <c r="E2427" t="s">
        <v>6811</v>
      </c>
      <c r="F2427" t="s">
        <v>6819</v>
      </c>
      <c r="G2427" t="s">
        <v>6818</v>
      </c>
      <c r="H2427" t="s">
        <v>6817</v>
      </c>
      <c r="I2427" t="str">
        <f t="shared" si="152"/>
        <v>35</v>
      </c>
      <c r="J2427" t="str">
        <f t="shared" si="149"/>
        <v>AD</v>
      </c>
      <c r="K2427" t="str">
        <f t="shared" si="150"/>
        <v>35</v>
      </c>
      <c r="L2427" t="str">
        <f t="shared" si="151"/>
        <v>35</v>
      </c>
    </row>
    <row r="2428" spans="1:12" x14ac:dyDescent="0.35">
      <c r="A2428">
        <v>2441</v>
      </c>
      <c r="B2428" t="s">
        <v>6816</v>
      </c>
      <c r="C2428" t="s">
        <v>10622</v>
      </c>
      <c r="D2428" t="s">
        <v>6815</v>
      </c>
      <c r="E2428" t="s">
        <v>6758</v>
      </c>
      <c r="F2428" t="s">
        <v>6806</v>
      </c>
      <c r="G2428" t="s">
        <v>6745</v>
      </c>
      <c r="H2428" t="s">
        <v>6814</v>
      </c>
      <c r="I2428" t="str">
        <f t="shared" si="152"/>
        <v>36</v>
      </c>
      <c r="J2428" t="str">
        <f t="shared" si="149"/>
        <v>AD</v>
      </c>
      <c r="K2428" t="str">
        <f t="shared" si="150"/>
        <v>36</v>
      </c>
      <c r="L2428" t="str">
        <f t="shared" si="151"/>
        <v>36</v>
      </c>
    </row>
    <row r="2429" spans="1:12" x14ac:dyDescent="0.35">
      <c r="A2429">
        <v>2442</v>
      </c>
      <c r="B2429" t="s">
        <v>6813</v>
      </c>
      <c r="C2429" t="s">
        <v>10622</v>
      </c>
      <c r="D2429" t="s">
        <v>6812</v>
      </c>
      <c r="E2429" t="s">
        <v>6811</v>
      </c>
      <c r="F2429" t="s">
        <v>6806</v>
      </c>
      <c r="G2429" t="s">
        <v>6810</v>
      </c>
      <c r="H2429" t="s">
        <v>6809</v>
      </c>
      <c r="I2429" t="str">
        <f t="shared" si="152"/>
        <v>36</v>
      </c>
      <c r="J2429" t="str">
        <f t="shared" si="149"/>
        <v>AD</v>
      </c>
      <c r="K2429" t="str">
        <f t="shared" si="150"/>
        <v>36</v>
      </c>
      <c r="L2429" t="str">
        <f t="shared" si="151"/>
        <v>36</v>
      </c>
    </row>
    <row r="2430" spans="1:12" x14ac:dyDescent="0.35">
      <c r="A2430">
        <v>2443</v>
      </c>
      <c r="B2430" t="s">
        <v>6808</v>
      </c>
      <c r="C2430" t="s">
        <v>10620</v>
      </c>
      <c r="D2430" t="s">
        <v>6807</v>
      </c>
      <c r="E2430" t="s">
        <v>6758</v>
      </c>
      <c r="F2430" t="s">
        <v>6806</v>
      </c>
      <c r="G2430" t="s">
        <v>61</v>
      </c>
      <c r="H2430" t="s">
        <v>6805</v>
      </c>
      <c r="I2430" t="str">
        <f t="shared" si="152"/>
        <v>36</v>
      </c>
      <c r="J2430" t="str">
        <f t="shared" si="149"/>
        <v>AD</v>
      </c>
      <c r="K2430" t="str">
        <f t="shared" si="150"/>
        <v>36</v>
      </c>
      <c r="L2430" t="str">
        <f t="shared" si="151"/>
        <v>36</v>
      </c>
    </row>
    <row r="2431" spans="1:12" x14ac:dyDescent="0.35">
      <c r="A2431">
        <v>2444</v>
      </c>
      <c r="B2431" t="s">
        <v>6804</v>
      </c>
      <c r="C2431" t="s">
        <v>10042</v>
      </c>
      <c r="D2431" t="s">
        <v>50</v>
      </c>
      <c r="E2431" t="s">
        <v>1211</v>
      </c>
      <c r="F2431" t="s">
        <v>6800</v>
      </c>
      <c r="G2431" t="s">
        <v>6035</v>
      </c>
      <c r="H2431" t="s">
        <v>6803</v>
      </c>
      <c r="I2431" t="str">
        <f t="shared" si="152"/>
        <v>44</v>
      </c>
      <c r="J2431" t="str">
        <f t="shared" si="149"/>
        <v>AD</v>
      </c>
      <c r="K2431" t="str">
        <f t="shared" si="150"/>
        <v>44</v>
      </c>
      <c r="L2431" t="str">
        <f t="shared" si="151"/>
        <v>44</v>
      </c>
    </row>
    <row r="2432" spans="1:12" x14ac:dyDescent="0.35">
      <c r="A2432">
        <v>2445</v>
      </c>
      <c r="B2432" t="s">
        <v>6802</v>
      </c>
      <c r="C2432" t="s">
        <v>10544</v>
      </c>
      <c r="D2432" t="s">
        <v>6801</v>
      </c>
      <c r="E2432" t="s">
        <v>6758</v>
      </c>
      <c r="F2432" t="s">
        <v>6800</v>
      </c>
      <c r="G2432" t="s">
        <v>6035</v>
      </c>
      <c r="H2432" t="s">
        <v>6799</v>
      </c>
      <c r="I2432" t="str">
        <f t="shared" si="152"/>
        <v>44</v>
      </c>
      <c r="J2432" t="str">
        <f t="shared" si="149"/>
        <v>AD</v>
      </c>
      <c r="K2432" t="str">
        <f t="shared" si="150"/>
        <v>44</v>
      </c>
      <c r="L2432" t="str">
        <f t="shared" si="151"/>
        <v>44</v>
      </c>
    </row>
    <row r="2433" spans="1:12" x14ac:dyDescent="0.35">
      <c r="A2433">
        <v>2446</v>
      </c>
      <c r="B2433" t="s">
        <v>6798</v>
      </c>
      <c r="C2433" t="s">
        <v>9862</v>
      </c>
      <c r="D2433" t="s">
        <v>6797</v>
      </c>
      <c r="E2433" t="s">
        <v>6796</v>
      </c>
      <c r="F2433" t="s">
        <v>6791</v>
      </c>
      <c r="G2433" t="s">
        <v>61</v>
      </c>
      <c r="H2433" t="s">
        <v>6795</v>
      </c>
      <c r="I2433" t="str">
        <f t="shared" si="152"/>
        <v>47</v>
      </c>
      <c r="J2433" t="str">
        <f t="shared" si="149"/>
        <v>AD</v>
      </c>
      <c r="K2433" t="str">
        <f t="shared" si="150"/>
        <v>47</v>
      </c>
      <c r="L2433" t="str">
        <f t="shared" si="151"/>
        <v>47</v>
      </c>
    </row>
    <row r="2434" spans="1:12" x14ac:dyDescent="0.35">
      <c r="A2434">
        <v>2447</v>
      </c>
      <c r="B2434" t="s">
        <v>6794</v>
      </c>
      <c r="C2434" t="s">
        <v>10736</v>
      </c>
      <c r="D2434" t="s">
        <v>6793</v>
      </c>
      <c r="E2434" t="s">
        <v>6792</v>
      </c>
      <c r="F2434" t="s">
        <v>6791</v>
      </c>
      <c r="G2434" t="s">
        <v>6735</v>
      </c>
      <c r="H2434" t="s">
        <v>6790</v>
      </c>
      <c r="I2434" t="str">
        <f t="shared" si="152"/>
        <v>47</v>
      </c>
      <c r="J2434" t="str">
        <f t="shared" ref="J2434:J2497" si="153">RIGHT(F2434, 2)</f>
        <v>AD</v>
      </c>
      <c r="K2434" t="str">
        <f t="shared" ref="K2434:K2497" si="154">IF(J2434="BC", 0-IF(ISERROR(FIND("-",I2434)),I2434,LEFT(I2434,FIND("-",I2434)-1)), IF(ISERROR(FIND("-",I2434)),I2434,LEFT(I2434,FIND("-",I2434)-1)))</f>
        <v>47</v>
      </c>
      <c r="L2434" t="str">
        <f t="shared" ref="L2434:L2497" si="155">IF(J2434="BC", 0-IF(ISERROR(FIND("-",I2434)),I2434,RIGHT(I2434,FIND("-",I2434)-1)), IF(ISERROR(FIND("-",I2434)),I2434,RIGHT(I2434,FIND("-",I2434)-1)))</f>
        <v>47</v>
      </c>
    </row>
    <row r="2435" spans="1:12" x14ac:dyDescent="0.35">
      <c r="A2435">
        <v>2448</v>
      </c>
      <c r="B2435" t="s">
        <v>6789</v>
      </c>
      <c r="C2435" t="s">
        <v>10731</v>
      </c>
      <c r="D2435" t="s">
        <v>51</v>
      </c>
      <c r="E2435" t="s">
        <v>6785</v>
      </c>
      <c r="F2435" t="s">
        <v>6784</v>
      </c>
      <c r="G2435" t="s">
        <v>6735</v>
      </c>
      <c r="H2435" t="s">
        <v>6788</v>
      </c>
      <c r="I2435" t="str">
        <f t="shared" si="152"/>
        <v>48</v>
      </c>
      <c r="J2435" t="str">
        <f t="shared" si="153"/>
        <v>AD</v>
      </c>
      <c r="K2435" t="str">
        <f t="shared" si="154"/>
        <v>48</v>
      </c>
      <c r="L2435" t="str">
        <f t="shared" si="155"/>
        <v>48</v>
      </c>
    </row>
    <row r="2436" spans="1:12" x14ac:dyDescent="0.35">
      <c r="A2436">
        <v>2449</v>
      </c>
      <c r="B2436" t="s">
        <v>6787</v>
      </c>
      <c r="C2436" t="s">
        <v>10612</v>
      </c>
      <c r="D2436" t="s">
        <v>6786</v>
      </c>
      <c r="E2436" t="s">
        <v>6785</v>
      </c>
      <c r="F2436" t="s">
        <v>6784</v>
      </c>
      <c r="G2436" t="s">
        <v>6783</v>
      </c>
      <c r="H2436" t="s">
        <v>6146</v>
      </c>
      <c r="I2436" t="str">
        <f t="shared" si="152"/>
        <v>48</v>
      </c>
      <c r="J2436" t="str">
        <f t="shared" si="153"/>
        <v>AD</v>
      </c>
      <c r="K2436" t="str">
        <f t="shared" si="154"/>
        <v>48</v>
      </c>
      <c r="L2436" t="str">
        <f t="shared" si="155"/>
        <v>48</v>
      </c>
    </row>
    <row r="2437" spans="1:12" x14ac:dyDescent="0.35">
      <c r="A2437">
        <v>2450</v>
      </c>
      <c r="B2437" t="s">
        <v>6782</v>
      </c>
      <c r="C2437" t="s">
        <v>10622</v>
      </c>
      <c r="D2437" t="s">
        <v>6781</v>
      </c>
      <c r="E2437" t="s">
        <v>6761</v>
      </c>
      <c r="F2437" t="s">
        <v>6772</v>
      </c>
      <c r="G2437" t="s">
        <v>6780</v>
      </c>
      <c r="H2437" t="s">
        <v>6779</v>
      </c>
      <c r="I2437" t="str">
        <f t="shared" si="152"/>
        <v>50</v>
      </c>
      <c r="J2437" t="str">
        <f t="shared" si="153"/>
        <v>AD</v>
      </c>
      <c r="K2437" t="str">
        <f t="shared" si="154"/>
        <v>50</v>
      </c>
      <c r="L2437" t="str">
        <f t="shared" si="155"/>
        <v>50</v>
      </c>
    </row>
    <row r="2438" spans="1:12" x14ac:dyDescent="0.35">
      <c r="A2438">
        <v>2451</v>
      </c>
      <c r="B2438" t="s">
        <v>6778</v>
      </c>
      <c r="C2438" t="s">
        <v>6085</v>
      </c>
      <c r="D2438" t="s">
        <v>6777</v>
      </c>
      <c r="E2438" t="s">
        <v>6773</v>
      </c>
      <c r="F2438" t="s">
        <v>6772</v>
      </c>
      <c r="G2438" t="s">
        <v>6735</v>
      </c>
      <c r="H2438" t="s">
        <v>6776</v>
      </c>
      <c r="I2438" t="str">
        <f t="shared" si="152"/>
        <v>50</v>
      </c>
      <c r="J2438" t="str">
        <f t="shared" si="153"/>
        <v>AD</v>
      </c>
      <c r="K2438" t="str">
        <f t="shared" si="154"/>
        <v>50</v>
      </c>
      <c r="L2438" t="str">
        <f t="shared" si="155"/>
        <v>50</v>
      </c>
    </row>
    <row r="2439" spans="1:12" x14ac:dyDescent="0.35">
      <c r="A2439">
        <v>2452</v>
      </c>
      <c r="B2439" t="s">
        <v>6775</v>
      </c>
      <c r="C2439" t="s">
        <v>10042</v>
      </c>
      <c r="D2439" t="s">
        <v>6774</v>
      </c>
      <c r="E2439" t="s">
        <v>6773</v>
      </c>
      <c r="F2439" t="s">
        <v>6772</v>
      </c>
      <c r="G2439" t="s">
        <v>53</v>
      </c>
      <c r="H2439" t="s">
        <v>6771</v>
      </c>
      <c r="I2439" t="str">
        <f t="shared" si="152"/>
        <v>50</v>
      </c>
      <c r="J2439" t="str">
        <f t="shared" si="153"/>
        <v>AD</v>
      </c>
      <c r="K2439" t="str">
        <f t="shared" si="154"/>
        <v>50</v>
      </c>
      <c r="L2439" t="str">
        <f t="shared" si="155"/>
        <v>50</v>
      </c>
    </row>
    <row r="2440" spans="1:12" x14ac:dyDescent="0.35">
      <c r="A2440">
        <v>2453</v>
      </c>
      <c r="B2440" t="s">
        <v>6770</v>
      </c>
      <c r="C2440" t="s">
        <v>10731</v>
      </c>
      <c r="D2440" t="s">
        <v>16</v>
      </c>
      <c r="E2440" t="s">
        <v>6766</v>
      </c>
      <c r="F2440" t="s">
        <v>6765</v>
      </c>
      <c r="G2440" t="s">
        <v>6735</v>
      </c>
      <c r="H2440" t="s">
        <v>6769</v>
      </c>
      <c r="I2440" t="str">
        <f t="shared" si="152"/>
        <v>54-57</v>
      </c>
      <c r="J2440" t="str">
        <f t="shared" si="153"/>
        <v>AD</v>
      </c>
      <c r="K2440" t="str">
        <f t="shared" si="154"/>
        <v>54</v>
      </c>
      <c r="L2440" t="str">
        <f t="shared" si="155"/>
        <v>57</v>
      </c>
    </row>
    <row r="2441" spans="1:12" x14ac:dyDescent="0.35">
      <c r="A2441">
        <v>2454</v>
      </c>
      <c r="B2441" t="s">
        <v>6768</v>
      </c>
      <c r="C2441" t="s">
        <v>6062</v>
      </c>
      <c r="D2441" t="s">
        <v>6767</v>
      </c>
      <c r="E2441" t="s">
        <v>6766</v>
      </c>
      <c r="F2441" t="s">
        <v>6765</v>
      </c>
      <c r="G2441" t="s">
        <v>6764</v>
      </c>
      <c r="H2441" t="s">
        <v>6763</v>
      </c>
      <c r="I2441" t="str">
        <f t="shared" si="152"/>
        <v>54-57</v>
      </c>
      <c r="J2441" t="str">
        <f t="shared" si="153"/>
        <v>AD</v>
      </c>
      <c r="K2441" t="str">
        <f t="shared" si="154"/>
        <v>54</v>
      </c>
      <c r="L2441" t="str">
        <f t="shared" si="155"/>
        <v>57</v>
      </c>
    </row>
    <row r="2442" spans="1:12" x14ac:dyDescent="0.35">
      <c r="A2442">
        <v>2455</v>
      </c>
      <c r="B2442" t="s">
        <v>6762</v>
      </c>
      <c r="C2442" t="s">
        <v>10733</v>
      </c>
      <c r="D2442" t="s">
        <v>17</v>
      </c>
      <c r="E2442" t="s">
        <v>6761</v>
      </c>
      <c r="F2442" t="s">
        <v>6749</v>
      </c>
      <c r="G2442" t="s">
        <v>6735</v>
      </c>
      <c r="H2442" t="s">
        <v>6473</v>
      </c>
      <c r="I2442" t="str">
        <f t="shared" si="152"/>
        <v>57</v>
      </c>
      <c r="J2442" t="str">
        <f t="shared" si="153"/>
        <v>AD</v>
      </c>
      <c r="K2442" t="str">
        <f t="shared" si="154"/>
        <v>57</v>
      </c>
      <c r="L2442" t="str">
        <f t="shared" si="155"/>
        <v>57</v>
      </c>
    </row>
    <row r="2443" spans="1:12" x14ac:dyDescent="0.35">
      <c r="A2443">
        <v>2456</v>
      </c>
      <c r="B2443" t="s">
        <v>6760</v>
      </c>
      <c r="C2443" t="s">
        <v>6157</v>
      </c>
      <c r="D2443" t="s">
        <v>6759</v>
      </c>
      <c r="E2443" t="s">
        <v>6758</v>
      </c>
      <c r="F2443" t="s">
        <v>6749</v>
      </c>
      <c r="G2443" t="s">
        <v>6757</v>
      </c>
      <c r="H2443" t="s">
        <v>6756</v>
      </c>
      <c r="I2443" t="str">
        <f t="shared" si="152"/>
        <v>57</v>
      </c>
      <c r="J2443" t="str">
        <f t="shared" si="153"/>
        <v>AD</v>
      </c>
      <c r="K2443" t="str">
        <f t="shared" si="154"/>
        <v>57</v>
      </c>
      <c r="L2443" t="str">
        <f t="shared" si="155"/>
        <v>57</v>
      </c>
    </row>
    <row r="2444" spans="1:12" x14ac:dyDescent="0.35">
      <c r="A2444">
        <v>2457</v>
      </c>
      <c r="B2444" t="s">
        <v>6755</v>
      </c>
      <c r="C2444" t="s">
        <v>10622</v>
      </c>
      <c r="D2444" t="s">
        <v>6754</v>
      </c>
      <c r="E2444" t="s">
        <v>1211</v>
      </c>
      <c r="F2444" t="s">
        <v>6749</v>
      </c>
      <c r="G2444" t="s">
        <v>6753</v>
      </c>
      <c r="H2444" t="s">
        <v>6752</v>
      </c>
      <c r="I2444" t="str">
        <f t="shared" si="152"/>
        <v>57</v>
      </c>
      <c r="J2444" t="str">
        <f t="shared" si="153"/>
        <v>AD</v>
      </c>
      <c r="K2444" t="str">
        <f t="shared" si="154"/>
        <v>57</v>
      </c>
      <c r="L2444" t="str">
        <f t="shared" si="155"/>
        <v>57</v>
      </c>
    </row>
    <row r="2445" spans="1:12" x14ac:dyDescent="0.35">
      <c r="A2445">
        <v>2458</v>
      </c>
      <c r="B2445" t="s">
        <v>6751</v>
      </c>
      <c r="C2445" t="s">
        <v>10606</v>
      </c>
      <c r="D2445" t="s">
        <v>6750</v>
      </c>
      <c r="E2445" t="s">
        <v>1211</v>
      </c>
      <c r="F2445" t="s">
        <v>6749</v>
      </c>
      <c r="G2445" t="s">
        <v>59</v>
      </c>
      <c r="H2445" t="s">
        <v>6748</v>
      </c>
      <c r="I2445" t="str">
        <f t="shared" si="152"/>
        <v>57</v>
      </c>
      <c r="J2445" t="str">
        <f t="shared" si="153"/>
        <v>AD</v>
      </c>
      <c r="K2445" t="str">
        <f t="shared" si="154"/>
        <v>57</v>
      </c>
      <c r="L2445" t="str">
        <f t="shared" si="155"/>
        <v>57</v>
      </c>
    </row>
    <row r="2446" spans="1:12" x14ac:dyDescent="0.35">
      <c r="A2446">
        <v>2459</v>
      </c>
      <c r="B2446" t="s">
        <v>6747</v>
      </c>
      <c r="C2446" t="s">
        <v>10048</v>
      </c>
      <c r="D2446" t="s">
        <v>6746</v>
      </c>
      <c r="E2446" t="s">
        <v>5357</v>
      </c>
      <c r="F2446" t="s">
        <v>6736</v>
      </c>
      <c r="G2446" t="s">
        <v>6745</v>
      </c>
      <c r="H2446" t="s">
        <v>6744</v>
      </c>
      <c r="I2446" t="str">
        <f t="shared" si="152"/>
        <v>60</v>
      </c>
      <c r="J2446" t="str">
        <f t="shared" si="153"/>
        <v>AD</v>
      </c>
      <c r="K2446" t="str">
        <f t="shared" si="154"/>
        <v>60</v>
      </c>
      <c r="L2446" t="str">
        <f t="shared" si="155"/>
        <v>60</v>
      </c>
    </row>
    <row r="2447" spans="1:12" x14ac:dyDescent="0.35">
      <c r="A2447">
        <v>2460</v>
      </c>
      <c r="B2447" t="s">
        <v>6743</v>
      </c>
      <c r="C2447" t="s">
        <v>10040</v>
      </c>
      <c r="D2447" t="s">
        <v>6742</v>
      </c>
      <c r="E2447" t="s">
        <v>6737</v>
      </c>
      <c r="F2447" t="s">
        <v>6736</v>
      </c>
      <c r="G2447" t="s">
        <v>6741</v>
      </c>
      <c r="H2447" t="s">
        <v>6740</v>
      </c>
      <c r="I2447" t="str">
        <f t="shared" si="152"/>
        <v>60</v>
      </c>
      <c r="J2447" t="str">
        <f t="shared" si="153"/>
        <v>AD</v>
      </c>
      <c r="K2447" t="str">
        <f t="shared" si="154"/>
        <v>60</v>
      </c>
      <c r="L2447" t="str">
        <f t="shared" si="155"/>
        <v>60</v>
      </c>
    </row>
    <row r="2448" spans="1:12" x14ac:dyDescent="0.35">
      <c r="A2448">
        <v>2461</v>
      </c>
      <c r="B2448" t="s">
        <v>6739</v>
      </c>
      <c r="C2448" t="s">
        <v>10731</v>
      </c>
      <c r="D2448" t="s">
        <v>6738</v>
      </c>
      <c r="E2448" t="s">
        <v>6737</v>
      </c>
      <c r="F2448" t="s">
        <v>6736</v>
      </c>
      <c r="G2448" t="s">
        <v>6735</v>
      </c>
      <c r="H2448" t="s">
        <v>6734</v>
      </c>
      <c r="I2448" t="str">
        <f t="shared" si="152"/>
        <v>60</v>
      </c>
      <c r="J2448" t="str">
        <f t="shared" si="153"/>
        <v>AD</v>
      </c>
      <c r="K2448" t="str">
        <f t="shared" si="154"/>
        <v>60</v>
      </c>
      <c r="L2448" t="str">
        <f t="shared" si="155"/>
        <v>60</v>
      </c>
    </row>
    <row r="2449" spans="1:12" x14ac:dyDescent="0.35">
      <c r="A2449">
        <v>2462</v>
      </c>
      <c r="B2449" t="s">
        <v>6913</v>
      </c>
      <c r="C2449" t="s">
        <v>10498</v>
      </c>
      <c r="D2449" t="s">
        <v>6914</v>
      </c>
      <c r="E2449" t="s">
        <v>3788</v>
      </c>
      <c r="F2449" t="s">
        <v>3866</v>
      </c>
      <c r="G2449" t="s">
        <v>53</v>
      </c>
      <c r="H2449" t="s">
        <v>6915</v>
      </c>
      <c r="I2449" t="str">
        <f t="shared" si="152"/>
        <v>Ongoing</v>
      </c>
      <c r="J2449" t="str">
        <f t="shared" si="153"/>
        <v>ng</v>
      </c>
      <c r="K2449" t="str">
        <f t="shared" si="154"/>
        <v>Ongoing</v>
      </c>
      <c r="L2449" t="str">
        <f t="shared" si="155"/>
        <v>Ongoing</v>
      </c>
    </row>
    <row r="2450" spans="1:12" x14ac:dyDescent="0.35">
      <c r="A2450">
        <v>2463</v>
      </c>
      <c r="B2450" t="s">
        <v>6916</v>
      </c>
      <c r="C2450" t="s">
        <v>10544</v>
      </c>
      <c r="D2450" t="s">
        <v>6917</v>
      </c>
      <c r="E2450" t="s">
        <v>3788</v>
      </c>
      <c r="F2450" t="s">
        <v>3866</v>
      </c>
      <c r="G2450" t="s">
        <v>53</v>
      </c>
      <c r="H2450" t="s">
        <v>6918</v>
      </c>
      <c r="I2450" t="str">
        <f t="shared" si="152"/>
        <v>Ongoing</v>
      </c>
      <c r="J2450" t="str">
        <f t="shared" si="153"/>
        <v>ng</v>
      </c>
      <c r="K2450" t="str">
        <f t="shared" si="154"/>
        <v>Ongoing</v>
      </c>
      <c r="L2450" t="str">
        <f t="shared" si="155"/>
        <v>Ongoing</v>
      </c>
    </row>
    <row r="2451" spans="1:12" x14ac:dyDescent="0.35">
      <c r="A2451">
        <v>2464</v>
      </c>
      <c r="B2451" t="s">
        <v>6919</v>
      </c>
      <c r="C2451" t="s">
        <v>10048</v>
      </c>
      <c r="D2451" t="s">
        <v>6920</v>
      </c>
      <c r="E2451" t="s">
        <v>3788</v>
      </c>
      <c r="F2451" t="s">
        <v>6921</v>
      </c>
      <c r="G2451" t="s">
        <v>53</v>
      </c>
      <c r="H2451" t="s">
        <v>6922</v>
      </c>
      <c r="I2451" t="str">
        <f t="shared" si="152"/>
        <v>Since creation</v>
      </c>
      <c r="J2451" t="str">
        <f t="shared" si="153"/>
        <v>on</v>
      </c>
      <c r="K2451" t="str">
        <f t="shared" si="154"/>
        <v>Since creation</v>
      </c>
      <c r="L2451" t="str">
        <f t="shared" si="155"/>
        <v>Since creation</v>
      </c>
    </row>
    <row r="2452" spans="1:12" x14ac:dyDescent="0.35">
      <c r="A2452">
        <v>2465</v>
      </c>
      <c r="B2452" t="s">
        <v>6923</v>
      </c>
      <c r="C2452" t="s">
        <v>10619</v>
      </c>
      <c r="D2452" t="s">
        <v>6924</v>
      </c>
      <c r="E2452" t="s">
        <v>6925</v>
      </c>
      <c r="F2452" t="s">
        <v>6926</v>
      </c>
      <c r="G2452" t="s">
        <v>53</v>
      </c>
      <c r="H2452" t="s">
        <v>6927</v>
      </c>
      <c r="I2452" t="str">
        <f t="shared" si="152"/>
        <v>2000</v>
      </c>
      <c r="J2452" t="str">
        <f t="shared" si="153"/>
        <v>BC</v>
      </c>
      <c r="K2452">
        <f t="shared" si="154"/>
        <v>-2000</v>
      </c>
      <c r="L2452">
        <f t="shared" si="155"/>
        <v>-2000</v>
      </c>
    </row>
    <row r="2453" spans="1:12" x14ac:dyDescent="0.35">
      <c r="A2453">
        <v>2466</v>
      </c>
      <c r="B2453" t="s">
        <v>6928</v>
      </c>
      <c r="C2453" t="s">
        <v>6930</v>
      </c>
      <c r="D2453" t="s">
        <v>6929</v>
      </c>
      <c r="E2453" t="s">
        <v>3788</v>
      </c>
      <c r="F2453" t="s">
        <v>4409</v>
      </c>
      <c r="G2453" t="s">
        <v>53</v>
      </c>
      <c r="H2453" t="s">
        <v>6931</v>
      </c>
      <c r="I2453" t="str">
        <f t="shared" si="152"/>
        <v>Eternal</v>
      </c>
      <c r="J2453" t="str">
        <f t="shared" si="153"/>
        <v>al</v>
      </c>
      <c r="K2453" t="str">
        <f t="shared" si="154"/>
        <v>Eternal</v>
      </c>
      <c r="L2453" t="str">
        <f t="shared" si="155"/>
        <v>Eternal</v>
      </c>
    </row>
    <row r="2454" spans="1:12" x14ac:dyDescent="0.35">
      <c r="A2454">
        <v>2467</v>
      </c>
      <c r="B2454" t="s">
        <v>6932</v>
      </c>
      <c r="C2454" t="s">
        <v>10008</v>
      </c>
      <c r="D2454" t="s">
        <v>6933</v>
      </c>
      <c r="E2454" t="s">
        <v>255</v>
      </c>
      <c r="F2454" t="s">
        <v>6926</v>
      </c>
      <c r="G2454" t="s">
        <v>53</v>
      </c>
      <c r="H2454" t="s">
        <v>6934</v>
      </c>
      <c r="I2454" t="str">
        <f t="shared" si="152"/>
        <v>2000</v>
      </c>
      <c r="J2454" t="str">
        <f t="shared" si="153"/>
        <v>BC</v>
      </c>
      <c r="K2454">
        <f t="shared" si="154"/>
        <v>-2000</v>
      </c>
      <c r="L2454">
        <f t="shared" si="155"/>
        <v>-2000</v>
      </c>
    </row>
    <row r="2455" spans="1:12" x14ac:dyDescent="0.35">
      <c r="A2455">
        <v>2468</v>
      </c>
      <c r="B2455" t="s">
        <v>6935</v>
      </c>
      <c r="C2455" t="s">
        <v>6939</v>
      </c>
      <c r="D2455" t="s">
        <v>6936</v>
      </c>
      <c r="E2455" t="s">
        <v>3788</v>
      </c>
      <c r="F2455" t="s">
        <v>6937</v>
      </c>
      <c r="G2455" t="s">
        <v>6938</v>
      </c>
      <c r="H2455" t="s">
        <v>6940</v>
      </c>
      <c r="I2455" t="str">
        <f t="shared" si="152"/>
        <v>Pentecost onward</v>
      </c>
      <c r="J2455" t="str">
        <f t="shared" si="153"/>
        <v>rd</v>
      </c>
      <c r="K2455" t="str">
        <f t="shared" si="154"/>
        <v>Pentecost onward</v>
      </c>
      <c r="L2455" t="str">
        <f t="shared" si="155"/>
        <v>Pentecost onward</v>
      </c>
    </row>
    <row r="2456" spans="1:12" x14ac:dyDescent="0.35">
      <c r="A2456">
        <v>2469</v>
      </c>
      <c r="B2456" t="s">
        <v>6941</v>
      </c>
      <c r="C2456" t="s">
        <v>6944</v>
      </c>
      <c r="D2456" t="s">
        <v>6942</v>
      </c>
      <c r="E2456" t="s">
        <v>3788</v>
      </c>
      <c r="F2456" t="s">
        <v>6943</v>
      </c>
      <c r="G2456" t="s">
        <v>53</v>
      </c>
      <c r="H2456" t="s">
        <v>6945</v>
      </c>
      <c r="I2456" t="str">
        <f t="shared" si="152"/>
        <v>At baptism</v>
      </c>
      <c r="J2456" t="str">
        <f t="shared" si="153"/>
        <v>sm</v>
      </c>
      <c r="K2456" t="str">
        <f t="shared" si="154"/>
        <v>At baptism</v>
      </c>
      <c r="L2456" t="str">
        <f t="shared" si="155"/>
        <v>At baptism</v>
      </c>
    </row>
    <row r="2457" spans="1:12" x14ac:dyDescent="0.35">
      <c r="A2457">
        <v>2470</v>
      </c>
      <c r="B2457" t="s">
        <v>6946</v>
      </c>
      <c r="C2457" t="s">
        <v>6949</v>
      </c>
      <c r="D2457" t="s">
        <v>6947</v>
      </c>
      <c r="E2457" t="s">
        <v>3788</v>
      </c>
      <c r="F2457" t="s">
        <v>6948</v>
      </c>
      <c r="G2457" t="s">
        <v>53</v>
      </c>
      <c r="H2457" t="s">
        <v>6950</v>
      </c>
      <c r="I2457" t="str">
        <f t="shared" si="152"/>
        <v>At salvation</v>
      </c>
      <c r="J2457" t="str">
        <f t="shared" si="153"/>
        <v>on</v>
      </c>
      <c r="K2457" t="str">
        <f t="shared" si="154"/>
        <v>At salvation</v>
      </c>
      <c r="L2457" t="str">
        <f t="shared" si="155"/>
        <v>At salvation</v>
      </c>
    </row>
    <row r="2458" spans="1:12" x14ac:dyDescent="0.35">
      <c r="A2458">
        <v>2471</v>
      </c>
      <c r="B2458" t="s">
        <v>6951</v>
      </c>
      <c r="C2458" t="s">
        <v>10624</v>
      </c>
      <c r="D2458" t="s">
        <v>6952</v>
      </c>
      <c r="E2458" t="s">
        <v>3788</v>
      </c>
      <c r="F2458" t="s">
        <v>3866</v>
      </c>
      <c r="G2458" t="s">
        <v>61</v>
      </c>
      <c r="H2458" t="s">
        <v>6953</v>
      </c>
      <c r="I2458" t="str">
        <f t="shared" si="152"/>
        <v>Ongoing</v>
      </c>
      <c r="J2458" t="str">
        <f t="shared" si="153"/>
        <v>ng</v>
      </c>
      <c r="K2458" t="str">
        <f t="shared" si="154"/>
        <v>Ongoing</v>
      </c>
      <c r="L2458" t="str">
        <f t="shared" si="155"/>
        <v>Ongoing</v>
      </c>
    </row>
    <row r="2459" spans="1:12" x14ac:dyDescent="0.35">
      <c r="A2459">
        <v>2472</v>
      </c>
      <c r="B2459" t="s">
        <v>6954</v>
      </c>
      <c r="C2459" t="s">
        <v>10625</v>
      </c>
      <c r="D2459" t="s">
        <v>6955</v>
      </c>
      <c r="E2459" t="s">
        <v>3788</v>
      </c>
      <c r="F2459" t="s">
        <v>6956</v>
      </c>
      <c r="G2459" t="s">
        <v>53</v>
      </c>
      <c r="H2459" t="s">
        <v>6957</v>
      </c>
      <c r="I2459" t="str">
        <f t="shared" si="152"/>
        <v>Eternal/temporal</v>
      </c>
      <c r="J2459" t="str">
        <f t="shared" si="153"/>
        <v>al</v>
      </c>
      <c r="K2459" t="str">
        <f t="shared" si="154"/>
        <v>Eternal/temporal</v>
      </c>
      <c r="L2459" t="str">
        <f t="shared" si="155"/>
        <v>Eternal/temporal</v>
      </c>
    </row>
    <row r="2460" spans="1:12" x14ac:dyDescent="0.35">
      <c r="A2460">
        <v>2473</v>
      </c>
      <c r="B2460" t="s">
        <v>6958</v>
      </c>
      <c r="C2460" t="s">
        <v>10626</v>
      </c>
      <c r="D2460" t="s">
        <v>6959</v>
      </c>
      <c r="E2460" t="s">
        <v>3788</v>
      </c>
      <c r="F2460" t="s">
        <v>3866</v>
      </c>
      <c r="G2460" t="s">
        <v>53</v>
      </c>
      <c r="H2460" t="s">
        <v>6960</v>
      </c>
      <c r="I2460" t="str">
        <f t="shared" si="152"/>
        <v>Ongoing</v>
      </c>
      <c r="J2460" t="str">
        <f t="shared" si="153"/>
        <v>ng</v>
      </c>
      <c r="K2460" t="str">
        <f t="shared" si="154"/>
        <v>Ongoing</v>
      </c>
      <c r="L2460" t="str">
        <f t="shared" si="155"/>
        <v>Ongoing</v>
      </c>
    </row>
    <row r="2461" spans="1:12" x14ac:dyDescent="0.35">
      <c r="A2461">
        <v>2474</v>
      </c>
      <c r="B2461" t="s">
        <v>6961</v>
      </c>
      <c r="C2461" t="s">
        <v>10627</v>
      </c>
      <c r="D2461" t="s">
        <v>6962</v>
      </c>
      <c r="E2461" t="s">
        <v>3788</v>
      </c>
      <c r="F2461" t="s">
        <v>3866</v>
      </c>
      <c r="G2461" t="s">
        <v>53</v>
      </c>
      <c r="H2461" t="s">
        <v>6963</v>
      </c>
      <c r="I2461" t="str">
        <f t="shared" si="152"/>
        <v>Ongoing</v>
      </c>
      <c r="J2461" t="str">
        <f t="shared" si="153"/>
        <v>ng</v>
      </c>
      <c r="K2461" t="str">
        <f t="shared" si="154"/>
        <v>Ongoing</v>
      </c>
      <c r="L2461" t="str">
        <f t="shared" si="155"/>
        <v>Ongoing</v>
      </c>
    </row>
    <row r="2462" spans="1:12" x14ac:dyDescent="0.35">
      <c r="A2462">
        <v>2475</v>
      </c>
      <c r="B2462" t="s">
        <v>6964</v>
      </c>
      <c r="C2462" t="s">
        <v>10625</v>
      </c>
      <c r="D2462" t="s">
        <v>6965</v>
      </c>
      <c r="E2462" t="s">
        <v>3788</v>
      </c>
      <c r="F2462" t="s">
        <v>6966</v>
      </c>
      <c r="G2462" t="s">
        <v>53</v>
      </c>
      <c r="H2462" t="s">
        <v>6967</v>
      </c>
      <c r="I2462" t="str">
        <f t="shared" si="152"/>
        <v>According to His will</v>
      </c>
      <c r="J2462" t="str">
        <f t="shared" si="153"/>
        <v>ll</v>
      </c>
      <c r="K2462" t="str">
        <f t="shared" si="154"/>
        <v>According to His will</v>
      </c>
      <c r="L2462" t="str">
        <f t="shared" si="155"/>
        <v>According to His will</v>
      </c>
    </row>
    <row r="2463" spans="1:12" x14ac:dyDescent="0.35">
      <c r="A2463">
        <v>2476</v>
      </c>
      <c r="B2463" t="s">
        <v>6968</v>
      </c>
      <c r="C2463" t="s">
        <v>10625</v>
      </c>
      <c r="D2463" t="s">
        <v>6969</v>
      </c>
      <c r="E2463" t="s">
        <v>186</v>
      </c>
      <c r="F2463" t="s">
        <v>6970</v>
      </c>
      <c r="G2463" t="s">
        <v>53</v>
      </c>
      <c r="H2463" t="s">
        <v>6971</v>
      </c>
      <c r="I2463" t="str">
        <f t="shared" si="152"/>
        <v>1450</v>
      </c>
      <c r="J2463" t="str">
        <f t="shared" si="153"/>
        <v>BC</v>
      </c>
      <c r="K2463">
        <f t="shared" si="154"/>
        <v>-1450</v>
      </c>
      <c r="L2463">
        <f t="shared" si="155"/>
        <v>-1450</v>
      </c>
    </row>
    <row r="2464" spans="1:12" x14ac:dyDescent="0.35">
      <c r="A2464">
        <v>2477</v>
      </c>
      <c r="B2464" t="s">
        <v>6972</v>
      </c>
      <c r="C2464" t="s">
        <v>10628</v>
      </c>
      <c r="D2464" t="s">
        <v>6973</v>
      </c>
      <c r="E2464" t="s">
        <v>2337</v>
      </c>
      <c r="F2464" t="s">
        <v>3866</v>
      </c>
      <c r="G2464" t="s">
        <v>53</v>
      </c>
      <c r="H2464" t="s">
        <v>6974</v>
      </c>
      <c r="I2464" t="str">
        <f t="shared" si="152"/>
        <v>Ongoing</v>
      </c>
      <c r="J2464" t="str">
        <f t="shared" si="153"/>
        <v>ng</v>
      </c>
      <c r="K2464" t="str">
        <f t="shared" si="154"/>
        <v>Ongoing</v>
      </c>
      <c r="L2464" t="str">
        <f t="shared" si="155"/>
        <v>Ongoing</v>
      </c>
    </row>
    <row r="2465" spans="1:12" x14ac:dyDescent="0.35">
      <c r="A2465">
        <v>2478</v>
      </c>
      <c r="B2465" t="s">
        <v>6975</v>
      </c>
      <c r="C2465" t="s">
        <v>6977</v>
      </c>
      <c r="D2465" t="s">
        <v>6976</v>
      </c>
      <c r="E2465" t="s">
        <v>2337</v>
      </c>
      <c r="F2465" t="s">
        <v>4363</v>
      </c>
      <c r="G2465" t="s">
        <v>53</v>
      </c>
      <c r="H2465" t="s">
        <v>6978</v>
      </c>
      <c r="I2465" t="str">
        <f t="shared" si="152"/>
        <v>Future</v>
      </c>
      <c r="J2465" t="str">
        <f t="shared" si="153"/>
        <v>re</v>
      </c>
      <c r="K2465" t="str">
        <f t="shared" si="154"/>
        <v>Future</v>
      </c>
      <c r="L2465" t="str">
        <f t="shared" si="155"/>
        <v>Future</v>
      </c>
    </row>
    <row r="2466" spans="1:12" x14ac:dyDescent="0.35">
      <c r="A2466">
        <v>2479</v>
      </c>
      <c r="B2466" t="s">
        <v>6979</v>
      </c>
      <c r="C2466" t="s">
        <v>6982</v>
      </c>
      <c r="D2466" t="s">
        <v>6980</v>
      </c>
      <c r="E2466" t="s">
        <v>6981</v>
      </c>
      <c r="F2466" t="s">
        <v>3866</v>
      </c>
      <c r="G2466" t="s">
        <v>6938</v>
      </c>
      <c r="H2466" t="s">
        <v>6983</v>
      </c>
      <c r="I2466" t="str">
        <f t="shared" si="152"/>
        <v>Ongoing</v>
      </c>
      <c r="J2466" t="str">
        <f t="shared" si="153"/>
        <v>ng</v>
      </c>
      <c r="K2466" t="str">
        <f t="shared" si="154"/>
        <v>Ongoing</v>
      </c>
      <c r="L2466" t="str">
        <f t="shared" si="155"/>
        <v>Ongoing</v>
      </c>
    </row>
    <row r="2467" spans="1:12" x14ac:dyDescent="0.35">
      <c r="A2467">
        <v>2480</v>
      </c>
      <c r="B2467" t="s">
        <v>6984</v>
      </c>
      <c r="C2467" t="s">
        <v>6989</v>
      </c>
      <c r="D2467" t="s">
        <v>6985</v>
      </c>
      <c r="E2467" t="s">
        <v>6986</v>
      </c>
      <c r="F2467" t="s">
        <v>6987</v>
      </c>
      <c r="G2467" t="s">
        <v>6988</v>
      </c>
      <c r="H2467" t="s">
        <v>6990</v>
      </c>
      <c r="I2467" t="str">
        <f t="shared" si="152"/>
        <v>49-57</v>
      </c>
      <c r="J2467" t="str">
        <f t="shared" si="153"/>
        <v>AD</v>
      </c>
      <c r="K2467" t="str">
        <f t="shared" si="154"/>
        <v>49</v>
      </c>
      <c r="L2467" t="str">
        <f t="shared" si="155"/>
        <v>57</v>
      </c>
    </row>
    <row r="2468" spans="1:12" x14ac:dyDescent="0.35">
      <c r="A2468">
        <v>2481</v>
      </c>
      <c r="B2468" t="s">
        <v>6991</v>
      </c>
      <c r="C2468" t="s">
        <v>10618</v>
      </c>
      <c r="D2468" t="s">
        <v>6992</v>
      </c>
      <c r="E2468" t="s">
        <v>6986</v>
      </c>
      <c r="F2468" t="s">
        <v>6987</v>
      </c>
      <c r="G2468" t="s">
        <v>61</v>
      </c>
      <c r="H2468" t="s">
        <v>6994</v>
      </c>
      <c r="I2468" t="str">
        <f t="shared" si="152"/>
        <v>49-57</v>
      </c>
      <c r="J2468" t="str">
        <f t="shared" si="153"/>
        <v>AD</v>
      </c>
      <c r="K2468" t="str">
        <f t="shared" si="154"/>
        <v>49</v>
      </c>
      <c r="L2468" t="str">
        <f t="shared" si="155"/>
        <v>57</v>
      </c>
    </row>
    <row r="2469" spans="1:12" x14ac:dyDescent="0.35">
      <c r="A2469">
        <v>2482</v>
      </c>
      <c r="B2469" t="s">
        <v>7142</v>
      </c>
      <c r="C2469" t="s">
        <v>9862</v>
      </c>
      <c r="D2469" t="s">
        <v>7141</v>
      </c>
      <c r="E2469" t="s">
        <v>1112</v>
      </c>
      <c r="F2469" t="s">
        <v>7034</v>
      </c>
      <c r="G2469" t="s">
        <v>7109</v>
      </c>
      <c r="H2469" t="s">
        <v>7140</v>
      </c>
      <c r="I2469" t="str">
        <f t="shared" si="152"/>
        <v>55</v>
      </c>
      <c r="J2469" t="str">
        <f t="shared" si="153"/>
        <v>AD</v>
      </c>
      <c r="K2469" t="str">
        <f t="shared" si="154"/>
        <v>55</v>
      </c>
      <c r="L2469" t="str">
        <f t="shared" si="155"/>
        <v>55</v>
      </c>
    </row>
    <row r="2470" spans="1:12" x14ac:dyDescent="0.35">
      <c r="A2470">
        <v>2483</v>
      </c>
      <c r="B2470" t="s">
        <v>7139</v>
      </c>
      <c r="C2470" t="s">
        <v>10629</v>
      </c>
      <c r="D2470" t="s">
        <v>7138</v>
      </c>
      <c r="E2470" t="s">
        <v>7035</v>
      </c>
      <c r="F2470" t="s">
        <v>7034</v>
      </c>
      <c r="G2470" t="s">
        <v>53</v>
      </c>
      <c r="H2470" t="s">
        <v>7137</v>
      </c>
      <c r="I2470" t="str">
        <f t="shared" si="152"/>
        <v>55</v>
      </c>
      <c r="J2470" t="str">
        <f t="shared" si="153"/>
        <v>AD</v>
      </c>
      <c r="K2470" t="str">
        <f t="shared" si="154"/>
        <v>55</v>
      </c>
      <c r="L2470" t="str">
        <f t="shared" si="155"/>
        <v>55</v>
      </c>
    </row>
    <row r="2471" spans="1:12" x14ac:dyDescent="0.35">
      <c r="A2471">
        <v>2484</v>
      </c>
      <c r="B2471" t="s">
        <v>7136</v>
      </c>
      <c r="C2471" t="s">
        <v>10048</v>
      </c>
      <c r="D2471" t="s">
        <v>7135</v>
      </c>
      <c r="E2471" t="s">
        <v>7035</v>
      </c>
      <c r="F2471" t="s">
        <v>7034</v>
      </c>
      <c r="G2471" t="s">
        <v>61</v>
      </c>
      <c r="H2471" t="s">
        <v>7134</v>
      </c>
      <c r="I2471" t="str">
        <f t="shared" si="152"/>
        <v>55</v>
      </c>
      <c r="J2471" t="str">
        <f t="shared" si="153"/>
        <v>AD</v>
      </c>
      <c r="K2471" t="str">
        <f t="shared" si="154"/>
        <v>55</v>
      </c>
      <c r="L2471" t="str">
        <f t="shared" si="155"/>
        <v>55</v>
      </c>
    </row>
    <row r="2472" spans="1:12" x14ac:dyDescent="0.35">
      <c r="A2472">
        <v>2485</v>
      </c>
      <c r="B2472" t="s">
        <v>7133</v>
      </c>
      <c r="C2472" t="s">
        <v>10630</v>
      </c>
      <c r="D2472" t="s">
        <v>7132</v>
      </c>
      <c r="E2472" t="s">
        <v>7035</v>
      </c>
      <c r="F2472" t="s">
        <v>7034</v>
      </c>
      <c r="G2472" t="s">
        <v>53</v>
      </c>
      <c r="H2472" t="s">
        <v>7131</v>
      </c>
      <c r="I2472" t="str">
        <f t="shared" si="152"/>
        <v>55</v>
      </c>
      <c r="J2472" t="str">
        <f t="shared" si="153"/>
        <v>AD</v>
      </c>
      <c r="K2472" t="str">
        <f t="shared" si="154"/>
        <v>55</v>
      </c>
      <c r="L2472" t="str">
        <f t="shared" si="155"/>
        <v>55</v>
      </c>
    </row>
    <row r="2473" spans="1:12" x14ac:dyDescent="0.35">
      <c r="A2473">
        <v>2486</v>
      </c>
      <c r="B2473" t="s">
        <v>7130</v>
      </c>
      <c r="C2473" t="s">
        <v>10631</v>
      </c>
      <c r="D2473" t="s">
        <v>7129</v>
      </c>
      <c r="E2473" t="s">
        <v>7035</v>
      </c>
      <c r="F2473" t="s">
        <v>7034</v>
      </c>
      <c r="G2473" t="s">
        <v>61</v>
      </c>
      <c r="H2473" t="s">
        <v>7128</v>
      </c>
      <c r="I2473" t="str">
        <f t="shared" si="152"/>
        <v>55</v>
      </c>
      <c r="J2473" t="str">
        <f t="shared" si="153"/>
        <v>AD</v>
      </c>
      <c r="K2473" t="str">
        <f t="shared" si="154"/>
        <v>55</v>
      </c>
      <c r="L2473" t="str">
        <f t="shared" si="155"/>
        <v>55</v>
      </c>
    </row>
    <row r="2474" spans="1:12" x14ac:dyDescent="0.35">
      <c r="A2474">
        <v>2487</v>
      </c>
      <c r="B2474" t="s">
        <v>7127</v>
      </c>
      <c r="C2474" t="s">
        <v>10492</v>
      </c>
      <c r="D2474" t="s">
        <v>7126</v>
      </c>
      <c r="E2474" t="s">
        <v>3788</v>
      </c>
      <c r="F2474" t="s">
        <v>4363</v>
      </c>
      <c r="G2474" t="s">
        <v>53</v>
      </c>
      <c r="H2474" t="s">
        <v>7125</v>
      </c>
      <c r="I2474" t="str">
        <f t="shared" si="152"/>
        <v>Future</v>
      </c>
      <c r="J2474" t="str">
        <f t="shared" si="153"/>
        <v>re</v>
      </c>
      <c r="K2474" t="str">
        <f t="shared" si="154"/>
        <v>Future</v>
      </c>
      <c r="L2474" t="str">
        <f t="shared" si="155"/>
        <v>Future</v>
      </c>
    </row>
    <row r="2475" spans="1:12" x14ac:dyDescent="0.35">
      <c r="A2475">
        <v>2488</v>
      </c>
      <c r="B2475" t="s">
        <v>7124</v>
      </c>
      <c r="C2475" t="s">
        <v>10632</v>
      </c>
      <c r="D2475" t="s">
        <v>7123</v>
      </c>
      <c r="E2475" t="s">
        <v>7035</v>
      </c>
      <c r="F2475" t="s">
        <v>7034</v>
      </c>
      <c r="G2475" t="s">
        <v>7122</v>
      </c>
      <c r="H2475" t="s">
        <v>7121</v>
      </c>
      <c r="I2475" t="str">
        <f t="shared" si="152"/>
        <v>55</v>
      </c>
      <c r="J2475" t="str">
        <f t="shared" si="153"/>
        <v>AD</v>
      </c>
      <c r="K2475" t="str">
        <f t="shared" si="154"/>
        <v>55</v>
      </c>
      <c r="L2475" t="str">
        <f t="shared" si="155"/>
        <v>55</v>
      </c>
    </row>
    <row r="2476" spans="1:12" x14ac:dyDescent="0.35">
      <c r="A2476">
        <v>2489</v>
      </c>
      <c r="B2476" t="s">
        <v>7120</v>
      </c>
      <c r="C2476" t="s">
        <v>10631</v>
      </c>
      <c r="D2476" t="s">
        <v>7119</v>
      </c>
      <c r="E2476" t="s">
        <v>7035</v>
      </c>
      <c r="F2476" t="s">
        <v>7034</v>
      </c>
      <c r="G2476" t="s">
        <v>61</v>
      </c>
      <c r="H2476" t="s">
        <v>7118</v>
      </c>
      <c r="I2476" t="str">
        <f t="shared" si="152"/>
        <v>55</v>
      </c>
      <c r="J2476" t="str">
        <f t="shared" si="153"/>
        <v>AD</v>
      </c>
      <c r="K2476" t="str">
        <f t="shared" si="154"/>
        <v>55</v>
      </c>
      <c r="L2476" t="str">
        <f t="shared" si="155"/>
        <v>55</v>
      </c>
    </row>
    <row r="2477" spans="1:12" x14ac:dyDescent="0.35">
      <c r="A2477">
        <v>2490</v>
      </c>
      <c r="B2477" t="s">
        <v>7117</v>
      </c>
      <c r="C2477" t="s">
        <v>9862</v>
      </c>
      <c r="D2477" t="s">
        <v>7116</v>
      </c>
      <c r="E2477" t="s">
        <v>7035</v>
      </c>
      <c r="F2477" t="s">
        <v>7034</v>
      </c>
      <c r="G2477" t="s">
        <v>53</v>
      </c>
      <c r="H2477" t="s">
        <v>7115</v>
      </c>
      <c r="I2477" t="str">
        <f t="shared" si="152"/>
        <v>55</v>
      </c>
      <c r="J2477" t="str">
        <f t="shared" si="153"/>
        <v>AD</v>
      </c>
      <c r="K2477" t="str">
        <f t="shared" si="154"/>
        <v>55</v>
      </c>
      <c r="L2477" t="str">
        <f t="shared" si="155"/>
        <v>55</v>
      </c>
    </row>
    <row r="2478" spans="1:12" x14ac:dyDescent="0.35">
      <c r="A2478">
        <v>2491</v>
      </c>
      <c r="B2478" t="s">
        <v>7114</v>
      </c>
      <c r="C2478" t="s">
        <v>10616</v>
      </c>
      <c r="D2478" t="s">
        <v>7113</v>
      </c>
      <c r="E2478" t="s">
        <v>7035</v>
      </c>
      <c r="F2478" t="s">
        <v>7034</v>
      </c>
      <c r="G2478" t="s">
        <v>53</v>
      </c>
      <c r="H2478" t="s">
        <v>7112</v>
      </c>
      <c r="I2478" t="str">
        <f t="shared" si="152"/>
        <v>55</v>
      </c>
      <c r="J2478" t="str">
        <f t="shared" si="153"/>
        <v>AD</v>
      </c>
      <c r="K2478" t="str">
        <f t="shared" si="154"/>
        <v>55</v>
      </c>
      <c r="L2478" t="str">
        <f t="shared" si="155"/>
        <v>55</v>
      </c>
    </row>
    <row r="2479" spans="1:12" x14ac:dyDescent="0.35">
      <c r="A2479">
        <v>2492</v>
      </c>
      <c r="B2479" t="s">
        <v>7111</v>
      </c>
      <c r="C2479" t="s">
        <v>10633</v>
      </c>
      <c r="D2479" t="s">
        <v>7110</v>
      </c>
      <c r="E2479" t="s">
        <v>1112</v>
      </c>
      <c r="F2479" t="s">
        <v>7034</v>
      </c>
      <c r="G2479" t="s">
        <v>7109</v>
      </c>
      <c r="H2479" t="s">
        <v>7108</v>
      </c>
      <c r="I2479" t="str">
        <f t="shared" si="152"/>
        <v>55</v>
      </c>
      <c r="J2479" t="str">
        <f t="shared" si="153"/>
        <v>AD</v>
      </c>
      <c r="K2479" t="str">
        <f t="shared" si="154"/>
        <v>55</v>
      </c>
      <c r="L2479" t="str">
        <f t="shared" si="155"/>
        <v>55</v>
      </c>
    </row>
    <row r="2480" spans="1:12" x14ac:dyDescent="0.35">
      <c r="A2480">
        <v>2493</v>
      </c>
      <c r="B2480" t="s">
        <v>7107</v>
      </c>
      <c r="C2480" t="s">
        <v>10327</v>
      </c>
      <c r="D2480" t="s">
        <v>7106</v>
      </c>
      <c r="E2480" t="s">
        <v>3788</v>
      </c>
      <c r="F2480" t="s">
        <v>7105</v>
      </c>
      <c r="G2480" t="s">
        <v>53</v>
      </c>
      <c r="H2480" t="s">
        <v>7104</v>
      </c>
      <c r="I2480" t="str">
        <f t="shared" si="152"/>
        <v>All times</v>
      </c>
      <c r="J2480" t="str">
        <f t="shared" si="153"/>
        <v>es</v>
      </c>
      <c r="K2480" t="str">
        <f t="shared" si="154"/>
        <v>All times</v>
      </c>
      <c r="L2480" t="str">
        <f t="shared" si="155"/>
        <v>All times</v>
      </c>
    </row>
    <row r="2481" spans="1:12" x14ac:dyDescent="0.35">
      <c r="A2481">
        <v>2494</v>
      </c>
      <c r="B2481" t="s">
        <v>7103</v>
      </c>
      <c r="C2481" t="s">
        <v>6982</v>
      </c>
      <c r="D2481" t="s">
        <v>7102</v>
      </c>
      <c r="E2481" t="s">
        <v>7035</v>
      </c>
      <c r="F2481" t="s">
        <v>7034</v>
      </c>
      <c r="G2481" t="s">
        <v>61</v>
      </c>
      <c r="H2481" t="s">
        <v>7101</v>
      </c>
      <c r="I2481" t="str">
        <f t="shared" si="152"/>
        <v>55</v>
      </c>
      <c r="J2481" t="str">
        <f t="shared" si="153"/>
        <v>AD</v>
      </c>
      <c r="K2481" t="str">
        <f t="shared" si="154"/>
        <v>55</v>
      </c>
      <c r="L2481" t="str">
        <f t="shared" si="155"/>
        <v>55</v>
      </c>
    </row>
    <row r="2482" spans="1:12" x14ac:dyDescent="0.35">
      <c r="A2482">
        <v>2495</v>
      </c>
      <c r="B2482" t="s">
        <v>7100</v>
      </c>
      <c r="C2482" t="s">
        <v>6939</v>
      </c>
      <c r="D2482" t="s">
        <v>7097</v>
      </c>
      <c r="E2482" t="s">
        <v>7035</v>
      </c>
      <c r="F2482" t="s">
        <v>7034</v>
      </c>
      <c r="G2482" t="s">
        <v>61</v>
      </c>
      <c r="H2482" t="s">
        <v>7099</v>
      </c>
      <c r="I2482" t="str">
        <f t="shared" si="152"/>
        <v>55</v>
      </c>
      <c r="J2482" t="str">
        <f t="shared" si="153"/>
        <v>AD</v>
      </c>
      <c r="K2482" t="str">
        <f t="shared" si="154"/>
        <v>55</v>
      </c>
      <c r="L2482" t="str">
        <f t="shared" si="155"/>
        <v>55</v>
      </c>
    </row>
    <row r="2483" spans="1:12" x14ac:dyDescent="0.35">
      <c r="A2483">
        <v>2496</v>
      </c>
      <c r="B2483" t="s">
        <v>7098</v>
      </c>
      <c r="C2483" t="s">
        <v>6939</v>
      </c>
      <c r="D2483" t="s">
        <v>7097</v>
      </c>
      <c r="E2483" t="s">
        <v>7035</v>
      </c>
      <c r="F2483" t="s">
        <v>7034</v>
      </c>
      <c r="G2483" t="s">
        <v>61</v>
      </c>
      <c r="H2483" t="s">
        <v>7096</v>
      </c>
      <c r="I2483" t="str">
        <f t="shared" si="152"/>
        <v>55</v>
      </c>
      <c r="J2483" t="str">
        <f t="shared" si="153"/>
        <v>AD</v>
      </c>
      <c r="K2483" t="str">
        <f t="shared" si="154"/>
        <v>55</v>
      </c>
      <c r="L2483" t="str">
        <f t="shared" si="155"/>
        <v>55</v>
      </c>
    </row>
    <row r="2484" spans="1:12" x14ac:dyDescent="0.35">
      <c r="A2484">
        <v>2497</v>
      </c>
      <c r="B2484" t="s">
        <v>7095</v>
      </c>
      <c r="C2484" t="s">
        <v>6939</v>
      </c>
      <c r="D2484" t="s">
        <v>7092</v>
      </c>
      <c r="E2484" t="s">
        <v>7035</v>
      </c>
      <c r="F2484" t="s">
        <v>7034</v>
      </c>
      <c r="G2484" t="s">
        <v>61</v>
      </c>
      <c r="H2484" t="s">
        <v>7094</v>
      </c>
      <c r="I2484" t="str">
        <f t="shared" ref="I2484:I2547" si="156">SUBSTITUTE(SUBSTITUTE(SUBSTITUTE(F2484,"c. ","")," BC","")," AD","")</f>
        <v>55</v>
      </c>
      <c r="J2484" t="str">
        <f t="shared" si="153"/>
        <v>AD</v>
      </c>
      <c r="K2484" t="str">
        <f t="shared" si="154"/>
        <v>55</v>
      </c>
      <c r="L2484" t="str">
        <f t="shared" si="155"/>
        <v>55</v>
      </c>
    </row>
    <row r="2485" spans="1:12" x14ac:dyDescent="0.35">
      <c r="A2485">
        <v>2498</v>
      </c>
      <c r="B2485" t="s">
        <v>7093</v>
      </c>
      <c r="C2485" t="s">
        <v>11695</v>
      </c>
      <c r="D2485" t="s">
        <v>7092</v>
      </c>
      <c r="E2485" t="s">
        <v>7035</v>
      </c>
      <c r="F2485" t="s">
        <v>7034</v>
      </c>
      <c r="G2485" t="s">
        <v>61</v>
      </c>
      <c r="H2485" t="s">
        <v>7091</v>
      </c>
      <c r="I2485" t="str">
        <f t="shared" si="156"/>
        <v>55</v>
      </c>
      <c r="J2485" t="str">
        <f t="shared" si="153"/>
        <v>AD</v>
      </c>
      <c r="K2485" t="str">
        <f t="shared" si="154"/>
        <v>55</v>
      </c>
      <c r="L2485" t="str">
        <f t="shared" si="155"/>
        <v>55</v>
      </c>
    </row>
    <row r="2486" spans="1:12" x14ac:dyDescent="0.35">
      <c r="A2486">
        <v>2499</v>
      </c>
      <c r="B2486" t="s">
        <v>7090</v>
      </c>
      <c r="C2486" t="s">
        <v>10737</v>
      </c>
      <c r="D2486" t="s">
        <v>7081</v>
      </c>
      <c r="E2486" t="s">
        <v>7035</v>
      </c>
      <c r="F2486" t="s">
        <v>7034</v>
      </c>
      <c r="G2486" t="s">
        <v>61</v>
      </c>
      <c r="H2486" t="s">
        <v>7089</v>
      </c>
      <c r="I2486" t="str">
        <f t="shared" si="156"/>
        <v>55</v>
      </c>
      <c r="J2486" t="str">
        <f t="shared" si="153"/>
        <v>AD</v>
      </c>
      <c r="K2486" t="str">
        <f t="shared" si="154"/>
        <v>55</v>
      </c>
      <c r="L2486" t="str">
        <f t="shared" si="155"/>
        <v>55</v>
      </c>
    </row>
    <row r="2487" spans="1:12" x14ac:dyDescent="0.35">
      <c r="A2487">
        <v>2500</v>
      </c>
      <c r="B2487" t="s">
        <v>7088</v>
      </c>
      <c r="C2487" t="s">
        <v>11696</v>
      </c>
      <c r="D2487" t="s">
        <v>7081</v>
      </c>
      <c r="E2487" t="s">
        <v>7035</v>
      </c>
      <c r="F2487" t="s">
        <v>7034</v>
      </c>
      <c r="G2487" t="s">
        <v>61</v>
      </c>
      <c r="H2487" t="s">
        <v>7087</v>
      </c>
      <c r="I2487" t="str">
        <f t="shared" si="156"/>
        <v>55</v>
      </c>
      <c r="J2487" t="str">
        <f t="shared" si="153"/>
        <v>AD</v>
      </c>
      <c r="K2487" t="str">
        <f t="shared" si="154"/>
        <v>55</v>
      </c>
      <c r="L2487" t="str">
        <f t="shared" si="155"/>
        <v>55</v>
      </c>
    </row>
    <row r="2488" spans="1:12" x14ac:dyDescent="0.35">
      <c r="A2488">
        <v>2501</v>
      </c>
      <c r="B2488" t="s">
        <v>7086</v>
      </c>
      <c r="C2488" t="s">
        <v>6939</v>
      </c>
      <c r="D2488" t="s">
        <v>7081</v>
      </c>
      <c r="E2488" t="s">
        <v>7035</v>
      </c>
      <c r="F2488" t="s">
        <v>7034</v>
      </c>
      <c r="G2488" t="s">
        <v>61</v>
      </c>
      <c r="H2488" t="s">
        <v>7085</v>
      </c>
      <c r="I2488" t="str">
        <f t="shared" si="156"/>
        <v>55</v>
      </c>
      <c r="J2488" t="str">
        <f t="shared" si="153"/>
        <v>AD</v>
      </c>
      <c r="K2488" t="str">
        <f t="shared" si="154"/>
        <v>55</v>
      </c>
      <c r="L2488" t="str">
        <f t="shared" si="155"/>
        <v>55</v>
      </c>
    </row>
    <row r="2489" spans="1:12" x14ac:dyDescent="0.35">
      <c r="A2489">
        <v>2502</v>
      </c>
      <c r="B2489" t="s">
        <v>7084</v>
      </c>
      <c r="C2489" t="s">
        <v>6939</v>
      </c>
      <c r="D2489" t="s">
        <v>7081</v>
      </c>
      <c r="E2489" t="s">
        <v>7035</v>
      </c>
      <c r="F2489" t="s">
        <v>7034</v>
      </c>
      <c r="G2489" t="s">
        <v>61</v>
      </c>
      <c r="H2489" t="s">
        <v>7083</v>
      </c>
      <c r="I2489" t="str">
        <f t="shared" si="156"/>
        <v>55</v>
      </c>
      <c r="J2489" t="str">
        <f t="shared" si="153"/>
        <v>AD</v>
      </c>
      <c r="K2489" t="str">
        <f t="shared" si="154"/>
        <v>55</v>
      </c>
      <c r="L2489" t="str">
        <f t="shared" si="155"/>
        <v>55</v>
      </c>
    </row>
    <row r="2490" spans="1:12" x14ac:dyDescent="0.35">
      <c r="A2490">
        <v>2503</v>
      </c>
      <c r="B2490" t="s">
        <v>7082</v>
      </c>
      <c r="C2490" t="s">
        <v>6939</v>
      </c>
      <c r="D2490" t="s">
        <v>7081</v>
      </c>
      <c r="E2490" t="s">
        <v>7035</v>
      </c>
      <c r="F2490" t="s">
        <v>7034</v>
      </c>
      <c r="G2490" t="s">
        <v>61</v>
      </c>
      <c r="H2490" t="s">
        <v>7080</v>
      </c>
      <c r="I2490" t="str">
        <f t="shared" si="156"/>
        <v>55</v>
      </c>
      <c r="J2490" t="str">
        <f t="shared" si="153"/>
        <v>AD</v>
      </c>
      <c r="K2490" t="str">
        <f t="shared" si="154"/>
        <v>55</v>
      </c>
      <c r="L2490" t="str">
        <f t="shared" si="155"/>
        <v>55</v>
      </c>
    </row>
    <row r="2491" spans="1:12" x14ac:dyDescent="0.35">
      <c r="A2491">
        <v>2504</v>
      </c>
      <c r="B2491" t="s">
        <v>7079</v>
      </c>
      <c r="C2491" t="s">
        <v>10048</v>
      </c>
      <c r="D2491" t="s">
        <v>7078</v>
      </c>
      <c r="E2491" t="s">
        <v>7035</v>
      </c>
      <c r="F2491" t="s">
        <v>7034</v>
      </c>
      <c r="G2491" t="s">
        <v>61</v>
      </c>
      <c r="H2491" t="s">
        <v>7077</v>
      </c>
      <c r="I2491" t="str">
        <f t="shared" si="156"/>
        <v>55</v>
      </c>
      <c r="J2491" t="str">
        <f t="shared" si="153"/>
        <v>AD</v>
      </c>
      <c r="K2491" t="str">
        <f t="shared" si="154"/>
        <v>55</v>
      </c>
      <c r="L2491" t="str">
        <f t="shared" si="155"/>
        <v>55</v>
      </c>
    </row>
    <row r="2492" spans="1:12" x14ac:dyDescent="0.35">
      <c r="A2492">
        <v>2505</v>
      </c>
      <c r="B2492" t="s">
        <v>7076</v>
      </c>
      <c r="C2492" t="s">
        <v>10634</v>
      </c>
      <c r="D2492" t="s">
        <v>7075</v>
      </c>
      <c r="E2492" t="s">
        <v>3788</v>
      </c>
      <c r="F2492" t="s">
        <v>7034</v>
      </c>
      <c r="G2492" t="s">
        <v>53</v>
      </c>
      <c r="H2492" t="s">
        <v>7074</v>
      </c>
      <c r="I2492" t="str">
        <f t="shared" si="156"/>
        <v>55</v>
      </c>
      <c r="J2492" t="str">
        <f t="shared" si="153"/>
        <v>AD</v>
      </c>
      <c r="K2492" t="str">
        <f t="shared" si="154"/>
        <v>55</v>
      </c>
      <c r="L2492" t="str">
        <f t="shared" si="155"/>
        <v>55</v>
      </c>
    </row>
    <row r="2493" spans="1:12" x14ac:dyDescent="0.35">
      <c r="A2493">
        <v>2506</v>
      </c>
      <c r="B2493" t="s">
        <v>7073</v>
      </c>
      <c r="C2493" t="s">
        <v>10048</v>
      </c>
      <c r="D2493" t="s">
        <v>7072</v>
      </c>
      <c r="E2493" t="s">
        <v>3788</v>
      </c>
      <c r="F2493" t="s">
        <v>7034</v>
      </c>
      <c r="G2493" t="s">
        <v>6938</v>
      </c>
      <c r="H2493" t="s">
        <v>7071</v>
      </c>
      <c r="I2493" t="str">
        <f t="shared" si="156"/>
        <v>55</v>
      </c>
      <c r="J2493" t="str">
        <f t="shared" si="153"/>
        <v>AD</v>
      </c>
      <c r="K2493" t="str">
        <f t="shared" si="154"/>
        <v>55</v>
      </c>
      <c r="L2493" t="str">
        <f t="shared" si="155"/>
        <v>55</v>
      </c>
    </row>
    <row r="2494" spans="1:12" x14ac:dyDescent="0.35">
      <c r="A2494">
        <v>2507</v>
      </c>
      <c r="B2494" t="s">
        <v>7070</v>
      </c>
      <c r="C2494" t="s">
        <v>6157</v>
      </c>
      <c r="D2494" t="s">
        <v>7069</v>
      </c>
      <c r="E2494" t="s">
        <v>7035</v>
      </c>
      <c r="F2494" t="s">
        <v>7034</v>
      </c>
      <c r="G2494" t="s">
        <v>61</v>
      </c>
      <c r="H2494" t="s">
        <v>7068</v>
      </c>
      <c r="I2494" t="str">
        <f t="shared" si="156"/>
        <v>55</v>
      </c>
      <c r="J2494" t="str">
        <f t="shared" si="153"/>
        <v>AD</v>
      </c>
      <c r="K2494" t="str">
        <f t="shared" si="154"/>
        <v>55</v>
      </c>
      <c r="L2494" t="str">
        <f t="shared" si="155"/>
        <v>55</v>
      </c>
    </row>
    <row r="2495" spans="1:12" x14ac:dyDescent="0.35">
      <c r="A2495">
        <v>2508</v>
      </c>
      <c r="B2495" t="s">
        <v>7067</v>
      </c>
      <c r="C2495" t="s">
        <v>10733</v>
      </c>
      <c r="D2495" t="s">
        <v>7066</v>
      </c>
      <c r="E2495" t="s">
        <v>1211</v>
      </c>
      <c r="F2495" t="s">
        <v>6149</v>
      </c>
      <c r="G2495" t="s">
        <v>53</v>
      </c>
      <c r="H2495" t="s">
        <v>7065</v>
      </c>
      <c r="I2495" t="str">
        <f t="shared" si="156"/>
        <v>33</v>
      </c>
      <c r="J2495" t="str">
        <f t="shared" si="153"/>
        <v>AD</v>
      </c>
      <c r="K2495" t="str">
        <f t="shared" si="154"/>
        <v>33</v>
      </c>
      <c r="L2495" t="str">
        <f t="shared" si="155"/>
        <v>33</v>
      </c>
    </row>
    <row r="2496" spans="1:12" x14ac:dyDescent="0.35">
      <c r="A2496">
        <v>2509</v>
      </c>
      <c r="B2496" t="s">
        <v>7064</v>
      </c>
      <c r="C2496" t="s">
        <v>7062</v>
      </c>
      <c r="D2496" t="s">
        <v>7063</v>
      </c>
      <c r="E2496" t="s">
        <v>1112</v>
      </c>
      <c r="F2496" t="s">
        <v>6149</v>
      </c>
      <c r="G2496" t="s">
        <v>59</v>
      </c>
      <c r="H2496" t="s">
        <v>7061</v>
      </c>
      <c r="I2496" t="str">
        <f t="shared" si="156"/>
        <v>33</v>
      </c>
      <c r="J2496" t="str">
        <f t="shared" si="153"/>
        <v>AD</v>
      </c>
      <c r="K2496" t="str">
        <f t="shared" si="154"/>
        <v>33</v>
      </c>
      <c r="L2496" t="str">
        <f t="shared" si="155"/>
        <v>33</v>
      </c>
    </row>
    <row r="2497" spans="1:12" x14ac:dyDescent="0.35">
      <c r="A2497">
        <v>2510</v>
      </c>
      <c r="B2497" t="s">
        <v>7060</v>
      </c>
      <c r="C2497" t="s">
        <v>6194</v>
      </c>
      <c r="D2497" t="s">
        <v>7059</v>
      </c>
      <c r="E2497" t="s">
        <v>1211</v>
      </c>
      <c r="F2497" t="s">
        <v>6149</v>
      </c>
      <c r="G2497" t="s">
        <v>59</v>
      </c>
      <c r="H2497" t="s">
        <v>7058</v>
      </c>
      <c r="I2497" t="str">
        <f t="shared" si="156"/>
        <v>33</v>
      </c>
      <c r="J2497" t="str">
        <f t="shared" si="153"/>
        <v>AD</v>
      </c>
      <c r="K2497" t="str">
        <f t="shared" si="154"/>
        <v>33</v>
      </c>
      <c r="L2497" t="str">
        <f t="shared" si="155"/>
        <v>33</v>
      </c>
    </row>
    <row r="2498" spans="1:12" x14ac:dyDescent="0.35">
      <c r="A2498">
        <v>2511</v>
      </c>
      <c r="B2498" t="s">
        <v>7057</v>
      </c>
      <c r="C2498" t="s">
        <v>6194</v>
      </c>
      <c r="D2498" t="s">
        <v>7056</v>
      </c>
      <c r="E2498" t="s">
        <v>7055</v>
      </c>
      <c r="F2498" t="s">
        <v>6819</v>
      </c>
      <c r="G2498" t="s">
        <v>59</v>
      </c>
      <c r="H2498" t="s">
        <v>7054</v>
      </c>
      <c r="I2498" t="str">
        <f t="shared" si="156"/>
        <v>35</v>
      </c>
      <c r="J2498" t="str">
        <f t="shared" ref="J2498:J2561" si="157">RIGHT(F2498, 2)</f>
        <v>AD</v>
      </c>
      <c r="K2498" t="str">
        <f t="shared" ref="K2498:K2561" si="158">IF(J2498="BC", 0-IF(ISERROR(FIND("-",I2498)),I2498,LEFT(I2498,FIND("-",I2498)-1)), IF(ISERROR(FIND("-",I2498)),I2498,LEFT(I2498,FIND("-",I2498)-1)))</f>
        <v>35</v>
      </c>
      <c r="L2498" t="str">
        <f t="shared" ref="L2498:L2561" si="159">IF(J2498="BC", 0-IF(ISERROR(FIND("-",I2498)),I2498,RIGHT(I2498,FIND("-",I2498)-1)), IF(ISERROR(FIND("-",I2498)),I2498,RIGHT(I2498,FIND("-",I2498)-1)))</f>
        <v>35</v>
      </c>
    </row>
    <row r="2499" spans="1:12" x14ac:dyDescent="0.35">
      <c r="A2499">
        <v>2512</v>
      </c>
      <c r="B2499" t="s">
        <v>7053</v>
      </c>
      <c r="C2499" t="s">
        <v>7051</v>
      </c>
      <c r="D2499" t="s">
        <v>7052</v>
      </c>
      <c r="E2499" t="s">
        <v>3788</v>
      </c>
      <c r="F2499" t="s">
        <v>4363</v>
      </c>
      <c r="G2499" t="s">
        <v>53</v>
      </c>
      <c r="H2499" t="s">
        <v>7050</v>
      </c>
      <c r="I2499" t="str">
        <f t="shared" si="156"/>
        <v>Future</v>
      </c>
      <c r="J2499" t="str">
        <f t="shared" si="157"/>
        <v>re</v>
      </c>
      <c r="K2499" t="str">
        <f t="shared" si="158"/>
        <v>Future</v>
      </c>
      <c r="L2499" t="str">
        <f t="shared" si="159"/>
        <v>Future</v>
      </c>
    </row>
    <row r="2500" spans="1:12" x14ac:dyDescent="0.35">
      <c r="A2500">
        <v>2513</v>
      </c>
      <c r="B2500" t="s">
        <v>7049</v>
      </c>
      <c r="C2500" t="s">
        <v>10513</v>
      </c>
      <c r="D2500" t="s">
        <v>7048</v>
      </c>
      <c r="E2500" t="s">
        <v>3788</v>
      </c>
      <c r="F2500" t="s">
        <v>4363</v>
      </c>
      <c r="G2500" t="s">
        <v>53</v>
      </c>
      <c r="H2500" t="s">
        <v>7047</v>
      </c>
      <c r="I2500" t="str">
        <f t="shared" si="156"/>
        <v>Future</v>
      </c>
      <c r="J2500" t="str">
        <f t="shared" si="157"/>
        <v>re</v>
      </c>
      <c r="K2500" t="str">
        <f t="shared" si="158"/>
        <v>Future</v>
      </c>
      <c r="L2500" t="str">
        <f t="shared" si="159"/>
        <v>Future</v>
      </c>
    </row>
    <row r="2501" spans="1:12" x14ac:dyDescent="0.35">
      <c r="A2501">
        <v>2514</v>
      </c>
      <c r="B2501" t="s">
        <v>7046</v>
      </c>
      <c r="C2501" t="s">
        <v>10678</v>
      </c>
      <c r="D2501" t="s">
        <v>7045</v>
      </c>
      <c r="E2501" t="s">
        <v>3788</v>
      </c>
      <c r="F2501" t="s">
        <v>4363</v>
      </c>
      <c r="G2501" t="s">
        <v>53</v>
      </c>
      <c r="H2501" t="s">
        <v>7044</v>
      </c>
      <c r="I2501" t="str">
        <f t="shared" si="156"/>
        <v>Future</v>
      </c>
      <c r="J2501" t="str">
        <f t="shared" si="157"/>
        <v>re</v>
      </c>
      <c r="K2501" t="str">
        <f t="shared" si="158"/>
        <v>Future</v>
      </c>
      <c r="L2501" t="str">
        <f t="shared" si="159"/>
        <v>Future</v>
      </c>
    </row>
    <row r="2502" spans="1:12" x14ac:dyDescent="0.35">
      <c r="A2502">
        <v>2515</v>
      </c>
      <c r="B2502" t="s">
        <v>7043</v>
      </c>
      <c r="C2502" t="s">
        <v>10635</v>
      </c>
      <c r="D2502" t="s">
        <v>7042</v>
      </c>
      <c r="E2502" t="s">
        <v>3788</v>
      </c>
      <c r="F2502" t="s">
        <v>4363</v>
      </c>
      <c r="G2502" t="s">
        <v>53</v>
      </c>
      <c r="H2502" t="s">
        <v>7041</v>
      </c>
      <c r="I2502" t="str">
        <f t="shared" si="156"/>
        <v>Future</v>
      </c>
      <c r="J2502" t="str">
        <f t="shared" si="157"/>
        <v>re</v>
      </c>
      <c r="K2502" t="str">
        <f t="shared" si="158"/>
        <v>Future</v>
      </c>
      <c r="L2502" t="str">
        <f t="shared" si="159"/>
        <v>Future</v>
      </c>
    </row>
    <row r="2503" spans="1:12" x14ac:dyDescent="0.35">
      <c r="A2503">
        <v>2516</v>
      </c>
      <c r="B2503" t="s">
        <v>7040</v>
      </c>
      <c r="C2503" t="s">
        <v>10048</v>
      </c>
      <c r="D2503" t="s">
        <v>7039</v>
      </c>
      <c r="E2503" t="s">
        <v>7035</v>
      </c>
      <c r="F2503" t="s">
        <v>7034</v>
      </c>
      <c r="G2503" t="s">
        <v>59</v>
      </c>
      <c r="H2503" t="s">
        <v>7038</v>
      </c>
      <c r="I2503" t="str">
        <f t="shared" si="156"/>
        <v>55</v>
      </c>
      <c r="J2503" t="str">
        <f t="shared" si="157"/>
        <v>AD</v>
      </c>
      <c r="K2503" t="str">
        <f t="shared" si="158"/>
        <v>55</v>
      </c>
      <c r="L2503" t="str">
        <f t="shared" si="159"/>
        <v>55</v>
      </c>
    </row>
    <row r="2504" spans="1:12" x14ac:dyDescent="0.35">
      <c r="A2504">
        <v>2517</v>
      </c>
      <c r="B2504" t="s">
        <v>7037</v>
      </c>
      <c r="C2504" t="s">
        <v>10632</v>
      </c>
      <c r="D2504" t="s">
        <v>7036</v>
      </c>
      <c r="E2504" t="s">
        <v>7035</v>
      </c>
      <c r="F2504" t="s">
        <v>7034</v>
      </c>
      <c r="G2504" t="s">
        <v>53</v>
      </c>
      <c r="H2504" t="s">
        <v>7033</v>
      </c>
      <c r="I2504" t="str">
        <f t="shared" si="156"/>
        <v>55</v>
      </c>
      <c r="J2504" t="str">
        <f t="shared" si="157"/>
        <v>AD</v>
      </c>
      <c r="K2504" t="str">
        <f t="shared" si="158"/>
        <v>55</v>
      </c>
      <c r="L2504" t="str">
        <f t="shared" si="159"/>
        <v>55</v>
      </c>
    </row>
    <row r="2505" spans="1:12" x14ac:dyDescent="0.35">
      <c r="A2505">
        <v>2518</v>
      </c>
      <c r="B2505" t="s">
        <v>7185</v>
      </c>
      <c r="C2505" t="s">
        <v>10609</v>
      </c>
      <c r="D2505" t="s">
        <v>7186</v>
      </c>
      <c r="E2505" t="s">
        <v>1112</v>
      </c>
      <c r="F2505" t="s">
        <v>7187</v>
      </c>
      <c r="G2505" t="s">
        <v>53</v>
      </c>
      <c r="H2505" t="s">
        <v>7188</v>
      </c>
      <c r="I2505" t="str">
        <f t="shared" si="156"/>
        <v>55-56</v>
      </c>
      <c r="J2505" t="str">
        <f t="shared" si="157"/>
        <v>AD</v>
      </c>
      <c r="K2505" t="str">
        <f t="shared" si="158"/>
        <v>55</v>
      </c>
      <c r="L2505" t="str">
        <f t="shared" si="159"/>
        <v>56</v>
      </c>
    </row>
    <row r="2506" spans="1:12" x14ac:dyDescent="0.35">
      <c r="A2506">
        <v>2519</v>
      </c>
      <c r="B2506" t="s">
        <v>7189</v>
      </c>
      <c r="C2506" t="s">
        <v>10042</v>
      </c>
      <c r="D2506" t="s">
        <v>7190</v>
      </c>
      <c r="E2506" t="s">
        <v>7191</v>
      </c>
      <c r="F2506" t="s">
        <v>7187</v>
      </c>
      <c r="G2506" t="s">
        <v>53</v>
      </c>
      <c r="H2506" t="s">
        <v>7192</v>
      </c>
      <c r="I2506" t="str">
        <f t="shared" si="156"/>
        <v>55-56</v>
      </c>
      <c r="J2506" t="str">
        <f t="shared" si="157"/>
        <v>AD</v>
      </c>
      <c r="K2506" t="str">
        <f t="shared" si="158"/>
        <v>55</v>
      </c>
      <c r="L2506" t="str">
        <f t="shared" si="159"/>
        <v>56</v>
      </c>
    </row>
    <row r="2507" spans="1:12" x14ac:dyDescent="0.35">
      <c r="A2507">
        <v>2520</v>
      </c>
      <c r="B2507" t="s">
        <v>7193</v>
      </c>
      <c r="C2507" t="s">
        <v>10635</v>
      </c>
      <c r="D2507" t="s">
        <v>7194</v>
      </c>
      <c r="E2507" t="s">
        <v>7195</v>
      </c>
      <c r="F2507" t="s">
        <v>7187</v>
      </c>
      <c r="G2507" t="s">
        <v>53</v>
      </c>
      <c r="H2507" t="s">
        <v>7196</v>
      </c>
      <c r="I2507" t="str">
        <f t="shared" si="156"/>
        <v>55-56</v>
      </c>
      <c r="J2507" t="str">
        <f t="shared" si="157"/>
        <v>AD</v>
      </c>
      <c r="K2507" t="str">
        <f t="shared" si="158"/>
        <v>55</v>
      </c>
      <c r="L2507" t="str">
        <f t="shared" si="159"/>
        <v>56</v>
      </c>
    </row>
    <row r="2508" spans="1:12" x14ac:dyDescent="0.35">
      <c r="A2508">
        <v>2521</v>
      </c>
      <c r="B2508" t="s">
        <v>7197</v>
      </c>
      <c r="C2508" t="s">
        <v>10512</v>
      </c>
      <c r="D2508" t="s">
        <v>7198</v>
      </c>
      <c r="E2508" t="s">
        <v>7199</v>
      </c>
      <c r="F2508" t="s">
        <v>7187</v>
      </c>
      <c r="G2508" t="s">
        <v>53</v>
      </c>
      <c r="H2508" t="s">
        <v>7200</v>
      </c>
      <c r="I2508" t="str">
        <f t="shared" si="156"/>
        <v>55-56</v>
      </c>
      <c r="J2508" t="str">
        <f t="shared" si="157"/>
        <v>AD</v>
      </c>
      <c r="K2508" t="str">
        <f t="shared" si="158"/>
        <v>55</v>
      </c>
      <c r="L2508" t="str">
        <f t="shared" si="159"/>
        <v>56</v>
      </c>
    </row>
    <row r="2509" spans="1:12" x14ac:dyDescent="0.35">
      <c r="A2509">
        <v>2522</v>
      </c>
      <c r="B2509" t="s">
        <v>7201</v>
      </c>
      <c r="C2509" t="s">
        <v>10513</v>
      </c>
      <c r="D2509" t="s">
        <v>7202</v>
      </c>
      <c r="E2509" t="s">
        <v>7203</v>
      </c>
      <c r="F2509" t="s">
        <v>7187</v>
      </c>
      <c r="G2509" t="s">
        <v>61</v>
      </c>
      <c r="H2509" t="s">
        <v>7204</v>
      </c>
      <c r="I2509" t="str">
        <f t="shared" si="156"/>
        <v>55-56</v>
      </c>
      <c r="J2509" t="str">
        <f t="shared" si="157"/>
        <v>AD</v>
      </c>
      <c r="K2509" t="str">
        <f t="shared" si="158"/>
        <v>55</v>
      </c>
      <c r="L2509" t="str">
        <f t="shared" si="159"/>
        <v>56</v>
      </c>
    </row>
    <row r="2510" spans="1:12" x14ac:dyDescent="0.35">
      <c r="A2510">
        <v>2523</v>
      </c>
      <c r="B2510" t="s">
        <v>7205</v>
      </c>
      <c r="C2510" t="s">
        <v>10636</v>
      </c>
      <c r="D2510" t="s">
        <v>7206</v>
      </c>
      <c r="E2510" t="s">
        <v>7207</v>
      </c>
      <c r="F2510" t="s">
        <v>7187</v>
      </c>
      <c r="G2510" t="s">
        <v>53</v>
      </c>
      <c r="H2510" t="s">
        <v>7208</v>
      </c>
      <c r="I2510" t="str">
        <f t="shared" si="156"/>
        <v>55-56</v>
      </c>
      <c r="J2510" t="str">
        <f t="shared" si="157"/>
        <v>AD</v>
      </c>
      <c r="K2510" t="str">
        <f t="shared" si="158"/>
        <v>55</v>
      </c>
      <c r="L2510" t="str">
        <f t="shared" si="159"/>
        <v>56</v>
      </c>
    </row>
    <row r="2511" spans="1:12" x14ac:dyDescent="0.35">
      <c r="A2511">
        <v>2524</v>
      </c>
      <c r="B2511" t="s">
        <v>7209</v>
      </c>
      <c r="C2511" t="s">
        <v>10618</v>
      </c>
      <c r="D2511" t="s">
        <v>7210</v>
      </c>
      <c r="E2511" t="s">
        <v>7199</v>
      </c>
      <c r="F2511" t="s">
        <v>7187</v>
      </c>
      <c r="G2511" t="s">
        <v>53</v>
      </c>
      <c r="H2511" t="s">
        <v>7211</v>
      </c>
      <c r="I2511" t="str">
        <f t="shared" si="156"/>
        <v>55-56</v>
      </c>
      <c r="J2511" t="str">
        <f t="shared" si="157"/>
        <v>AD</v>
      </c>
      <c r="K2511" t="str">
        <f t="shared" si="158"/>
        <v>55</v>
      </c>
      <c r="L2511" t="str">
        <f t="shared" si="159"/>
        <v>56</v>
      </c>
    </row>
    <row r="2512" spans="1:12" x14ac:dyDescent="0.35">
      <c r="A2512">
        <v>2525</v>
      </c>
      <c r="B2512" t="s">
        <v>7212</v>
      </c>
      <c r="C2512" t="s">
        <v>7215</v>
      </c>
      <c r="D2512" t="s">
        <v>7213</v>
      </c>
      <c r="E2512" t="s">
        <v>7214</v>
      </c>
      <c r="F2512" t="s">
        <v>7187</v>
      </c>
      <c r="G2512" t="s">
        <v>53</v>
      </c>
      <c r="H2512" t="s">
        <v>7216</v>
      </c>
      <c r="I2512" t="str">
        <f t="shared" si="156"/>
        <v>55-56</v>
      </c>
      <c r="J2512" t="str">
        <f t="shared" si="157"/>
        <v>AD</v>
      </c>
      <c r="K2512" t="str">
        <f t="shared" si="158"/>
        <v>55</v>
      </c>
      <c r="L2512" t="str">
        <f t="shared" si="159"/>
        <v>56</v>
      </c>
    </row>
    <row r="2513" spans="1:12" x14ac:dyDescent="0.35">
      <c r="A2513">
        <v>2526</v>
      </c>
      <c r="B2513" t="s">
        <v>7217</v>
      </c>
      <c r="C2513" t="s">
        <v>10038</v>
      </c>
      <c r="D2513" t="s">
        <v>7218</v>
      </c>
      <c r="E2513" t="s">
        <v>7219</v>
      </c>
      <c r="F2513" t="s">
        <v>4363</v>
      </c>
      <c r="G2513" t="s">
        <v>53</v>
      </c>
      <c r="H2513" t="s">
        <v>7220</v>
      </c>
      <c r="I2513" t="str">
        <f t="shared" si="156"/>
        <v>Future</v>
      </c>
      <c r="J2513" t="str">
        <f t="shared" si="157"/>
        <v>re</v>
      </c>
      <c r="K2513" t="str">
        <f t="shared" si="158"/>
        <v>Future</v>
      </c>
      <c r="L2513" t="str">
        <f t="shared" si="159"/>
        <v>Future</v>
      </c>
    </row>
    <row r="2514" spans="1:12" x14ac:dyDescent="0.35">
      <c r="A2514">
        <v>2527</v>
      </c>
      <c r="B2514" t="s">
        <v>7221</v>
      </c>
      <c r="C2514" t="s">
        <v>10637</v>
      </c>
      <c r="D2514" t="s">
        <v>7222</v>
      </c>
      <c r="E2514" t="s">
        <v>7223</v>
      </c>
      <c r="F2514" t="s">
        <v>7187</v>
      </c>
      <c r="G2514" t="s">
        <v>53</v>
      </c>
      <c r="H2514" t="s">
        <v>7224</v>
      </c>
      <c r="I2514" t="str">
        <f t="shared" si="156"/>
        <v>55-56</v>
      </c>
      <c r="J2514" t="str">
        <f t="shared" si="157"/>
        <v>AD</v>
      </c>
      <c r="K2514" t="str">
        <f t="shared" si="158"/>
        <v>55</v>
      </c>
      <c r="L2514" t="str">
        <f t="shared" si="159"/>
        <v>56</v>
      </c>
    </row>
    <row r="2515" spans="1:12" x14ac:dyDescent="0.35">
      <c r="A2515">
        <v>2528</v>
      </c>
      <c r="B2515" t="s">
        <v>7225</v>
      </c>
      <c r="C2515" t="s">
        <v>10638</v>
      </c>
      <c r="D2515" t="s">
        <v>7226</v>
      </c>
      <c r="E2515" t="s">
        <v>7227</v>
      </c>
      <c r="F2515" t="s">
        <v>7228</v>
      </c>
      <c r="G2515" t="s">
        <v>53</v>
      </c>
      <c r="H2515" t="s">
        <v>7229</v>
      </c>
      <c r="I2515" t="str">
        <f t="shared" si="156"/>
        <v>33/ongoing</v>
      </c>
      <c r="J2515" t="str">
        <f t="shared" si="157"/>
        <v>ng</v>
      </c>
      <c r="K2515" t="str">
        <f t="shared" si="158"/>
        <v>33/ongoing</v>
      </c>
      <c r="L2515" t="str">
        <f t="shared" si="159"/>
        <v>33/ongoing</v>
      </c>
    </row>
    <row r="2516" spans="1:12" x14ac:dyDescent="0.35">
      <c r="A2516">
        <v>2529</v>
      </c>
      <c r="B2516" t="s">
        <v>7230</v>
      </c>
      <c r="C2516" t="s">
        <v>10639</v>
      </c>
      <c r="D2516" t="s">
        <v>7231</v>
      </c>
      <c r="E2516" t="s">
        <v>6761</v>
      </c>
      <c r="F2516" t="s">
        <v>7187</v>
      </c>
      <c r="G2516" t="s">
        <v>53</v>
      </c>
      <c r="H2516" t="s">
        <v>7232</v>
      </c>
      <c r="I2516" t="str">
        <f t="shared" si="156"/>
        <v>55-56</v>
      </c>
      <c r="J2516" t="str">
        <f t="shared" si="157"/>
        <v>AD</v>
      </c>
      <c r="K2516" t="str">
        <f t="shared" si="158"/>
        <v>55</v>
      </c>
      <c r="L2516" t="str">
        <f t="shared" si="159"/>
        <v>56</v>
      </c>
    </row>
    <row r="2517" spans="1:12" x14ac:dyDescent="0.35">
      <c r="A2517">
        <v>2530</v>
      </c>
      <c r="B2517" t="s">
        <v>7233</v>
      </c>
      <c r="C2517" t="s">
        <v>7237</v>
      </c>
      <c r="D2517" t="s">
        <v>7234</v>
      </c>
      <c r="E2517" t="s">
        <v>7035</v>
      </c>
      <c r="F2517" t="s">
        <v>7235</v>
      </c>
      <c r="G2517" t="s">
        <v>7236</v>
      </c>
      <c r="H2517" t="s">
        <v>7238</v>
      </c>
      <c r="I2517" t="str">
        <f t="shared" si="156"/>
        <v>50-52</v>
      </c>
      <c r="J2517" t="str">
        <f t="shared" si="157"/>
        <v>AD</v>
      </c>
      <c r="K2517" t="str">
        <f t="shared" si="158"/>
        <v>50</v>
      </c>
      <c r="L2517" t="str">
        <f t="shared" si="159"/>
        <v>52</v>
      </c>
    </row>
    <row r="2518" spans="1:12" x14ac:dyDescent="0.35">
      <c r="A2518">
        <v>2531</v>
      </c>
      <c r="B2518" t="s">
        <v>7239</v>
      </c>
      <c r="C2518" t="s">
        <v>10048</v>
      </c>
      <c r="D2518" t="s">
        <v>7240</v>
      </c>
      <c r="E2518" t="s">
        <v>3807</v>
      </c>
      <c r="F2518" t="s">
        <v>7241</v>
      </c>
      <c r="G2518" t="s">
        <v>7242</v>
      </c>
      <c r="H2518" t="s">
        <v>7243</v>
      </c>
      <c r="I2518" t="str">
        <f t="shared" si="156"/>
        <v>Before 55-56</v>
      </c>
      <c r="J2518" t="str">
        <f t="shared" si="157"/>
        <v>AD</v>
      </c>
      <c r="K2518" t="str">
        <f t="shared" si="158"/>
        <v>Before 55</v>
      </c>
      <c r="L2518" t="str">
        <f t="shared" si="159"/>
        <v>ore 55-56</v>
      </c>
    </row>
    <row r="2519" spans="1:12" x14ac:dyDescent="0.35">
      <c r="A2519">
        <v>2532</v>
      </c>
      <c r="B2519" t="s">
        <v>7244</v>
      </c>
      <c r="C2519" t="s">
        <v>10640</v>
      </c>
      <c r="D2519" t="s">
        <v>7245</v>
      </c>
      <c r="E2519" t="s">
        <v>7246</v>
      </c>
      <c r="F2519" t="s">
        <v>7247</v>
      </c>
      <c r="G2519" t="s">
        <v>53</v>
      </c>
      <c r="H2519" t="s">
        <v>7248</v>
      </c>
      <c r="I2519" t="str">
        <f t="shared" si="156"/>
        <v>41-43</v>
      </c>
      <c r="J2519" t="str">
        <f t="shared" si="157"/>
        <v>AD</v>
      </c>
      <c r="K2519" t="str">
        <f t="shared" si="158"/>
        <v>41</v>
      </c>
      <c r="L2519" t="str">
        <f t="shared" si="159"/>
        <v>43</v>
      </c>
    </row>
    <row r="2520" spans="1:12" x14ac:dyDescent="0.35">
      <c r="A2520">
        <v>2533</v>
      </c>
      <c r="B2520" t="s">
        <v>7249</v>
      </c>
      <c r="C2520" t="s">
        <v>10540</v>
      </c>
      <c r="D2520" t="s">
        <v>7250</v>
      </c>
      <c r="E2520" t="s">
        <v>7251</v>
      </c>
      <c r="F2520" t="s">
        <v>7247</v>
      </c>
      <c r="G2520" t="s">
        <v>53</v>
      </c>
      <c r="H2520" t="s">
        <v>7252</v>
      </c>
      <c r="I2520" t="str">
        <f t="shared" si="156"/>
        <v>41-43</v>
      </c>
      <c r="J2520" t="str">
        <f t="shared" si="157"/>
        <v>AD</v>
      </c>
      <c r="K2520" t="str">
        <f t="shared" si="158"/>
        <v>41</v>
      </c>
      <c r="L2520" t="str">
        <f t="shared" si="159"/>
        <v>43</v>
      </c>
    </row>
    <row r="2521" spans="1:12" x14ac:dyDescent="0.35">
      <c r="A2521">
        <v>2534</v>
      </c>
      <c r="B2521" t="s">
        <v>7253</v>
      </c>
      <c r="C2521" t="s">
        <v>10618</v>
      </c>
      <c r="D2521" t="s">
        <v>7254</v>
      </c>
      <c r="E2521" t="s">
        <v>7199</v>
      </c>
      <c r="F2521" t="s">
        <v>7187</v>
      </c>
      <c r="G2521" t="s">
        <v>7255</v>
      </c>
      <c r="H2521" t="s">
        <v>7256</v>
      </c>
      <c r="I2521" t="str">
        <f t="shared" si="156"/>
        <v>55-56</v>
      </c>
      <c r="J2521" t="str">
        <f t="shared" si="157"/>
        <v>AD</v>
      </c>
      <c r="K2521" t="str">
        <f t="shared" si="158"/>
        <v>55</v>
      </c>
      <c r="L2521" t="str">
        <f t="shared" si="159"/>
        <v>56</v>
      </c>
    </row>
    <row r="2522" spans="1:12" x14ac:dyDescent="0.35">
      <c r="A2522">
        <v>2535</v>
      </c>
      <c r="B2522" t="s">
        <v>7257</v>
      </c>
      <c r="C2522" t="s">
        <v>10540</v>
      </c>
      <c r="D2522" t="s">
        <v>7258</v>
      </c>
      <c r="E2522" t="s">
        <v>7199</v>
      </c>
      <c r="F2522" t="s">
        <v>7187</v>
      </c>
      <c r="G2522" t="s">
        <v>7255</v>
      </c>
      <c r="H2522" t="s">
        <v>7259</v>
      </c>
      <c r="I2522" t="str">
        <f t="shared" si="156"/>
        <v>55-56</v>
      </c>
      <c r="J2522" t="str">
        <f t="shared" si="157"/>
        <v>AD</v>
      </c>
      <c r="K2522" t="str">
        <f t="shared" si="158"/>
        <v>55</v>
      </c>
      <c r="L2522" t="str">
        <f t="shared" si="159"/>
        <v>56</v>
      </c>
    </row>
    <row r="2523" spans="1:12" x14ac:dyDescent="0.35">
      <c r="A2523">
        <v>2536</v>
      </c>
      <c r="B2523" t="s">
        <v>7260</v>
      </c>
      <c r="C2523" t="s">
        <v>10641</v>
      </c>
      <c r="D2523" t="s">
        <v>7254</v>
      </c>
      <c r="E2523" t="s">
        <v>7261</v>
      </c>
      <c r="F2523" t="s">
        <v>7187</v>
      </c>
      <c r="G2523" t="s">
        <v>7255</v>
      </c>
      <c r="H2523" t="s">
        <v>7262</v>
      </c>
      <c r="I2523" t="str">
        <f t="shared" si="156"/>
        <v>55-56</v>
      </c>
      <c r="J2523" t="str">
        <f t="shared" si="157"/>
        <v>AD</v>
      </c>
      <c r="K2523" t="str">
        <f t="shared" si="158"/>
        <v>55</v>
      </c>
      <c r="L2523" t="str">
        <f t="shared" si="159"/>
        <v>56</v>
      </c>
    </row>
    <row r="2524" spans="1:12" x14ac:dyDescent="0.35">
      <c r="A2524">
        <v>2537</v>
      </c>
      <c r="B2524" t="s">
        <v>7263</v>
      </c>
      <c r="C2524" t="s">
        <v>10642</v>
      </c>
      <c r="D2524" t="s">
        <v>7264</v>
      </c>
      <c r="E2524" t="s">
        <v>7265</v>
      </c>
      <c r="F2524" t="s">
        <v>7187</v>
      </c>
      <c r="G2524" t="s">
        <v>2407</v>
      </c>
      <c r="H2524" t="s">
        <v>7266</v>
      </c>
      <c r="I2524" t="str">
        <f t="shared" si="156"/>
        <v>55-56</v>
      </c>
      <c r="J2524" t="str">
        <f t="shared" si="157"/>
        <v>AD</v>
      </c>
      <c r="K2524" t="str">
        <f t="shared" si="158"/>
        <v>55</v>
      </c>
      <c r="L2524" t="str">
        <f t="shared" si="159"/>
        <v>56</v>
      </c>
    </row>
    <row r="2525" spans="1:12" x14ac:dyDescent="0.35">
      <c r="A2525">
        <v>2538</v>
      </c>
      <c r="B2525" t="s">
        <v>7267</v>
      </c>
      <c r="C2525" t="s">
        <v>10643</v>
      </c>
      <c r="D2525" t="s">
        <v>7268</v>
      </c>
      <c r="E2525" t="s">
        <v>7199</v>
      </c>
      <c r="F2525" t="s">
        <v>7187</v>
      </c>
      <c r="G2525" t="s">
        <v>2407</v>
      </c>
      <c r="H2525" t="s">
        <v>7269</v>
      </c>
      <c r="I2525" t="str">
        <f t="shared" si="156"/>
        <v>55-56</v>
      </c>
      <c r="J2525" t="str">
        <f t="shared" si="157"/>
        <v>AD</v>
      </c>
      <c r="K2525" t="str">
        <f t="shared" si="158"/>
        <v>55</v>
      </c>
      <c r="L2525" t="str">
        <f t="shared" si="159"/>
        <v>56</v>
      </c>
    </row>
    <row r="2526" spans="1:12" x14ac:dyDescent="0.35">
      <c r="A2526">
        <v>2539</v>
      </c>
      <c r="B2526" t="s">
        <v>7270</v>
      </c>
      <c r="C2526" t="s">
        <v>10513</v>
      </c>
      <c r="D2526" t="s">
        <v>7202</v>
      </c>
      <c r="E2526" t="s">
        <v>7271</v>
      </c>
      <c r="F2526" t="s">
        <v>3866</v>
      </c>
      <c r="G2526" t="s">
        <v>61</v>
      </c>
      <c r="H2526" t="s">
        <v>7272</v>
      </c>
      <c r="I2526" t="str">
        <f t="shared" si="156"/>
        <v>Ongoing</v>
      </c>
      <c r="J2526" t="str">
        <f t="shared" si="157"/>
        <v>ng</v>
      </c>
      <c r="K2526" t="str">
        <f t="shared" si="158"/>
        <v>Ongoing</v>
      </c>
      <c r="L2526" t="str">
        <f t="shared" si="159"/>
        <v>Ongoing</v>
      </c>
    </row>
    <row r="2527" spans="1:12" x14ac:dyDescent="0.35">
      <c r="A2527">
        <v>2540</v>
      </c>
      <c r="B2527" t="s">
        <v>7273</v>
      </c>
      <c r="C2527" t="s">
        <v>10038</v>
      </c>
      <c r="D2527" t="s">
        <v>7274</v>
      </c>
      <c r="E2527" t="s">
        <v>7275</v>
      </c>
      <c r="F2527" t="s">
        <v>3866</v>
      </c>
      <c r="G2527" t="s">
        <v>53</v>
      </c>
      <c r="H2527" t="s">
        <v>7276</v>
      </c>
      <c r="I2527" t="str">
        <f t="shared" si="156"/>
        <v>Ongoing</v>
      </c>
      <c r="J2527" t="str">
        <f t="shared" si="157"/>
        <v>ng</v>
      </c>
      <c r="K2527" t="str">
        <f t="shared" si="158"/>
        <v>Ongoing</v>
      </c>
      <c r="L2527" t="str">
        <f t="shared" si="159"/>
        <v>Ongoing</v>
      </c>
    </row>
    <row r="2528" spans="1:12" x14ac:dyDescent="0.35">
      <c r="A2528">
        <v>2541</v>
      </c>
      <c r="B2528" t="s">
        <v>7398</v>
      </c>
      <c r="C2528" t="s">
        <v>7396</v>
      </c>
      <c r="D2528" t="s">
        <v>7397</v>
      </c>
      <c r="E2528" t="s">
        <v>1211</v>
      </c>
      <c r="F2528" t="s">
        <v>6149</v>
      </c>
      <c r="G2528" t="s">
        <v>7255</v>
      </c>
      <c r="H2528" t="s">
        <v>7395</v>
      </c>
      <c r="I2528" t="str">
        <f t="shared" si="156"/>
        <v>33</v>
      </c>
      <c r="J2528" t="str">
        <f t="shared" si="157"/>
        <v>AD</v>
      </c>
      <c r="K2528" t="str">
        <f t="shared" si="158"/>
        <v>33</v>
      </c>
      <c r="L2528" t="str">
        <f t="shared" si="159"/>
        <v>33</v>
      </c>
    </row>
    <row r="2529" spans="1:12" x14ac:dyDescent="0.35">
      <c r="A2529">
        <v>2542</v>
      </c>
      <c r="B2529" t="s">
        <v>7394</v>
      </c>
      <c r="C2529" t="s">
        <v>10048</v>
      </c>
      <c r="D2529" t="s">
        <v>7393</v>
      </c>
      <c r="E2529" t="s">
        <v>7385</v>
      </c>
      <c r="F2529" t="s">
        <v>6819</v>
      </c>
      <c r="G2529" t="s">
        <v>7392</v>
      </c>
      <c r="H2529" t="s">
        <v>7391</v>
      </c>
      <c r="I2529" t="str">
        <f t="shared" si="156"/>
        <v>35</v>
      </c>
      <c r="J2529" t="str">
        <f t="shared" si="157"/>
        <v>AD</v>
      </c>
      <c r="K2529" t="str">
        <f t="shared" si="158"/>
        <v>35</v>
      </c>
      <c r="L2529" t="str">
        <f t="shared" si="159"/>
        <v>35</v>
      </c>
    </row>
    <row r="2530" spans="1:12" x14ac:dyDescent="0.35">
      <c r="A2530">
        <v>2543</v>
      </c>
      <c r="B2530" t="s">
        <v>7390</v>
      </c>
      <c r="C2530" t="s">
        <v>10644</v>
      </c>
      <c r="D2530" t="s">
        <v>7386</v>
      </c>
      <c r="E2530" t="s">
        <v>2128</v>
      </c>
      <c r="F2530" t="s">
        <v>6819</v>
      </c>
      <c r="G2530" t="s">
        <v>7389</v>
      </c>
      <c r="H2530" t="s">
        <v>7388</v>
      </c>
      <c r="I2530" t="str">
        <f t="shared" si="156"/>
        <v>35</v>
      </c>
      <c r="J2530" t="str">
        <f t="shared" si="157"/>
        <v>AD</v>
      </c>
      <c r="K2530" t="str">
        <f t="shared" si="158"/>
        <v>35</v>
      </c>
      <c r="L2530" t="str">
        <f t="shared" si="159"/>
        <v>35</v>
      </c>
    </row>
    <row r="2531" spans="1:12" x14ac:dyDescent="0.35">
      <c r="A2531">
        <v>2544</v>
      </c>
      <c r="B2531" t="s">
        <v>7387</v>
      </c>
      <c r="C2531" t="s">
        <v>11697</v>
      </c>
      <c r="D2531" t="s">
        <v>7386</v>
      </c>
      <c r="E2531" t="s">
        <v>7385</v>
      </c>
      <c r="F2531" t="s">
        <v>6819</v>
      </c>
      <c r="G2531" t="s">
        <v>53</v>
      </c>
      <c r="H2531" t="s">
        <v>7384</v>
      </c>
      <c r="I2531" t="str">
        <f t="shared" si="156"/>
        <v>35</v>
      </c>
      <c r="J2531" t="str">
        <f t="shared" si="157"/>
        <v>AD</v>
      </c>
      <c r="K2531" t="str">
        <f t="shared" si="158"/>
        <v>35</v>
      </c>
      <c r="L2531" t="str">
        <f t="shared" si="159"/>
        <v>35</v>
      </c>
    </row>
    <row r="2532" spans="1:12" x14ac:dyDescent="0.35">
      <c r="A2532">
        <v>2545</v>
      </c>
      <c r="B2532" t="s">
        <v>7383</v>
      </c>
      <c r="C2532" t="s">
        <v>10645</v>
      </c>
      <c r="D2532" t="s">
        <v>7382</v>
      </c>
      <c r="E2532" t="s">
        <v>7381</v>
      </c>
      <c r="F2532" t="s">
        <v>6819</v>
      </c>
      <c r="G2532" t="s">
        <v>53</v>
      </c>
      <c r="H2532" t="s">
        <v>7380</v>
      </c>
      <c r="I2532" t="str">
        <f t="shared" si="156"/>
        <v>35</v>
      </c>
      <c r="J2532" t="str">
        <f t="shared" si="157"/>
        <v>AD</v>
      </c>
      <c r="K2532" t="str">
        <f t="shared" si="158"/>
        <v>35</v>
      </c>
      <c r="L2532" t="str">
        <f t="shared" si="159"/>
        <v>35</v>
      </c>
    </row>
    <row r="2533" spans="1:12" x14ac:dyDescent="0.35">
      <c r="A2533">
        <v>2546</v>
      </c>
      <c r="B2533" t="s">
        <v>7379</v>
      </c>
      <c r="C2533" t="s">
        <v>10048</v>
      </c>
      <c r="D2533" t="s">
        <v>7378</v>
      </c>
      <c r="E2533" t="s">
        <v>6796</v>
      </c>
      <c r="F2533" t="s">
        <v>7377</v>
      </c>
      <c r="G2533" t="s">
        <v>53</v>
      </c>
      <c r="H2533" t="s">
        <v>7376</v>
      </c>
      <c r="I2533" t="str">
        <f t="shared" si="156"/>
        <v>49</v>
      </c>
      <c r="J2533" t="str">
        <f t="shared" si="157"/>
        <v>AD</v>
      </c>
      <c r="K2533" t="str">
        <f t="shared" si="158"/>
        <v>49</v>
      </c>
      <c r="L2533" t="str">
        <f t="shared" si="159"/>
        <v>49</v>
      </c>
    </row>
    <row r="2534" spans="1:12" x14ac:dyDescent="0.35">
      <c r="A2534">
        <v>2547</v>
      </c>
      <c r="B2534" t="s">
        <v>7375</v>
      </c>
      <c r="C2534" t="s">
        <v>7373</v>
      </c>
      <c r="D2534" t="s">
        <v>7374</v>
      </c>
      <c r="E2534" t="s">
        <v>3613</v>
      </c>
      <c r="F2534" t="s">
        <v>6357</v>
      </c>
      <c r="G2534" t="s">
        <v>7255</v>
      </c>
      <c r="H2534" t="s">
        <v>7372</v>
      </c>
      <c r="I2534" t="str">
        <f t="shared" si="156"/>
        <v>33 onward</v>
      </c>
      <c r="J2534" t="str">
        <f t="shared" si="157"/>
        <v>rd</v>
      </c>
      <c r="K2534" t="str">
        <f t="shared" si="158"/>
        <v>33 onward</v>
      </c>
      <c r="L2534" t="str">
        <f t="shared" si="159"/>
        <v>33 onward</v>
      </c>
    </row>
    <row r="2535" spans="1:12" x14ac:dyDescent="0.35">
      <c r="A2535">
        <v>2548</v>
      </c>
      <c r="B2535" t="s">
        <v>7371</v>
      </c>
      <c r="C2535" t="s">
        <v>7368</v>
      </c>
      <c r="D2535" t="s">
        <v>7370</v>
      </c>
      <c r="E2535" t="s">
        <v>7328</v>
      </c>
      <c r="F2535" t="s">
        <v>7336</v>
      </c>
      <c r="G2535" t="s">
        <v>7369</v>
      </c>
      <c r="H2535" t="s">
        <v>7367</v>
      </c>
      <c r="I2535" t="str">
        <f t="shared" si="156"/>
        <v>47-50</v>
      </c>
      <c r="J2535" t="str">
        <f t="shared" si="157"/>
        <v>AD</v>
      </c>
      <c r="K2535" t="str">
        <f t="shared" si="158"/>
        <v>47</v>
      </c>
      <c r="L2535" t="str">
        <f t="shared" si="159"/>
        <v>50</v>
      </c>
    </row>
    <row r="2536" spans="1:12" x14ac:dyDescent="0.35">
      <c r="A2536">
        <v>2549</v>
      </c>
      <c r="B2536" t="s">
        <v>7366</v>
      </c>
      <c r="C2536" t="s">
        <v>7335</v>
      </c>
      <c r="D2536" t="s">
        <v>7365</v>
      </c>
      <c r="E2536" t="s">
        <v>7328</v>
      </c>
      <c r="F2536" t="s">
        <v>7336</v>
      </c>
      <c r="G2536" t="s">
        <v>53</v>
      </c>
      <c r="H2536" t="s">
        <v>7364</v>
      </c>
      <c r="I2536" t="str">
        <f t="shared" si="156"/>
        <v>47-50</v>
      </c>
      <c r="J2536" t="str">
        <f t="shared" si="157"/>
        <v>AD</v>
      </c>
      <c r="K2536" t="str">
        <f t="shared" si="158"/>
        <v>47</v>
      </c>
      <c r="L2536" t="str">
        <f t="shared" si="159"/>
        <v>50</v>
      </c>
    </row>
    <row r="2537" spans="1:12" x14ac:dyDescent="0.35">
      <c r="A2537">
        <v>2550</v>
      </c>
      <c r="B2537" t="s">
        <v>7363</v>
      </c>
      <c r="C2537" t="s">
        <v>7362</v>
      </c>
      <c r="D2537" t="s">
        <v>7359</v>
      </c>
      <c r="E2537" t="s">
        <v>7328</v>
      </c>
      <c r="F2537" t="s">
        <v>7336</v>
      </c>
      <c r="G2537" t="s">
        <v>6735</v>
      </c>
      <c r="H2537" t="s">
        <v>7361</v>
      </c>
      <c r="I2537" t="str">
        <f t="shared" si="156"/>
        <v>47-50</v>
      </c>
      <c r="J2537" t="str">
        <f t="shared" si="157"/>
        <v>AD</v>
      </c>
      <c r="K2537" t="str">
        <f t="shared" si="158"/>
        <v>47</v>
      </c>
      <c r="L2537" t="str">
        <f t="shared" si="159"/>
        <v>50</v>
      </c>
    </row>
    <row r="2538" spans="1:12" x14ac:dyDescent="0.35">
      <c r="A2538">
        <v>2551</v>
      </c>
      <c r="B2538" t="s">
        <v>7360</v>
      </c>
      <c r="C2538" t="s">
        <v>7358</v>
      </c>
      <c r="D2538" t="s">
        <v>7359</v>
      </c>
      <c r="E2538" t="s">
        <v>7328</v>
      </c>
      <c r="F2538" t="s">
        <v>7336</v>
      </c>
      <c r="G2538" t="s">
        <v>53</v>
      </c>
      <c r="H2538" t="s">
        <v>7357</v>
      </c>
      <c r="I2538" t="str">
        <f t="shared" si="156"/>
        <v>47-50</v>
      </c>
      <c r="J2538" t="str">
        <f t="shared" si="157"/>
        <v>AD</v>
      </c>
      <c r="K2538" t="str">
        <f t="shared" si="158"/>
        <v>47</v>
      </c>
      <c r="L2538" t="str">
        <f t="shared" si="159"/>
        <v>50</v>
      </c>
    </row>
    <row r="2539" spans="1:12" x14ac:dyDescent="0.35">
      <c r="A2539">
        <v>2552</v>
      </c>
      <c r="B2539" t="s">
        <v>7356</v>
      </c>
      <c r="C2539" t="s">
        <v>10646</v>
      </c>
      <c r="D2539" t="s">
        <v>7355</v>
      </c>
      <c r="E2539" t="s">
        <v>7324</v>
      </c>
      <c r="F2539" t="s">
        <v>6926</v>
      </c>
      <c r="G2539" t="s">
        <v>53</v>
      </c>
      <c r="H2539" t="s">
        <v>7354</v>
      </c>
      <c r="I2539" t="str">
        <f t="shared" si="156"/>
        <v>2000</v>
      </c>
      <c r="J2539" t="str">
        <f t="shared" si="157"/>
        <v>BC</v>
      </c>
      <c r="K2539">
        <f t="shared" si="158"/>
        <v>-2000</v>
      </c>
      <c r="L2539">
        <f t="shared" si="159"/>
        <v>-2000</v>
      </c>
    </row>
    <row r="2540" spans="1:12" x14ac:dyDescent="0.35">
      <c r="A2540">
        <v>2553</v>
      </c>
      <c r="B2540" t="s">
        <v>7353</v>
      </c>
      <c r="C2540" t="s">
        <v>10647</v>
      </c>
      <c r="D2540" t="s">
        <v>7352</v>
      </c>
      <c r="E2540" t="s">
        <v>357</v>
      </c>
      <c r="F2540" t="s">
        <v>386</v>
      </c>
      <c r="G2540" t="s">
        <v>7351</v>
      </c>
      <c r="H2540" t="s">
        <v>7350</v>
      </c>
      <c r="I2540" t="str">
        <f t="shared" si="156"/>
        <v>1445</v>
      </c>
      <c r="J2540" t="str">
        <f t="shared" si="157"/>
        <v>BC</v>
      </c>
      <c r="K2540">
        <f t="shared" si="158"/>
        <v>-1445</v>
      </c>
      <c r="L2540">
        <f t="shared" si="159"/>
        <v>-1445</v>
      </c>
    </row>
    <row r="2541" spans="1:12" x14ac:dyDescent="0.35">
      <c r="A2541">
        <v>2554</v>
      </c>
      <c r="B2541" t="s">
        <v>7349</v>
      </c>
      <c r="C2541" t="s">
        <v>10139</v>
      </c>
      <c r="D2541" t="s">
        <v>7348</v>
      </c>
      <c r="E2541" t="s">
        <v>7324</v>
      </c>
      <c r="F2541" t="s">
        <v>6926</v>
      </c>
      <c r="G2541" t="s">
        <v>53</v>
      </c>
      <c r="H2541" t="s">
        <v>7347</v>
      </c>
      <c r="I2541" t="str">
        <f t="shared" si="156"/>
        <v>2000</v>
      </c>
      <c r="J2541" t="str">
        <f t="shared" si="157"/>
        <v>BC</v>
      </c>
      <c r="K2541">
        <f t="shared" si="158"/>
        <v>-2000</v>
      </c>
      <c r="L2541">
        <f t="shared" si="159"/>
        <v>-2000</v>
      </c>
    </row>
    <row r="2542" spans="1:12" x14ac:dyDescent="0.35">
      <c r="A2542">
        <v>2555</v>
      </c>
      <c r="B2542" t="s">
        <v>7346</v>
      </c>
      <c r="C2542" t="s">
        <v>7344</v>
      </c>
      <c r="D2542" t="s">
        <v>7345</v>
      </c>
      <c r="E2542" t="s">
        <v>7328</v>
      </c>
      <c r="F2542" t="s">
        <v>7336</v>
      </c>
      <c r="G2542" t="s">
        <v>53</v>
      </c>
      <c r="H2542" t="s">
        <v>7343</v>
      </c>
      <c r="I2542" t="str">
        <f t="shared" si="156"/>
        <v>47-50</v>
      </c>
      <c r="J2542" t="str">
        <f t="shared" si="157"/>
        <v>AD</v>
      </c>
      <c r="K2542" t="str">
        <f t="shared" si="158"/>
        <v>47</v>
      </c>
      <c r="L2542" t="str">
        <f t="shared" si="159"/>
        <v>50</v>
      </c>
    </row>
    <row r="2543" spans="1:12" x14ac:dyDescent="0.35">
      <c r="A2543">
        <v>2556</v>
      </c>
      <c r="B2543" t="s">
        <v>7342</v>
      </c>
      <c r="C2543" t="s">
        <v>7340</v>
      </c>
      <c r="D2543" t="s">
        <v>7341</v>
      </c>
      <c r="E2543" t="s">
        <v>1102</v>
      </c>
      <c r="F2543" t="s">
        <v>6034</v>
      </c>
      <c r="G2543" t="s">
        <v>53</v>
      </c>
      <c r="H2543" t="s">
        <v>7339</v>
      </c>
      <c r="I2543" t="str">
        <f t="shared" si="156"/>
        <v>5-4</v>
      </c>
      <c r="J2543" t="str">
        <f t="shared" si="157"/>
        <v>BC</v>
      </c>
      <c r="K2543">
        <f t="shared" si="158"/>
        <v>-5</v>
      </c>
      <c r="L2543">
        <f t="shared" si="159"/>
        <v>-4</v>
      </c>
    </row>
    <row r="2544" spans="1:12" x14ac:dyDescent="0.35">
      <c r="A2544">
        <v>2557</v>
      </c>
      <c r="B2544" t="s">
        <v>7338</v>
      </c>
      <c r="C2544" t="s">
        <v>7335</v>
      </c>
      <c r="D2544" t="s">
        <v>7337</v>
      </c>
      <c r="E2544" t="s">
        <v>7328</v>
      </c>
      <c r="F2544" t="s">
        <v>7336</v>
      </c>
      <c r="G2544" t="s">
        <v>53</v>
      </c>
      <c r="H2544" t="s">
        <v>7334</v>
      </c>
      <c r="I2544" t="str">
        <f t="shared" si="156"/>
        <v>47-50</v>
      </c>
      <c r="J2544" t="str">
        <f t="shared" si="157"/>
        <v>AD</v>
      </c>
      <c r="K2544" t="str">
        <f t="shared" si="158"/>
        <v>47</v>
      </c>
      <c r="L2544" t="str">
        <f t="shared" si="159"/>
        <v>50</v>
      </c>
    </row>
    <row r="2545" spans="1:12" x14ac:dyDescent="0.35">
      <c r="A2545">
        <v>2558</v>
      </c>
      <c r="B2545" t="s">
        <v>7333</v>
      </c>
      <c r="C2545" t="s">
        <v>10626</v>
      </c>
      <c r="D2545" t="s">
        <v>7332</v>
      </c>
      <c r="E2545" t="s">
        <v>7328</v>
      </c>
      <c r="F2545" t="s">
        <v>6791</v>
      </c>
      <c r="G2545" t="s">
        <v>53</v>
      </c>
      <c r="H2545" t="s">
        <v>7331</v>
      </c>
      <c r="I2545" t="str">
        <f t="shared" si="156"/>
        <v>47</v>
      </c>
      <c r="J2545" t="str">
        <f t="shared" si="157"/>
        <v>AD</v>
      </c>
      <c r="K2545" t="str">
        <f t="shared" si="158"/>
        <v>47</v>
      </c>
      <c r="L2545" t="str">
        <f t="shared" si="159"/>
        <v>47</v>
      </c>
    </row>
    <row r="2546" spans="1:12" x14ac:dyDescent="0.35">
      <c r="A2546">
        <v>2559</v>
      </c>
      <c r="B2546" t="s">
        <v>7330</v>
      </c>
      <c r="C2546" t="s">
        <v>10648</v>
      </c>
      <c r="D2546" t="s">
        <v>7329</v>
      </c>
      <c r="E2546" t="s">
        <v>7328</v>
      </c>
      <c r="F2546" t="s">
        <v>6791</v>
      </c>
      <c r="G2546" t="s">
        <v>53</v>
      </c>
      <c r="H2546" t="s">
        <v>7327</v>
      </c>
      <c r="I2546" t="str">
        <f t="shared" si="156"/>
        <v>47</v>
      </c>
      <c r="J2546" t="str">
        <f t="shared" si="157"/>
        <v>AD</v>
      </c>
      <c r="K2546" t="str">
        <f t="shared" si="158"/>
        <v>47</v>
      </c>
      <c r="L2546" t="str">
        <f t="shared" si="159"/>
        <v>47</v>
      </c>
    </row>
    <row r="2547" spans="1:12" x14ac:dyDescent="0.35">
      <c r="A2547">
        <v>2560</v>
      </c>
      <c r="B2547" t="s">
        <v>7326</v>
      </c>
      <c r="C2547" t="s">
        <v>10649</v>
      </c>
      <c r="D2547" t="s">
        <v>7325</v>
      </c>
      <c r="E2547" t="s">
        <v>7324</v>
      </c>
      <c r="F2547" t="s">
        <v>6926</v>
      </c>
      <c r="G2547" t="s">
        <v>53</v>
      </c>
      <c r="H2547" t="s">
        <v>7323</v>
      </c>
      <c r="I2547" t="str">
        <f t="shared" si="156"/>
        <v>2000</v>
      </c>
      <c r="J2547" t="str">
        <f t="shared" si="157"/>
        <v>BC</v>
      </c>
      <c r="K2547">
        <f t="shared" si="158"/>
        <v>-2000</v>
      </c>
      <c r="L2547">
        <f t="shared" si="159"/>
        <v>-2000</v>
      </c>
    </row>
    <row r="2548" spans="1:12" x14ac:dyDescent="0.35">
      <c r="A2548">
        <v>2561</v>
      </c>
      <c r="B2548" t="s">
        <v>7322</v>
      </c>
      <c r="C2548" t="s">
        <v>6944</v>
      </c>
      <c r="D2548" t="s">
        <v>7321</v>
      </c>
      <c r="E2548" t="s">
        <v>3613</v>
      </c>
      <c r="F2548" t="s">
        <v>6357</v>
      </c>
      <c r="G2548" t="s">
        <v>53</v>
      </c>
      <c r="H2548" t="s">
        <v>7320</v>
      </c>
      <c r="I2548" t="str">
        <f t="shared" ref="I2548:I2611" si="160">SUBSTITUTE(SUBSTITUTE(SUBSTITUTE(F2548,"c. ","")," BC","")," AD","")</f>
        <v>33 onward</v>
      </c>
      <c r="J2548" t="str">
        <f t="shared" si="157"/>
        <v>rd</v>
      </c>
      <c r="K2548" t="str">
        <f t="shared" si="158"/>
        <v>33 onward</v>
      </c>
      <c r="L2548" t="str">
        <f t="shared" si="159"/>
        <v>33 onward</v>
      </c>
    </row>
    <row r="2549" spans="1:12" x14ac:dyDescent="0.35">
      <c r="A2549">
        <v>2562</v>
      </c>
      <c r="B2549" t="s">
        <v>7508</v>
      </c>
      <c r="C2549" t="s">
        <v>10650</v>
      </c>
      <c r="D2549" t="s">
        <v>7507</v>
      </c>
      <c r="E2549" t="s">
        <v>7439</v>
      </c>
      <c r="F2549" t="s">
        <v>7438</v>
      </c>
      <c r="G2549" t="s">
        <v>6735</v>
      </c>
      <c r="H2549" t="s">
        <v>7506</v>
      </c>
      <c r="I2549" t="str">
        <f t="shared" si="160"/>
        <v>60-62</v>
      </c>
      <c r="J2549" t="str">
        <f t="shared" si="157"/>
        <v>AD</v>
      </c>
      <c r="K2549" t="str">
        <f t="shared" si="158"/>
        <v>60</v>
      </c>
      <c r="L2549" t="str">
        <f t="shared" si="159"/>
        <v>62</v>
      </c>
    </row>
    <row r="2550" spans="1:12" x14ac:dyDescent="0.35">
      <c r="A2550">
        <v>2563</v>
      </c>
      <c r="B2550" t="s">
        <v>7505</v>
      </c>
      <c r="C2550" t="s">
        <v>10650</v>
      </c>
      <c r="D2550" t="s">
        <v>7504</v>
      </c>
      <c r="E2550" t="s">
        <v>7439</v>
      </c>
      <c r="F2550" t="s">
        <v>7438</v>
      </c>
      <c r="G2550" t="s">
        <v>6735</v>
      </c>
      <c r="H2550" t="s">
        <v>7503</v>
      </c>
      <c r="I2550" t="str">
        <f t="shared" si="160"/>
        <v>60-62</v>
      </c>
      <c r="J2550" t="str">
        <f t="shared" si="157"/>
        <v>AD</v>
      </c>
      <c r="K2550" t="str">
        <f t="shared" si="158"/>
        <v>60</v>
      </c>
      <c r="L2550" t="str">
        <f t="shared" si="159"/>
        <v>62</v>
      </c>
    </row>
    <row r="2551" spans="1:12" x14ac:dyDescent="0.35">
      <c r="A2551">
        <v>2564</v>
      </c>
      <c r="B2551" t="s">
        <v>7502</v>
      </c>
      <c r="C2551" t="s">
        <v>9678</v>
      </c>
      <c r="D2551" t="s">
        <v>7501</v>
      </c>
      <c r="E2551" t="s">
        <v>7439</v>
      </c>
      <c r="F2551" t="s">
        <v>7438</v>
      </c>
      <c r="G2551" t="s">
        <v>6735</v>
      </c>
      <c r="H2551" t="s">
        <v>7500</v>
      </c>
      <c r="I2551" t="str">
        <f t="shared" si="160"/>
        <v>60-62</v>
      </c>
      <c r="J2551" t="str">
        <f t="shared" si="157"/>
        <v>AD</v>
      </c>
      <c r="K2551" t="str">
        <f t="shared" si="158"/>
        <v>60</v>
      </c>
      <c r="L2551" t="str">
        <f t="shared" si="159"/>
        <v>62</v>
      </c>
    </row>
    <row r="2552" spans="1:12" x14ac:dyDescent="0.35">
      <c r="A2552">
        <v>2565</v>
      </c>
      <c r="B2552" t="s">
        <v>7499</v>
      </c>
      <c r="C2552" t="s">
        <v>10641</v>
      </c>
      <c r="D2552" t="s">
        <v>7498</v>
      </c>
      <c r="E2552" t="s">
        <v>7439</v>
      </c>
      <c r="F2552" t="s">
        <v>7438</v>
      </c>
      <c r="G2552" t="s">
        <v>6735</v>
      </c>
      <c r="H2552" t="s">
        <v>7497</v>
      </c>
      <c r="I2552" t="str">
        <f t="shared" si="160"/>
        <v>60-62</v>
      </c>
      <c r="J2552" t="str">
        <f t="shared" si="157"/>
        <v>AD</v>
      </c>
      <c r="K2552" t="str">
        <f t="shared" si="158"/>
        <v>60</v>
      </c>
      <c r="L2552" t="str">
        <f t="shared" si="159"/>
        <v>62</v>
      </c>
    </row>
    <row r="2553" spans="1:12" x14ac:dyDescent="0.35">
      <c r="A2553">
        <v>2566</v>
      </c>
      <c r="B2553" t="s">
        <v>7496</v>
      </c>
      <c r="C2553" t="s">
        <v>10048</v>
      </c>
      <c r="D2553" t="s">
        <v>7495</v>
      </c>
      <c r="E2553" t="s">
        <v>7439</v>
      </c>
      <c r="F2553" t="s">
        <v>7438</v>
      </c>
      <c r="G2553" t="s">
        <v>6735</v>
      </c>
      <c r="H2553" t="s">
        <v>7494</v>
      </c>
      <c r="I2553" t="str">
        <f t="shared" si="160"/>
        <v>60-62</v>
      </c>
      <c r="J2553" t="str">
        <f t="shared" si="157"/>
        <v>AD</v>
      </c>
      <c r="K2553" t="str">
        <f t="shared" si="158"/>
        <v>60</v>
      </c>
      <c r="L2553" t="str">
        <f t="shared" si="159"/>
        <v>62</v>
      </c>
    </row>
    <row r="2554" spans="1:12" x14ac:dyDescent="0.35">
      <c r="A2554">
        <v>2567</v>
      </c>
      <c r="B2554" t="s">
        <v>7493</v>
      </c>
      <c r="C2554" t="s">
        <v>10651</v>
      </c>
      <c r="D2554" t="s">
        <v>7492</v>
      </c>
      <c r="E2554" t="s">
        <v>7439</v>
      </c>
      <c r="F2554" t="s">
        <v>7438</v>
      </c>
      <c r="G2554" t="s">
        <v>61</v>
      </c>
      <c r="H2554" t="s">
        <v>7491</v>
      </c>
      <c r="I2554" t="str">
        <f t="shared" si="160"/>
        <v>60-62</v>
      </c>
      <c r="J2554" t="str">
        <f t="shared" si="157"/>
        <v>AD</v>
      </c>
      <c r="K2554" t="str">
        <f t="shared" si="158"/>
        <v>60</v>
      </c>
      <c r="L2554" t="str">
        <f t="shared" si="159"/>
        <v>62</v>
      </c>
    </row>
    <row r="2555" spans="1:12" x14ac:dyDescent="0.35">
      <c r="A2555">
        <v>2568</v>
      </c>
      <c r="B2555" t="s">
        <v>7490</v>
      </c>
      <c r="C2555" t="s">
        <v>10618</v>
      </c>
      <c r="D2555" t="s">
        <v>7489</v>
      </c>
      <c r="E2555" t="s">
        <v>7439</v>
      </c>
      <c r="F2555" t="s">
        <v>7438</v>
      </c>
      <c r="G2555" t="s">
        <v>6735</v>
      </c>
      <c r="H2555" t="s">
        <v>7488</v>
      </c>
      <c r="I2555" t="str">
        <f t="shared" si="160"/>
        <v>60-62</v>
      </c>
      <c r="J2555" t="str">
        <f t="shared" si="157"/>
        <v>AD</v>
      </c>
      <c r="K2555" t="str">
        <f t="shared" si="158"/>
        <v>60</v>
      </c>
      <c r="L2555" t="str">
        <f t="shared" si="159"/>
        <v>62</v>
      </c>
    </row>
    <row r="2556" spans="1:12" x14ac:dyDescent="0.35">
      <c r="A2556">
        <v>2569</v>
      </c>
      <c r="B2556" t="s">
        <v>7487</v>
      </c>
      <c r="C2556" t="s">
        <v>11698</v>
      </c>
      <c r="D2556" t="s">
        <v>7486</v>
      </c>
      <c r="E2556" t="s">
        <v>7219</v>
      </c>
      <c r="F2556" t="s">
        <v>7438</v>
      </c>
      <c r="G2556" t="s">
        <v>6735</v>
      </c>
      <c r="H2556" t="s">
        <v>7485</v>
      </c>
      <c r="I2556" t="str">
        <f t="shared" si="160"/>
        <v>60-62</v>
      </c>
      <c r="J2556" t="str">
        <f t="shared" si="157"/>
        <v>AD</v>
      </c>
      <c r="K2556" t="str">
        <f t="shared" si="158"/>
        <v>60</v>
      </c>
      <c r="L2556" t="str">
        <f t="shared" si="159"/>
        <v>62</v>
      </c>
    </row>
    <row r="2557" spans="1:12" x14ac:dyDescent="0.35">
      <c r="A2557">
        <v>2570</v>
      </c>
      <c r="B2557" t="s">
        <v>7484</v>
      </c>
      <c r="C2557" t="s">
        <v>7482</v>
      </c>
      <c r="D2557" t="s">
        <v>7483</v>
      </c>
      <c r="E2557" t="s">
        <v>7439</v>
      </c>
      <c r="F2557" t="s">
        <v>7438</v>
      </c>
      <c r="G2557" t="s">
        <v>6735</v>
      </c>
      <c r="H2557" t="s">
        <v>7481</v>
      </c>
      <c r="I2557" t="str">
        <f t="shared" si="160"/>
        <v>60-62</v>
      </c>
      <c r="J2557" t="str">
        <f t="shared" si="157"/>
        <v>AD</v>
      </c>
      <c r="K2557" t="str">
        <f t="shared" si="158"/>
        <v>60</v>
      </c>
      <c r="L2557" t="str">
        <f t="shared" si="159"/>
        <v>62</v>
      </c>
    </row>
    <row r="2558" spans="1:12" x14ac:dyDescent="0.35">
      <c r="A2558">
        <v>2571</v>
      </c>
      <c r="B2558" t="s">
        <v>7480</v>
      </c>
      <c r="C2558" t="s">
        <v>7478</v>
      </c>
      <c r="D2558" t="s">
        <v>7479</v>
      </c>
      <c r="E2558" t="s">
        <v>7439</v>
      </c>
      <c r="F2558" t="s">
        <v>7438</v>
      </c>
      <c r="G2558" t="s">
        <v>6735</v>
      </c>
      <c r="H2558" t="s">
        <v>7477</v>
      </c>
      <c r="I2558" t="str">
        <f t="shared" si="160"/>
        <v>60-62</v>
      </c>
      <c r="J2558" t="str">
        <f t="shared" si="157"/>
        <v>AD</v>
      </c>
      <c r="K2558" t="str">
        <f t="shared" si="158"/>
        <v>60</v>
      </c>
      <c r="L2558" t="str">
        <f t="shared" si="159"/>
        <v>62</v>
      </c>
    </row>
    <row r="2559" spans="1:12" x14ac:dyDescent="0.35">
      <c r="A2559">
        <v>2572</v>
      </c>
      <c r="B2559" t="s">
        <v>7476</v>
      </c>
      <c r="C2559" t="s">
        <v>3653</v>
      </c>
      <c r="D2559" t="s">
        <v>7475</v>
      </c>
      <c r="E2559" t="s">
        <v>7439</v>
      </c>
      <c r="F2559" t="s">
        <v>7438</v>
      </c>
      <c r="G2559" t="s">
        <v>6735</v>
      </c>
      <c r="H2559" t="s">
        <v>7474</v>
      </c>
      <c r="I2559" t="str">
        <f t="shared" si="160"/>
        <v>60-62</v>
      </c>
      <c r="J2559" t="str">
        <f t="shared" si="157"/>
        <v>AD</v>
      </c>
      <c r="K2559" t="str">
        <f t="shared" si="158"/>
        <v>60</v>
      </c>
      <c r="L2559" t="str">
        <f t="shared" si="159"/>
        <v>62</v>
      </c>
    </row>
    <row r="2560" spans="1:12" x14ac:dyDescent="0.35">
      <c r="A2560">
        <v>2573</v>
      </c>
      <c r="B2560" t="s">
        <v>7473</v>
      </c>
      <c r="C2560" t="s">
        <v>10738</v>
      </c>
      <c r="D2560" t="s">
        <v>7472</v>
      </c>
      <c r="E2560" t="s">
        <v>7439</v>
      </c>
      <c r="F2560" t="s">
        <v>7438</v>
      </c>
      <c r="G2560" t="s">
        <v>6735</v>
      </c>
      <c r="H2560" t="s">
        <v>7471</v>
      </c>
      <c r="I2560" t="str">
        <f t="shared" si="160"/>
        <v>60-62</v>
      </c>
      <c r="J2560" t="str">
        <f t="shared" si="157"/>
        <v>AD</v>
      </c>
      <c r="K2560" t="str">
        <f t="shared" si="158"/>
        <v>60</v>
      </c>
      <c r="L2560" t="str">
        <f t="shared" si="159"/>
        <v>62</v>
      </c>
    </row>
    <row r="2561" spans="1:12" x14ac:dyDescent="0.35">
      <c r="A2561">
        <v>2574</v>
      </c>
      <c r="B2561" t="s">
        <v>7470</v>
      </c>
      <c r="C2561" t="s">
        <v>10048</v>
      </c>
      <c r="D2561" t="s">
        <v>7469</v>
      </c>
      <c r="E2561" t="s">
        <v>7468</v>
      </c>
      <c r="F2561" t="s">
        <v>7438</v>
      </c>
      <c r="G2561" t="s">
        <v>6735</v>
      </c>
      <c r="H2561" t="s">
        <v>7467</v>
      </c>
      <c r="I2561" t="str">
        <f t="shared" si="160"/>
        <v>60-62</v>
      </c>
      <c r="J2561" t="str">
        <f t="shared" si="157"/>
        <v>AD</v>
      </c>
      <c r="K2561" t="str">
        <f t="shared" si="158"/>
        <v>60</v>
      </c>
      <c r="L2561" t="str">
        <f t="shared" si="159"/>
        <v>62</v>
      </c>
    </row>
    <row r="2562" spans="1:12" x14ac:dyDescent="0.35">
      <c r="A2562">
        <v>2575</v>
      </c>
      <c r="B2562" t="s">
        <v>7466</v>
      </c>
      <c r="C2562" t="s">
        <v>10048</v>
      </c>
      <c r="D2562" t="s">
        <v>7465</v>
      </c>
      <c r="E2562" t="s">
        <v>7439</v>
      </c>
      <c r="F2562" t="s">
        <v>7438</v>
      </c>
      <c r="G2562" t="s">
        <v>6735</v>
      </c>
      <c r="H2562" t="s">
        <v>7464</v>
      </c>
      <c r="I2562" t="str">
        <f t="shared" si="160"/>
        <v>60-62</v>
      </c>
      <c r="J2562" t="str">
        <f t="shared" ref="J2562:J2625" si="161">RIGHT(F2562, 2)</f>
        <v>AD</v>
      </c>
      <c r="K2562" t="str">
        <f t="shared" ref="K2562:K2625" si="162">IF(J2562="BC", 0-IF(ISERROR(FIND("-",I2562)),I2562,LEFT(I2562,FIND("-",I2562)-1)), IF(ISERROR(FIND("-",I2562)),I2562,LEFT(I2562,FIND("-",I2562)-1)))</f>
        <v>60</v>
      </c>
      <c r="L2562" t="str">
        <f t="shared" ref="L2562:L2625" si="163">IF(J2562="BC", 0-IF(ISERROR(FIND("-",I2562)),I2562,RIGHT(I2562,FIND("-",I2562)-1)), IF(ISERROR(FIND("-",I2562)),I2562,RIGHT(I2562,FIND("-",I2562)-1)))</f>
        <v>62</v>
      </c>
    </row>
    <row r="2563" spans="1:12" x14ac:dyDescent="0.35">
      <c r="A2563">
        <v>2576</v>
      </c>
      <c r="B2563" t="s">
        <v>7463</v>
      </c>
      <c r="C2563" t="s">
        <v>10652</v>
      </c>
      <c r="D2563" t="s">
        <v>7446</v>
      </c>
      <c r="E2563" t="s">
        <v>7439</v>
      </c>
      <c r="F2563" t="s">
        <v>7438</v>
      </c>
      <c r="G2563" t="s">
        <v>6735</v>
      </c>
      <c r="H2563" t="s">
        <v>7462</v>
      </c>
      <c r="I2563" t="str">
        <f t="shared" si="160"/>
        <v>60-62</v>
      </c>
      <c r="J2563" t="str">
        <f t="shared" si="161"/>
        <v>AD</v>
      </c>
      <c r="K2563" t="str">
        <f t="shared" si="162"/>
        <v>60</v>
      </c>
      <c r="L2563" t="str">
        <f t="shared" si="163"/>
        <v>62</v>
      </c>
    </row>
    <row r="2564" spans="1:12" x14ac:dyDescent="0.35">
      <c r="A2564">
        <v>2577</v>
      </c>
      <c r="B2564" t="s">
        <v>7461</v>
      </c>
      <c r="C2564" t="s">
        <v>6982</v>
      </c>
      <c r="D2564" t="s">
        <v>7460</v>
      </c>
      <c r="E2564" t="s">
        <v>7439</v>
      </c>
      <c r="F2564" t="s">
        <v>7438</v>
      </c>
      <c r="G2564" t="s">
        <v>7255</v>
      </c>
      <c r="H2564" t="s">
        <v>7459</v>
      </c>
      <c r="I2564" t="str">
        <f t="shared" si="160"/>
        <v>60-62</v>
      </c>
      <c r="J2564" t="str">
        <f t="shared" si="161"/>
        <v>AD</v>
      </c>
      <c r="K2564" t="str">
        <f t="shared" si="162"/>
        <v>60</v>
      </c>
      <c r="L2564" t="str">
        <f t="shared" si="163"/>
        <v>62</v>
      </c>
    </row>
    <row r="2565" spans="1:12" x14ac:dyDescent="0.35">
      <c r="A2565">
        <v>2578</v>
      </c>
      <c r="B2565" t="s">
        <v>7458</v>
      </c>
      <c r="C2565" t="s">
        <v>6944</v>
      </c>
      <c r="D2565" t="s">
        <v>7457</v>
      </c>
      <c r="E2565" t="s">
        <v>7439</v>
      </c>
      <c r="F2565" t="s">
        <v>7438</v>
      </c>
      <c r="G2565" t="s">
        <v>6735</v>
      </c>
      <c r="H2565" t="s">
        <v>7456</v>
      </c>
      <c r="I2565" t="str">
        <f t="shared" si="160"/>
        <v>60-62</v>
      </c>
      <c r="J2565" t="str">
        <f t="shared" si="161"/>
        <v>AD</v>
      </c>
      <c r="K2565" t="str">
        <f t="shared" si="162"/>
        <v>60</v>
      </c>
      <c r="L2565" t="str">
        <f t="shared" si="163"/>
        <v>62</v>
      </c>
    </row>
    <row r="2566" spans="1:12" x14ac:dyDescent="0.35">
      <c r="A2566">
        <v>2579</v>
      </c>
      <c r="B2566" t="s">
        <v>7455</v>
      </c>
      <c r="C2566" t="s">
        <v>10653</v>
      </c>
      <c r="D2566" t="s">
        <v>7454</v>
      </c>
      <c r="E2566" t="s">
        <v>7439</v>
      </c>
      <c r="F2566" t="s">
        <v>7438</v>
      </c>
      <c r="G2566" t="s">
        <v>6735</v>
      </c>
      <c r="H2566" t="s">
        <v>7453</v>
      </c>
      <c r="I2566" t="str">
        <f t="shared" si="160"/>
        <v>60-62</v>
      </c>
      <c r="J2566" t="str">
        <f t="shared" si="161"/>
        <v>AD</v>
      </c>
      <c r="K2566" t="str">
        <f t="shared" si="162"/>
        <v>60</v>
      </c>
      <c r="L2566" t="str">
        <f t="shared" si="163"/>
        <v>62</v>
      </c>
    </row>
    <row r="2567" spans="1:12" x14ac:dyDescent="0.35">
      <c r="A2567">
        <v>2580</v>
      </c>
      <c r="B2567" t="s">
        <v>7452</v>
      </c>
      <c r="C2567" t="s">
        <v>10654</v>
      </c>
      <c r="D2567" t="s">
        <v>7449</v>
      </c>
      <c r="E2567" t="s">
        <v>7439</v>
      </c>
      <c r="F2567" t="s">
        <v>7438</v>
      </c>
      <c r="G2567" t="s">
        <v>6735</v>
      </c>
      <c r="H2567" t="s">
        <v>7451</v>
      </c>
      <c r="I2567" t="str">
        <f t="shared" si="160"/>
        <v>60-62</v>
      </c>
      <c r="J2567" t="str">
        <f t="shared" si="161"/>
        <v>AD</v>
      </c>
      <c r="K2567" t="str">
        <f t="shared" si="162"/>
        <v>60</v>
      </c>
      <c r="L2567" t="str">
        <f t="shared" si="163"/>
        <v>62</v>
      </c>
    </row>
    <row r="2568" spans="1:12" x14ac:dyDescent="0.35">
      <c r="A2568">
        <v>2581</v>
      </c>
      <c r="B2568" t="s">
        <v>7450</v>
      </c>
      <c r="C2568" t="s">
        <v>10631</v>
      </c>
      <c r="D2568" t="s">
        <v>7449</v>
      </c>
      <c r="E2568" t="s">
        <v>7439</v>
      </c>
      <c r="F2568" t="s">
        <v>7438</v>
      </c>
      <c r="G2568" t="s">
        <v>6735</v>
      </c>
      <c r="H2568" t="s">
        <v>7448</v>
      </c>
      <c r="I2568" t="str">
        <f t="shared" si="160"/>
        <v>60-62</v>
      </c>
      <c r="J2568" t="str">
        <f t="shared" si="161"/>
        <v>AD</v>
      </c>
      <c r="K2568" t="str">
        <f t="shared" si="162"/>
        <v>60</v>
      </c>
      <c r="L2568" t="str">
        <f t="shared" si="163"/>
        <v>62</v>
      </c>
    </row>
    <row r="2569" spans="1:12" x14ac:dyDescent="0.35">
      <c r="A2569">
        <v>2582</v>
      </c>
      <c r="B2569" t="s">
        <v>7447</v>
      </c>
      <c r="C2569" t="s">
        <v>10618</v>
      </c>
      <c r="D2569" t="s">
        <v>7446</v>
      </c>
      <c r="E2569" t="s">
        <v>7439</v>
      </c>
      <c r="F2569" t="s">
        <v>7438</v>
      </c>
      <c r="G2569" t="s">
        <v>6735</v>
      </c>
      <c r="H2569" t="s">
        <v>7445</v>
      </c>
      <c r="I2569" t="str">
        <f t="shared" si="160"/>
        <v>60-62</v>
      </c>
      <c r="J2569" t="str">
        <f t="shared" si="161"/>
        <v>AD</v>
      </c>
      <c r="K2569" t="str">
        <f t="shared" si="162"/>
        <v>60</v>
      </c>
      <c r="L2569" t="str">
        <f t="shared" si="163"/>
        <v>62</v>
      </c>
    </row>
    <row r="2570" spans="1:12" x14ac:dyDescent="0.35">
      <c r="A2570">
        <v>2583</v>
      </c>
      <c r="B2570" t="s">
        <v>7444</v>
      </c>
      <c r="C2570" t="s">
        <v>6062</v>
      </c>
      <c r="D2570" t="s">
        <v>7443</v>
      </c>
      <c r="E2570" t="s">
        <v>7439</v>
      </c>
      <c r="F2570" t="s">
        <v>7438</v>
      </c>
      <c r="G2570" t="s">
        <v>6735</v>
      </c>
      <c r="H2570" t="s">
        <v>7442</v>
      </c>
      <c r="I2570" t="str">
        <f t="shared" si="160"/>
        <v>60-62</v>
      </c>
      <c r="J2570" t="str">
        <f t="shared" si="161"/>
        <v>AD</v>
      </c>
      <c r="K2570" t="str">
        <f t="shared" si="162"/>
        <v>60</v>
      </c>
      <c r="L2570" t="str">
        <f t="shared" si="163"/>
        <v>62</v>
      </c>
    </row>
    <row r="2571" spans="1:12" x14ac:dyDescent="0.35">
      <c r="A2571">
        <v>2584</v>
      </c>
      <c r="B2571" t="s">
        <v>7441</v>
      </c>
      <c r="C2571" t="s">
        <v>10040</v>
      </c>
      <c r="D2571" t="s">
        <v>7440</v>
      </c>
      <c r="E2571" t="s">
        <v>7439</v>
      </c>
      <c r="F2571" t="s">
        <v>7438</v>
      </c>
      <c r="G2571" t="s">
        <v>6735</v>
      </c>
      <c r="H2571" t="s">
        <v>7437</v>
      </c>
      <c r="I2571" t="str">
        <f t="shared" si="160"/>
        <v>60-62</v>
      </c>
      <c r="J2571" t="str">
        <f t="shared" si="161"/>
        <v>AD</v>
      </c>
      <c r="K2571" t="str">
        <f t="shared" si="162"/>
        <v>60</v>
      </c>
      <c r="L2571" t="str">
        <f t="shared" si="163"/>
        <v>62</v>
      </c>
    </row>
    <row r="2572" spans="1:12" x14ac:dyDescent="0.35">
      <c r="A2572">
        <v>2585</v>
      </c>
      <c r="B2572" t="s">
        <v>7574</v>
      </c>
      <c r="C2572" t="s">
        <v>11699</v>
      </c>
      <c r="D2572" t="s">
        <v>7573</v>
      </c>
      <c r="E2572" t="s">
        <v>7549</v>
      </c>
      <c r="F2572" t="s">
        <v>7548</v>
      </c>
      <c r="G2572" t="s">
        <v>53</v>
      </c>
      <c r="H2572" t="s">
        <v>7572</v>
      </c>
      <c r="I2572" t="str">
        <f t="shared" si="160"/>
        <v>61-62</v>
      </c>
      <c r="J2572" t="str">
        <f t="shared" si="161"/>
        <v>AD</v>
      </c>
      <c r="K2572" t="str">
        <f t="shared" si="162"/>
        <v>61</v>
      </c>
      <c r="L2572" t="str">
        <f t="shared" si="163"/>
        <v>62</v>
      </c>
    </row>
    <row r="2573" spans="1:12" x14ac:dyDescent="0.35">
      <c r="A2573">
        <v>2586</v>
      </c>
      <c r="B2573" t="s">
        <v>7571</v>
      </c>
      <c r="C2573" t="s">
        <v>10626</v>
      </c>
      <c r="D2573" t="s">
        <v>7570</v>
      </c>
      <c r="E2573" t="s">
        <v>7566</v>
      </c>
      <c r="F2573" t="s">
        <v>7548</v>
      </c>
      <c r="G2573" t="s">
        <v>53</v>
      </c>
      <c r="H2573" t="s">
        <v>7569</v>
      </c>
      <c r="I2573" t="str">
        <f t="shared" si="160"/>
        <v>61-62</v>
      </c>
      <c r="J2573" t="str">
        <f t="shared" si="161"/>
        <v>AD</v>
      </c>
      <c r="K2573" t="str">
        <f t="shared" si="162"/>
        <v>61</v>
      </c>
      <c r="L2573" t="str">
        <f t="shared" si="163"/>
        <v>62</v>
      </c>
    </row>
    <row r="2574" spans="1:12" x14ac:dyDescent="0.35">
      <c r="A2574">
        <v>2587</v>
      </c>
      <c r="B2574" t="s">
        <v>7568</v>
      </c>
      <c r="C2574" t="s">
        <v>10512</v>
      </c>
      <c r="D2574" t="s">
        <v>7567</v>
      </c>
      <c r="E2574" t="s">
        <v>7566</v>
      </c>
      <c r="F2574" t="s">
        <v>7548</v>
      </c>
      <c r="G2574" t="s">
        <v>53</v>
      </c>
      <c r="H2574" t="s">
        <v>7565</v>
      </c>
      <c r="I2574" t="str">
        <f t="shared" si="160"/>
        <v>61-62</v>
      </c>
      <c r="J2574" t="str">
        <f t="shared" si="161"/>
        <v>AD</v>
      </c>
      <c r="K2574" t="str">
        <f t="shared" si="162"/>
        <v>61</v>
      </c>
      <c r="L2574" t="str">
        <f t="shared" si="163"/>
        <v>62</v>
      </c>
    </row>
    <row r="2575" spans="1:12" x14ac:dyDescent="0.35">
      <c r="A2575">
        <v>2588</v>
      </c>
      <c r="B2575" t="s">
        <v>7564</v>
      </c>
      <c r="C2575" t="s">
        <v>11700</v>
      </c>
      <c r="D2575" t="s">
        <v>7563</v>
      </c>
      <c r="E2575" t="s">
        <v>3788</v>
      </c>
      <c r="F2575" t="s">
        <v>7562</v>
      </c>
      <c r="G2575" t="s">
        <v>7392</v>
      </c>
      <c r="H2575" t="s">
        <v>7561</v>
      </c>
      <c r="I2575" t="str">
        <f t="shared" si="160"/>
        <v>Eternal/Historical</v>
      </c>
      <c r="J2575" t="str">
        <f t="shared" si="161"/>
        <v>al</v>
      </c>
      <c r="K2575" t="str">
        <f t="shared" si="162"/>
        <v>Eternal/Historical</v>
      </c>
      <c r="L2575" t="str">
        <f t="shared" si="163"/>
        <v>Eternal/Historical</v>
      </c>
    </row>
    <row r="2576" spans="1:12" x14ac:dyDescent="0.35">
      <c r="A2576">
        <v>2589</v>
      </c>
      <c r="B2576" t="s">
        <v>7560</v>
      </c>
      <c r="C2576" t="s">
        <v>10512</v>
      </c>
      <c r="D2576" t="s">
        <v>7559</v>
      </c>
      <c r="E2576" t="s">
        <v>6773</v>
      </c>
      <c r="F2576" t="s">
        <v>7548</v>
      </c>
      <c r="G2576" t="s">
        <v>53</v>
      </c>
      <c r="H2576" t="s">
        <v>7558</v>
      </c>
      <c r="I2576" t="str">
        <f t="shared" si="160"/>
        <v>61-62</v>
      </c>
      <c r="J2576" t="str">
        <f t="shared" si="161"/>
        <v>AD</v>
      </c>
      <c r="K2576" t="str">
        <f t="shared" si="162"/>
        <v>61</v>
      </c>
      <c r="L2576" t="str">
        <f t="shared" si="163"/>
        <v>62</v>
      </c>
    </row>
    <row r="2577" spans="1:12" x14ac:dyDescent="0.35">
      <c r="A2577">
        <v>2590</v>
      </c>
      <c r="B2577" t="s">
        <v>7557</v>
      </c>
      <c r="C2577" t="s">
        <v>9862</v>
      </c>
      <c r="D2577" t="s">
        <v>7556</v>
      </c>
      <c r="E2577" t="s">
        <v>7549</v>
      </c>
      <c r="F2577" t="s">
        <v>7548</v>
      </c>
      <c r="G2577" t="s">
        <v>53</v>
      </c>
      <c r="H2577" t="s">
        <v>7555</v>
      </c>
      <c r="I2577" t="str">
        <f t="shared" si="160"/>
        <v>61-62</v>
      </c>
      <c r="J2577" t="str">
        <f t="shared" si="161"/>
        <v>AD</v>
      </c>
      <c r="K2577" t="str">
        <f t="shared" si="162"/>
        <v>61</v>
      </c>
      <c r="L2577" t="str">
        <f t="shared" si="163"/>
        <v>62</v>
      </c>
    </row>
    <row r="2578" spans="1:12" x14ac:dyDescent="0.35">
      <c r="A2578">
        <v>2591</v>
      </c>
      <c r="B2578" t="s">
        <v>7554</v>
      </c>
      <c r="C2578" t="s">
        <v>10513</v>
      </c>
      <c r="D2578" t="s">
        <v>7553</v>
      </c>
      <c r="E2578" t="s">
        <v>6773</v>
      </c>
      <c r="F2578" t="s">
        <v>7548</v>
      </c>
      <c r="G2578" t="s">
        <v>7392</v>
      </c>
      <c r="H2578" t="s">
        <v>7552</v>
      </c>
      <c r="I2578" t="str">
        <f t="shared" si="160"/>
        <v>61-62</v>
      </c>
      <c r="J2578" t="str">
        <f t="shared" si="161"/>
        <v>AD</v>
      </c>
      <c r="K2578" t="str">
        <f t="shared" si="162"/>
        <v>61</v>
      </c>
      <c r="L2578" t="str">
        <f t="shared" si="163"/>
        <v>62</v>
      </c>
    </row>
    <row r="2579" spans="1:12" x14ac:dyDescent="0.35">
      <c r="A2579">
        <v>2592</v>
      </c>
      <c r="B2579" t="s">
        <v>7551</v>
      </c>
      <c r="C2579" t="s">
        <v>10038</v>
      </c>
      <c r="D2579" t="s">
        <v>7550</v>
      </c>
      <c r="E2579" t="s">
        <v>7549</v>
      </c>
      <c r="F2579" t="s">
        <v>7548</v>
      </c>
      <c r="G2579" t="s">
        <v>53</v>
      </c>
      <c r="H2579" t="s">
        <v>7547</v>
      </c>
      <c r="I2579" t="str">
        <f t="shared" si="160"/>
        <v>61-62</v>
      </c>
      <c r="J2579" t="str">
        <f t="shared" si="161"/>
        <v>AD</v>
      </c>
      <c r="K2579" t="str">
        <f t="shared" si="162"/>
        <v>61</v>
      </c>
      <c r="L2579" t="str">
        <f t="shared" si="163"/>
        <v>62</v>
      </c>
    </row>
    <row r="2580" spans="1:12" x14ac:dyDescent="0.35">
      <c r="A2580">
        <v>2593</v>
      </c>
      <c r="B2580" t="s">
        <v>7685</v>
      </c>
      <c r="C2580" t="s">
        <v>10048</v>
      </c>
      <c r="D2580" t="s">
        <v>7684</v>
      </c>
      <c r="E2580" t="s">
        <v>7683</v>
      </c>
      <c r="F2580" t="s">
        <v>7548</v>
      </c>
      <c r="G2580" t="s">
        <v>6988</v>
      </c>
      <c r="H2580" t="s">
        <v>7682</v>
      </c>
      <c r="I2580" t="str">
        <f t="shared" si="160"/>
        <v>61-62</v>
      </c>
      <c r="J2580" t="str">
        <f t="shared" si="161"/>
        <v>AD</v>
      </c>
      <c r="K2580" t="str">
        <f t="shared" si="162"/>
        <v>61</v>
      </c>
      <c r="L2580" t="str">
        <f t="shared" si="163"/>
        <v>62</v>
      </c>
    </row>
    <row r="2581" spans="1:12" x14ac:dyDescent="0.35">
      <c r="A2581">
        <v>2594</v>
      </c>
      <c r="B2581" t="s">
        <v>7681</v>
      </c>
      <c r="C2581" t="s">
        <v>10042</v>
      </c>
      <c r="D2581" t="s">
        <v>7678</v>
      </c>
      <c r="E2581" t="s">
        <v>3788</v>
      </c>
      <c r="F2581" t="s">
        <v>7548</v>
      </c>
      <c r="G2581" t="s">
        <v>53</v>
      </c>
      <c r="H2581" t="s">
        <v>7680</v>
      </c>
      <c r="I2581" t="str">
        <f t="shared" si="160"/>
        <v>61-62</v>
      </c>
      <c r="J2581" t="str">
        <f t="shared" si="161"/>
        <v>AD</v>
      </c>
      <c r="K2581" t="str">
        <f t="shared" si="162"/>
        <v>61</v>
      </c>
      <c r="L2581" t="str">
        <f t="shared" si="163"/>
        <v>62</v>
      </c>
    </row>
    <row r="2582" spans="1:12" x14ac:dyDescent="0.35">
      <c r="A2582">
        <v>2595</v>
      </c>
      <c r="B2582" t="s">
        <v>7679</v>
      </c>
      <c r="C2582" t="s">
        <v>10039</v>
      </c>
      <c r="D2582" t="s">
        <v>7678</v>
      </c>
      <c r="E2582" t="s">
        <v>3788</v>
      </c>
      <c r="F2582" t="s">
        <v>7548</v>
      </c>
      <c r="G2582" t="s">
        <v>53</v>
      </c>
      <c r="H2582" t="s">
        <v>7677</v>
      </c>
      <c r="I2582" t="str">
        <f t="shared" si="160"/>
        <v>61-62</v>
      </c>
      <c r="J2582" t="str">
        <f t="shared" si="161"/>
        <v>AD</v>
      </c>
      <c r="K2582" t="str">
        <f t="shared" si="162"/>
        <v>61</v>
      </c>
      <c r="L2582" t="str">
        <f t="shared" si="163"/>
        <v>62</v>
      </c>
    </row>
    <row r="2583" spans="1:12" x14ac:dyDescent="0.35">
      <c r="A2583">
        <v>2596</v>
      </c>
      <c r="B2583" t="s">
        <v>7676</v>
      </c>
      <c r="C2583" t="s">
        <v>10655</v>
      </c>
      <c r="D2583" t="s">
        <v>7675</v>
      </c>
      <c r="E2583" t="s">
        <v>3788</v>
      </c>
      <c r="F2583" t="s">
        <v>7548</v>
      </c>
      <c r="G2583" t="s">
        <v>53</v>
      </c>
      <c r="H2583" t="s">
        <v>7674</v>
      </c>
      <c r="I2583" t="str">
        <f t="shared" si="160"/>
        <v>61-62</v>
      </c>
      <c r="J2583" t="str">
        <f t="shared" si="161"/>
        <v>AD</v>
      </c>
      <c r="K2583" t="str">
        <f t="shared" si="162"/>
        <v>61</v>
      </c>
      <c r="L2583" t="str">
        <f t="shared" si="163"/>
        <v>62</v>
      </c>
    </row>
    <row r="2584" spans="1:12" x14ac:dyDescent="0.35">
      <c r="A2584">
        <v>2597</v>
      </c>
      <c r="B2584" t="s">
        <v>7673</v>
      </c>
      <c r="C2584" t="s">
        <v>10739</v>
      </c>
      <c r="D2584" t="s">
        <v>7672</v>
      </c>
      <c r="E2584" t="s">
        <v>3788</v>
      </c>
      <c r="F2584" t="s">
        <v>7671</v>
      </c>
      <c r="G2584" t="s">
        <v>7255</v>
      </c>
      <c r="H2584" t="s">
        <v>7670</v>
      </c>
      <c r="I2584" t="str">
        <f t="shared" si="160"/>
        <v>Eternal/Creation</v>
      </c>
      <c r="J2584" t="str">
        <f t="shared" si="161"/>
        <v>on</v>
      </c>
      <c r="K2584" t="str">
        <f t="shared" si="162"/>
        <v>Eternal/Creation</v>
      </c>
      <c r="L2584" t="str">
        <f t="shared" si="163"/>
        <v>Eternal/Creation</v>
      </c>
    </row>
    <row r="2585" spans="1:12" x14ac:dyDescent="0.35">
      <c r="A2585">
        <v>2598</v>
      </c>
      <c r="B2585" t="s">
        <v>7669</v>
      </c>
      <c r="C2585" t="s">
        <v>10740</v>
      </c>
      <c r="D2585" t="s">
        <v>7668</v>
      </c>
      <c r="E2585" t="s">
        <v>3788</v>
      </c>
      <c r="F2585" t="s">
        <v>3866</v>
      </c>
      <c r="G2585" t="s">
        <v>7255</v>
      </c>
      <c r="H2585" t="s">
        <v>7667</v>
      </c>
      <c r="I2585" t="str">
        <f t="shared" si="160"/>
        <v>Ongoing</v>
      </c>
      <c r="J2585" t="str">
        <f t="shared" si="161"/>
        <v>ng</v>
      </c>
      <c r="K2585" t="str">
        <f t="shared" si="162"/>
        <v>Ongoing</v>
      </c>
      <c r="L2585" t="str">
        <f t="shared" si="163"/>
        <v>Ongoing</v>
      </c>
    </row>
    <row r="2586" spans="1:12" x14ac:dyDescent="0.35">
      <c r="A2586">
        <v>2599</v>
      </c>
      <c r="B2586" t="s">
        <v>7666</v>
      </c>
      <c r="C2586" t="s">
        <v>10637</v>
      </c>
      <c r="D2586" t="s">
        <v>7665</v>
      </c>
      <c r="E2586" t="s">
        <v>3788</v>
      </c>
      <c r="F2586" t="s">
        <v>6149</v>
      </c>
      <c r="G2586" t="s">
        <v>7664</v>
      </c>
      <c r="H2586" t="s">
        <v>7663</v>
      </c>
      <c r="I2586" t="str">
        <f t="shared" si="160"/>
        <v>33</v>
      </c>
      <c r="J2586" t="str">
        <f t="shared" si="161"/>
        <v>AD</v>
      </c>
      <c r="K2586" t="str">
        <f t="shared" si="162"/>
        <v>33</v>
      </c>
      <c r="L2586" t="str">
        <f t="shared" si="163"/>
        <v>33</v>
      </c>
    </row>
    <row r="2587" spans="1:12" x14ac:dyDescent="0.35">
      <c r="A2587">
        <v>2600</v>
      </c>
      <c r="B2587" t="s">
        <v>7662</v>
      </c>
      <c r="C2587" t="s">
        <v>10656</v>
      </c>
      <c r="D2587" t="s">
        <v>7661</v>
      </c>
      <c r="E2587" t="s">
        <v>3788</v>
      </c>
      <c r="F2587" t="s">
        <v>3866</v>
      </c>
      <c r="G2587" t="s">
        <v>53</v>
      </c>
      <c r="H2587" t="s">
        <v>7660</v>
      </c>
      <c r="I2587" t="str">
        <f t="shared" si="160"/>
        <v>Ongoing</v>
      </c>
      <c r="J2587" t="str">
        <f t="shared" si="161"/>
        <v>ng</v>
      </c>
      <c r="K2587" t="str">
        <f t="shared" si="162"/>
        <v>Ongoing</v>
      </c>
      <c r="L2587" t="str">
        <f t="shared" si="163"/>
        <v>Ongoing</v>
      </c>
    </row>
    <row r="2588" spans="1:12" x14ac:dyDescent="0.35">
      <c r="A2588">
        <v>2601</v>
      </c>
      <c r="B2588" t="s">
        <v>7659</v>
      </c>
      <c r="C2588" t="s">
        <v>10048</v>
      </c>
      <c r="D2588" t="s">
        <v>7658</v>
      </c>
      <c r="E2588" t="s">
        <v>3788</v>
      </c>
      <c r="F2588" t="s">
        <v>7548</v>
      </c>
      <c r="G2588" t="s">
        <v>53</v>
      </c>
      <c r="H2588" t="s">
        <v>7657</v>
      </c>
      <c r="I2588" t="str">
        <f t="shared" si="160"/>
        <v>61-62</v>
      </c>
      <c r="J2588" t="str">
        <f t="shared" si="161"/>
        <v>AD</v>
      </c>
      <c r="K2588" t="str">
        <f t="shared" si="162"/>
        <v>61</v>
      </c>
      <c r="L2588" t="str">
        <f t="shared" si="163"/>
        <v>62</v>
      </c>
    </row>
    <row r="2589" spans="1:12" x14ac:dyDescent="0.35">
      <c r="A2589">
        <v>2602</v>
      </c>
      <c r="B2589" t="s">
        <v>7656</v>
      </c>
      <c r="C2589" t="s">
        <v>10631</v>
      </c>
      <c r="D2589" t="s">
        <v>7655</v>
      </c>
      <c r="E2589" t="s">
        <v>3788</v>
      </c>
      <c r="F2589" t="s">
        <v>3866</v>
      </c>
      <c r="G2589" t="s">
        <v>7255</v>
      </c>
      <c r="H2589" t="s">
        <v>7654</v>
      </c>
      <c r="I2589" t="str">
        <f t="shared" si="160"/>
        <v>Ongoing</v>
      </c>
      <c r="J2589" t="str">
        <f t="shared" si="161"/>
        <v>ng</v>
      </c>
      <c r="K2589" t="str">
        <f t="shared" si="162"/>
        <v>Ongoing</v>
      </c>
      <c r="L2589" t="str">
        <f t="shared" si="163"/>
        <v>Ongoing</v>
      </c>
    </row>
    <row r="2590" spans="1:12" x14ac:dyDescent="0.35">
      <c r="A2590">
        <v>2603</v>
      </c>
      <c r="B2590" t="s">
        <v>7653</v>
      </c>
      <c r="C2590" t="s">
        <v>10512</v>
      </c>
      <c r="D2590" t="s">
        <v>7652</v>
      </c>
      <c r="E2590" t="s">
        <v>7612</v>
      </c>
      <c r="F2590" t="s">
        <v>7548</v>
      </c>
      <c r="G2590" t="s">
        <v>53</v>
      </c>
      <c r="H2590" t="s">
        <v>7651</v>
      </c>
      <c r="I2590" t="str">
        <f t="shared" si="160"/>
        <v>61-62</v>
      </c>
      <c r="J2590" t="str">
        <f t="shared" si="161"/>
        <v>AD</v>
      </c>
      <c r="K2590" t="str">
        <f t="shared" si="162"/>
        <v>61</v>
      </c>
      <c r="L2590" t="str">
        <f t="shared" si="163"/>
        <v>62</v>
      </c>
    </row>
    <row r="2591" spans="1:12" x14ac:dyDescent="0.35">
      <c r="A2591">
        <v>2604</v>
      </c>
      <c r="B2591" t="s">
        <v>7650</v>
      </c>
      <c r="C2591" t="s">
        <v>10048</v>
      </c>
      <c r="D2591" t="s">
        <v>7649</v>
      </c>
      <c r="E2591" t="s">
        <v>3788</v>
      </c>
      <c r="F2591" t="s">
        <v>3866</v>
      </c>
      <c r="G2591" t="s">
        <v>53</v>
      </c>
      <c r="H2591" t="s">
        <v>7648</v>
      </c>
      <c r="I2591" t="str">
        <f t="shared" si="160"/>
        <v>Ongoing</v>
      </c>
      <c r="J2591" t="str">
        <f t="shared" si="161"/>
        <v>ng</v>
      </c>
      <c r="K2591" t="str">
        <f t="shared" si="162"/>
        <v>Ongoing</v>
      </c>
      <c r="L2591" t="str">
        <f t="shared" si="163"/>
        <v>Ongoing</v>
      </c>
    </row>
    <row r="2592" spans="1:12" x14ac:dyDescent="0.35">
      <c r="A2592">
        <v>2605</v>
      </c>
      <c r="B2592" t="s">
        <v>7647</v>
      </c>
      <c r="C2592" t="s">
        <v>10513</v>
      </c>
      <c r="D2592" t="s">
        <v>7646</v>
      </c>
      <c r="E2592" t="s">
        <v>3788</v>
      </c>
      <c r="F2592" t="s">
        <v>7637</v>
      </c>
      <c r="G2592" t="s">
        <v>53</v>
      </c>
      <c r="H2592" t="s">
        <v>7645</v>
      </c>
      <c r="I2592" t="str">
        <f t="shared" si="160"/>
        <v>At Conversion</v>
      </c>
      <c r="J2592" t="str">
        <f t="shared" si="161"/>
        <v>on</v>
      </c>
      <c r="K2592" t="str">
        <f t="shared" si="162"/>
        <v>At Conversion</v>
      </c>
      <c r="L2592" t="str">
        <f t="shared" si="163"/>
        <v>At Conversion</v>
      </c>
    </row>
    <row r="2593" spans="1:12" x14ac:dyDescent="0.35">
      <c r="A2593">
        <v>2606</v>
      </c>
      <c r="B2593" t="s">
        <v>7644</v>
      </c>
      <c r="C2593" t="s">
        <v>10657</v>
      </c>
      <c r="D2593" t="s">
        <v>7643</v>
      </c>
      <c r="E2593" t="s">
        <v>3788</v>
      </c>
      <c r="F2593" t="s">
        <v>7637</v>
      </c>
      <c r="G2593" t="s">
        <v>53</v>
      </c>
      <c r="H2593" t="s">
        <v>7642</v>
      </c>
      <c r="I2593" t="str">
        <f t="shared" si="160"/>
        <v>At Conversion</v>
      </c>
      <c r="J2593" t="str">
        <f t="shared" si="161"/>
        <v>on</v>
      </c>
      <c r="K2593" t="str">
        <f t="shared" si="162"/>
        <v>At Conversion</v>
      </c>
      <c r="L2593" t="str">
        <f t="shared" si="163"/>
        <v>At Conversion</v>
      </c>
    </row>
    <row r="2594" spans="1:12" x14ac:dyDescent="0.35">
      <c r="A2594">
        <v>2607</v>
      </c>
      <c r="B2594" t="s">
        <v>7641</v>
      </c>
      <c r="C2594" t="s">
        <v>7482</v>
      </c>
      <c r="D2594" t="s">
        <v>7638</v>
      </c>
      <c r="E2594" t="s">
        <v>3788</v>
      </c>
      <c r="F2594" t="s">
        <v>7637</v>
      </c>
      <c r="G2594" t="s">
        <v>53</v>
      </c>
      <c r="H2594" t="s">
        <v>7640</v>
      </c>
      <c r="I2594" t="str">
        <f t="shared" si="160"/>
        <v>At Conversion</v>
      </c>
      <c r="J2594" t="str">
        <f t="shared" si="161"/>
        <v>on</v>
      </c>
      <c r="K2594" t="str">
        <f t="shared" si="162"/>
        <v>At Conversion</v>
      </c>
      <c r="L2594" t="str">
        <f t="shared" si="163"/>
        <v>At Conversion</v>
      </c>
    </row>
    <row r="2595" spans="1:12" x14ac:dyDescent="0.35">
      <c r="A2595">
        <v>2608</v>
      </c>
      <c r="B2595" t="s">
        <v>7639</v>
      </c>
      <c r="C2595" t="s">
        <v>9469</v>
      </c>
      <c r="D2595" t="s">
        <v>7638</v>
      </c>
      <c r="E2595" t="s">
        <v>3788</v>
      </c>
      <c r="F2595" t="s">
        <v>7637</v>
      </c>
      <c r="G2595" t="s">
        <v>53</v>
      </c>
      <c r="H2595" t="s">
        <v>7636</v>
      </c>
      <c r="I2595" t="str">
        <f t="shared" si="160"/>
        <v>At Conversion</v>
      </c>
      <c r="J2595" t="str">
        <f t="shared" si="161"/>
        <v>on</v>
      </c>
      <c r="K2595" t="str">
        <f t="shared" si="162"/>
        <v>At Conversion</v>
      </c>
      <c r="L2595" t="str">
        <f t="shared" si="163"/>
        <v>At Conversion</v>
      </c>
    </row>
    <row r="2596" spans="1:12" x14ac:dyDescent="0.35">
      <c r="A2596">
        <v>2609</v>
      </c>
      <c r="B2596" t="s">
        <v>7635</v>
      </c>
      <c r="C2596" t="s">
        <v>10658</v>
      </c>
      <c r="D2596" t="s">
        <v>7634</v>
      </c>
      <c r="E2596" t="s">
        <v>3788</v>
      </c>
      <c r="F2596" t="s">
        <v>6149</v>
      </c>
      <c r="G2596" t="s">
        <v>53</v>
      </c>
      <c r="H2596" t="s">
        <v>7633</v>
      </c>
      <c r="I2596" t="str">
        <f t="shared" si="160"/>
        <v>33</v>
      </c>
      <c r="J2596" t="str">
        <f t="shared" si="161"/>
        <v>AD</v>
      </c>
      <c r="K2596" t="str">
        <f t="shared" si="162"/>
        <v>33</v>
      </c>
      <c r="L2596" t="str">
        <f t="shared" si="163"/>
        <v>33</v>
      </c>
    </row>
    <row r="2597" spans="1:12" x14ac:dyDescent="0.35">
      <c r="A2597">
        <v>2610</v>
      </c>
      <c r="B2597" t="s">
        <v>7632</v>
      </c>
      <c r="C2597" t="s">
        <v>7631</v>
      </c>
      <c r="D2597" t="s">
        <v>7628</v>
      </c>
      <c r="E2597" t="s">
        <v>7627</v>
      </c>
      <c r="F2597" t="s">
        <v>6149</v>
      </c>
      <c r="G2597" t="s">
        <v>7255</v>
      </c>
      <c r="H2597" t="s">
        <v>7630</v>
      </c>
      <c r="I2597" t="str">
        <f t="shared" si="160"/>
        <v>33</v>
      </c>
      <c r="J2597" t="str">
        <f t="shared" si="161"/>
        <v>AD</v>
      </c>
      <c r="K2597" t="str">
        <f t="shared" si="162"/>
        <v>33</v>
      </c>
      <c r="L2597" t="str">
        <f t="shared" si="163"/>
        <v>33</v>
      </c>
    </row>
    <row r="2598" spans="1:12" x14ac:dyDescent="0.35">
      <c r="A2598">
        <v>2611</v>
      </c>
      <c r="B2598" t="s">
        <v>7629</v>
      </c>
      <c r="C2598" t="s">
        <v>10659</v>
      </c>
      <c r="D2598" t="s">
        <v>7628</v>
      </c>
      <c r="E2598" t="s">
        <v>7627</v>
      </c>
      <c r="F2598" t="s">
        <v>6149</v>
      </c>
      <c r="G2598" t="s">
        <v>7255</v>
      </c>
      <c r="H2598" t="s">
        <v>7626</v>
      </c>
      <c r="I2598" t="str">
        <f t="shared" si="160"/>
        <v>33</v>
      </c>
      <c r="J2598" t="str">
        <f t="shared" si="161"/>
        <v>AD</v>
      </c>
      <c r="K2598" t="str">
        <f t="shared" si="162"/>
        <v>33</v>
      </c>
      <c r="L2598" t="str">
        <f t="shared" si="163"/>
        <v>33</v>
      </c>
    </row>
    <row r="2599" spans="1:12" x14ac:dyDescent="0.35">
      <c r="A2599">
        <v>2612</v>
      </c>
      <c r="B2599" t="s">
        <v>7625</v>
      </c>
      <c r="C2599" t="s">
        <v>9862</v>
      </c>
      <c r="D2599" t="s">
        <v>7624</v>
      </c>
      <c r="E2599" t="s">
        <v>3788</v>
      </c>
      <c r="F2599" t="s">
        <v>3866</v>
      </c>
      <c r="G2599" t="s">
        <v>53</v>
      </c>
      <c r="H2599" t="s">
        <v>7623</v>
      </c>
      <c r="I2599" t="str">
        <f t="shared" si="160"/>
        <v>Ongoing</v>
      </c>
      <c r="J2599" t="str">
        <f t="shared" si="161"/>
        <v>ng</v>
      </c>
      <c r="K2599" t="str">
        <f t="shared" si="162"/>
        <v>Ongoing</v>
      </c>
      <c r="L2599" t="str">
        <f t="shared" si="163"/>
        <v>Ongoing</v>
      </c>
    </row>
    <row r="2600" spans="1:12" x14ac:dyDescent="0.35">
      <c r="A2600">
        <v>2613</v>
      </c>
      <c r="B2600" t="s">
        <v>7622</v>
      </c>
      <c r="C2600" t="s">
        <v>10631</v>
      </c>
      <c r="D2600" t="s">
        <v>7621</v>
      </c>
      <c r="E2600" t="s">
        <v>3788</v>
      </c>
      <c r="F2600" t="s">
        <v>3866</v>
      </c>
      <c r="G2600" t="s">
        <v>7255</v>
      </c>
      <c r="H2600" t="s">
        <v>7620</v>
      </c>
      <c r="I2600" t="str">
        <f t="shared" si="160"/>
        <v>Ongoing</v>
      </c>
      <c r="J2600" t="str">
        <f t="shared" si="161"/>
        <v>ng</v>
      </c>
      <c r="K2600" t="str">
        <f t="shared" si="162"/>
        <v>Ongoing</v>
      </c>
      <c r="L2600" t="str">
        <f t="shared" si="163"/>
        <v>Ongoing</v>
      </c>
    </row>
    <row r="2601" spans="1:12" x14ac:dyDescent="0.35">
      <c r="A2601">
        <v>2614</v>
      </c>
      <c r="B2601" t="s">
        <v>7619</v>
      </c>
      <c r="C2601" t="s">
        <v>10048</v>
      </c>
      <c r="D2601" t="s">
        <v>7616</v>
      </c>
      <c r="E2601" t="s">
        <v>3788</v>
      </c>
      <c r="F2601" t="s">
        <v>4363</v>
      </c>
      <c r="G2601" t="s">
        <v>7255</v>
      </c>
      <c r="H2601" t="s">
        <v>7618</v>
      </c>
      <c r="I2601" t="str">
        <f t="shared" si="160"/>
        <v>Future</v>
      </c>
      <c r="J2601" t="str">
        <f t="shared" si="161"/>
        <v>re</v>
      </c>
      <c r="K2601" t="str">
        <f t="shared" si="162"/>
        <v>Future</v>
      </c>
      <c r="L2601" t="str">
        <f t="shared" si="163"/>
        <v>Future</v>
      </c>
    </row>
    <row r="2602" spans="1:12" x14ac:dyDescent="0.35">
      <c r="A2602">
        <v>2615</v>
      </c>
      <c r="B2602" t="s">
        <v>7617</v>
      </c>
      <c r="C2602" t="s">
        <v>10660</v>
      </c>
      <c r="D2602" t="s">
        <v>7616</v>
      </c>
      <c r="E2602" t="s">
        <v>3788</v>
      </c>
      <c r="F2602" t="s">
        <v>4363</v>
      </c>
      <c r="G2602" t="s">
        <v>53</v>
      </c>
      <c r="H2602" t="s">
        <v>7615</v>
      </c>
      <c r="I2602" t="str">
        <f t="shared" si="160"/>
        <v>Future</v>
      </c>
      <c r="J2602" t="str">
        <f t="shared" si="161"/>
        <v>re</v>
      </c>
      <c r="K2602" t="str">
        <f t="shared" si="162"/>
        <v>Future</v>
      </c>
      <c r="L2602" t="str">
        <f t="shared" si="163"/>
        <v>Future</v>
      </c>
    </row>
    <row r="2603" spans="1:12" x14ac:dyDescent="0.35">
      <c r="A2603">
        <v>2616</v>
      </c>
      <c r="B2603" t="s">
        <v>7614</v>
      </c>
      <c r="C2603" t="s">
        <v>10661</v>
      </c>
      <c r="D2603" t="s">
        <v>7613</v>
      </c>
      <c r="E2603" t="s">
        <v>7612</v>
      </c>
      <c r="F2603" t="s">
        <v>7548</v>
      </c>
      <c r="G2603" t="s">
        <v>53</v>
      </c>
      <c r="H2603" t="s">
        <v>7611</v>
      </c>
      <c r="I2603" t="str">
        <f t="shared" si="160"/>
        <v>61-62</v>
      </c>
      <c r="J2603" t="str">
        <f t="shared" si="161"/>
        <v>AD</v>
      </c>
      <c r="K2603" t="str">
        <f t="shared" si="162"/>
        <v>61</v>
      </c>
      <c r="L2603" t="str">
        <f t="shared" si="163"/>
        <v>62</v>
      </c>
    </row>
    <row r="2604" spans="1:12" x14ac:dyDescent="0.35">
      <c r="A2604">
        <v>2617</v>
      </c>
      <c r="B2604" t="s">
        <v>7789</v>
      </c>
      <c r="C2604" t="s">
        <v>10662</v>
      </c>
      <c r="D2604" t="s">
        <v>7788</v>
      </c>
      <c r="E2604" t="s">
        <v>7732</v>
      </c>
      <c r="F2604" t="s">
        <v>7731</v>
      </c>
      <c r="G2604" t="s">
        <v>6735</v>
      </c>
      <c r="H2604" t="s">
        <v>7787</v>
      </c>
      <c r="I2604" t="str">
        <f t="shared" si="160"/>
        <v>51</v>
      </c>
      <c r="J2604" t="str">
        <f t="shared" si="161"/>
        <v>AD</v>
      </c>
      <c r="K2604" t="str">
        <f t="shared" si="162"/>
        <v>51</v>
      </c>
      <c r="L2604" t="str">
        <f t="shared" si="163"/>
        <v>51</v>
      </c>
    </row>
    <row r="2605" spans="1:12" x14ac:dyDescent="0.35">
      <c r="A2605">
        <v>2618</v>
      </c>
      <c r="B2605" t="s">
        <v>7786</v>
      </c>
      <c r="C2605" t="s">
        <v>10618</v>
      </c>
      <c r="D2605" t="s">
        <v>7785</v>
      </c>
      <c r="E2605" t="s">
        <v>7732</v>
      </c>
      <c r="F2605" t="s">
        <v>6772</v>
      </c>
      <c r="G2605" t="s">
        <v>7784</v>
      </c>
      <c r="H2605" t="s">
        <v>7783</v>
      </c>
      <c r="I2605" t="str">
        <f t="shared" si="160"/>
        <v>50</v>
      </c>
      <c r="J2605" t="str">
        <f t="shared" si="161"/>
        <v>AD</v>
      </c>
      <c r="K2605" t="str">
        <f t="shared" si="162"/>
        <v>50</v>
      </c>
      <c r="L2605" t="str">
        <f t="shared" si="163"/>
        <v>50</v>
      </c>
    </row>
    <row r="2606" spans="1:12" x14ac:dyDescent="0.35">
      <c r="A2606">
        <v>2619</v>
      </c>
      <c r="B2606" t="s">
        <v>7782</v>
      </c>
      <c r="C2606" t="s">
        <v>11701</v>
      </c>
      <c r="D2606" t="s">
        <v>7781</v>
      </c>
      <c r="E2606" t="s">
        <v>7732</v>
      </c>
      <c r="F2606" t="s">
        <v>6772</v>
      </c>
      <c r="G2606" t="s">
        <v>61</v>
      </c>
      <c r="H2606" t="s">
        <v>7780</v>
      </c>
      <c r="I2606" t="str">
        <f t="shared" si="160"/>
        <v>50</v>
      </c>
      <c r="J2606" t="str">
        <f t="shared" si="161"/>
        <v>AD</v>
      </c>
      <c r="K2606" t="str">
        <f t="shared" si="162"/>
        <v>50</v>
      </c>
      <c r="L2606" t="str">
        <f t="shared" si="163"/>
        <v>50</v>
      </c>
    </row>
    <row r="2607" spans="1:12" x14ac:dyDescent="0.35">
      <c r="A2607">
        <v>2620</v>
      </c>
      <c r="B2607" t="s">
        <v>7779</v>
      </c>
      <c r="C2607" t="s">
        <v>10513</v>
      </c>
      <c r="D2607" t="s">
        <v>7778</v>
      </c>
      <c r="E2607" t="s">
        <v>7777</v>
      </c>
      <c r="F2607" t="s">
        <v>7761</v>
      </c>
      <c r="G2607" t="s">
        <v>53</v>
      </c>
      <c r="H2607" t="s">
        <v>7776</v>
      </c>
      <c r="I2607" t="str">
        <f t="shared" si="160"/>
        <v>50-51</v>
      </c>
      <c r="J2607" t="str">
        <f t="shared" si="161"/>
        <v>AD</v>
      </c>
      <c r="K2607" t="str">
        <f t="shared" si="162"/>
        <v>50</v>
      </c>
      <c r="L2607" t="str">
        <f t="shared" si="163"/>
        <v>51</v>
      </c>
    </row>
    <row r="2608" spans="1:12" x14ac:dyDescent="0.35">
      <c r="A2608">
        <v>2621</v>
      </c>
      <c r="B2608" t="s">
        <v>7775</v>
      </c>
      <c r="C2608" t="s">
        <v>10663</v>
      </c>
      <c r="D2608" t="s">
        <v>7774</v>
      </c>
      <c r="E2608" t="s">
        <v>7732</v>
      </c>
      <c r="F2608" t="s">
        <v>6772</v>
      </c>
      <c r="G2608" t="s">
        <v>53</v>
      </c>
      <c r="H2608" t="s">
        <v>7773</v>
      </c>
      <c r="I2608" t="str">
        <f t="shared" si="160"/>
        <v>50</v>
      </c>
      <c r="J2608" t="str">
        <f t="shared" si="161"/>
        <v>AD</v>
      </c>
      <c r="K2608" t="str">
        <f t="shared" si="162"/>
        <v>50</v>
      </c>
      <c r="L2608" t="str">
        <f t="shared" si="163"/>
        <v>50</v>
      </c>
    </row>
    <row r="2609" spans="1:12" x14ac:dyDescent="0.35">
      <c r="A2609">
        <v>2622</v>
      </c>
      <c r="B2609" t="s">
        <v>7772</v>
      </c>
      <c r="C2609" t="s">
        <v>10664</v>
      </c>
      <c r="D2609" t="s">
        <v>7771</v>
      </c>
      <c r="E2609" t="s">
        <v>7757</v>
      </c>
      <c r="F2609" t="s">
        <v>7761</v>
      </c>
      <c r="G2609" t="s">
        <v>6753</v>
      </c>
      <c r="H2609" t="s">
        <v>7770</v>
      </c>
      <c r="I2609" t="str">
        <f t="shared" si="160"/>
        <v>50-51</v>
      </c>
      <c r="J2609" t="str">
        <f t="shared" si="161"/>
        <v>AD</v>
      </c>
      <c r="K2609" t="str">
        <f t="shared" si="162"/>
        <v>50</v>
      </c>
      <c r="L2609" t="str">
        <f t="shared" si="163"/>
        <v>51</v>
      </c>
    </row>
    <row r="2610" spans="1:12" x14ac:dyDescent="0.35">
      <c r="A2610">
        <v>2623</v>
      </c>
      <c r="B2610" t="s">
        <v>7769</v>
      </c>
      <c r="C2610" t="s">
        <v>10048</v>
      </c>
      <c r="D2610" t="s">
        <v>7768</v>
      </c>
      <c r="E2610" t="s">
        <v>7757</v>
      </c>
      <c r="F2610" t="s">
        <v>7761</v>
      </c>
      <c r="G2610" t="s">
        <v>6741</v>
      </c>
      <c r="H2610" t="s">
        <v>7767</v>
      </c>
      <c r="I2610" t="str">
        <f t="shared" si="160"/>
        <v>50-51</v>
      </c>
      <c r="J2610" t="str">
        <f t="shared" si="161"/>
        <v>AD</v>
      </c>
      <c r="K2610" t="str">
        <f t="shared" si="162"/>
        <v>50</v>
      </c>
      <c r="L2610" t="str">
        <f t="shared" si="163"/>
        <v>51</v>
      </c>
    </row>
    <row r="2611" spans="1:12" x14ac:dyDescent="0.35">
      <c r="A2611">
        <v>2624</v>
      </c>
      <c r="B2611" t="s">
        <v>7766</v>
      </c>
      <c r="C2611" t="s">
        <v>9862</v>
      </c>
      <c r="D2611" t="s">
        <v>7765</v>
      </c>
      <c r="E2611" t="s">
        <v>7757</v>
      </c>
      <c r="F2611" t="s">
        <v>7761</v>
      </c>
      <c r="G2611" t="s">
        <v>53</v>
      </c>
      <c r="H2611" t="s">
        <v>7764</v>
      </c>
      <c r="I2611" t="str">
        <f t="shared" si="160"/>
        <v>50-51</v>
      </c>
      <c r="J2611" t="str">
        <f t="shared" si="161"/>
        <v>AD</v>
      </c>
      <c r="K2611" t="str">
        <f t="shared" si="162"/>
        <v>50</v>
      </c>
      <c r="L2611" t="str">
        <f t="shared" si="163"/>
        <v>51</v>
      </c>
    </row>
    <row r="2612" spans="1:12" x14ac:dyDescent="0.35">
      <c r="A2612">
        <v>2625</v>
      </c>
      <c r="B2612" t="s">
        <v>7763</v>
      </c>
      <c r="C2612" t="s">
        <v>10621</v>
      </c>
      <c r="D2612" t="s">
        <v>7762</v>
      </c>
      <c r="E2612" t="s">
        <v>7732</v>
      </c>
      <c r="F2612" t="s">
        <v>7761</v>
      </c>
      <c r="G2612" t="s">
        <v>53</v>
      </c>
      <c r="H2612" t="s">
        <v>7760</v>
      </c>
      <c r="I2612" t="str">
        <f t="shared" ref="I2612:I2675" si="164">SUBSTITUTE(SUBSTITUTE(SUBSTITUTE(F2612,"c. ","")," BC","")," AD","")</f>
        <v>50-51</v>
      </c>
      <c r="J2612" t="str">
        <f t="shared" si="161"/>
        <v>AD</v>
      </c>
      <c r="K2612" t="str">
        <f t="shared" si="162"/>
        <v>50</v>
      </c>
      <c r="L2612" t="str">
        <f t="shared" si="163"/>
        <v>51</v>
      </c>
    </row>
    <row r="2613" spans="1:12" x14ac:dyDescent="0.35">
      <c r="A2613">
        <v>2626</v>
      </c>
      <c r="B2613" t="s">
        <v>7759</v>
      </c>
      <c r="C2613" t="s">
        <v>6157</v>
      </c>
      <c r="D2613" t="s">
        <v>7758</v>
      </c>
      <c r="E2613" t="s">
        <v>7757</v>
      </c>
      <c r="F2613" t="s">
        <v>7731</v>
      </c>
      <c r="G2613" t="s">
        <v>6753</v>
      </c>
      <c r="H2613" t="s">
        <v>7756</v>
      </c>
      <c r="I2613" t="str">
        <f t="shared" si="164"/>
        <v>51</v>
      </c>
      <c r="J2613" t="str">
        <f t="shared" si="161"/>
        <v>AD</v>
      </c>
      <c r="K2613" t="str">
        <f t="shared" si="162"/>
        <v>51</v>
      </c>
      <c r="L2613" t="str">
        <f t="shared" si="163"/>
        <v>51</v>
      </c>
    </row>
    <row r="2614" spans="1:12" x14ac:dyDescent="0.35">
      <c r="A2614">
        <v>2627</v>
      </c>
      <c r="B2614" t="s">
        <v>7755</v>
      </c>
      <c r="C2614" t="s">
        <v>10665</v>
      </c>
      <c r="D2614" t="s">
        <v>7747</v>
      </c>
      <c r="E2614" t="s">
        <v>5603</v>
      </c>
      <c r="F2614" t="s">
        <v>4363</v>
      </c>
      <c r="G2614" t="s">
        <v>59</v>
      </c>
      <c r="H2614" t="s">
        <v>7754</v>
      </c>
      <c r="I2614" t="str">
        <f t="shared" si="164"/>
        <v>Future</v>
      </c>
      <c r="J2614" t="str">
        <f t="shared" si="161"/>
        <v>re</v>
      </c>
      <c r="K2614" t="str">
        <f t="shared" si="162"/>
        <v>Future</v>
      </c>
      <c r="L2614" t="str">
        <f t="shared" si="163"/>
        <v>Future</v>
      </c>
    </row>
    <row r="2615" spans="1:12" x14ac:dyDescent="0.35">
      <c r="A2615">
        <v>2628</v>
      </c>
      <c r="B2615" t="s">
        <v>7753</v>
      </c>
      <c r="C2615" t="s">
        <v>10666</v>
      </c>
      <c r="D2615" t="s">
        <v>7747</v>
      </c>
      <c r="E2615" t="s">
        <v>5603</v>
      </c>
      <c r="F2615" t="s">
        <v>4363</v>
      </c>
      <c r="G2615" t="s">
        <v>7752</v>
      </c>
      <c r="H2615" t="s">
        <v>7751</v>
      </c>
      <c r="I2615" t="str">
        <f t="shared" si="164"/>
        <v>Future</v>
      </c>
      <c r="J2615" t="str">
        <f t="shared" si="161"/>
        <v>re</v>
      </c>
      <c r="K2615" t="str">
        <f t="shared" si="162"/>
        <v>Future</v>
      </c>
      <c r="L2615" t="str">
        <f t="shared" si="163"/>
        <v>Future</v>
      </c>
    </row>
    <row r="2616" spans="1:12" x14ac:dyDescent="0.35">
      <c r="A2616">
        <v>2629</v>
      </c>
      <c r="B2616" t="s">
        <v>7750</v>
      </c>
      <c r="C2616" t="s">
        <v>10666</v>
      </c>
      <c r="D2616" t="s">
        <v>7747</v>
      </c>
      <c r="E2616" t="s">
        <v>5603</v>
      </c>
      <c r="F2616" t="s">
        <v>4363</v>
      </c>
      <c r="G2616" t="s">
        <v>53</v>
      </c>
      <c r="H2616" t="s">
        <v>7749</v>
      </c>
      <c r="I2616" t="str">
        <f t="shared" si="164"/>
        <v>Future</v>
      </c>
      <c r="J2616" t="str">
        <f t="shared" si="161"/>
        <v>re</v>
      </c>
      <c r="K2616" t="str">
        <f t="shared" si="162"/>
        <v>Future</v>
      </c>
      <c r="L2616" t="str">
        <f t="shared" si="163"/>
        <v>Future</v>
      </c>
    </row>
    <row r="2617" spans="1:12" x14ac:dyDescent="0.35">
      <c r="A2617">
        <v>2630</v>
      </c>
      <c r="B2617" t="s">
        <v>7748</v>
      </c>
      <c r="C2617" t="s">
        <v>10733</v>
      </c>
      <c r="D2617" t="s">
        <v>7747</v>
      </c>
      <c r="E2617" t="s">
        <v>5603</v>
      </c>
      <c r="F2617" t="s">
        <v>4363</v>
      </c>
      <c r="G2617" t="s">
        <v>59</v>
      </c>
      <c r="H2617" t="s">
        <v>7746</v>
      </c>
      <c r="I2617" t="str">
        <f t="shared" si="164"/>
        <v>Future</v>
      </c>
      <c r="J2617" t="str">
        <f t="shared" si="161"/>
        <v>re</v>
      </c>
      <c r="K2617" t="str">
        <f t="shared" si="162"/>
        <v>Future</v>
      </c>
      <c r="L2617" t="str">
        <f t="shared" si="163"/>
        <v>Future</v>
      </c>
    </row>
    <row r="2618" spans="1:12" x14ac:dyDescent="0.35">
      <c r="A2618">
        <v>2631</v>
      </c>
      <c r="B2618" t="s">
        <v>7745</v>
      </c>
      <c r="C2618" t="s">
        <v>10039</v>
      </c>
      <c r="D2618" t="s">
        <v>7744</v>
      </c>
      <c r="E2618" t="s">
        <v>5603</v>
      </c>
      <c r="F2618" t="s">
        <v>4363</v>
      </c>
      <c r="G2618" t="s">
        <v>59</v>
      </c>
      <c r="H2618" t="s">
        <v>7743</v>
      </c>
      <c r="I2618" t="str">
        <f t="shared" si="164"/>
        <v>Future</v>
      </c>
      <c r="J2618" t="str">
        <f t="shared" si="161"/>
        <v>re</v>
      </c>
      <c r="K2618" t="str">
        <f t="shared" si="162"/>
        <v>Future</v>
      </c>
      <c r="L2618" t="str">
        <f t="shared" si="163"/>
        <v>Future</v>
      </c>
    </row>
    <row r="2619" spans="1:12" x14ac:dyDescent="0.35">
      <c r="A2619">
        <v>2632</v>
      </c>
      <c r="B2619" t="s">
        <v>7742</v>
      </c>
      <c r="C2619" t="s">
        <v>6157</v>
      </c>
      <c r="D2619" t="s">
        <v>7741</v>
      </c>
      <c r="E2619" t="s">
        <v>5603</v>
      </c>
      <c r="F2619" t="s">
        <v>4363</v>
      </c>
      <c r="G2619" t="s">
        <v>53</v>
      </c>
      <c r="H2619" t="s">
        <v>7740</v>
      </c>
      <c r="I2619" t="str">
        <f t="shared" si="164"/>
        <v>Future</v>
      </c>
      <c r="J2619" t="str">
        <f t="shared" si="161"/>
        <v>re</v>
      </c>
      <c r="K2619" t="str">
        <f t="shared" si="162"/>
        <v>Future</v>
      </c>
      <c r="L2619" t="str">
        <f t="shared" si="163"/>
        <v>Future</v>
      </c>
    </row>
    <row r="2620" spans="1:12" x14ac:dyDescent="0.35">
      <c r="A2620">
        <v>2633</v>
      </c>
      <c r="B2620" t="s">
        <v>7739</v>
      </c>
      <c r="C2620" t="s">
        <v>10544</v>
      </c>
      <c r="D2620" t="s">
        <v>7738</v>
      </c>
      <c r="E2620" t="s">
        <v>5603</v>
      </c>
      <c r="F2620" t="s">
        <v>4363</v>
      </c>
      <c r="G2620" t="s">
        <v>53</v>
      </c>
      <c r="H2620" t="s">
        <v>7737</v>
      </c>
      <c r="I2620" t="str">
        <f t="shared" si="164"/>
        <v>Future</v>
      </c>
      <c r="J2620" t="str">
        <f t="shared" si="161"/>
        <v>re</v>
      </c>
      <c r="K2620" t="str">
        <f t="shared" si="162"/>
        <v>Future</v>
      </c>
      <c r="L2620" t="str">
        <f t="shared" si="163"/>
        <v>Future</v>
      </c>
    </row>
    <row r="2621" spans="1:12" x14ac:dyDescent="0.35">
      <c r="A2621">
        <v>2634</v>
      </c>
      <c r="B2621" t="s">
        <v>7736</v>
      </c>
      <c r="C2621" t="s">
        <v>10650</v>
      </c>
      <c r="D2621" t="s">
        <v>7735</v>
      </c>
      <c r="E2621" t="s">
        <v>5603</v>
      </c>
      <c r="F2621" t="s">
        <v>4409</v>
      </c>
      <c r="G2621" t="s">
        <v>53</v>
      </c>
      <c r="H2621" t="s">
        <v>7734</v>
      </c>
      <c r="I2621" t="str">
        <f t="shared" si="164"/>
        <v>Eternal</v>
      </c>
      <c r="J2621" t="str">
        <f t="shared" si="161"/>
        <v>al</v>
      </c>
      <c r="K2621" t="str">
        <f t="shared" si="162"/>
        <v>Eternal</v>
      </c>
      <c r="L2621" t="str">
        <f t="shared" si="163"/>
        <v>Eternal</v>
      </c>
    </row>
    <row r="2622" spans="1:12" x14ac:dyDescent="0.35">
      <c r="A2622">
        <v>2635</v>
      </c>
      <c r="B2622" t="s">
        <v>7733</v>
      </c>
      <c r="C2622" t="s">
        <v>10656</v>
      </c>
      <c r="D2622" t="s">
        <v>7728</v>
      </c>
      <c r="E2622" t="s">
        <v>7732</v>
      </c>
      <c r="F2622" t="s">
        <v>7731</v>
      </c>
      <c r="G2622" t="s">
        <v>53</v>
      </c>
      <c r="H2622" t="s">
        <v>7730</v>
      </c>
      <c r="I2622" t="str">
        <f t="shared" si="164"/>
        <v>51</v>
      </c>
      <c r="J2622" t="str">
        <f t="shared" si="161"/>
        <v>AD</v>
      </c>
      <c r="K2622" t="str">
        <f t="shared" si="162"/>
        <v>51</v>
      </c>
      <c r="L2622" t="str">
        <f t="shared" si="163"/>
        <v>51</v>
      </c>
    </row>
    <row r="2623" spans="1:12" x14ac:dyDescent="0.35">
      <c r="A2623">
        <v>2636</v>
      </c>
      <c r="B2623" t="s">
        <v>7729</v>
      </c>
      <c r="C2623" t="s">
        <v>10667</v>
      </c>
      <c r="D2623" t="s">
        <v>7728</v>
      </c>
      <c r="E2623" t="s">
        <v>5603</v>
      </c>
      <c r="F2623" t="s">
        <v>4363</v>
      </c>
      <c r="G2623" t="s">
        <v>53</v>
      </c>
      <c r="H2623" t="s">
        <v>7727</v>
      </c>
      <c r="I2623" t="str">
        <f t="shared" si="164"/>
        <v>Future</v>
      </c>
      <c r="J2623" t="str">
        <f t="shared" si="161"/>
        <v>re</v>
      </c>
      <c r="K2623" t="str">
        <f t="shared" si="162"/>
        <v>Future</v>
      </c>
      <c r="L2623" t="str">
        <f t="shared" si="163"/>
        <v>Future</v>
      </c>
    </row>
    <row r="2624" spans="1:12" x14ac:dyDescent="0.35">
      <c r="A2624">
        <v>2637</v>
      </c>
      <c r="B2624" t="s">
        <v>7726</v>
      </c>
      <c r="C2624" t="s">
        <v>10628</v>
      </c>
      <c r="D2624" t="s">
        <v>7725</v>
      </c>
      <c r="E2624" t="s">
        <v>5603</v>
      </c>
      <c r="F2624" t="s">
        <v>4409</v>
      </c>
      <c r="G2624" t="s">
        <v>53</v>
      </c>
      <c r="H2624" t="s">
        <v>7724</v>
      </c>
      <c r="I2624" t="str">
        <f t="shared" si="164"/>
        <v>Eternal</v>
      </c>
      <c r="J2624" t="str">
        <f t="shared" si="161"/>
        <v>al</v>
      </c>
      <c r="K2624" t="str">
        <f t="shared" si="162"/>
        <v>Eternal</v>
      </c>
      <c r="L2624" t="str">
        <f t="shared" si="163"/>
        <v>Eternal</v>
      </c>
    </row>
    <row r="2625" spans="1:12" x14ac:dyDescent="0.35">
      <c r="A2625">
        <v>2638</v>
      </c>
      <c r="B2625" t="s">
        <v>7897</v>
      </c>
      <c r="C2625" t="s">
        <v>11702</v>
      </c>
      <c r="D2625" t="s">
        <v>7896</v>
      </c>
      <c r="E2625" t="s">
        <v>7831</v>
      </c>
      <c r="F2625" t="s">
        <v>7830</v>
      </c>
      <c r="G2625" t="s">
        <v>6735</v>
      </c>
      <c r="H2625" t="s">
        <v>7895</v>
      </c>
      <c r="I2625" t="str">
        <f t="shared" si="164"/>
        <v>51-52</v>
      </c>
      <c r="J2625" t="str">
        <f t="shared" si="161"/>
        <v>AD</v>
      </c>
      <c r="K2625" t="str">
        <f t="shared" si="162"/>
        <v>51</v>
      </c>
      <c r="L2625" t="str">
        <f t="shared" si="163"/>
        <v>52</v>
      </c>
    </row>
    <row r="2626" spans="1:12" x14ac:dyDescent="0.35">
      <c r="A2626">
        <v>2639</v>
      </c>
      <c r="B2626" t="s">
        <v>7894</v>
      </c>
      <c r="C2626" t="s">
        <v>10232</v>
      </c>
      <c r="D2626" t="s">
        <v>7893</v>
      </c>
      <c r="E2626" t="s">
        <v>3788</v>
      </c>
      <c r="F2626" t="s">
        <v>7892</v>
      </c>
      <c r="G2626" t="s">
        <v>53</v>
      </c>
      <c r="H2626" t="s">
        <v>7891</v>
      </c>
      <c r="I2626" t="str">
        <f t="shared" si="164"/>
        <v>Future/Present</v>
      </c>
      <c r="J2626" t="str">
        <f t="shared" ref="J2626:J2689" si="165">RIGHT(F2626, 2)</f>
        <v>nt</v>
      </c>
      <c r="K2626" t="str">
        <f t="shared" ref="K2626:K2689" si="166">IF(J2626="BC", 0-IF(ISERROR(FIND("-",I2626)),I2626,LEFT(I2626,FIND("-",I2626)-1)), IF(ISERROR(FIND("-",I2626)),I2626,LEFT(I2626,FIND("-",I2626)-1)))</f>
        <v>Future/Present</v>
      </c>
      <c r="L2626" t="str">
        <f t="shared" ref="L2626:L2689" si="167">IF(J2626="BC", 0-IF(ISERROR(FIND("-",I2626)),I2626,RIGHT(I2626,FIND("-",I2626)-1)), IF(ISERROR(FIND("-",I2626)),I2626,RIGHT(I2626,FIND("-",I2626)-1)))</f>
        <v>Future/Present</v>
      </c>
    </row>
    <row r="2627" spans="1:12" x14ac:dyDescent="0.35">
      <c r="A2627">
        <v>2640</v>
      </c>
      <c r="B2627" t="s">
        <v>7890</v>
      </c>
      <c r="C2627" t="s">
        <v>10668</v>
      </c>
      <c r="D2627" t="s">
        <v>7889</v>
      </c>
      <c r="E2627" t="s">
        <v>7888</v>
      </c>
      <c r="F2627" t="s">
        <v>7884</v>
      </c>
      <c r="G2627" t="s">
        <v>7392</v>
      </c>
      <c r="H2627" t="s">
        <v>7887</v>
      </c>
      <c r="I2627" t="str">
        <f t="shared" si="164"/>
        <v>Future Second Coming</v>
      </c>
      <c r="J2627" t="str">
        <f t="shared" si="165"/>
        <v>ng</v>
      </c>
      <c r="K2627" t="str">
        <f t="shared" si="166"/>
        <v>Future Second Coming</v>
      </c>
      <c r="L2627" t="str">
        <f t="shared" si="167"/>
        <v>Future Second Coming</v>
      </c>
    </row>
    <row r="2628" spans="1:12" x14ac:dyDescent="0.35">
      <c r="A2628">
        <v>2641</v>
      </c>
      <c r="B2628" t="s">
        <v>7886</v>
      </c>
      <c r="C2628" t="s">
        <v>10660</v>
      </c>
      <c r="D2628" t="s">
        <v>7885</v>
      </c>
      <c r="E2628" t="s">
        <v>115</v>
      </c>
      <c r="F2628" t="s">
        <v>7884</v>
      </c>
      <c r="G2628" t="s">
        <v>7392</v>
      </c>
      <c r="H2628" t="s">
        <v>7883</v>
      </c>
      <c r="I2628" t="str">
        <f t="shared" si="164"/>
        <v>Future Second Coming</v>
      </c>
      <c r="J2628" t="str">
        <f t="shared" si="165"/>
        <v>ng</v>
      </c>
      <c r="K2628" t="str">
        <f t="shared" si="166"/>
        <v>Future Second Coming</v>
      </c>
      <c r="L2628" t="str">
        <f t="shared" si="167"/>
        <v>Future Second Coming</v>
      </c>
    </row>
    <row r="2629" spans="1:12" x14ac:dyDescent="0.35">
      <c r="A2629">
        <v>2642</v>
      </c>
      <c r="B2629" t="s">
        <v>7882</v>
      </c>
      <c r="C2629" t="s">
        <v>10669</v>
      </c>
      <c r="D2629" t="s">
        <v>7881</v>
      </c>
      <c r="E2629" t="s">
        <v>7732</v>
      </c>
      <c r="F2629" t="s">
        <v>7844</v>
      </c>
      <c r="G2629" t="s">
        <v>53</v>
      </c>
      <c r="H2629" t="s">
        <v>7880</v>
      </c>
      <c r="I2629" t="str">
        <f t="shared" si="164"/>
        <v>Present/Future</v>
      </c>
      <c r="J2629" t="str">
        <f t="shared" si="165"/>
        <v>re</v>
      </c>
      <c r="K2629" t="str">
        <f t="shared" si="166"/>
        <v>Present/Future</v>
      </c>
      <c r="L2629" t="str">
        <f t="shared" si="167"/>
        <v>Present/Future</v>
      </c>
    </row>
    <row r="2630" spans="1:12" x14ac:dyDescent="0.35">
      <c r="A2630">
        <v>2643</v>
      </c>
      <c r="B2630" t="s">
        <v>7879</v>
      </c>
      <c r="C2630" t="s">
        <v>6157</v>
      </c>
      <c r="D2630" t="s">
        <v>7878</v>
      </c>
      <c r="E2630" t="s">
        <v>5603</v>
      </c>
      <c r="F2630" t="s">
        <v>4363</v>
      </c>
      <c r="G2630" t="s">
        <v>7877</v>
      </c>
      <c r="H2630" t="s">
        <v>7876</v>
      </c>
      <c r="I2630" t="str">
        <f t="shared" si="164"/>
        <v>Future</v>
      </c>
      <c r="J2630" t="str">
        <f t="shared" si="165"/>
        <v>re</v>
      </c>
      <c r="K2630" t="str">
        <f t="shared" si="166"/>
        <v>Future</v>
      </c>
      <c r="L2630" t="str">
        <f t="shared" si="167"/>
        <v>Future</v>
      </c>
    </row>
    <row r="2631" spans="1:12" x14ac:dyDescent="0.35">
      <c r="A2631">
        <v>2644</v>
      </c>
      <c r="B2631" t="s">
        <v>7875</v>
      </c>
      <c r="C2631" t="s">
        <v>10670</v>
      </c>
      <c r="D2631" t="s">
        <v>7874</v>
      </c>
      <c r="E2631" t="s">
        <v>5603</v>
      </c>
      <c r="F2631" t="s">
        <v>7844</v>
      </c>
      <c r="G2631" t="s">
        <v>6938</v>
      </c>
      <c r="H2631" t="s">
        <v>7873</v>
      </c>
      <c r="I2631" t="str">
        <f t="shared" si="164"/>
        <v>Present/Future</v>
      </c>
      <c r="J2631" t="str">
        <f t="shared" si="165"/>
        <v>re</v>
      </c>
      <c r="K2631" t="str">
        <f t="shared" si="166"/>
        <v>Present/Future</v>
      </c>
      <c r="L2631" t="str">
        <f t="shared" si="167"/>
        <v>Present/Future</v>
      </c>
    </row>
    <row r="2632" spans="1:12" x14ac:dyDescent="0.35">
      <c r="A2632">
        <v>2645</v>
      </c>
      <c r="B2632" t="s">
        <v>7872</v>
      </c>
      <c r="C2632" t="s">
        <v>11126</v>
      </c>
      <c r="D2632" t="s">
        <v>7871</v>
      </c>
      <c r="E2632" t="s">
        <v>5603</v>
      </c>
      <c r="F2632" t="s">
        <v>4363</v>
      </c>
      <c r="G2632" t="s">
        <v>7392</v>
      </c>
      <c r="H2632" t="s">
        <v>7870</v>
      </c>
      <c r="I2632" t="str">
        <f t="shared" si="164"/>
        <v>Future</v>
      </c>
      <c r="J2632" t="str">
        <f t="shared" si="165"/>
        <v>re</v>
      </c>
      <c r="K2632" t="str">
        <f t="shared" si="166"/>
        <v>Future</v>
      </c>
      <c r="L2632" t="str">
        <f t="shared" si="167"/>
        <v>Future</v>
      </c>
    </row>
    <row r="2633" spans="1:12" x14ac:dyDescent="0.35">
      <c r="A2633">
        <v>2646</v>
      </c>
      <c r="B2633" t="s">
        <v>7869</v>
      </c>
      <c r="C2633" t="s">
        <v>11703</v>
      </c>
      <c r="D2633" t="s">
        <v>7868</v>
      </c>
      <c r="E2633" t="s">
        <v>5603</v>
      </c>
      <c r="F2633" t="s">
        <v>4363</v>
      </c>
      <c r="G2633" t="s">
        <v>7867</v>
      </c>
      <c r="H2633" t="s">
        <v>7866</v>
      </c>
      <c r="I2633" t="str">
        <f t="shared" si="164"/>
        <v>Future</v>
      </c>
      <c r="J2633" t="str">
        <f t="shared" si="165"/>
        <v>re</v>
      </c>
      <c r="K2633" t="str">
        <f t="shared" si="166"/>
        <v>Future</v>
      </c>
      <c r="L2633" t="str">
        <f t="shared" si="167"/>
        <v>Future</v>
      </c>
    </row>
    <row r="2634" spans="1:12" x14ac:dyDescent="0.35">
      <c r="A2634">
        <v>2647</v>
      </c>
      <c r="B2634" t="s">
        <v>7865</v>
      </c>
      <c r="C2634" t="s">
        <v>11704</v>
      </c>
      <c r="D2634" t="s">
        <v>7864</v>
      </c>
      <c r="E2634" t="s">
        <v>5603</v>
      </c>
      <c r="F2634" t="s">
        <v>4363</v>
      </c>
      <c r="G2634" t="s">
        <v>53</v>
      </c>
      <c r="H2634" t="s">
        <v>7863</v>
      </c>
      <c r="I2634" t="str">
        <f t="shared" si="164"/>
        <v>Future</v>
      </c>
      <c r="J2634" t="str">
        <f t="shared" si="165"/>
        <v>re</v>
      </c>
      <c r="K2634" t="str">
        <f t="shared" si="166"/>
        <v>Future</v>
      </c>
      <c r="L2634" t="str">
        <f t="shared" si="167"/>
        <v>Future</v>
      </c>
    </row>
    <row r="2635" spans="1:12" x14ac:dyDescent="0.35">
      <c r="A2635">
        <v>2648</v>
      </c>
      <c r="B2635" t="s">
        <v>7862</v>
      </c>
      <c r="C2635" t="s">
        <v>10671</v>
      </c>
      <c r="D2635" t="s">
        <v>7861</v>
      </c>
      <c r="E2635" t="s">
        <v>7732</v>
      </c>
      <c r="F2635" t="s">
        <v>7860</v>
      </c>
      <c r="G2635" t="s">
        <v>6938</v>
      </c>
      <c r="H2635" t="s">
        <v>7859</v>
      </c>
      <c r="I2635" t="str">
        <f t="shared" si="164"/>
        <v>Eternal/Present</v>
      </c>
      <c r="J2635" t="str">
        <f t="shared" si="165"/>
        <v>nt</v>
      </c>
      <c r="K2635" t="str">
        <f t="shared" si="166"/>
        <v>Eternal/Present</v>
      </c>
      <c r="L2635" t="str">
        <f t="shared" si="167"/>
        <v>Eternal/Present</v>
      </c>
    </row>
    <row r="2636" spans="1:12" x14ac:dyDescent="0.35">
      <c r="A2636">
        <v>2649</v>
      </c>
      <c r="B2636" t="s">
        <v>7858</v>
      </c>
      <c r="C2636" t="s">
        <v>9862</v>
      </c>
      <c r="D2636" t="s">
        <v>7857</v>
      </c>
      <c r="E2636" t="s">
        <v>7732</v>
      </c>
      <c r="F2636" t="s">
        <v>7844</v>
      </c>
      <c r="G2636" t="s">
        <v>53</v>
      </c>
      <c r="H2636" t="s">
        <v>7856</v>
      </c>
      <c r="I2636" t="str">
        <f t="shared" si="164"/>
        <v>Present/Future</v>
      </c>
      <c r="J2636" t="str">
        <f t="shared" si="165"/>
        <v>re</v>
      </c>
      <c r="K2636" t="str">
        <f t="shared" si="166"/>
        <v>Present/Future</v>
      </c>
      <c r="L2636" t="str">
        <f t="shared" si="167"/>
        <v>Present/Future</v>
      </c>
    </row>
    <row r="2637" spans="1:12" x14ac:dyDescent="0.35">
      <c r="A2637">
        <v>2650</v>
      </c>
      <c r="B2637" t="s">
        <v>7855</v>
      </c>
      <c r="C2637" t="s">
        <v>10672</v>
      </c>
      <c r="D2637" t="s">
        <v>7854</v>
      </c>
      <c r="E2637" t="s">
        <v>7732</v>
      </c>
      <c r="F2637" t="s">
        <v>7840</v>
      </c>
      <c r="G2637" t="s">
        <v>53</v>
      </c>
      <c r="H2637" t="s">
        <v>7853</v>
      </c>
      <c r="I2637" t="str">
        <f t="shared" si="164"/>
        <v>Present</v>
      </c>
      <c r="J2637" t="str">
        <f t="shared" si="165"/>
        <v>nt</v>
      </c>
      <c r="K2637" t="str">
        <f t="shared" si="166"/>
        <v>Present</v>
      </c>
      <c r="L2637" t="str">
        <f t="shared" si="167"/>
        <v>Present</v>
      </c>
    </row>
    <row r="2638" spans="1:12" x14ac:dyDescent="0.35">
      <c r="A2638">
        <v>2651</v>
      </c>
      <c r="B2638" t="s">
        <v>7852</v>
      </c>
      <c r="C2638" t="s">
        <v>10673</v>
      </c>
      <c r="D2638" t="s">
        <v>7851</v>
      </c>
      <c r="E2638" t="s">
        <v>5603</v>
      </c>
      <c r="F2638" t="s">
        <v>7840</v>
      </c>
      <c r="G2638" t="s">
        <v>53</v>
      </c>
      <c r="H2638" t="s">
        <v>7850</v>
      </c>
      <c r="I2638" t="str">
        <f t="shared" si="164"/>
        <v>Present</v>
      </c>
      <c r="J2638" t="str">
        <f t="shared" si="165"/>
        <v>nt</v>
      </c>
      <c r="K2638" t="str">
        <f t="shared" si="166"/>
        <v>Present</v>
      </c>
      <c r="L2638" t="str">
        <f t="shared" si="167"/>
        <v>Present</v>
      </c>
    </row>
    <row r="2639" spans="1:12" x14ac:dyDescent="0.35">
      <c r="A2639">
        <v>2652</v>
      </c>
      <c r="B2639" t="s">
        <v>7849</v>
      </c>
      <c r="C2639" t="s">
        <v>10040</v>
      </c>
      <c r="D2639" t="s">
        <v>7848</v>
      </c>
      <c r="E2639" t="s">
        <v>5603</v>
      </c>
      <c r="F2639" t="s">
        <v>7840</v>
      </c>
      <c r="G2639" t="s">
        <v>53</v>
      </c>
      <c r="H2639" t="s">
        <v>7847</v>
      </c>
      <c r="I2639" t="str">
        <f t="shared" si="164"/>
        <v>Present</v>
      </c>
      <c r="J2639" t="str">
        <f t="shared" si="165"/>
        <v>nt</v>
      </c>
      <c r="K2639" t="str">
        <f t="shared" si="166"/>
        <v>Present</v>
      </c>
      <c r="L2639" t="str">
        <f t="shared" si="167"/>
        <v>Present</v>
      </c>
    </row>
    <row r="2640" spans="1:12" x14ac:dyDescent="0.35">
      <c r="A2640">
        <v>2653</v>
      </c>
      <c r="B2640" t="s">
        <v>7846</v>
      </c>
      <c r="C2640" t="s">
        <v>10674</v>
      </c>
      <c r="D2640" t="s">
        <v>7845</v>
      </c>
      <c r="E2640" t="s">
        <v>7732</v>
      </c>
      <c r="F2640" t="s">
        <v>7844</v>
      </c>
      <c r="G2640" t="s">
        <v>53</v>
      </c>
      <c r="H2640" t="s">
        <v>7843</v>
      </c>
      <c r="I2640" t="str">
        <f t="shared" si="164"/>
        <v>Present/Future</v>
      </c>
      <c r="J2640" t="str">
        <f t="shared" si="165"/>
        <v>re</v>
      </c>
      <c r="K2640" t="str">
        <f t="shared" si="166"/>
        <v>Present/Future</v>
      </c>
      <c r="L2640" t="str">
        <f t="shared" si="167"/>
        <v>Present/Future</v>
      </c>
    </row>
    <row r="2641" spans="1:12" x14ac:dyDescent="0.35">
      <c r="A2641">
        <v>2654</v>
      </c>
      <c r="B2641" t="s">
        <v>7842</v>
      </c>
      <c r="C2641" t="s">
        <v>10675</v>
      </c>
      <c r="D2641" t="s">
        <v>7841</v>
      </c>
      <c r="E2641" t="s">
        <v>7732</v>
      </c>
      <c r="F2641" t="s">
        <v>7840</v>
      </c>
      <c r="G2641" t="s">
        <v>53</v>
      </c>
      <c r="H2641" t="s">
        <v>7839</v>
      </c>
      <c r="I2641" t="str">
        <f t="shared" si="164"/>
        <v>Present</v>
      </c>
      <c r="J2641" t="str">
        <f t="shared" si="165"/>
        <v>nt</v>
      </c>
      <c r="K2641" t="str">
        <f t="shared" si="166"/>
        <v>Present</v>
      </c>
      <c r="L2641" t="str">
        <f t="shared" si="167"/>
        <v>Present</v>
      </c>
    </row>
    <row r="2642" spans="1:12" x14ac:dyDescent="0.35">
      <c r="A2642">
        <v>2655</v>
      </c>
      <c r="B2642" t="s">
        <v>7838</v>
      </c>
      <c r="C2642" t="s">
        <v>7835</v>
      </c>
      <c r="D2642" t="s">
        <v>7837</v>
      </c>
      <c r="E2642" t="s">
        <v>7836</v>
      </c>
      <c r="F2642" t="s">
        <v>7830</v>
      </c>
      <c r="G2642" t="s">
        <v>6735</v>
      </c>
      <c r="H2642" t="s">
        <v>7834</v>
      </c>
      <c r="I2642" t="str">
        <f t="shared" si="164"/>
        <v>51-52</v>
      </c>
      <c r="J2642" t="str">
        <f t="shared" si="165"/>
        <v>AD</v>
      </c>
      <c r="K2642" t="str">
        <f t="shared" si="166"/>
        <v>51</v>
      </c>
      <c r="L2642" t="str">
        <f t="shared" si="167"/>
        <v>52</v>
      </c>
    </row>
    <row r="2643" spans="1:12" x14ac:dyDescent="0.35">
      <c r="A2643">
        <v>2656</v>
      </c>
      <c r="B2643" t="s">
        <v>7833</v>
      </c>
      <c r="C2643" t="s">
        <v>11702</v>
      </c>
      <c r="D2643" t="s">
        <v>7832</v>
      </c>
      <c r="E2643" t="s">
        <v>7831</v>
      </c>
      <c r="F2643" t="s">
        <v>7830</v>
      </c>
      <c r="G2643" t="s">
        <v>6735</v>
      </c>
      <c r="H2643" t="s">
        <v>7829</v>
      </c>
      <c r="I2643" t="str">
        <f t="shared" si="164"/>
        <v>51-52</v>
      </c>
      <c r="J2643" t="str">
        <f t="shared" si="165"/>
        <v>AD</v>
      </c>
      <c r="K2643" t="str">
        <f t="shared" si="166"/>
        <v>51</v>
      </c>
      <c r="L2643" t="str">
        <f t="shared" si="167"/>
        <v>52</v>
      </c>
    </row>
    <row r="2644" spans="1:12" x14ac:dyDescent="0.35">
      <c r="A2644">
        <v>2657</v>
      </c>
      <c r="B2644" t="s">
        <v>7990</v>
      </c>
      <c r="C2644" t="s">
        <v>11705</v>
      </c>
      <c r="D2644" t="s">
        <v>7989</v>
      </c>
      <c r="E2644" t="s">
        <v>1112</v>
      </c>
      <c r="F2644" t="s">
        <v>7961</v>
      </c>
      <c r="G2644" t="s">
        <v>7389</v>
      </c>
      <c r="H2644" t="s">
        <v>7988</v>
      </c>
      <c r="I2644" t="str">
        <f t="shared" si="164"/>
        <v>33-35</v>
      </c>
      <c r="J2644" t="str">
        <f t="shared" si="165"/>
        <v>AD</v>
      </c>
      <c r="K2644" t="str">
        <f t="shared" si="166"/>
        <v>33</v>
      </c>
      <c r="L2644" t="str">
        <f t="shared" si="167"/>
        <v>35</v>
      </c>
    </row>
    <row r="2645" spans="1:12" x14ac:dyDescent="0.35">
      <c r="A2645">
        <v>2658</v>
      </c>
      <c r="B2645" t="s">
        <v>7987</v>
      </c>
      <c r="C2645" t="s">
        <v>7340</v>
      </c>
      <c r="D2645" t="s">
        <v>7986</v>
      </c>
      <c r="E2645" t="s">
        <v>7985</v>
      </c>
      <c r="F2645" t="s">
        <v>6034</v>
      </c>
      <c r="G2645" t="s">
        <v>7392</v>
      </c>
      <c r="H2645" t="s">
        <v>7984</v>
      </c>
      <c r="I2645" t="str">
        <f t="shared" si="164"/>
        <v>5-4</v>
      </c>
      <c r="J2645" t="str">
        <f t="shared" si="165"/>
        <v>BC</v>
      </c>
      <c r="K2645">
        <f t="shared" si="166"/>
        <v>-5</v>
      </c>
      <c r="L2645">
        <f t="shared" si="167"/>
        <v>-4</v>
      </c>
    </row>
    <row r="2646" spans="1:12" x14ac:dyDescent="0.35">
      <c r="A2646">
        <v>2659</v>
      </c>
      <c r="B2646" t="s">
        <v>7983</v>
      </c>
      <c r="C2646" t="s">
        <v>11706</v>
      </c>
      <c r="D2646" t="s">
        <v>7982</v>
      </c>
      <c r="E2646" t="s">
        <v>7981</v>
      </c>
      <c r="F2646" t="s">
        <v>7961</v>
      </c>
      <c r="G2646" t="s">
        <v>7392</v>
      </c>
      <c r="H2646" t="s">
        <v>7980</v>
      </c>
      <c r="I2646" t="str">
        <f t="shared" si="164"/>
        <v>33-35</v>
      </c>
      <c r="J2646" t="str">
        <f t="shared" si="165"/>
        <v>AD</v>
      </c>
      <c r="K2646" t="str">
        <f t="shared" si="166"/>
        <v>33</v>
      </c>
      <c r="L2646" t="str">
        <f t="shared" si="167"/>
        <v>35</v>
      </c>
    </row>
    <row r="2647" spans="1:12" x14ac:dyDescent="0.35">
      <c r="A2647">
        <v>2660</v>
      </c>
      <c r="B2647" t="s">
        <v>7979</v>
      </c>
      <c r="C2647" t="s">
        <v>6157</v>
      </c>
      <c r="D2647" t="s">
        <v>7978</v>
      </c>
      <c r="E2647" t="s">
        <v>7949</v>
      </c>
      <c r="F2647" t="s">
        <v>6772</v>
      </c>
      <c r="G2647" t="s">
        <v>7977</v>
      </c>
      <c r="H2647" t="s">
        <v>7976</v>
      </c>
      <c r="I2647" t="str">
        <f t="shared" si="164"/>
        <v>50</v>
      </c>
      <c r="J2647" t="str">
        <f t="shared" si="165"/>
        <v>AD</v>
      </c>
      <c r="K2647" t="str">
        <f t="shared" si="166"/>
        <v>50</v>
      </c>
      <c r="L2647" t="str">
        <f t="shared" si="167"/>
        <v>50</v>
      </c>
    </row>
    <row r="2648" spans="1:12" x14ac:dyDescent="0.35">
      <c r="A2648">
        <v>2661</v>
      </c>
      <c r="B2648" t="s">
        <v>7975</v>
      </c>
      <c r="C2648" t="s">
        <v>11707</v>
      </c>
      <c r="D2648" t="s">
        <v>7974</v>
      </c>
      <c r="E2648" t="s">
        <v>3788</v>
      </c>
      <c r="F2648" t="s">
        <v>7973</v>
      </c>
      <c r="G2648" t="s">
        <v>53</v>
      </c>
      <c r="H2648" t="s">
        <v>7972</v>
      </c>
      <c r="I2648" t="str">
        <f t="shared" si="164"/>
        <v>Eternal decree</v>
      </c>
      <c r="J2648" t="str">
        <f t="shared" si="165"/>
        <v>ee</v>
      </c>
      <c r="K2648" t="str">
        <f t="shared" si="166"/>
        <v>Eternal decree</v>
      </c>
      <c r="L2648" t="str">
        <f t="shared" si="167"/>
        <v>Eternal decree</v>
      </c>
    </row>
    <row r="2649" spans="1:12" x14ac:dyDescent="0.35">
      <c r="A2649">
        <v>2662</v>
      </c>
      <c r="B2649" t="s">
        <v>7971</v>
      </c>
      <c r="C2649" t="s">
        <v>10676</v>
      </c>
      <c r="D2649" t="s">
        <v>7970</v>
      </c>
      <c r="E2649" t="s">
        <v>3613</v>
      </c>
      <c r="F2649" t="s">
        <v>7969</v>
      </c>
      <c r="G2649" t="s">
        <v>7392</v>
      </c>
      <c r="H2649" t="s">
        <v>7968</v>
      </c>
      <c r="I2649" t="str">
        <f t="shared" si="164"/>
        <v>Eternal/33</v>
      </c>
      <c r="J2649" t="str">
        <f t="shared" si="165"/>
        <v>AD</v>
      </c>
      <c r="K2649" t="str">
        <f t="shared" si="166"/>
        <v>Eternal/33</v>
      </c>
      <c r="L2649" t="str">
        <f t="shared" si="167"/>
        <v>Eternal/33</v>
      </c>
    </row>
    <row r="2650" spans="1:12" x14ac:dyDescent="0.35">
      <c r="A2650">
        <v>2663</v>
      </c>
      <c r="B2650" t="s">
        <v>7967</v>
      </c>
      <c r="C2650" t="s">
        <v>10677</v>
      </c>
      <c r="D2650" t="s">
        <v>7966</v>
      </c>
      <c r="E2650" t="s">
        <v>7965</v>
      </c>
      <c r="F2650" t="s">
        <v>6149</v>
      </c>
      <c r="G2650" t="s">
        <v>7392</v>
      </c>
      <c r="H2650" t="s">
        <v>7964</v>
      </c>
      <c r="I2650" t="str">
        <f t="shared" si="164"/>
        <v>33</v>
      </c>
      <c r="J2650" t="str">
        <f t="shared" si="165"/>
        <v>AD</v>
      </c>
      <c r="K2650" t="str">
        <f t="shared" si="166"/>
        <v>33</v>
      </c>
      <c r="L2650" t="str">
        <f t="shared" si="167"/>
        <v>33</v>
      </c>
    </row>
    <row r="2651" spans="1:12" x14ac:dyDescent="0.35">
      <c r="A2651">
        <v>2664</v>
      </c>
      <c r="B2651" t="s">
        <v>7963</v>
      </c>
      <c r="C2651" t="s">
        <v>10634</v>
      </c>
      <c r="D2651" t="s">
        <v>7962</v>
      </c>
      <c r="E2651" t="s">
        <v>1112</v>
      </c>
      <c r="F2651" t="s">
        <v>7961</v>
      </c>
      <c r="G2651" t="s">
        <v>53</v>
      </c>
      <c r="H2651" t="s">
        <v>7960</v>
      </c>
      <c r="I2651" t="str">
        <f t="shared" si="164"/>
        <v>33-35</v>
      </c>
      <c r="J2651" t="str">
        <f t="shared" si="165"/>
        <v>AD</v>
      </c>
      <c r="K2651" t="str">
        <f t="shared" si="166"/>
        <v>33</v>
      </c>
      <c r="L2651" t="str">
        <f t="shared" si="167"/>
        <v>35</v>
      </c>
    </row>
    <row r="2652" spans="1:12" x14ac:dyDescent="0.35">
      <c r="A2652">
        <v>2665</v>
      </c>
      <c r="B2652" t="s">
        <v>7959</v>
      </c>
      <c r="C2652" t="s">
        <v>10678</v>
      </c>
      <c r="D2652" t="s">
        <v>7958</v>
      </c>
      <c r="E2652" t="s">
        <v>1112</v>
      </c>
      <c r="F2652" t="s">
        <v>7957</v>
      </c>
      <c r="G2652" t="s">
        <v>7389</v>
      </c>
      <c r="H2652" t="s">
        <v>7956</v>
      </c>
      <c r="I2652" t="str">
        <f t="shared" si="164"/>
        <v>5 - 33</v>
      </c>
      <c r="J2652" t="str">
        <f t="shared" si="165"/>
        <v>AD</v>
      </c>
      <c r="K2652" t="str">
        <f t="shared" si="166"/>
        <v xml:space="preserve">5 </v>
      </c>
      <c r="L2652" t="str">
        <f t="shared" si="167"/>
        <v>33</v>
      </c>
    </row>
    <row r="2653" spans="1:12" x14ac:dyDescent="0.35">
      <c r="A2653">
        <v>2666</v>
      </c>
      <c r="B2653" t="s">
        <v>7955</v>
      </c>
      <c r="C2653" t="s">
        <v>6157</v>
      </c>
      <c r="D2653" t="s">
        <v>7954</v>
      </c>
      <c r="E2653" t="s">
        <v>7953</v>
      </c>
      <c r="F2653" t="s">
        <v>4363</v>
      </c>
      <c r="G2653" t="s">
        <v>61</v>
      </c>
      <c r="H2653" t="s">
        <v>7952</v>
      </c>
      <c r="I2653" t="str">
        <f t="shared" si="164"/>
        <v>Future</v>
      </c>
      <c r="J2653" t="str">
        <f t="shared" si="165"/>
        <v>re</v>
      </c>
      <c r="K2653" t="str">
        <f t="shared" si="166"/>
        <v>Future</v>
      </c>
      <c r="L2653" t="str">
        <f t="shared" si="167"/>
        <v>Future</v>
      </c>
    </row>
    <row r="2654" spans="1:12" x14ac:dyDescent="0.35">
      <c r="A2654">
        <v>2667</v>
      </c>
      <c r="B2654" t="s">
        <v>7951</v>
      </c>
      <c r="C2654" t="s">
        <v>11708</v>
      </c>
      <c r="D2654" t="s">
        <v>7950</v>
      </c>
      <c r="E2654" t="s">
        <v>7949</v>
      </c>
      <c r="F2654" t="s">
        <v>6772</v>
      </c>
      <c r="G2654" t="s">
        <v>7948</v>
      </c>
      <c r="H2654" t="s">
        <v>7947</v>
      </c>
      <c r="I2654" t="str">
        <f t="shared" si="164"/>
        <v>50</v>
      </c>
      <c r="J2654" t="str">
        <f t="shared" si="165"/>
        <v>AD</v>
      </c>
      <c r="K2654" t="str">
        <f t="shared" si="166"/>
        <v>50</v>
      </c>
      <c r="L2654" t="str">
        <f t="shared" si="167"/>
        <v>50</v>
      </c>
    </row>
    <row r="2655" spans="1:12" x14ac:dyDescent="0.35">
      <c r="A2655">
        <v>2668</v>
      </c>
      <c r="B2655" t="s">
        <v>7946</v>
      </c>
      <c r="C2655" t="s">
        <v>10679</v>
      </c>
      <c r="D2655" t="s">
        <v>7945</v>
      </c>
      <c r="E2655" t="s">
        <v>3788</v>
      </c>
      <c r="F2655" t="s">
        <v>4409</v>
      </c>
      <c r="G2655" t="s">
        <v>53</v>
      </c>
      <c r="H2655" t="s">
        <v>7944</v>
      </c>
      <c r="I2655" t="str">
        <f t="shared" si="164"/>
        <v>Eternal</v>
      </c>
      <c r="J2655" t="str">
        <f t="shared" si="165"/>
        <v>al</v>
      </c>
      <c r="K2655" t="str">
        <f t="shared" si="166"/>
        <v>Eternal</v>
      </c>
      <c r="L2655" t="str">
        <f t="shared" si="167"/>
        <v>Eternal</v>
      </c>
    </row>
    <row r="2656" spans="1:12" x14ac:dyDescent="0.35">
      <c r="A2656">
        <v>2669</v>
      </c>
      <c r="B2656" t="s">
        <v>7943</v>
      </c>
      <c r="C2656" t="s">
        <v>11709</v>
      </c>
      <c r="D2656" t="s">
        <v>7942</v>
      </c>
      <c r="E2656" t="s">
        <v>4363</v>
      </c>
      <c r="F2656" t="s">
        <v>7941</v>
      </c>
      <c r="G2656" t="s">
        <v>7392</v>
      </c>
      <c r="H2656" t="s">
        <v>7940</v>
      </c>
      <c r="I2656" t="str">
        <f t="shared" si="164"/>
        <v>Second Coming</v>
      </c>
      <c r="J2656" t="str">
        <f t="shared" si="165"/>
        <v>ng</v>
      </c>
      <c r="K2656" t="str">
        <f t="shared" si="166"/>
        <v>Second Coming</v>
      </c>
      <c r="L2656" t="str">
        <f t="shared" si="167"/>
        <v>Second Coming</v>
      </c>
    </row>
    <row r="2657" spans="1:12" x14ac:dyDescent="0.35">
      <c r="A2657">
        <v>2670</v>
      </c>
      <c r="B2657" t="s">
        <v>7939</v>
      </c>
      <c r="C2657" t="s">
        <v>10680</v>
      </c>
      <c r="D2657" t="s">
        <v>7938</v>
      </c>
      <c r="E2657" t="s">
        <v>3788</v>
      </c>
      <c r="F2657" t="s">
        <v>3866</v>
      </c>
      <c r="G2657" t="s">
        <v>53</v>
      </c>
      <c r="H2657" t="s">
        <v>7937</v>
      </c>
      <c r="I2657" t="str">
        <f t="shared" si="164"/>
        <v>Ongoing</v>
      </c>
      <c r="J2657" t="str">
        <f t="shared" si="165"/>
        <v>ng</v>
      </c>
      <c r="K2657" t="str">
        <f t="shared" si="166"/>
        <v>Ongoing</v>
      </c>
      <c r="L2657" t="str">
        <f t="shared" si="167"/>
        <v>Ongoing</v>
      </c>
    </row>
    <row r="2658" spans="1:12" x14ac:dyDescent="0.35">
      <c r="A2658">
        <v>2671</v>
      </c>
      <c r="B2658" t="s">
        <v>7936</v>
      </c>
      <c r="C2658" t="s">
        <v>10681</v>
      </c>
      <c r="D2658" t="s">
        <v>7935</v>
      </c>
      <c r="E2658" t="s">
        <v>7934</v>
      </c>
      <c r="F2658" t="s">
        <v>4409</v>
      </c>
      <c r="G2658" t="s">
        <v>53</v>
      </c>
      <c r="H2658" t="s">
        <v>7933</v>
      </c>
      <c r="I2658" t="str">
        <f t="shared" si="164"/>
        <v>Eternal</v>
      </c>
      <c r="J2658" t="str">
        <f t="shared" si="165"/>
        <v>al</v>
      </c>
      <c r="K2658" t="str">
        <f t="shared" si="166"/>
        <v>Eternal</v>
      </c>
      <c r="L2658" t="str">
        <f t="shared" si="167"/>
        <v>Eternal</v>
      </c>
    </row>
    <row r="2659" spans="1:12" x14ac:dyDescent="0.35">
      <c r="A2659">
        <v>2672</v>
      </c>
      <c r="B2659" t="s">
        <v>8089</v>
      </c>
      <c r="C2659" t="s">
        <v>9862</v>
      </c>
      <c r="D2659" t="s">
        <v>8088</v>
      </c>
      <c r="E2659" t="s">
        <v>8087</v>
      </c>
      <c r="F2659" t="s">
        <v>8086</v>
      </c>
      <c r="G2659" t="s">
        <v>7389</v>
      </c>
      <c r="H2659" t="s">
        <v>8085</v>
      </c>
      <c r="I2659" t="str">
        <f t="shared" si="164"/>
        <v>33-67</v>
      </c>
      <c r="J2659" t="str">
        <f t="shared" si="165"/>
        <v>AD</v>
      </c>
      <c r="K2659" t="str">
        <f t="shared" si="166"/>
        <v>33</v>
      </c>
      <c r="L2659" t="str">
        <f t="shared" si="167"/>
        <v>67</v>
      </c>
    </row>
    <row r="2660" spans="1:12" x14ac:dyDescent="0.35">
      <c r="A2660">
        <v>2673</v>
      </c>
      <c r="B2660" t="s">
        <v>8084</v>
      </c>
      <c r="C2660" t="s">
        <v>11710</v>
      </c>
      <c r="D2660" t="s">
        <v>8083</v>
      </c>
      <c r="E2660" t="s">
        <v>8082</v>
      </c>
      <c r="F2660" t="s">
        <v>8081</v>
      </c>
      <c r="G2660" t="s">
        <v>7784</v>
      </c>
      <c r="H2660" t="s">
        <v>8080</v>
      </c>
      <c r="I2660" t="str">
        <f t="shared" si="164"/>
        <v>49-67</v>
      </c>
      <c r="J2660" t="str">
        <f t="shared" si="165"/>
        <v>AD</v>
      </c>
      <c r="K2660" t="str">
        <f t="shared" si="166"/>
        <v>49</v>
      </c>
      <c r="L2660" t="str">
        <f t="shared" si="167"/>
        <v>67</v>
      </c>
    </row>
    <row r="2661" spans="1:12" x14ac:dyDescent="0.35">
      <c r="A2661">
        <v>2674</v>
      </c>
      <c r="B2661" t="s">
        <v>8079</v>
      </c>
      <c r="C2661" t="s">
        <v>10682</v>
      </c>
      <c r="D2661" t="s">
        <v>8078</v>
      </c>
      <c r="E2661" t="s">
        <v>7757</v>
      </c>
      <c r="F2661" t="s">
        <v>8042</v>
      </c>
      <c r="G2661" t="s">
        <v>53</v>
      </c>
      <c r="H2661" t="s">
        <v>8077</v>
      </c>
      <c r="I2661" t="str">
        <f t="shared" si="164"/>
        <v>67</v>
      </c>
      <c r="J2661" t="str">
        <f t="shared" si="165"/>
        <v>AD</v>
      </c>
      <c r="K2661" t="str">
        <f t="shared" si="166"/>
        <v>67</v>
      </c>
      <c r="L2661" t="str">
        <f t="shared" si="167"/>
        <v>67</v>
      </c>
    </row>
    <row r="2662" spans="1:12" x14ac:dyDescent="0.35">
      <c r="A2662">
        <v>2675</v>
      </c>
      <c r="B2662" t="s">
        <v>8076</v>
      </c>
      <c r="C2662" t="s">
        <v>10635</v>
      </c>
      <c r="D2662" t="s">
        <v>8075</v>
      </c>
      <c r="E2662" t="s">
        <v>8074</v>
      </c>
      <c r="F2662" t="s">
        <v>6149</v>
      </c>
      <c r="G2662" t="s">
        <v>7392</v>
      </c>
      <c r="H2662" t="s">
        <v>8073</v>
      </c>
      <c r="I2662" t="str">
        <f t="shared" si="164"/>
        <v>33</v>
      </c>
      <c r="J2662" t="str">
        <f t="shared" si="165"/>
        <v>AD</v>
      </c>
      <c r="K2662" t="str">
        <f t="shared" si="166"/>
        <v>33</v>
      </c>
      <c r="L2662" t="str">
        <f t="shared" si="167"/>
        <v>33</v>
      </c>
    </row>
    <row r="2663" spans="1:12" x14ac:dyDescent="0.35">
      <c r="A2663">
        <v>2676</v>
      </c>
      <c r="B2663" t="s">
        <v>8072</v>
      </c>
      <c r="C2663" t="s">
        <v>10683</v>
      </c>
      <c r="D2663" t="s">
        <v>8071</v>
      </c>
      <c r="E2663" t="s">
        <v>8070</v>
      </c>
      <c r="F2663" t="s">
        <v>8042</v>
      </c>
      <c r="G2663" t="s">
        <v>8069</v>
      </c>
      <c r="H2663" t="s">
        <v>8068</v>
      </c>
      <c r="I2663" t="str">
        <f t="shared" si="164"/>
        <v>67</v>
      </c>
      <c r="J2663" t="str">
        <f t="shared" si="165"/>
        <v>AD</v>
      </c>
      <c r="K2663" t="str">
        <f t="shared" si="166"/>
        <v>67</v>
      </c>
      <c r="L2663" t="str">
        <f t="shared" si="167"/>
        <v>67</v>
      </c>
    </row>
    <row r="2664" spans="1:12" x14ac:dyDescent="0.35">
      <c r="A2664">
        <v>2677</v>
      </c>
      <c r="B2664" t="s">
        <v>8067</v>
      </c>
      <c r="C2664" t="s">
        <v>11711</v>
      </c>
      <c r="D2664" t="s">
        <v>8066</v>
      </c>
      <c r="E2664" t="s">
        <v>8065</v>
      </c>
      <c r="F2664" t="s">
        <v>8042</v>
      </c>
      <c r="G2664" t="s">
        <v>8064</v>
      </c>
      <c r="H2664" t="s">
        <v>8063</v>
      </c>
      <c r="I2664" t="str">
        <f t="shared" si="164"/>
        <v>67</v>
      </c>
      <c r="J2664" t="str">
        <f t="shared" si="165"/>
        <v>AD</v>
      </c>
      <c r="K2664" t="str">
        <f t="shared" si="166"/>
        <v>67</v>
      </c>
      <c r="L2664" t="str">
        <f t="shared" si="167"/>
        <v>67</v>
      </c>
    </row>
    <row r="2665" spans="1:12" x14ac:dyDescent="0.35">
      <c r="A2665">
        <v>2678</v>
      </c>
      <c r="B2665" t="s">
        <v>8062</v>
      </c>
      <c r="C2665" t="s">
        <v>10684</v>
      </c>
      <c r="D2665" t="s">
        <v>8061</v>
      </c>
      <c r="E2665" t="s">
        <v>7757</v>
      </c>
      <c r="F2665" t="s">
        <v>8042</v>
      </c>
      <c r="G2665" t="s">
        <v>53</v>
      </c>
      <c r="H2665" t="s">
        <v>8060</v>
      </c>
      <c r="I2665" t="str">
        <f t="shared" si="164"/>
        <v>67</v>
      </c>
      <c r="J2665" t="str">
        <f t="shared" si="165"/>
        <v>AD</v>
      </c>
      <c r="K2665" t="str">
        <f t="shared" si="166"/>
        <v>67</v>
      </c>
      <c r="L2665" t="str">
        <f t="shared" si="167"/>
        <v>67</v>
      </c>
    </row>
    <row r="2666" spans="1:12" x14ac:dyDescent="0.35">
      <c r="A2666">
        <v>2679</v>
      </c>
      <c r="B2666" t="s">
        <v>8059</v>
      </c>
      <c r="C2666" t="s">
        <v>11712</v>
      </c>
      <c r="D2666" t="s">
        <v>8058</v>
      </c>
      <c r="E2666" t="s">
        <v>8034</v>
      </c>
      <c r="F2666" t="s">
        <v>4363</v>
      </c>
      <c r="G2666" t="s">
        <v>7392</v>
      </c>
      <c r="H2666" t="s">
        <v>8057</v>
      </c>
      <c r="I2666" t="str">
        <f t="shared" si="164"/>
        <v>Future</v>
      </c>
      <c r="J2666" t="str">
        <f t="shared" si="165"/>
        <v>re</v>
      </c>
      <c r="K2666" t="str">
        <f t="shared" si="166"/>
        <v>Future</v>
      </c>
      <c r="L2666" t="str">
        <f t="shared" si="167"/>
        <v>Future</v>
      </c>
    </row>
    <row r="2667" spans="1:12" x14ac:dyDescent="0.35">
      <c r="A2667">
        <v>2680</v>
      </c>
      <c r="B2667" t="s">
        <v>8056</v>
      </c>
      <c r="C2667" t="s">
        <v>10607</v>
      </c>
      <c r="D2667" t="s">
        <v>8055</v>
      </c>
      <c r="E2667" t="s">
        <v>7757</v>
      </c>
      <c r="F2667" t="s">
        <v>4409</v>
      </c>
      <c r="G2667" t="s">
        <v>53</v>
      </c>
      <c r="H2667" t="s">
        <v>8054</v>
      </c>
      <c r="I2667" t="str">
        <f t="shared" si="164"/>
        <v>Eternal</v>
      </c>
      <c r="J2667" t="str">
        <f t="shared" si="165"/>
        <v>al</v>
      </c>
      <c r="K2667" t="str">
        <f t="shared" si="166"/>
        <v>Eternal</v>
      </c>
      <c r="L2667" t="str">
        <f t="shared" si="167"/>
        <v>Eternal</v>
      </c>
    </row>
    <row r="2668" spans="1:12" x14ac:dyDescent="0.35">
      <c r="A2668">
        <v>2681</v>
      </c>
      <c r="B2668" t="s">
        <v>8053</v>
      </c>
      <c r="C2668" t="s">
        <v>10613</v>
      </c>
      <c r="D2668" t="s">
        <v>8052</v>
      </c>
      <c r="E2668" t="s">
        <v>7757</v>
      </c>
      <c r="F2668" t="s">
        <v>3915</v>
      </c>
      <c r="G2668" t="s">
        <v>6938</v>
      </c>
      <c r="H2668" t="s">
        <v>8051</v>
      </c>
      <c r="I2668" t="str">
        <f t="shared" si="164"/>
        <v>Historical</v>
      </c>
      <c r="J2668" t="str">
        <f t="shared" si="165"/>
        <v>al</v>
      </c>
      <c r="K2668" t="str">
        <f t="shared" si="166"/>
        <v>Historical</v>
      </c>
      <c r="L2668" t="str">
        <f t="shared" si="167"/>
        <v>Historical</v>
      </c>
    </row>
    <row r="2669" spans="1:12" x14ac:dyDescent="0.35">
      <c r="A2669">
        <v>2682</v>
      </c>
      <c r="B2669" t="s">
        <v>8050</v>
      </c>
      <c r="C2669" t="s">
        <v>10685</v>
      </c>
      <c r="D2669" t="s">
        <v>8049</v>
      </c>
      <c r="E2669" t="s">
        <v>7757</v>
      </c>
      <c r="F2669" t="s">
        <v>8048</v>
      </c>
      <c r="G2669" t="s">
        <v>53</v>
      </c>
      <c r="H2669" t="s">
        <v>8047</v>
      </c>
      <c r="I2669" t="str">
        <f t="shared" si="164"/>
        <v>Historical/Ongoing</v>
      </c>
      <c r="J2669" t="str">
        <f t="shared" si="165"/>
        <v>ng</v>
      </c>
      <c r="K2669" t="str">
        <f t="shared" si="166"/>
        <v>Historical/Ongoing</v>
      </c>
      <c r="L2669" t="str">
        <f t="shared" si="167"/>
        <v>Historical/Ongoing</v>
      </c>
    </row>
    <row r="2670" spans="1:12" x14ac:dyDescent="0.35">
      <c r="A2670">
        <v>2683</v>
      </c>
      <c r="B2670" t="s">
        <v>8046</v>
      </c>
      <c r="C2670" t="s">
        <v>10042</v>
      </c>
      <c r="D2670" t="s">
        <v>8043</v>
      </c>
      <c r="E2670" t="s">
        <v>7566</v>
      </c>
      <c r="F2670" t="s">
        <v>8042</v>
      </c>
      <c r="G2670" t="s">
        <v>8033</v>
      </c>
      <c r="H2670" t="s">
        <v>8045</v>
      </c>
      <c r="I2670" t="str">
        <f t="shared" si="164"/>
        <v>67</v>
      </c>
      <c r="J2670" t="str">
        <f t="shared" si="165"/>
        <v>AD</v>
      </c>
      <c r="K2670" t="str">
        <f t="shared" si="166"/>
        <v>67</v>
      </c>
      <c r="L2670" t="str">
        <f t="shared" si="167"/>
        <v>67</v>
      </c>
    </row>
    <row r="2671" spans="1:12" x14ac:dyDescent="0.35">
      <c r="A2671">
        <v>2684</v>
      </c>
      <c r="B2671" t="s">
        <v>8044</v>
      </c>
      <c r="C2671" t="s">
        <v>10578</v>
      </c>
      <c r="D2671" t="s">
        <v>8043</v>
      </c>
      <c r="E2671" t="s">
        <v>7566</v>
      </c>
      <c r="F2671" t="s">
        <v>8042</v>
      </c>
      <c r="G2671" t="s">
        <v>8033</v>
      </c>
      <c r="H2671" t="s">
        <v>8041</v>
      </c>
      <c r="I2671" t="str">
        <f t="shared" si="164"/>
        <v>67</v>
      </c>
      <c r="J2671" t="str">
        <f t="shared" si="165"/>
        <v>AD</v>
      </c>
      <c r="K2671" t="str">
        <f t="shared" si="166"/>
        <v>67</v>
      </c>
      <c r="L2671" t="str">
        <f t="shared" si="167"/>
        <v>67</v>
      </c>
    </row>
    <row r="2672" spans="1:12" x14ac:dyDescent="0.35">
      <c r="A2672">
        <v>2685</v>
      </c>
      <c r="B2672" t="s">
        <v>8040</v>
      </c>
      <c r="C2672" t="s">
        <v>10252</v>
      </c>
      <c r="D2672" t="s">
        <v>8035</v>
      </c>
      <c r="E2672" t="s">
        <v>8039</v>
      </c>
      <c r="F2672" t="s">
        <v>8038</v>
      </c>
      <c r="G2672" t="s">
        <v>8033</v>
      </c>
      <c r="H2672" t="s">
        <v>8037</v>
      </c>
      <c r="I2672" t="str">
        <f t="shared" si="164"/>
        <v>67/Future</v>
      </c>
      <c r="J2672" t="str">
        <f t="shared" si="165"/>
        <v>re</v>
      </c>
      <c r="K2672" t="str">
        <f t="shared" si="166"/>
        <v>67/Future</v>
      </c>
      <c r="L2672" t="str">
        <f t="shared" si="167"/>
        <v>67/Future</v>
      </c>
    </row>
    <row r="2673" spans="1:12" x14ac:dyDescent="0.35">
      <c r="A2673">
        <v>2686</v>
      </c>
      <c r="B2673" t="s">
        <v>8036</v>
      </c>
      <c r="C2673" t="s">
        <v>11713</v>
      </c>
      <c r="D2673" t="s">
        <v>8035</v>
      </c>
      <c r="E2673" t="s">
        <v>8034</v>
      </c>
      <c r="F2673" t="s">
        <v>4363</v>
      </c>
      <c r="G2673" t="s">
        <v>8033</v>
      </c>
      <c r="H2673" t="s">
        <v>8032</v>
      </c>
      <c r="I2673" t="str">
        <f t="shared" si="164"/>
        <v>Future</v>
      </c>
      <c r="J2673" t="str">
        <f t="shared" si="165"/>
        <v>re</v>
      </c>
      <c r="K2673" t="str">
        <f t="shared" si="166"/>
        <v>Future</v>
      </c>
      <c r="L2673" t="str">
        <f t="shared" si="167"/>
        <v>Future</v>
      </c>
    </row>
    <row r="2674" spans="1:12" x14ac:dyDescent="0.35">
      <c r="A2674">
        <v>2687</v>
      </c>
      <c r="B2674" t="s">
        <v>8158</v>
      </c>
      <c r="C2674" t="s">
        <v>11714</v>
      </c>
      <c r="D2674" t="s">
        <v>8157</v>
      </c>
      <c r="E2674" t="s">
        <v>8133</v>
      </c>
      <c r="F2674" t="s">
        <v>8132</v>
      </c>
      <c r="G2674" t="s">
        <v>6735</v>
      </c>
      <c r="H2674" t="s">
        <v>8156</v>
      </c>
      <c r="I2674" t="str">
        <f t="shared" si="164"/>
        <v>63-65</v>
      </c>
      <c r="J2674" t="str">
        <f t="shared" si="165"/>
        <v>AD</v>
      </c>
      <c r="K2674" t="str">
        <f t="shared" si="166"/>
        <v>63</v>
      </c>
      <c r="L2674" t="str">
        <f t="shared" si="167"/>
        <v>65</v>
      </c>
    </row>
    <row r="2675" spans="1:12" x14ac:dyDescent="0.35">
      <c r="A2675">
        <v>2688</v>
      </c>
      <c r="B2675" t="s">
        <v>8155</v>
      </c>
      <c r="C2675" t="s">
        <v>10513</v>
      </c>
      <c r="D2675" t="s">
        <v>8137</v>
      </c>
      <c r="E2675" t="s">
        <v>8133</v>
      </c>
      <c r="F2675" t="s">
        <v>8132</v>
      </c>
      <c r="G2675" t="s">
        <v>6735</v>
      </c>
      <c r="H2675" t="s">
        <v>8154</v>
      </c>
      <c r="I2675" t="str">
        <f t="shared" si="164"/>
        <v>63-65</v>
      </c>
      <c r="J2675" t="str">
        <f t="shared" si="165"/>
        <v>AD</v>
      </c>
      <c r="K2675" t="str">
        <f t="shared" si="166"/>
        <v>63</v>
      </c>
      <c r="L2675" t="str">
        <f t="shared" si="167"/>
        <v>65</v>
      </c>
    </row>
    <row r="2676" spans="1:12" x14ac:dyDescent="0.35">
      <c r="A2676">
        <v>2689</v>
      </c>
      <c r="B2676" t="s">
        <v>8153</v>
      </c>
      <c r="C2676" t="s">
        <v>10620</v>
      </c>
      <c r="D2676" t="s">
        <v>8152</v>
      </c>
      <c r="E2676" t="s">
        <v>8133</v>
      </c>
      <c r="F2676" t="s">
        <v>8132</v>
      </c>
      <c r="G2676" t="s">
        <v>6735</v>
      </c>
      <c r="H2676" t="s">
        <v>8151</v>
      </c>
      <c r="I2676" t="str">
        <f t="shared" ref="I2676:I2739" si="168">SUBSTITUTE(SUBSTITUTE(SUBSTITUTE(F2676,"c. ","")," BC","")," AD","")</f>
        <v>63-65</v>
      </c>
      <c r="J2676" t="str">
        <f t="shared" si="165"/>
        <v>AD</v>
      </c>
      <c r="K2676" t="str">
        <f t="shared" si="166"/>
        <v>63</v>
      </c>
      <c r="L2676" t="str">
        <f t="shared" si="167"/>
        <v>65</v>
      </c>
    </row>
    <row r="2677" spans="1:12" x14ac:dyDescent="0.35">
      <c r="A2677">
        <v>2690</v>
      </c>
      <c r="B2677" t="s">
        <v>8150</v>
      </c>
      <c r="C2677" t="s">
        <v>11715</v>
      </c>
      <c r="D2677" t="s">
        <v>8149</v>
      </c>
      <c r="E2677" t="s">
        <v>8133</v>
      </c>
      <c r="F2677" t="s">
        <v>8132</v>
      </c>
      <c r="G2677" t="s">
        <v>6735</v>
      </c>
      <c r="H2677" t="s">
        <v>8148</v>
      </c>
      <c r="I2677" t="str">
        <f t="shared" si="168"/>
        <v>63-65</v>
      </c>
      <c r="J2677" t="str">
        <f t="shared" si="165"/>
        <v>AD</v>
      </c>
      <c r="K2677" t="str">
        <f t="shared" si="166"/>
        <v>63</v>
      </c>
      <c r="L2677" t="str">
        <f t="shared" si="167"/>
        <v>65</v>
      </c>
    </row>
    <row r="2678" spans="1:12" x14ac:dyDescent="0.35">
      <c r="A2678">
        <v>2691</v>
      </c>
      <c r="B2678" t="s">
        <v>8147</v>
      </c>
      <c r="C2678" t="s">
        <v>10048</v>
      </c>
      <c r="D2678" t="s">
        <v>8146</v>
      </c>
      <c r="E2678" t="s">
        <v>8133</v>
      </c>
      <c r="F2678" t="s">
        <v>8132</v>
      </c>
      <c r="G2678" t="s">
        <v>6735</v>
      </c>
      <c r="H2678" t="s">
        <v>8145</v>
      </c>
      <c r="I2678" t="str">
        <f t="shared" si="168"/>
        <v>63-65</v>
      </c>
      <c r="J2678" t="str">
        <f t="shared" si="165"/>
        <v>AD</v>
      </c>
      <c r="K2678" t="str">
        <f t="shared" si="166"/>
        <v>63</v>
      </c>
      <c r="L2678" t="str">
        <f t="shared" si="167"/>
        <v>65</v>
      </c>
    </row>
    <row r="2679" spans="1:12" x14ac:dyDescent="0.35">
      <c r="A2679">
        <v>2692</v>
      </c>
      <c r="B2679" t="s">
        <v>8144</v>
      </c>
      <c r="C2679" t="s">
        <v>6977</v>
      </c>
      <c r="D2679" t="s">
        <v>8143</v>
      </c>
      <c r="E2679" t="s">
        <v>8133</v>
      </c>
      <c r="F2679" t="s">
        <v>8132</v>
      </c>
      <c r="G2679" t="s">
        <v>6735</v>
      </c>
      <c r="H2679" t="s">
        <v>8142</v>
      </c>
      <c r="I2679" t="str">
        <f t="shared" si="168"/>
        <v>63-65</v>
      </c>
      <c r="J2679" t="str">
        <f t="shared" si="165"/>
        <v>AD</v>
      </c>
      <c r="K2679" t="str">
        <f t="shared" si="166"/>
        <v>63</v>
      </c>
      <c r="L2679" t="str">
        <f t="shared" si="167"/>
        <v>65</v>
      </c>
    </row>
    <row r="2680" spans="1:12" x14ac:dyDescent="0.35">
      <c r="A2680">
        <v>2693</v>
      </c>
      <c r="B2680" t="s">
        <v>8141</v>
      </c>
      <c r="C2680" t="s">
        <v>10655</v>
      </c>
      <c r="D2680" t="s">
        <v>8140</v>
      </c>
      <c r="E2680" t="s">
        <v>8133</v>
      </c>
      <c r="F2680" t="s">
        <v>8132</v>
      </c>
      <c r="G2680" t="s">
        <v>6735</v>
      </c>
      <c r="H2680" t="s">
        <v>8139</v>
      </c>
      <c r="I2680" t="str">
        <f t="shared" si="168"/>
        <v>63-65</v>
      </c>
      <c r="J2680" t="str">
        <f t="shared" si="165"/>
        <v>AD</v>
      </c>
      <c r="K2680" t="str">
        <f t="shared" si="166"/>
        <v>63</v>
      </c>
      <c r="L2680" t="str">
        <f t="shared" si="167"/>
        <v>65</v>
      </c>
    </row>
    <row r="2681" spans="1:12" x14ac:dyDescent="0.35">
      <c r="A2681">
        <v>2694</v>
      </c>
      <c r="B2681" t="s">
        <v>8138</v>
      </c>
      <c r="C2681" t="s">
        <v>10679</v>
      </c>
      <c r="D2681" t="s">
        <v>8137</v>
      </c>
      <c r="E2681" t="s">
        <v>8133</v>
      </c>
      <c r="F2681" t="s">
        <v>8132</v>
      </c>
      <c r="G2681" t="s">
        <v>6735</v>
      </c>
      <c r="H2681" t="s">
        <v>8136</v>
      </c>
      <c r="I2681" t="str">
        <f t="shared" si="168"/>
        <v>63-65</v>
      </c>
      <c r="J2681" t="str">
        <f t="shared" si="165"/>
        <v>AD</v>
      </c>
      <c r="K2681" t="str">
        <f t="shared" si="166"/>
        <v>63</v>
      </c>
      <c r="L2681" t="str">
        <f t="shared" si="167"/>
        <v>65</v>
      </c>
    </row>
    <row r="2682" spans="1:12" x14ac:dyDescent="0.35">
      <c r="A2682">
        <v>2695</v>
      </c>
      <c r="B2682" t="s">
        <v>8135</v>
      </c>
      <c r="C2682" t="s">
        <v>10646</v>
      </c>
      <c r="D2682" t="s">
        <v>8134</v>
      </c>
      <c r="E2682" t="s">
        <v>8133</v>
      </c>
      <c r="F2682" t="s">
        <v>8132</v>
      </c>
      <c r="G2682" t="s">
        <v>6735</v>
      </c>
      <c r="H2682" t="s">
        <v>8131</v>
      </c>
      <c r="I2682" t="str">
        <f t="shared" si="168"/>
        <v>63-65</v>
      </c>
      <c r="J2682" t="str">
        <f t="shared" si="165"/>
        <v>AD</v>
      </c>
      <c r="K2682" t="str">
        <f t="shared" si="166"/>
        <v>63</v>
      </c>
      <c r="L2682" t="str">
        <f t="shared" si="167"/>
        <v>65</v>
      </c>
    </row>
    <row r="2683" spans="1:12" x14ac:dyDescent="0.35">
      <c r="A2683">
        <v>2696</v>
      </c>
      <c r="B2683" t="s">
        <v>8160</v>
      </c>
      <c r="C2683" t="s">
        <v>10686</v>
      </c>
      <c r="D2683" t="s">
        <v>8161</v>
      </c>
      <c r="E2683" t="s">
        <v>8162</v>
      </c>
      <c r="F2683" t="s">
        <v>7438</v>
      </c>
      <c r="G2683" t="s">
        <v>7392</v>
      </c>
      <c r="H2683" t="s">
        <v>8163</v>
      </c>
      <c r="I2683" t="str">
        <f t="shared" si="168"/>
        <v>60-62</v>
      </c>
      <c r="J2683" t="str">
        <f t="shared" si="165"/>
        <v>AD</v>
      </c>
      <c r="K2683" t="str">
        <f t="shared" si="166"/>
        <v>60</v>
      </c>
      <c r="L2683" t="str">
        <f t="shared" si="167"/>
        <v>62</v>
      </c>
    </row>
    <row r="2684" spans="1:12" x14ac:dyDescent="0.35">
      <c r="A2684">
        <v>2697</v>
      </c>
      <c r="B2684" t="s">
        <v>8164</v>
      </c>
      <c r="C2684" t="s">
        <v>9678</v>
      </c>
      <c r="D2684" t="s">
        <v>8165</v>
      </c>
      <c r="E2684" t="s">
        <v>8162</v>
      </c>
      <c r="F2684" t="s">
        <v>7438</v>
      </c>
      <c r="G2684" t="s">
        <v>7109</v>
      </c>
      <c r="H2684" t="s">
        <v>8166</v>
      </c>
      <c r="I2684" t="str">
        <f t="shared" si="168"/>
        <v>60-62</v>
      </c>
      <c r="J2684" t="str">
        <f t="shared" si="165"/>
        <v>AD</v>
      </c>
      <c r="K2684" t="str">
        <f t="shared" si="166"/>
        <v>60</v>
      </c>
      <c r="L2684" t="str">
        <f t="shared" si="167"/>
        <v>62</v>
      </c>
    </row>
    <row r="2685" spans="1:12" x14ac:dyDescent="0.35">
      <c r="A2685">
        <v>2698</v>
      </c>
      <c r="B2685" t="s">
        <v>8167</v>
      </c>
      <c r="C2685" t="s">
        <v>6944</v>
      </c>
      <c r="D2685" t="s">
        <v>8168</v>
      </c>
      <c r="E2685" t="s">
        <v>8162</v>
      </c>
      <c r="F2685" t="s">
        <v>7438</v>
      </c>
      <c r="G2685" t="s">
        <v>8169</v>
      </c>
      <c r="H2685" t="s">
        <v>8170</v>
      </c>
      <c r="I2685" t="str">
        <f t="shared" si="168"/>
        <v>60-62</v>
      </c>
      <c r="J2685" t="str">
        <f t="shared" si="165"/>
        <v>AD</v>
      </c>
      <c r="K2685" t="str">
        <f t="shared" si="166"/>
        <v>60</v>
      </c>
      <c r="L2685" t="str">
        <f t="shared" si="167"/>
        <v>62</v>
      </c>
    </row>
    <row r="2686" spans="1:12" x14ac:dyDescent="0.35">
      <c r="A2686">
        <v>2699</v>
      </c>
      <c r="B2686" t="s">
        <v>8171</v>
      </c>
      <c r="C2686" t="s">
        <v>8172</v>
      </c>
      <c r="D2686" t="s">
        <v>8168</v>
      </c>
      <c r="E2686" t="s">
        <v>8162</v>
      </c>
      <c r="F2686" t="s">
        <v>7438</v>
      </c>
      <c r="G2686" t="s">
        <v>8169</v>
      </c>
      <c r="H2686" t="s">
        <v>8173</v>
      </c>
      <c r="I2686" t="str">
        <f t="shared" si="168"/>
        <v>60-62</v>
      </c>
      <c r="J2686" t="str">
        <f t="shared" si="165"/>
        <v>AD</v>
      </c>
      <c r="K2686" t="str">
        <f t="shared" si="166"/>
        <v>60</v>
      </c>
      <c r="L2686" t="str">
        <f t="shared" si="167"/>
        <v>62</v>
      </c>
    </row>
    <row r="2687" spans="1:12" x14ac:dyDescent="0.35">
      <c r="A2687">
        <v>2700</v>
      </c>
      <c r="B2687" t="s">
        <v>8174</v>
      </c>
      <c r="C2687" t="s">
        <v>10626</v>
      </c>
      <c r="D2687" t="s">
        <v>8175</v>
      </c>
      <c r="E2687" t="s">
        <v>8162</v>
      </c>
      <c r="F2687" t="s">
        <v>7438</v>
      </c>
      <c r="G2687" t="s">
        <v>53</v>
      </c>
      <c r="H2687" t="s">
        <v>8176</v>
      </c>
      <c r="I2687" t="str">
        <f t="shared" si="168"/>
        <v>60-62</v>
      </c>
      <c r="J2687" t="str">
        <f t="shared" si="165"/>
        <v>AD</v>
      </c>
      <c r="K2687" t="str">
        <f t="shared" si="166"/>
        <v>60</v>
      </c>
      <c r="L2687" t="str">
        <f t="shared" si="167"/>
        <v>62</v>
      </c>
    </row>
    <row r="2688" spans="1:12" x14ac:dyDescent="0.35">
      <c r="A2688">
        <v>2701</v>
      </c>
      <c r="B2688" t="s">
        <v>8177</v>
      </c>
      <c r="C2688" t="s">
        <v>10687</v>
      </c>
      <c r="D2688" t="s">
        <v>8178</v>
      </c>
      <c r="E2688" t="s">
        <v>8162</v>
      </c>
      <c r="F2688" t="s">
        <v>7438</v>
      </c>
      <c r="G2688" t="s">
        <v>59</v>
      </c>
      <c r="H2688" t="s">
        <v>8179</v>
      </c>
      <c r="I2688" t="str">
        <f t="shared" si="168"/>
        <v>60-62</v>
      </c>
      <c r="J2688" t="str">
        <f t="shared" si="165"/>
        <v>AD</v>
      </c>
      <c r="K2688" t="str">
        <f t="shared" si="166"/>
        <v>60</v>
      </c>
      <c r="L2688" t="str">
        <f t="shared" si="167"/>
        <v>62</v>
      </c>
    </row>
    <row r="2689" spans="1:12" x14ac:dyDescent="0.35">
      <c r="A2689">
        <v>2702</v>
      </c>
      <c r="B2689" t="s">
        <v>8180</v>
      </c>
      <c r="C2689" t="s">
        <v>10147</v>
      </c>
      <c r="D2689" t="s">
        <v>8181</v>
      </c>
      <c r="E2689" t="s">
        <v>8162</v>
      </c>
      <c r="F2689" t="s">
        <v>7438</v>
      </c>
      <c r="G2689" t="s">
        <v>7392</v>
      </c>
      <c r="H2689" t="s">
        <v>8182</v>
      </c>
      <c r="I2689" t="str">
        <f t="shared" si="168"/>
        <v>60-62</v>
      </c>
      <c r="J2689" t="str">
        <f t="shared" si="165"/>
        <v>AD</v>
      </c>
      <c r="K2689" t="str">
        <f t="shared" si="166"/>
        <v>60</v>
      </c>
      <c r="L2689" t="str">
        <f t="shared" si="167"/>
        <v>62</v>
      </c>
    </row>
    <row r="2690" spans="1:12" x14ac:dyDescent="0.35">
      <c r="A2690">
        <v>2703</v>
      </c>
      <c r="B2690" t="s">
        <v>8415</v>
      </c>
      <c r="C2690" t="s">
        <v>10540</v>
      </c>
      <c r="D2690" t="s">
        <v>8414</v>
      </c>
      <c r="E2690" t="s">
        <v>1112</v>
      </c>
      <c r="F2690" t="s">
        <v>8413</v>
      </c>
      <c r="G2690" t="s">
        <v>7392</v>
      </c>
      <c r="H2690" t="s">
        <v>8412</v>
      </c>
      <c r="I2690" t="str">
        <f t="shared" si="168"/>
        <v>30-33 / ongoing</v>
      </c>
      <c r="J2690" t="str">
        <f t="shared" ref="J2690:J2753" si="169">RIGHT(F2690, 2)</f>
        <v>ng</v>
      </c>
      <c r="K2690" t="str">
        <f t="shared" ref="K2690:K2753" si="170">IF(J2690="BC", 0-IF(ISERROR(FIND("-",I2690)),I2690,LEFT(I2690,FIND("-",I2690)-1)), IF(ISERROR(FIND("-",I2690)),I2690,LEFT(I2690,FIND("-",I2690)-1)))</f>
        <v>30</v>
      </c>
      <c r="L2690" t="str">
        <f t="shared" ref="L2690:L2753" si="171">IF(J2690="BC", 0-IF(ISERROR(FIND("-",I2690)),I2690,RIGHT(I2690,FIND("-",I2690)-1)), IF(ISERROR(FIND("-",I2690)),I2690,RIGHT(I2690,FIND("-",I2690)-1)))</f>
        <v>ng</v>
      </c>
    </row>
    <row r="2691" spans="1:12" x14ac:dyDescent="0.35">
      <c r="A2691">
        <v>2704</v>
      </c>
      <c r="B2691" t="s">
        <v>8411</v>
      </c>
      <c r="C2691" t="s">
        <v>10739</v>
      </c>
      <c r="D2691" t="s">
        <v>8410</v>
      </c>
      <c r="E2691" t="s">
        <v>3713</v>
      </c>
      <c r="F2691" t="s">
        <v>111</v>
      </c>
      <c r="G2691" t="s">
        <v>7392</v>
      </c>
      <c r="H2691" t="s">
        <v>8409</v>
      </c>
      <c r="I2691" t="str">
        <f t="shared" si="168"/>
        <v>Beginning of time</v>
      </c>
      <c r="J2691" t="str">
        <f t="shared" si="169"/>
        <v>me</v>
      </c>
      <c r="K2691" t="str">
        <f t="shared" si="170"/>
        <v>Beginning of time</v>
      </c>
      <c r="L2691" t="str">
        <f t="shared" si="171"/>
        <v>Beginning of time</v>
      </c>
    </row>
    <row r="2692" spans="1:12" x14ac:dyDescent="0.35">
      <c r="A2692">
        <v>2705</v>
      </c>
      <c r="B2692" t="s">
        <v>8408</v>
      </c>
      <c r="C2692" t="s">
        <v>10740</v>
      </c>
      <c r="D2692" t="s">
        <v>8405</v>
      </c>
      <c r="E2692" t="s">
        <v>3713</v>
      </c>
      <c r="F2692" t="s">
        <v>3866</v>
      </c>
      <c r="G2692" t="s">
        <v>7392</v>
      </c>
      <c r="H2692" t="s">
        <v>8407</v>
      </c>
      <c r="I2692" t="str">
        <f t="shared" si="168"/>
        <v>Ongoing</v>
      </c>
      <c r="J2692" t="str">
        <f t="shared" si="169"/>
        <v>ng</v>
      </c>
      <c r="K2692" t="str">
        <f t="shared" si="170"/>
        <v>Ongoing</v>
      </c>
      <c r="L2692" t="str">
        <f t="shared" si="171"/>
        <v>Ongoing</v>
      </c>
    </row>
    <row r="2693" spans="1:12" x14ac:dyDescent="0.35">
      <c r="A2693">
        <v>2706</v>
      </c>
      <c r="B2693" t="s">
        <v>8406</v>
      </c>
      <c r="C2693" t="s">
        <v>10741</v>
      </c>
      <c r="D2693" t="s">
        <v>8405</v>
      </c>
      <c r="E2693" t="s">
        <v>8358</v>
      </c>
      <c r="F2693" t="s">
        <v>6149</v>
      </c>
      <c r="G2693" t="s">
        <v>7392</v>
      </c>
      <c r="H2693" t="s">
        <v>8404</v>
      </c>
      <c r="I2693" t="str">
        <f t="shared" si="168"/>
        <v>33</v>
      </c>
      <c r="J2693" t="str">
        <f t="shared" si="169"/>
        <v>AD</v>
      </c>
      <c r="K2693" t="str">
        <f t="shared" si="170"/>
        <v>33</v>
      </c>
      <c r="L2693" t="str">
        <f t="shared" si="171"/>
        <v>33</v>
      </c>
    </row>
    <row r="2694" spans="1:12" x14ac:dyDescent="0.35">
      <c r="A2694">
        <v>2707</v>
      </c>
      <c r="B2694" t="s">
        <v>8403</v>
      </c>
      <c r="C2694" t="s">
        <v>10688</v>
      </c>
      <c r="D2694" t="s">
        <v>8402</v>
      </c>
      <c r="E2694" t="s">
        <v>8401</v>
      </c>
      <c r="F2694" t="s">
        <v>6034</v>
      </c>
      <c r="G2694" t="s">
        <v>207</v>
      </c>
      <c r="H2694" t="s">
        <v>8400</v>
      </c>
      <c r="I2694" t="str">
        <f t="shared" si="168"/>
        <v>5-4</v>
      </c>
      <c r="J2694" t="str">
        <f t="shared" si="169"/>
        <v>BC</v>
      </c>
      <c r="K2694">
        <f t="shared" si="170"/>
        <v>-5</v>
      </c>
      <c r="L2694">
        <f t="shared" si="171"/>
        <v>-4</v>
      </c>
    </row>
    <row r="2695" spans="1:12" x14ac:dyDescent="0.35">
      <c r="A2695">
        <v>2708</v>
      </c>
      <c r="B2695" t="s">
        <v>8399</v>
      </c>
      <c r="C2695" t="s">
        <v>10057</v>
      </c>
      <c r="D2695" t="s">
        <v>8395</v>
      </c>
      <c r="E2695" t="s">
        <v>1112</v>
      </c>
      <c r="F2695" t="s">
        <v>8394</v>
      </c>
      <c r="G2695" t="s">
        <v>8398</v>
      </c>
      <c r="H2695" t="s">
        <v>8397</v>
      </c>
      <c r="I2695" t="str">
        <f t="shared" si="168"/>
        <v>30-70</v>
      </c>
      <c r="J2695" t="str">
        <f t="shared" si="169"/>
        <v>AD</v>
      </c>
      <c r="K2695" t="str">
        <f t="shared" si="170"/>
        <v>30</v>
      </c>
      <c r="L2695" t="str">
        <f t="shared" si="171"/>
        <v>70</v>
      </c>
    </row>
    <row r="2696" spans="1:12" x14ac:dyDescent="0.35">
      <c r="A2696">
        <v>2709</v>
      </c>
      <c r="B2696" t="s">
        <v>8396</v>
      </c>
      <c r="C2696" t="s">
        <v>6982</v>
      </c>
      <c r="D2696" t="s">
        <v>8395</v>
      </c>
      <c r="E2696" t="s">
        <v>1112</v>
      </c>
      <c r="F2696" t="s">
        <v>8394</v>
      </c>
      <c r="G2696" t="s">
        <v>61</v>
      </c>
      <c r="H2696" t="s">
        <v>8393</v>
      </c>
      <c r="I2696" t="str">
        <f t="shared" si="168"/>
        <v>30-70</v>
      </c>
      <c r="J2696" t="str">
        <f t="shared" si="169"/>
        <v>AD</v>
      </c>
      <c r="K2696" t="str">
        <f t="shared" si="170"/>
        <v>30</v>
      </c>
      <c r="L2696" t="str">
        <f t="shared" si="171"/>
        <v>70</v>
      </c>
    </row>
    <row r="2697" spans="1:12" x14ac:dyDescent="0.35">
      <c r="A2697">
        <v>2710</v>
      </c>
      <c r="B2697" t="s">
        <v>8392</v>
      </c>
      <c r="C2697" t="s">
        <v>8388</v>
      </c>
      <c r="D2697" t="s">
        <v>8391</v>
      </c>
      <c r="E2697" t="s">
        <v>8390</v>
      </c>
      <c r="F2697" t="s">
        <v>8389</v>
      </c>
      <c r="G2697" t="s">
        <v>7392</v>
      </c>
      <c r="H2697" t="s">
        <v>8387</v>
      </c>
      <c r="I2697" t="str">
        <f t="shared" si="168"/>
        <v>5-4 / 33</v>
      </c>
      <c r="J2697" t="str">
        <f t="shared" si="169"/>
        <v>AD</v>
      </c>
      <c r="K2697" t="str">
        <f t="shared" si="170"/>
        <v>5</v>
      </c>
      <c r="L2697" t="str">
        <f t="shared" si="171"/>
        <v>3</v>
      </c>
    </row>
    <row r="2698" spans="1:12" x14ac:dyDescent="0.35">
      <c r="A2698">
        <v>2711</v>
      </c>
      <c r="B2698" t="s">
        <v>8386</v>
      </c>
      <c r="C2698" t="s">
        <v>10742</v>
      </c>
      <c r="D2698" t="s">
        <v>8385</v>
      </c>
      <c r="E2698" t="s">
        <v>115</v>
      </c>
      <c r="F2698" t="s">
        <v>8384</v>
      </c>
      <c r="G2698" t="s">
        <v>7392</v>
      </c>
      <c r="H2698" t="s">
        <v>8383</v>
      </c>
      <c r="I2698" t="str">
        <f t="shared" si="168"/>
        <v>5-33</v>
      </c>
      <c r="J2698" t="str">
        <f t="shared" si="169"/>
        <v>AD</v>
      </c>
      <c r="K2698" t="str">
        <f t="shared" si="170"/>
        <v>5</v>
      </c>
      <c r="L2698" t="str">
        <f t="shared" si="171"/>
        <v>3</v>
      </c>
    </row>
    <row r="2699" spans="1:12" x14ac:dyDescent="0.35">
      <c r="A2699">
        <v>2712</v>
      </c>
      <c r="B2699" t="s">
        <v>8382</v>
      </c>
      <c r="C2699" t="s">
        <v>10624</v>
      </c>
      <c r="D2699" t="s">
        <v>8381</v>
      </c>
      <c r="E2699" t="s">
        <v>3866</v>
      </c>
      <c r="F2699" t="s">
        <v>3866</v>
      </c>
      <c r="G2699" t="s">
        <v>7392</v>
      </c>
      <c r="H2699" t="s">
        <v>8380</v>
      </c>
      <c r="I2699" t="str">
        <f t="shared" si="168"/>
        <v>Ongoing</v>
      </c>
      <c r="J2699" t="str">
        <f t="shared" si="169"/>
        <v>ng</v>
      </c>
      <c r="K2699" t="str">
        <f t="shared" si="170"/>
        <v>Ongoing</v>
      </c>
      <c r="L2699" t="str">
        <f t="shared" si="171"/>
        <v>Ongoing</v>
      </c>
    </row>
    <row r="2700" spans="1:12" x14ac:dyDescent="0.35">
      <c r="A2700">
        <v>2713</v>
      </c>
      <c r="B2700" t="s">
        <v>8379</v>
      </c>
      <c r="C2700" t="s">
        <v>10689</v>
      </c>
      <c r="D2700" t="s">
        <v>8378</v>
      </c>
      <c r="E2700" t="s">
        <v>3653</v>
      </c>
      <c r="F2700" t="s">
        <v>111</v>
      </c>
      <c r="G2700" t="s">
        <v>53</v>
      </c>
      <c r="H2700" t="s">
        <v>8377</v>
      </c>
      <c r="I2700" t="str">
        <f t="shared" si="168"/>
        <v>Beginning of time</v>
      </c>
      <c r="J2700" t="str">
        <f t="shared" si="169"/>
        <v>me</v>
      </c>
      <c r="K2700" t="str">
        <f t="shared" si="170"/>
        <v>Beginning of time</v>
      </c>
      <c r="L2700" t="str">
        <f t="shared" si="171"/>
        <v>Beginning of time</v>
      </c>
    </row>
    <row r="2701" spans="1:12" x14ac:dyDescent="0.35">
      <c r="A2701">
        <v>2714</v>
      </c>
      <c r="B2701" t="s">
        <v>8376</v>
      </c>
      <c r="C2701" t="s">
        <v>10544</v>
      </c>
      <c r="D2701" t="s">
        <v>8375</v>
      </c>
      <c r="E2701" t="s">
        <v>337</v>
      </c>
      <c r="F2701" t="s">
        <v>3384</v>
      </c>
      <c r="G2701" t="s">
        <v>53</v>
      </c>
      <c r="H2701" t="s">
        <v>8374</v>
      </c>
      <c r="I2701" t="str">
        <f t="shared" si="168"/>
        <v>1440</v>
      </c>
      <c r="J2701" t="str">
        <f t="shared" si="169"/>
        <v>BC</v>
      </c>
      <c r="K2701">
        <f t="shared" si="170"/>
        <v>-1440</v>
      </c>
      <c r="L2701">
        <f t="shared" si="171"/>
        <v>-1440</v>
      </c>
    </row>
    <row r="2702" spans="1:12" x14ac:dyDescent="0.35">
      <c r="A2702">
        <v>2715</v>
      </c>
      <c r="B2702" t="s">
        <v>8373</v>
      </c>
      <c r="C2702" t="s">
        <v>8371</v>
      </c>
      <c r="D2702" t="s">
        <v>8372</v>
      </c>
      <c r="E2702" t="s">
        <v>7219</v>
      </c>
      <c r="F2702" t="s">
        <v>6149</v>
      </c>
      <c r="G2702" t="s">
        <v>7392</v>
      </c>
      <c r="H2702" t="s">
        <v>8370</v>
      </c>
      <c r="I2702" t="str">
        <f t="shared" si="168"/>
        <v>33</v>
      </c>
      <c r="J2702" t="str">
        <f t="shared" si="169"/>
        <v>AD</v>
      </c>
      <c r="K2702" t="str">
        <f t="shared" si="170"/>
        <v>33</v>
      </c>
      <c r="L2702" t="str">
        <f t="shared" si="171"/>
        <v>33</v>
      </c>
    </row>
    <row r="2703" spans="1:12" x14ac:dyDescent="0.35">
      <c r="A2703">
        <v>2716</v>
      </c>
      <c r="B2703" t="s">
        <v>8369</v>
      </c>
      <c r="C2703" t="s">
        <v>10690</v>
      </c>
      <c r="D2703" t="s">
        <v>8368</v>
      </c>
      <c r="E2703" t="s">
        <v>8367</v>
      </c>
      <c r="F2703" t="s">
        <v>8366</v>
      </c>
      <c r="G2703" t="s">
        <v>53</v>
      </c>
      <c r="H2703" t="s">
        <v>8365</v>
      </c>
      <c r="I2703" t="str">
        <f t="shared" si="168"/>
        <v>Eternal/Prophetic</v>
      </c>
      <c r="J2703" t="str">
        <f t="shared" si="169"/>
        <v>ic</v>
      </c>
      <c r="K2703" t="str">
        <f t="shared" si="170"/>
        <v>Eternal/Prophetic</v>
      </c>
      <c r="L2703" t="str">
        <f t="shared" si="171"/>
        <v>Eternal/Prophetic</v>
      </c>
    </row>
    <row r="2704" spans="1:12" x14ac:dyDescent="0.35">
      <c r="A2704">
        <v>2717</v>
      </c>
      <c r="B2704" t="s">
        <v>8364</v>
      </c>
      <c r="C2704" t="s">
        <v>10743</v>
      </c>
      <c r="D2704" t="s">
        <v>6663</v>
      </c>
      <c r="E2704" t="s">
        <v>3866</v>
      </c>
      <c r="F2704" t="s">
        <v>3866</v>
      </c>
      <c r="G2704" t="s">
        <v>7392</v>
      </c>
      <c r="H2704" t="s">
        <v>8363</v>
      </c>
      <c r="I2704" t="str">
        <f t="shared" si="168"/>
        <v>Ongoing</v>
      </c>
      <c r="J2704" t="str">
        <f t="shared" si="169"/>
        <v>ng</v>
      </c>
      <c r="K2704" t="str">
        <f t="shared" si="170"/>
        <v>Ongoing</v>
      </c>
      <c r="L2704" t="str">
        <f t="shared" si="171"/>
        <v>Ongoing</v>
      </c>
    </row>
    <row r="2705" spans="1:12" x14ac:dyDescent="0.35">
      <c r="A2705">
        <v>2718</v>
      </c>
      <c r="B2705" t="s">
        <v>8362</v>
      </c>
      <c r="C2705" t="s">
        <v>10624</v>
      </c>
      <c r="D2705" t="s">
        <v>6663</v>
      </c>
      <c r="E2705" t="s">
        <v>7219</v>
      </c>
      <c r="F2705" t="s">
        <v>3866</v>
      </c>
      <c r="G2705" t="s">
        <v>7392</v>
      </c>
      <c r="H2705" t="s">
        <v>8361</v>
      </c>
      <c r="I2705" t="str">
        <f t="shared" si="168"/>
        <v>Ongoing</v>
      </c>
      <c r="J2705" t="str">
        <f t="shared" si="169"/>
        <v>ng</v>
      </c>
      <c r="K2705" t="str">
        <f t="shared" si="170"/>
        <v>Ongoing</v>
      </c>
      <c r="L2705" t="str">
        <f t="shared" si="171"/>
        <v>Ongoing</v>
      </c>
    </row>
    <row r="2706" spans="1:12" x14ac:dyDescent="0.35">
      <c r="A2706">
        <v>2719</v>
      </c>
      <c r="B2706" t="s">
        <v>8360</v>
      </c>
      <c r="C2706" t="s">
        <v>8357</v>
      </c>
      <c r="D2706" t="s">
        <v>8359</v>
      </c>
      <c r="E2706" t="s">
        <v>8358</v>
      </c>
      <c r="F2706" t="s">
        <v>6149</v>
      </c>
      <c r="G2706" t="s">
        <v>7392</v>
      </c>
      <c r="H2706" t="s">
        <v>8356</v>
      </c>
      <c r="I2706" t="str">
        <f t="shared" si="168"/>
        <v>33</v>
      </c>
      <c r="J2706" t="str">
        <f t="shared" si="169"/>
        <v>AD</v>
      </c>
      <c r="K2706" t="str">
        <f t="shared" si="170"/>
        <v>33</v>
      </c>
      <c r="L2706" t="str">
        <f t="shared" si="171"/>
        <v>33</v>
      </c>
    </row>
    <row r="2707" spans="1:12" x14ac:dyDescent="0.35">
      <c r="A2707">
        <v>2720</v>
      </c>
      <c r="B2707" t="s">
        <v>8355</v>
      </c>
      <c r="C2707" t="s">
        <v>8353</v>
      </c>
      <c r="D2707" t="s">
        <v>8354</v>
      </c>
      <c r="E2707" t="s">
        <v>7219</v>
      </c>
      <c r="F2707" t="s">
        <v>6149</v>
      </c>
      <c r="G2707" t="s">
        <v>7392</v>
      </c>
      <c r="H2707" t="s">
        <v>8352</v>
      </c>
      <c r="I2707" t="str">
        <f t="shared" si="168"/>
        <v>33</v>
      </c>
      <c r="J2707" t="str">
        <f t="shared" si="169"/>
        <v>AD</v>
      </c>
      <c r="K2707" t="str">
        <f t="shared" si="170"/>
        <v>33</v>
      </c>
      <c r="L2707" t="str">
        <f t="shared" si="171"/>
        <v>33</v>
      </c>
    </row>
    <row r="2708" spans="1:12" x14ac:dyDescent="0.35">
      <c r="A2708">
        <v>2721</v>
      </c>
      <c r="B2708" t="s">
        <v>8351</v>
      </c>
      <c r="C2708" t="s">
        <v>8348</v>
      </c>
      <c r="D2708" t="s">
        <v>8350</v>
      </c>
      <c r="E2708" t="s">
        <v>8349</v>
      </c>
      <c r="F2708" t="s">
        <v>3866</v>
      </c>
      <c r="G2708" t="s">
        <v>7392</v>
      </c>
      <c r="H2708" t="s">
        <v>8347</v>
      </c>
      <c r="I2708" t="str">
        <f t="shared" si="168"/>
        <v>Ongoing</v>
      </c>
      <c r="J2708" t="str">
        <f t="shared" si="169"/>
        <v>ng</v>
      </c>
      <c r="K2708" t="str">
        <f t="shared" si="170"/>
        <v>Ongoing</v>
      </c>
      <c r="L2708" t="str">
        <f t="shared" si="171"/>
        <v>Ongoing</v>
      </c>
    </row>
    <row r="2709" spans="1:12" x14ac:dyDescent="0.35">
      <c r="A2709">
        <v>2722</v>
      </c>
      <c r="B2709" t="s">
        <v>8346</v>
      </c>
      <c r="C2709" t="s">
        <v>8344</v>
      </c>
      <c r="D2709" t="s">
        <v>8345</v>
      </c>
      <c r="E2709" t="s">
        <v>7219</v>
      </c>
      <c r="F2709" t="s">
        <v>8264</v>
      </c>
      <c r="G2709" t="s">
        <v>7392</v>
      </c>
      <c r="H2709" t="s">
        <v>8343</v>
      </c>
      <c r="I2709" t="str">
        <f t="shared" si="168"/>
        <v>33 / ongoing</v>
      </c>
      <c r="J2709" t="str">
        <f t="shared" si="169"/>
        <v>ng</v>
      </c>
      <c r="K2709" t="str">
        <f t="shared" si="170"/>
        <v>33 / ongoing</v>
      </c>
      <c r="L2709" t="str">
        <f t="shared" si="171"/>
        <v>33 / ongoing</v>
      </c>
    </row>
    <row r="2710" spans="1:12" x14ac:dyDescent="0.35">
      <c r="A2710">
        <v>2723</v>
      </c>
      <c r="B2710" t="s">
        <v>8342</v>
      </c>
      <c r="C2710" t="s">
        <v>8339</v>
      </c>
      <c r="D2710" t="s">
        <v>8341</v>
      </c>
      <c r="E2710" t="s">
        <v>8340</v>
      </c>
      <c r="F2710" t="s">
        <v>6149</v>
      </c>
      <c r="G2710" t="s">
        <v>7392</v>
      </c>
      <c r="H2710" t="s">
        <v>8338</v>
      </c>
      <c r="I2710" t="str">
        <f t="shared" si="168"/>
        <v>33</v>
      </c>
      <c r="J2710" t="str">
        <f t="shared" si="169"/>
        <v>AD</v>
      </c>
      <c r="K2710" t="str">
        <f t="shared" si="170"/>
        <v>33</v>
      </c>
      <c r="L2710" t="str">
        <f t="shared" si="171"/>
        <v>33</v>
      </c>
    </row>
    <row r="2711" spans="1:12" x14ac:dyDescent="0.35">
      <c r="A2711">
        <v>2724</v>
      </c>
      <c r="B2711" t="s">
        <v>8337</v>
      </c>
      <c r="C2711" t="s">
        <v>8335</v>
      </c>
      <c r="D2711" t="s">
        <v>8336</v>
      </c>
      <c r="E2711" t="s">
        <v>115</v>
      </c>
      <c r="F2711" t="s">
        <v>4363</v>
      </c>
      <c r="G2711" t="s">
        <v>7392</v>
      </c>
      <c r="H2711" t="s">
        <v>8334</v>
      </c>
      <c r="I2711" t="str">
        <f t="shared" si="168"/>
        <v>Future</v>
      </c>
      <c r="J2711" t="str">
        <f t="shared" si="169"/>
        <v>re</v>
      </c>
      <c r="K2711" t="str">
        <f t="shared" si="170"/>
        <v>Future</v>
      </c>
      <c r="L2711" t="str">
        <f t="shared" si="171"/>
        <v>Future</v>
      </c>
    </row>
    <row r="2712" spans="1:12" x14ac:dyDescent="0.35">
      <c r="A2712">
        <v>2725</v>
      </c>
      <c r="B2712" t="s">
        <v>8333</v>
      </c>
      <c r="C2712" t="s">
        <v>10742</v>
      </c>
      <c r="D2712" t="s">
        <v>8332</v>
      </c>
      <c r="E2712" t="s">
        <v>7340</v>
      </c>
      <c r="F2712" t="s">
        <v>6034</v>
      </c>
      <c r="G2712" t="s">
        <v>7109</v>
      </c>
      <c r="H2712" t="s">
        <v>8331</v>
      </c>
      <c r="I2712" t="str">
        <f t="shared" si="168"/>
        <v>5-4</v>
      </c>
      <c r="J2712" t="str">
        <f t="shared" si="169"/>
        <v>BC</v>
      </c>
      <c r="K2712">
        <f t="shared" si="170"/>
        <v>-5</v>
      </c>
      <c r="L2712">
        <f t="shared" si="171"/>
        <v>-4</v>
      </c>
    </row>
    <row r="2713" spans="1:12" x14ac:dyDescent="0.35">
      <c r="A2713">
        <v>2726</v>
      </c>
      <c r="B2713" t="s">
        <v>8330</v>
      </c>
      <c r="C2713" t="s">
        <v>10744</v>
      </c>
      <c r="D2713" t="s">
        <v>8329</v>
      </c>
      <c r="E2713" t="s">
        <v>8328</v>
      </c>
      <c r="F2713" t="s">
        <v>8264</v>
      </c>
      <c r="G2713" t="s">
        <v>7392</v>
      </c>
      <c r="H2713" t="s">
        <v>8327</v>
      </c>
      <c r="I2713" t="str">
        <f t="shared" si="168"/>
        <v>33 / ongoing</v>
      </c>
      <c r="J2713" t="str">
        <f t="shared" si="169"/>
        <v>ng</v>
      </c>
      <c r="K2713" t="str">
        <f t="shared" si="170"/>
        <v>33 / ongoing</v>
      </c>
      <c r="L2713" t="str">
        <f t="shared" si="171"/>
        <v>33 / ongoing</v>
      </c>
    </row>
    <row r="2714" spans="1:12" x14ac:dyDescent="0.35">
      <c r="A2714">
        <v>2727</v>
      </c>
      <c r="B2714" t="s">
        <v>8326</v>
      </c>
      <c r="C2714" t="s">
        <v>10691</v>
      </c>
      <c r="D2714" t="s">
        <v>8325</v>
      </c>
      <c r="E2714" t="s">
        <v>7219</v>
      </c>
      <c r="F2714" t="s">
        <v>8264</v>
      </c>
      <c r="G2714" t="s">
        <v>7392</v>
      </c>
      <c r="H2714" t="s">
        <v>8324</v>
      </c>
      <c r="I2714" t="str">
        <f t="shared" si="168"/>
        <v>33 / ongoing</v>
      </c>
      <c r="J2714" t="str">
        <f t="shared" si="169"/>
        <v>ng</v>
      </c>
      <c r="K2714" t="str">
        <f t="shared" si="170"/>
        <v>33 / ongoing</v>
      </c>
      <c r="L2714" t="str">
        <f t="shared" si="171"/>
        <v>33 / ongoing</v>
      </c>
    </row>
    <row r="2715" spans="1:12" x14ac:dyDescent="0.35">
      <c r="A2715">
        <v>2728</v>
      </c>
      <c r="B2715" t="s">
        <v>8323</v>
      </c>
      <c r="C2715" t="s">
        <v>8319</v>
      </c>
      <c r="D2715" t="s">
        <v>8322</v>
      </c>
      <c r="E2715" t="s">
        <v>255</v>
      </c>
      <c r="F2715" t="s">
        <v>8321</v>
      </c>
      <c r="G2715" t="s">
        <v>8320</v>
      </c>
      <c r="H2715" t="s">
        <v>8318</v>
      </c>
      <c r="I2715" t="str">
        <f t="shared" si="168"/>
        <v>2100</v>
      </c>
      <c r="J2715" t="str">
        <f t="shared" si="169"/>
        <v>BC</v>
      </c>
      <c r="K2715">
        <f t="shared" si="170"/>
        <v>-2100</v>
      </c>
      <c r="L2715">
        <f t="shared" si="171"/>
        <v>-2100</v>
      </c>
    </row>
    <row r="2716" spans="1:12" x14ac:dyDescent="0.35">
      <c r="A2716">
        <v>2729</v>
      </c>
      <c r="B2716" t="s">
        <v>8317</v>
      </c>
      <c r="C2716" t="s">
        <v>10745</v>
      </c>
      <c r="D2716" t="s">
        <v>8316</v>
      </c>
      <c r="E2716" t="s">
        <v>8315</v>
      </c>
      <c r="F2716" t="s">
        <v>8314</v>
      </c>
      <c r="G2716" t="s">
        <v>53</v>
      </c>
      <c r="H2716" t="s">
        <v>8313</v>
      </c>
      <c r="I2716" t="str">
        <f t="shared" si="168"/>
        <v>2100-1440</v>
      </c>
      <c r="J2716" t="str">
        <f t="shared" si="169"/>
        <v>BC</v>
      </c>
      <c r="K2716">
        <f t="shared" si="170"/>
        <v>-2100</v>
      </c>
      <c r="L2716">
        <f t="shared" si="171"/>
        <v>-1440</v>
      </c>
    </row>
    <row r="2717" spans="1:12" x14ac:dyDescent="0.35">
      <c r="A2717">
        <v>2730</v>
      </c>
      <c r="B2717" t="s">
        <v>8312</v>
      </c>
      <c r="C2717" t="s">
        <v>8309</v>
      </c>
      <c r="D2717" t="s">
        <v>8311</v>
      </c>
      <c r="E2717" t="s">
        <v>226</v>
      </c>
      <c r="F2717" t="s">
        <v>6926</v>
      </c>
      <c r="G2717" t="s">
        <v>8310</v>
      </c>
      <c r="H2717" t="s">
        <v>8308</v>
      </c>
      <c r="I2717" t="str">
        <f t="shared" si="168"/>
        <v>2000</v>
      </c>
      <c r="J2717" t="str">
        <f t="shared" si="169"/>
        <v>BC</v>
      </c>
      <c r="K2717">
        <f t="shared" si="170"/>
        <v>-2000</v>
      </c>
      <c r="L2717">
        <f t="shared" si="171"/>
        <v>-2000</v>
      </c>
    </row>
    <row r="2718" spans="1:12" x14ac:dyDescent="0.35">
      <c r="A2718">
        <v>2731</v>
      </c>
      <c r="B2718" t="s">
        <v>8307</v>
      </c>
      <c r="C2718" t="s">
        <v>10040</v>
      </c>
      <c r="D2718" t="s">
        <v>8306</v>
      </c>
      <c r="E2718" t="s">
        <v>186</v>
      </c>
      <c r="F2718" t="s">
        <v>304</v>
      </c>
      <c r="G2718" t="s">
        <v>8305</v>
      </c>
      <c r="H2718" t="s">
        <v>8304</v>
      </c>
      <c r="I2718" t="str">
        <f t="shared" si="168"/>
        <v>1526</v>
      </c>
      <c r="J2718" t="str">
        <f t="shared" si="169"/>
        <v>BC</v>
      </c>
      <c r="K2718">
        <f t="shared" si="170"/>
        <v>-1526</v>
      </c>
      <c r="L2718">
        <f t="shared" si="171"/>
        <v>-1526</v>
      </c>
    </row>
    <row r="2719" spans="1:12" x14ac:dyDescent="0.35">
      <c r="A2719">
        <v>2732</v>
      </c>
      <c r="B2719" t="s">
        <v>8303</v>
      </c>
      <c r="C2719" t="s">
        <v>9862</v>
      </c>
      <c r="D2719" t="s">
        <v>8302</v>
      </c>
      <c r="E2719" t="s">
        <v>186</v>
      </c>
      <c r="F2719" t="s">
        <v>8301</v>
      </c>
      <c r="G2719" t="s">
        <v>8297</v>
      </c>
      <c r="H2719" t="s">
        <v>8300</v>
      </c>
      <c r="I2719" t="str">
        <f t="shared" si="168"/>
        <v>1486</v>
      </c>
      <c r="J2719" t="str">
        <f t="shared" si="169"/>
        <v>BC</v>
      </c>
      <c r="K2719">
        <f t="shared" si="170"/>
        <v>-1486</v>
      </c>
      <c r="L2719">
        <f t="shared" si="171"/>
        <v>-1486</v>
      </c>
    </row>
    <row r="2720" spans="1:12" x14ac:dyDescent="0.35">
      <c r="A2720">
        <v>2733</v>
      </c>
      <c r="B2720" t="s">
        <v>8299</v>
      </c>
      <c r="C2720" t="s">
        <v>10746</v>
      </c>
      <c r="D2720" t="s">
        <v>8298</v>
      </c>
      <c r="E2720" t="s">
        <v>186</v>
      </c>
      <c r="F2720" t="s">
        <v>319</v>
      </c>
      <c r="G2720" t="s">
        <v>8297</v>
      </c>
      <c r="H2720" t="s">
        <v>8296</v>
      </c>
      <c r="I2720" t="str">
        <f t="shared" si="168"/>
        <v>1446</v>
      </c>
      <c r="J2720" t="str">
        <f t="shared" si="169"/>
        <v>BC</v>
      </c>
      <c r="K2720">
        <f t="shared" si="170"/>
        <v>-1446</v>
      </c>
      <c r="L2720">
        <f t="shared" si="171"/>
        <v>-1446</v>
      </c>
    </row>
    <row r="2721" spans="1:12" x14ac:dyDescent="0.35">
      <c r="A2721">
        <v>2734</v>
      </c>
      <c r="B2721" t="s">
        <v>8295</v>
      </c>
      <c r="C2721" t="s">
        <v>10732</v>
      </c>
      <c r="D2721" t="s">
        <v>8294</v>
      </c>
      <c r="E2721" t="s">
        <v>341</v>
      </c>
      <c r="F2721" t="s">
        <v>319</v>
      </c>
      <c r="G2721" t="s">
        <v>8293</v>
      </c>
      <c r="H2721" t="s">
        <v>8292</v>
      </c>
      <c r="I2721" t="str">
        <f t="shared" si="168"/>
        <v>1446</v>
      </c>
      <c r="J2721" t="str">
        <f t="shared" si="169"/>
        <v>BC</v>
      </c>
      <c r="K2721">
        <f t="shared" si="170"/>
        <v>-1446</v>
      </c>
      <c r="L2721">
        <f t="shared" si="171"/>
        <v>-1446</v>
      </c>
    </row>
    <row r="2722" spans="1:12" x14ac:dyDescent="0.35">
      <c r="A2722">
        <v>2735</v>
      </c>
      <c r="B2722" t="s">
        <v>8291</v>
      </c>
      <c r="C2722" t="s">
        <v>10747</v>
      </c>
      <c r="D2722" t="s">
        <v>8290</v>
      </c>
      <c r="E2722" t="s">
        <v>865</v>
      </c>
      <c r="F2722" t="s">
        <v>680</v>
      </c>
      <c r="G2722" t="s">
        <v>8289</v>
      </c>
      <c r="H2722" t="s">
        <v>8288</v>
      </c>
      <c r="I2722" t="str">
        <f t="shared" si="168"/>
        <v>1406</v>
      </c>
      <c r="J2722" t="str">
        <f t="shared" si="169"/>
        <v>BC</v>
      </c>
      <c r="K2722">
        <f t="shared" si="170"/>
        <v>-1406</v>
      </c>
      <c r="L2722">
        <f t="shared" si="171"/>
        <v>-1406</v>
      </c>
    </row>
    <row r="2723" spans="1:12" x14ac:dyDescent="0.35">
      <c r="A2723">
        <v>2736</v>
      </c>
      <c r="B2723" t="s">
        <v>8287</v>
      </c>
      <c r="C2723" t="s">
        <v>10743</v>
      </c>
      <c r="D2723" t="s">
        <v>8286</v>
      </c>
      <c r="E2723" t="s">
        <v>865</v>
      </c>
      <c r="F2723" t="s">
        <v>680</v>
      </c>
      <c r="G2723" t="s">
        <v>8285</v>
      </c>
      <c r="H2723" t="s">
        <v>8284</v>
      </c>
      <c r="I2723" t="str">
        <f t="shared" si="168"/>
        <v>1406</v>
      </c>
      <c r="J2723" t="str">
        <f t="shared" si="169"/>
        <v>BC</v>
      </c>
      <c r="K2723">
        <f t="shared" si="170"/>
        <v>-1406</v>
      </c>
      <c r="L2723">
        <f t="shared" si="171"/>
        <v>-1406</v>
      </c>
    </row>
    <row r="2724" spans="1:12" x14ac:dyDescent="0.35">
      <c r="A2724">
        <v>2737</v>
      </c>
      <c r="B2724" t="s">
        <v>8283</v>
      </c>
      <c r="C2724" t="s">
        <v>10748</v>
      </c>
      <c r="D2724" t="s">
        <v>8282</v>
      </c>
      <c r="E2724" t="s">
        <v>7757</v>
      </c>
      <c r="F2724" t="s">
        <v>8278</v>
      </c>
      <c r="G2724" t="s">
        <v>8277</v>
      </c>
      <c r="H2724" t="s">
        <v>8281</v>
      </c>
      <c r="I2724" t="str">
        <f t="shared" si="168"/>
        <v>Various periods</v>
      </c>
      <c r="J2724" t="str">
        <f t="shared" si="169"/>
        <v>ds</v>
      </c>
      <c r="K2724" t="str">
        <f t="shared" si="170"/>
        <v>Various periods</v>
      </c>
      <c r="L2724" t="str">
        <f t="shared" si="171"/>
        <v>Various periods</v>
      </c>
    </row>
    <row r="2725" spans="1:12" x14ac:dyDescent="0.35">
      <c r="A2725">
        <v>2738</v>
      </c>
      <c r="B2725" t="s">
        <v>8280</v>
      </c>
      <c r="C2725" t="s">
        <v>8276</v>
      </c>
      <c r="D2725" t="s">
        <v>8279</v>
      </c>
      <c r="E2725" t="s">
        <v>7757</v>
      </c>
      <c r="F2725" t="s">
        <v>8278</v>
      </c>
      <c r="G2725" t="s">
        <v>8277</v>
      </c>
      <c r="H2725" t="s">
        <v>8275</v>
      </c>
      <c r="I2725" t="str">
        <f t="shared" si="168"/>
        <v>Various periods</v>
      </c>
      <c r="J2725" t="str">
        <f t="shared" si="169"/>
        <v>ds</v>
      </c>
      <c r="K2725" t="str">
        <f t="shared" si="170"/>
        <v>Various periods</v>
      </c>
      <c r="L2725" t="str">
        <f t="shared" si="171"/>
        <v>Various periods</v>
      </c>
    </row>
    <row r="2726" spans="1:12" x14ac:dyDescent="0.35">
      <c r="A2726">
        <v>2739</v>
      </c>
      <c r="B2726" t="s">
        <v>8274</v>
      </c>
      <c r="C2726" t="s">
        <v>10632</v>
      </c>
      <c r="D2726" t="s">
        <v>8273</v>
      </c>
      <c r="E2726" t="s">
        <v>8253</v>
      </c>
      <c r="F2726" t="s">
        <v>3866</v>
      </c>
      <c r="G2726" t="s">
        <v>53</v>
      </c>
      <c r="H2726" t="s">
        <v>8272</v>
      </c>
      <c r="I2726" t="str">
        <f t="shared" si="168"/>
        <v>Ongoing</v>
      </c>
      <c r="J2726" t="str">
        <f t="shared" si="169"/>
        <v>ng</v>
      </c>
      <c r="K2726" t="str">
        <f t="shared" si="170"/>
        <v>Ongoing</v>
      </c>
      <c r="L2726" t="str">
        <f t="shared" si="171"/>
        <v>Ongoing</v>
      </c>
    </row>
    <row r="2727" spans="1:12" x14ac:dyDescent="0.35">
      <c r="A2727">
        <v>2740</v>
      </c>
      <c r="B2727" t="s">
        <v>8271</v>
      </c>
      <c r="C2727" t="s">
        <v>10546</v>
      </c>
      <c r="D2727" t="s">
        <v>8270</v>
      </c>
      <c r="E2727" t="s">
        <v>8269</v>
      </c>
      <c r="F2727" t="s">
        <v>8268</v>
      </c>
      <c r="G2727" t="s">
        <v>53</v>
      </c>
      <c r="H2727" t="s">
        <v>8267</v>
      </c>
      <c r="I2727" t="str">
        <f t="shared" si="168"/>
        <v>1446/Future</v>
      </c>
      <c r="J2727" t="str">
        <f t="shared" si="169"/>
        <v>re</v>
      </c>
      <c r="K2727" t="str">
        <f t="shared" si="170"/>
        <v>1446/Future</v>
      </c>
      <c r="L2727" t="str">
        <f t="shared" si="171"/>
        <v>1446/Future</v>
      </c>
    </row>
    <row r="2728" spans="1:12" x14ac:dyDescent="0.35">
      <c r="A2728">
        <v>2741</v>
      </c>
      <c r="B2728" t="s">
        <v>8266</v>
      </c>
      <c r="C2728" t="s">
        <v>8263</v>
      </c>
      <c r="D2728" t="s">
        <v>8265</v>
      </c>
      <c r="E2728" t="s">
        <v>3613</v>
      </c>
      <c r="F2728" t="s">
        <v>8264</v>
      </c>
      <c r="G2728" t="s">
        <v>7392</v>
      </c>
      <c r="H2728" t="s">
        <v>8262</v>
      </c>
      <c r="I2728" t="str">
        <f t="shared" si="168"/>
        <v>33 / ongoing</v>
      </c>
      <c r="J2728" t="str">
        <f t="shared" si="169"/>
        <v>ng</v>
      </c>
      <c r="K2728" t="str">
        <f t="shared" si="170"/>
        <v>33 / ongoing</v>
      </c>
      <c r="L2728" t="str">
        <f t="shared" si="171"/>
        <v>33 / ongoing</v>
      </c>
    </row>
    <row r="2729" spans="1:12" x14ac:dyDescent="0.35">
      <c r="A2729">
        <v>2742</v>
      </c>
      <c r="B2729" t="s">
        <v>8261</v>
      </c>
      <c r="C2729" t="s">
        <v>10692</v>
      </c>
      <c r="D2729" t="s">
        <v>8260</v>
      </c>
      <c r="E2729" t="s">
        <v>3714</v>
      </c>
      <c r="F2729" t="s">
        <v>4409</v>
      </c>
      <c r="G2729" t="s">
        <v>7392</v>
      </c>
      <c r="H2729" t="s">
        <v>8259</v>
      </c>
      <c r="I2729" t="str">
        <f t="shared" si="168"/>
        <v>Eternal</v>
      </c>
      <c r="J2729" t="str">
        <f t="shared" si="169"/>
        <v>al</v>
      </c>
      <c r="K2729" t="str">
        <f t="shared" si="170"/>
        <v>Eternal</v>
      </c>
      <c r="L2729" t="str">
        <f t="shared" si="171"/>
        <v>Eternal</v>
      </c>
    </row>
    <row r="2730" spans="1:12" x14ac:dyDescent="0.35">
      <c r="A2730">
        <v>2743</v>
      </c>
      <c r="B2730" t="s">
        <v>8258</v>
      </c>
      <c r="C2730" t="s">
        <v>10733</v>
      </c>
      <c r="D2730" t="s">
        <v>8257</v>
      </c>
      <c r="E2730" t="s">
        <v>1211</v>
      </c>
      <c r="F2730" t="s">
        <v>6149</v>
      </c>
      <c r="G2730" t="s">
        <v>53</v>
      </c>
      <c r="H2730" t="s">
        <v>8256</v>
      </c>
      <c r="I2730" t="str">
        <f t="shared" si="168"/>
        <v>33</v>
      </c>
      <c r="J2730" t="str">
        <f t="shared" si="169"/>
        <v>AD</v>
      </c>
      <c r="K2730" t="str">
        <f t="shared" si="170"/>
        <v>33</v>
      </c>
      <c r="L2730" t="str">
        <f t="shared" si="171"/>
        <v>33</v>
      </c>
    </row>
    <row r="2731" spans="1:12" x14ac:dyDescent="0.35">
      <c r="A2731">
        <v>2744</v>
      </c>
      <c r="B2731" t="s">
        <v>8255</v>
      </c>
      <c r="C2731" t="s">
        <v>10661</v>
      </c>
      <c r="D2731" t="s">
        <v>8254</v>
      </c>
      <c r="E2731" t="s">
        <v>8253</v>
      </c>
      <c r="F2731" t="s">
        <v>3866</v>
      </c>
      <c r="G2731" t="s">
        <v>53</v>
      </c>
      <c r="H2731" t="s">
        <v>8252</v>
      </c>
      <c r="I2731" t="str">
        <f t="shared" si="168"/>
        <v>Ongoing</v>
      </c>
      <c r="J2731" t="str">
        <f t="shared" si="169"/>
        <v>ng</v>
      </c>
      <c r="K2731" t="str">
        <f t="shared" si="170"/>
        <v>Ongoing</v>
      </c>
      <c r="L2731" t="str">
        <f t="shared" si="171"/>
        <v>Ongoing</v>
      </c>
    </row>
    <row r="2732" spans="1:12" x14ac:dyDescent="0.35">
      <c r="A2732">
        <v>2745</v>
      </c>
      <c r="B2732" t="s">
        <v>8504</v>
      </c>
      <c r="C2732" t="s">
        <v>10537</v>
      </c>
      <c r="D2732" t="s">
        <v>8503</v>
      </c>
      <c r="E2732" t="s">
        <v>8461</v>
      </c>
      <c r="F2732" t="s">
        <v>8460</v>
      </c>
      <c r="G2732" t="s">
        <v>8459</v>
      </c>
      <c r="H2732" t="s">
        <v>8502</v>
      </c>
      <c r="I2732" t="str">
        <f t="shared" si="168"/>
        <v>45-62</v>
      </c>
      <c r="J2732" t="str">
        <f t="shared" si="169"/>
        <v>AD</v>
      </c>
      <c r="K2732" t="str">
        <f t="shared" si="170"/>
        <v>45</v>
      </c>
      <c r="L2732" t="str">
        <f t="shared" si="171"/>
        <v>62</v>
      </c>
    </row>
    <row r="2733" spans="1:12" x14ac:dyDescent="0.35">
      <c r="A2733">
        <v>2746</v>
      </c>
      <c r="B2733" t="s">
        <v>8501</v>
      </c>
      <c r="C2733" t="s">
        <v>10048</v>
      </c>
      <c r="D2733" t="s">
        <v>8500</v>
      </c>
      <c r="E2733" t="s">
        <v>8461</v>
      </c>
      <c r="F2733" t="s">
        <v>8460</v>
      </c>
      <c r="G2733" t="s">
        <v>8459</v>
      </c>
      <c r="H2733" t="s">
        <v>8499</v>
      </c>
      <c r="I2733" t="str">
        <f t="shared" si="168"/>
        <v>45-62</v>
      </c>
      <c r="J2733" t="str">
        <f t="shared" si="169"/>
        <v>AD</v>
      </c>
      <c r="K2733" t="str">
        <f t="shared" si="170"/>
        <v>45</v>
      </c>
      <c r="L2733" t="str">
        <f t="shared" si="171"/>
        <v>62</v>
      </c>
    </row>
    <row r="2734" spans="1:12" x14ac:dyDescent="0.35">
      <c r="A2734">
        <v>2747</v>
      </c>
      <c r="B2734" t="s">
        <v>8498</v>
      </c>
      <c r="C2734" t="s">
        <v>10048</v>
      </c>
      <c r="D2734" t="s">
        <v>8497</v>
      </c>
      <c r="E2734" t="s">
        <v>8461</v>
      </c>
      <c r="F2734" t="s">
        <v>8460</v>
      </c>
      <c r="G2734" t="s">
        <v>8459</v>
      </c>
      <c r="H2734" t="s">
        <v>8496</v>
      </c>
      <c r="I2734" t="str">
        <f t="shared" si="168"/>
        <v>45-62</v>
      </c>
      <c r="J2734" t="str">
        <f t="shared" si="169"/>
        <v>AD</v>
      </c>
      <c r="K2734" t="str">
        <f t="shared" si="170"/>
        <v>45</v>
      </c>
      <c r="L2734" t="str">
        <f t="shared" si="171"/>
        <v>62</v>
      </c>
    </row>
    <row r="2735" spans="1:12" x14ac:dyDescent="0.35">
      <c r="A2735">
        <v>2748</v>
      </c>
      <c r="B2735" t="s">
        <v>8495</v>
      </c>
      <c r="C2735" t="s">
        <v>10693</v>
      </c>
      <c r="D2735" t="s">
        <v>8494</v>
      </c>
      <c r="E2735" t="s">
        <v>8461</v>
      </c>
      <c r="F2735" t="s">
        <v>8460</v>
      </c>
      <c r="G2735" t="s">
        <v>8459</v>
      </c>
      <c r="H2735" t="s">
        <v>8493</v>
      </c>
      <c r="I2735" t="str">
        <f t="shared" si="168"/>
        <v>45-62</v>
      </c>
      <c r="J2735" t="str">
        <f t="shared" si="169"/>
        <v>AD</v>
      </c>
      <c r="K2735" t="str">
        <f t="shared" si="170"/>
        <v>45</v>
      </c>
      <c r="L2735" t="str">
        <f t="shared" si="171"/>
        <v>62</v>
      </c>
    </row>
    <row r="2736" spans="1:12" x14ac:dyDescent="0.35">
      <c r="A2736">
        <v>2749</v>
      </c>
      <c r="B2736" t="s">
        <v>8492</v>
      </c>
      <c r="C2736" t="s">
        <v>11716</v>
      </c>
      <c r="D2736" t="s">
        <v>8491</v>
      </c>
      <c r="E2736" t="s">
        <v>8461</v>
      </c>
      <c r="F2736" t="s">
        <v>8460</v>
      </c>
      <c r="G2736" t="s">
        <v>8459</v>
      </c>
      <c r="H2736" t="s">
        <v>8490</v>
      </c>
      <c r="I2736" t="str">
        <f t="shared" si="168"/>
        <v>45-62</v>
      </c>
      <c r="J2736" t="str">
        <f t="shared" si="169"/>
        <v>AD</v>
      </c>
      <c r="K2736" t="str">
        <f t="shared" si="170"/>
        <v>45</v>
      </c>
      <c r="L2736" t="str">
        <f t="shared" si="171"/>
        <v>62</v>
      </c>
    </row>
    <row r="2737" spans="1:12" x14ac:dyDescent="0.35">
      <c r="A2737">
        <v>2750</v>
      </c>
      <c r="B2737" t="s">
        <v>8489</v>
      </c>
      <c r="C2737" t="s">
        <v>11717</v>
      </c>
      <c r="D2737" t="s">
        <v>8488</v>
      </c>
      <c r="E2737" t="s">
        <v>8461</v>
      </c>
      <c r="F2737" t="s">
        <v>8460</v>
      </c>
      <c r="G2737" t="s">
        <v>8459</v>
      </c>
      <c r="H2737" t="s">
        <v>8487</v>
      </c>
      <c r="I2737" t="str">
        <f t="shared" si="168"/>
        <v>45-62</v>
      </c>
      <c r="J2737" t="str">
        <f t="shared" si="169"/>
        <v>AD</v>
      </c>
      <c r="K2737" t="str">
        <f t="shared" si="170"/>
        <v>45</v>
      </c>
      <c r="L2737" t="str">
        <f t="shared" si="171"/>
        <v>62</v>
      </c>
    </row>
    <row r="2738" spans="1:12" x14ac:dyDescent="0.35">
      <c r="A2738">
        <v>2751</v>
      </c>
      <c r="B2738" t="s">
        <v>8486</v>
      </c>
      <c r="C2738" t="s">
        <v>10694</v>
      </c>
      <c r="D2738" t="s">
        <v>8485</v>
      </c>
      <c r="E2738" t="s">
        <v>8461</v>
      </c>
      <c r="F2738" t="s">
        <v>8460</v>
      </c>
      <c r="G2738" t="s">
        <v>8459</v>
      </c>
      <c r="H2738" t="s">
        <v>8484</v>
      </c>
      <c r="I2738" t="str">
        <f t="shared" si="168"/>
        <v>45-62</v>
      </c>
      <c r="J2738" t="str">
        <f t="shared" si="169"/>
        <v>AD</v>
      </c>
      <c r="K2738" t="str">
        <f t="shared" si="170"/>
        <v>45</v>
      </c>
      <c r="L2738" t="str">
        <f t="shared" si="171"/>
        <v>62</v>
      </c>
    </row>
    <row r="2739" spans="1:12" x14ac:dyDescent="0.35">
      <c r="A2739">
        <v>2752</v>
      </c>
      <c r="B2739" t="s">
        <v>8483</v>
      </c>
      <c r="C2739" t="s">
        <v>9456</v>
      </c>
      <c r="D2739" t="s">
        <v>8482</v>
      </c>
      <c r="E2739" t="s">
        <v>8461</v>
      </c>
      <c r="F2739" t="s">
        <v>8460</v>
      </c>
      <c r="G2739" t="s">
        <v>8459</v>
      </c>
      <c r="H2739" t="s">
        <v>8481</v>
      </c>
      <c r="I2739" t="str">
        <f t="shared" si="168"/>
        <v>45-62</v>
      </c>
      <c r="J2739" t="str">
        <f t="shared" si="169"/>
        <v>AD</v>
      </c>
      <c r="K2739" t="str">
        <f t="shared" si="170"/>
        <v>45</v>
      </c>
      <c r="L2739" t="str">
        <f t="shared" si="171"/>
        <v>62</v>
      </c>
    </row>
    <row r="2740" spans="1:12" x14ac:dyDescent="0.35">
      <c r="A2740">
        <v>2753</v>
      </c>
      <c r="B2740" t="s">
        <v>8480</v>
      </c>
      <c r="C2740" t="s">
        <v>9456</v>
      </c>
      <c r="D2740" t="s">
        <v>8479</v>
      </c>
      <c r="E2740" t="s">
        <v>8461</v>
      </c>
      <c r="F2740" t="s">
        <v>8460</v>
      </c>
      <c r="G2740" t="s">
        <v>8459</v>
      </c>
      <c r="H2740" t="s">
        <v>8478</v>
      </c>
      <c r="I2740" t="str">
        <f t="shared" ref="I2740:I2803" si="172">SUBSTITUTE(SUBSTITUTE(SUBSTITUTE(F2740,"c. ","")," BC","")," AD","")</f>
        <v>45-62</v>
      </c>
      <c r="J2740" t="str">
        <f t="shared" si="169"/>
        <v>AD</v>
      </c>
      <c r="K2740" t="str">
        <f t="shared" si="170"/>
        <v>45</v>
      </c>
      <c r="L2740" t="str">
        <f t="shared" si="171"/>
        <v>62</v>
      </c>
    </row>
    <row r="2741" spans="1:12" x14ac:dyDescent="0.35">
      <c r="A2741">
        <v>2754</v>
      </c>
      <c r="B2741" t="s">
        <v>8477</v>
      </c>
      <c r="C2741" t="s">
        <v>10749</v>
      </c>
      <c r="D2741" t="s">
        <v>8476</v>
      </c>
      <c r="E2741" t="s">
        <v>8461</v>
      </c>
      <c r="F2741" t="s">
        <v>8460</v>
      </c>
      <c r="G2741" t="s">
        <v>8459</v>
      </c>
      <c r="H2741" t="s">
        <v>8475</v>
      </c>
      <c r="I2741" t="str">
        <f t="shared" si="172"/>
        <v>45-62</v>
      </c>
      <c r="J2741" t="str">
        <f t="shared" si="169"/>
        <v>AD</v>
      </c>
      <c r="K2741" t="str">
        <f t="shared" si="170"/>
        <v>45</v>
      </c>
      <c r="L2741" t="str">
        <f t="shared" si="171"/>
        <v>62</v>
      </c>
    </row>
    <row r="2742" spans="1:12" x14ac:dyDescent="0.35">
      <c r="A2742">
        <v>2755</v>
      </c>
      <c r="B2742" t="s">
        <v>8474</v>
      </c>
      <c r="C2742" t="s">
        <v>10749</v>
      </c>
      <c r="D2742" t="s">
        <v>8473</v>
      </c>
      <c r="E2742" t="s">
        <v>8461</v>
      </c>
      <c r="F2742" t="s">
        <v>8460</v>
      </c>
      <c r="G2742" t="s">
        <v>8459</v>
      </c>
      <c r="H2742" t="s">
        <v>8472</v>
      </c>
      <c r="I2742" t="str">
        <f t="shared" si="172"/>
        <v>45-62</v>
      </c>
      <c r="J2742" t="str">
        <f t="shared" si="169"/>
        <v>AD</v>
      </c>
      <c r="K2742" t="str">
        <f t="shared" si="170"/>
        <v>45</v>
      </c>
      <c r="L2742" t="str">
        <f t="shared" si="171"/>
        <v>62</v>
      </c>
    </row>
    <row r="2743" spans="1:12" x14ac:dyDescent="0.35">
      <c r="A2743">
        <v>2756</v>
      </c>
      <c r="B2743" t="s">
        <v>8471</v>
      </c>
      <c r="C2743" t="s">
        <v>11639</v>
      </c>
      <c r="D2743" t="s">
        <v>8470</v>
      </c>
      <c r="E2743" t="s">
        <v>8461</v>
      </c>
      <c r="F2743" t="s">
        <v>8460</v>
      </c>
      <c r="G2743" t="s">
        <v>8459</v>
      </c>
      <c r="H2743" t="s">
        <v>8469</v>
      </c>
      <c r="I2743" t="str">
        <f t="shared" si="172"/>
        <v>45-62</v>
      </c>
      <c r="J2743" t="str">
        <f t="shared" si="169"/>
        <v>AD</v>
      </c>
      <c r="K2743" t="str">
        <f t="shared" si="170"/>
        <v>45</v>
      </c>
      <c r="L2743" t="str">
        <f t="shared" si="171"/>
        <v>62</v>
      </c>
    </row>
    <row r="2744" spans="1:12" x14ac:dyDescent="0.35">
      <c r="A2744">
        <v>2757</v>
      </c>
      <c r="B2744" t="s">
        <v>8468</v>
      </c>
      <c r="C2744" t="s">
        <v>11639</v>
      </c>
      <c r="D2744" t="s">
        <v>8465</v>
      </c>
      <c r="E2744" t="s">
        <v>8461</v>
      </c>
      <c r="F2744" t="s">
        <v>8460</v>
      </c>
      <c r="G2744" t="s">
        <v>8459</v>
      </c>
      <c r="H2744" t="s">
        <v>8467</v>
      </c>
      <c r="I2744" t="str">
        <f t="shared" si="172"/>
        <v>45-62</v>
      </c>
      <c r="J2744" t="str">
        <f t="shared" si="169"/>
        <v>AD</v>
      </c>
      <c r="K2744" t="str">
        <f t="shared" si="170"/>
        <v>45</v>
      </c>
      <c r="L2744" t="str">
        <f t="shared" si="171"/>
        <v>62</v>
      </c>
    </row>
    <row r="2745" spans="1:12" x14ac:dyDescent="0.35">
      <c r="A2745">
        <v>2758</v>
      </c>
      <c r="B2745" t="s">
        <v>8466</v>
      </c>
      <c r="C2745" t="s">
        <v>9469</v>
      </c>
      <c r="D2745" t="s">
        <v>8465</v>
      </c>
      <c r="E2745" t="s">
        <v>8461</v>
      </c>
      <c r="F2745" t="s">
        <v>8460</v>
      </c>
      <c r="G2745" t="s">
        <v>8459</v>
      </c>
      <c r="H2745" t="s">
        <v>8464</v>
      </c>
      <c r="I2745" t="str">
        <f t="shared" si="172"/>
        <v>45-62</v>
      </c>
      <c r="J2745" t="str">
        <f t="shared" si="169"/>
        <v>AD</v>
      </c>
      <c r="K2745" t="str">
        <f t="shared" si="170"/>
        <v>45</v>
      </c>
      <c r="L2745" t="str">
        <f t="shared" si="171"/>
        <v>62</v>
      </c>
    </row>
    <row r="2746" spans="1:12" x14ac:dyDescent="0.35">
      <c r="A2746">
        <v>2759</v>
      </c>
      <c r="B2746" t="s">
        <v>8463</v>
      </c>
      <c r="C2746" t="s">
        <v>10694</v>
      </c>
      <c r="D2746" t="s">
        <v>8462</v>
      </c>
      <c r="E2746" t="s">
        <v>8461</v>
      </c>
      <c r="F2746" t="s">
        <v>8460</v>
      </c>
      <c r="G2746" t="s">
        <v>8459</v>
      </c>
      <c r="H2746" t="s">
        <v>8458</v>
      </c>
      <c r="I2746" t="str">
        <f t="shared" si="172"/>
        <v>45-62</v>
      </c>
      <c r="J2746" t="str">
        <f t="shared" si="169"/>
        <v>AD</v>
      </c>
      <c r="K2746" t="str">
        <f t="shared" si="170"/>
        <v>45</v>
      </c>
      <c r="L2746" t="str">
        <f t="shared" si="171"/>
        <v>62</v>
      </c>
    </row>
    <row r="2747" spans="1:12" x14ac:dyDescent="0.35">
      <c r="A2747">
        <v>2760</v>
      </c>
      <c r="B2747" t="s">
        <v>8624</v>
      </c>
      <c r="C2747" t="s">
        <v>10662</v>
      </c>
      <c r="D2747" t="s">
        <v>8623</v>
      </c>
      <c r="E2747" t="s">
        <v>8550</v>
      </c>
      <c r="F2747" t="s">
        <v>8549</v>
      </c>
      <c r="G2747" t="s">
        <v>6818</v>
      </c>
      <c r="H2747" t="s">
        <v>8622</v>
      </c>
      <c r="I2747" t="str">
        <f t="shared" si="172"/>
        <v>62-64</v>
      </c>
      <c r="J2747" t="str">
        <f t="shared" si="169"/>
        <v>AD</v>
      </c>
      <c r="K2747" t="str">
        <f t="shared" si="170"/>
        <v>62</v>
      </c>
      <c r="L2747" t="str">
        <f t="shared" si="171"/>
        <v>64</v>
      </c>
    </row>
    <row r="2748" spans="1:12" x14ac:dyDescent="0.35">
      <c r="A2748">
        <v>2761</v>
      </c>
      <c r="B2748" t="s">
        <v>8621</v>
      </c>
      <c r="C2748" t="s">
        <v>8620</v>
      </c>
      <c r="D2748" t="s">
        <v>8617</v>
      </c>
      <c r="E2748" t="s">
        <v>8550</v>
      </c>
      <c r="F2748" t="s">
        <v>8549</v>
      </c>
      <c r="G2748" t="s">
        <v>60</v>
      </c>
      <c r="H2748" t="s">
        <v>8619</v>
      </c>
      <c r="I2748" t="str">
        <f t="shared" si="172"/>
        <v>62-64</v>
      </c>
      <c r="J2748" t="str">
        <f t="shared" si="169"/>
        <v>AD</v>
      </c>
      <c r="K2748" t="str">
        <f t="shared" si="170"/>
        <v>62</v>
      </c>
      <c r="L2748" t="str">
        <f t="shared" si="171"/>
        <v>64</v>
      </c>
    </row>
    <row r="2749" spans="1:12" x14ac:dyDescent="0.35">
      <c r="A2749">
        <v>2762</v>
      </c>
      <c r="B2749" t="s">
        <v>8618</v>
      </c>
      <c r="C2749" t="s">
        <v>9456</v>
      </c>
      <c r="D2749" t="s">
        <v>8617</v>
      </c>
      <c r="E2749" t="s">
        <v>8550</v>
      </c>
      <c r="F2749" t="s">
        <v>8549</v>
      </c>
      <c r="G2749" t="s">
        <v>60</v>
      </c>
      <c r="H2749" t="s">
        <v>8616</v>
      </c>
      <c r="I2749" t="str">
        <f t="shared" si="172"/>
        <v>62-64</v>
      </c>
      <c r="J2749" t="str">
        <f t="shared" si="169"/>
        <v>AD</v>
      </c>
      <c r="K2749" t="str">
        <f t="shared" si="170"/>
        <v>62</v>
      </c>
      <c r="L2749" t="str">
        <f t="shared" si="171"/>
        <v>64</v>
      </c>
    </row>
    <row r="2750" spans="1:12" x14ac:dyDescent="0.35">
      <c r="A2750">
        <v>2763</v>
      </c>
      <c r="B2750" t="s">
        <v>8615</v>
      </c>
      <c r="C2750" t="s">
        <v>10667</v>
      </c>
      <c r="D2750" t="s">
        <v>8614</v>
      </c>
      <c r="E2750" t="s">
        <v>8550</v>
      </c>
      <c r="F2750" t="s">
        <v>8549</v>
      </c>
      <c r="G2750" t="s">
        <v>53</v>
      </c>
      <c r="H2750" t="s">
        <v>8613</v>
      </c>
      <c r="I2750" t="str">
        <f t="shared" si="172"/>
        <v>62-64</v>
      </c>
      <c r="J2750" t="str">
        <f t="shared" si="169"/>
        <v>AD</v>
      </c>
      <c r="K2750" t="str">
        <f t="shared" si="170"/>
        <v>62</v>
      </c>
      <c r="L2750" t="str">
        <f t="shared" si="171"/>
        <v>64</v>
      </c>
    </row>
    <row r="2751" spans="1:12" x14ac:dyDescent="0.35">
      <c r="A2751">
        <v>2764</v>
      </c>
      <c r="B2751" t="s">
        <v>8612</v>
      </c>
      <c r="C2751" t="s">
        <v>10040</v>
      </c>
      <c r="D2751" t="s">
        <v>8611</v>
      </c>
      <c r="E2751" t="s">
        <v>8550</v>
      </c>
      <c r="F2751" t="s">
        <v>8549</v>
      </c>
      <c r="G2751" t="s">
        <v>53</v>
      </c>
      <c r="H2751" t="s">
        <v>8610</v>
      </c>
      <c r="I2751" t="str">
        <f t="shared" si="172"/>
        <v>62-64</v>
      </c>
      <c r="J2751" t="str">
        <f t="shared" si="169"/>
        <v>AD</v>
      </c>
      <c r="K2751" t="str">
        <f t="shared" si="170"/>
        <v>62</v>
      </c>
      <c r="L2751" t="str">
        <f t="shared" si="171"/>
        <v>64</v>
      </c>
    </row>
    <row r="2752" spans="1:12" x14ac:dyDescent="0.35">
      <c r="A2752">
        <v>2765</v>
      </c>
      <c r="B2752" t="s">
        <v>8609</v>
      </c>
      <c r="C2752" t="s">
        <v>6157</v>
      </c>
      <c r="D2752" t="s">
        <v>8608</v>
      </c>
      <c r="E2752" t="s">
        <v>8550</v>
      </c>
      <c r="F2752" t="s">
        <v>8549</v>
      </c>
      <c r="G2752" t="s">
        <v>8607</v>
      </c>
      <c r="H2752" t="s">
        <v>8606</v>
      </c>
      <c r="I2752" t="str">
        <f t="shared" si="172"/>
        <v>62-64</v>
      </c>
      <c r="J2752" t="str">
        <f t="shared" si="169"/>
        <v>AD</v>
      </c>
      <c r="K2752" t="str">
        <f t="shared" si="170"/>
        <v>62</v>
      </c>
      <c r="L2752" t="str">
        <f t="shared" si="171"/>
        <v>64</v>
      </c>
    </row>
    <row r="2753" spans="1:12" x14ac:dyDescent="0.35">
      <c r="A2753">
        <v>2766</v>
      </c>
      <c r="B2753" t="s">
        <v>8605</v>
      </c>
      <c r="C2753" t="s">
        <v>6157</v>
      </c>
      <c r="D2753" t="s">
        <v>8604</v>
      </c>
      <c r="E2753" t="s">
        <v>8550</v>
      </c>
      <c r="F2753" t="s">
        <v>8549</v>
      </c>
      <c r="G2753" t="s">
        <v>8603</v>
      </c>
      <c r="H2753" t="s">
        <v>8602</v>
      </c>
      <c r="I2753" t="str">
        <f t="shared" si="172"/>
        <v>62-64</v>
      </c>
      <c r="J2753" t="str">
        <f t="shared" si="169"/>
        <v>AD</v>
      </c>
      <c r="K2753" t="str">
        <f t="shared" si="170"/>
        <v>62</v>
      </c>
      <c r="L2753" t="str">
        <f t="shared" si="171"/>
        <v>64</v>
      </c>
    </row>
    <row r="2754" spans="1:12" x14ac:dyDescent="0.35">
      <c r="A2754">
        <v>2767</v>
      </c>
      <c r="B2754" t="s">
        <v>8601</v>
      </c>
      <c r="C2754" t="s">
        <v>10695</v>
      </c>
      <c r="D2754" t="s">
        <v>7464</v>
      </c>
      <c r="E2754" t="s">
        <v>8550</v>
      </c>
      <c r="F2754" t="s">
        <v>8549</v>
      </c>
      <c r="G2754" t="s">
        <v>207</v>
      </c>
      <c r="H2754" t="s">
        <v>8600</v>
      </c>
      <c r="I2754" t="str">
        <f t="shared" si="172"/>
        <v>62-64</v>
      </c>
      <c r="J2754" t="str">
        <f t="shared" ref="J2754:J2817" si="173">RIGHT(F2754, 2)</f>
        <v>AD</v>
      </c>
      <c r="K2754" t="str">
        <f t="shared" ref="K2754:K2817" si="174">IF(J2754="BC", 0-IF(ISERROR(FIND("-",I2754)),I2754,LEFT(I2754,FIND("-",I2754)-1)), IF(ISERROR(FIND("-",I2754)),I2754,LEFT(I2754,FIND("-",I2754)-1)))</f>
        <v>62</v>
      </c>
      <c r="L2754" t="str">
        <f t="shared" ref="L2754:L2817" si="175">IF(J2754="BC", 0-IF(ISERROR(FIND("-",I2754)),I2754,RIGHT(I2754,FIND("-",I2754)-1)), IF(ISERROR(FIND("-",I2754)),I2754,RIGHT(I2754,FIND("-",I2754)-1)))</f>
        <v>64</v>
      </c>
    </row>
    <row r="2755" spans="1:12" x14ac:dyDescent="0.35">
      <c r="A2755">
        <v>2768</v>
      </c>
      <c r="B2755" t="s">
        <v>8599</v>
      </c>
      <c r="C2755" t="s">
        <v>9862</v>
      </c>
      <c r="D2755" t="s">
        <v>8598</v>
      </c>
      <c r="E2755" t="s">
        <v>8550</v>
      </c>
      <c r="F2755" t="s">
        <v>8549</v>
      </c>
      <c r="G2755" t="s">
        <v>53</v>
      </c>
      <c r="H2755" t="s">
        <v>8597</v>
      </c>
      <c r="I2755" t="str">
        <f t="shared" si="172"/>
        <v>62-64</v>
      </c>
      <c r="J2755" t="str">
        <f t="shared" si="173"/>
        <v>AD</v>
      </c>
      <c r="K2755" t="str">
        <f t="shared" si="174"/>
        <v>62</v>
      </c>
      <c r="L2755" t="str">
        <f t="shared" si="175"/>
        <v>64</v>
      </c>
    </row>
    <row r="2756" spans="1:12" x14ac:dyDescent="0.35">
      <c r="A2756">
        <v>2769</v>
      </c>
      <c r="B2756" t="s">
        <v>8596</v>
      </c>
      <c r="C2756" t="s">
        <v>8593</v>
      </c>
      <c r="D2756" t="s">
        <v>8590</v>
      </c>
      <c r="E2756" t="s">
        <v>8595</v>
      </c>
      <c r="F2756" t="s">
        <v>8594</v>
      </c>
      <c r="G2756" t="s">
        <v>7392</v>
      </c>
      <c r="H2756" t="s">
        <v>8592</v>
      </c>
      <c r="I2756" t="str">
        <f t="shared" si="172"/>
        <v>33 (historical)</v>
      </c>
      <c r="J2756" t="str">
        <f t="shared" si="173"/>
        <v>l)</v>
      </c>
      <c r="K2756" t="str">
        <f t="shared" si="174"/>
        <v>33 (historical)</v>
      </c>
      <c r="L2756" t="str">
        <f t="shared" si="175"/>
        <v>33 (historical)</v>
      </c>
    </row>
    <row r="2757" spans="1:12" x14ac:dyDescent="0.35">
      <c r="A2757">
        <v>2770</v>
      </c>
      <c r="B2757" t="s">
        <v>8591</v>
      </c>
      <c r="C2757" t="s">
        <v>8589</v>
      </c>
      <c r="D2757" t="s">
        <v>8590</v>
      </c>
      <c r="E2757" t="s">
        <v>8550</v>
      </c>
      <c r="F2757" t="s">
        <v>8549</v>
      </c>
      <c r="G2757" t="s">
        <v>7392</v>
      </c>
      <c r="H2757" t="s">
        <v>8588</v>
      </c>
      <c r="I2757" t="str">
        <f t="shared" si="172"/>
        <v>62-64</v>
      </c>
      <c r="J2757" t="str">
        <f t="shared" si="173"/>
        <v>AD</v>
      </c>
      <c r="K2757" t="str">
        <f t="shared" si="174"/>
        <v>62</v>
      </c>
      <c r="L2757" t="str">
        <f t="shared" si="175"/>
        <v>64</v>
      </c>
    </row>
    <row r="2758" spans="1:12" x14ac:dyDescent="0.35">
      <c r="A2758">
        <v>2771</v>
      </c>
      <c r="B2758" t="s">
        <v>8587</v>
      </c>
      <c r="C2758" t="s">
        <v>9813</v>
      </c>
      <c r="D2758" t="s">
        <v>8586</v>
      </c>
      <c r="E2758" t="s">
        <v>8569</v>
      </c>
      <c r="F2758" t="s">
        <v>8568</v>
      </c>
      <c r="G2758" t="s">
        <v>7392</v>
      </c>
      <c r="H2758" t="s">
        <v>8585</v>
      </c>
      <c r="I2758" t="str">
        <f t="shared" si="172"/>
        <v>Between crucifixion and resurrection</v>
      </c>
      <c r="J2758" t="str">
        <f t="shared" si="173"/>
        <v>on</v>
      </c>
      <c r="K2758" t="str">
        <f t="shared" si="174"/>
        <v>Between crucifixion and resurrection</v>
      </c>
      <c r="L2758" t="str">
        <f t="shared" si="175"/>
        <v>Between crucifixion and resurrection</v>
      </c>
    </row>
    <row r="2759" spans="1:12" x14ac:dyDescent="0.35">
      <c r="A2759">
        <v>2772</v>
      </c>
      <c r="B2759" t="s">
        <v>8584</v>
      </c>
      <c r="C2759" t="s">
        <v>11718</v>
      </c>
      <c r="D2759" t="s">
        <v>8583</v>
      </c>
      <c r="E2759" t="s">
        <v>8582</v>
      </c>
      <c r="F2759" t="s">
        <v>8578</v>
      </c>
      <c r="G2759" t="s">
        <v>7392</v>
      </c>
      <c r="H2759" t="s">
        <v>8581</v>
      </c>
      <c r="I2759" t="str">
        <f t="shared" si="172"/>
        <v>33 onward</v>
      </c>
      <c r="J2759" t="str">
        <f t="shared" si="173"/>
        <v>rd</v>
      </c>
      <c r="K2759" t="str">
        <f t="shared" si="174"/>
        <v>33 onward</v>
      </c>
      <c r="L2759" t="str">
        <f t="shared" si="175"/>
        <v>33 onward</v>
      </c>
    </row>
    <row r="2760" spans="1:12" x14ac:dyDescent="0.35">
      <c r="A2760">
        <v>2773</v>
      </c>
      <c r="B2760" t="s">
        <v>8580</v>
      </c>
      <c r="C2760" t="s">
        <v>10696</v>
      </c>
      <c r="D2760" t="s">
        <v>8579</v>
      </c>
      <c r="E2760" t="s">
        <v>7219</v>
      </c>
      <c r="F2760" t="s">
        <v>8578</v>
      </c>
      <c r="G2760" t="s">
        <v>7392</v>
      </c>
      <c r="H2760" t="s">
        <v>8576</v>
      </c>
      <c r="I2760" t="str">
        <f t="shared" si="172"/>
        <v>33 onward</v>
      </c>
      <c r="J2760" t="str">
        <f t="shared" si="173"/>
        <v>rd</v>
      </c>
      <c r="K2760" t="str">
        <f t="shared" si="174"/>
        <v>33 onward</v>
      </c>
      <c r="L2760" t="str">
        <f t="shared" si="175"/>
        <v>33 onward</v>
      </c>
    </row>
    <row r="2761" spans="1:12" x14ac:dyDescent="0.35">
      <c r="A2761">
        <v>2774</v>
      </c>
      <c r="B2761" t="s">
        <v>8575</v>
      </c>
      <c r="C2761" t="s">
        <v>10544</v>
      </c>
      <c r="D2761" t="s">
        <v>8574</v>
      </c>
      <c r="E2761" t="s">
        <v>8573</v>
      </c>
      <c r="F2761" t="s">
        <v>4363</v>
      </c>
      <c r="G2761" t="s">
        <v>53</v>
      </c>
      <c r="H2761" t="s">
        <v>8572</v>
      </c>
      <c r="I2761" t="str">
        <f t="shared" si="172"/>
        <v>Future</v>
      </c>
      <c r="J2761" t="str">
        <f t="shared" si="173"/>
        <v>re</v>
      </c>
      <c r="K2761" t="str">
        <f t="shared" si="174"/>
        <v>Future</v>
      </c>
      <c r="L2761" t="str">
        <f t="shared" si="175"/>
        <v>Future</v>
      </c>
    </row>
    <row r="2762" spans="1:12" x14ac:dyDescent="0.35">
      <c r="A2762">
        <v>2775</v>
      </c>
      <c r="B2762" t="s">
        <v>8571</v>
      </c>
      <c r="C2762" t="s">
        <v>9813</v>
      </c>
      <c r="D2762" t="s">
        <v>8570</v>
      </c>
      <c r="E2762" t="s">
        <v>8569</v>
      </c>
      <c r="F2762" t="s">
        <v>8568</v>
      </c>
      <c r="G2762" t="s">
        <v>7392</v>
      </c>
      <c r="H2762" t="s">
        <v>8567</v>
      </c>
      <c r="I2762" t="str">
        <f t="shared" si="172"/>
        <v>Between crucifixion and resurrection</v>
      </c>
      <c r="J2762" t="str">
        <f t="shared" si="173"/>
        <v>on</v>
      </c>
      <c r="K2762" t="str">
        <f t="shared" si="174"/>
        <v>Between crucifixion and resurrection</v>
      </c>
      <c r="L2762" t="str">
        <f t="shared" si="175"/>
        <v>Between crucifixion and resurrection</v>
      </c>
    </row>
    <row r="2763" spans="1:12" x14ac:dyDescent="0.35">
      <c r="A2763">
        <v>2776</v>
      </c>
      <c r="B2763" t="s">
        <v>8566</v>
      </c>
      <c r="C2763" t="s">
        <v>9859</v>
      </c>
      <c r="D2763" t="s">
        <v>8565</v>
      </c>
      <c r="E2763" t="s">
        <v>8550</v>
      </c>
      <c r="F2763" t="s">
        <v>8549</v>
      </c>
      <c r="G2763" t="s">
        <v>61</v>
      </c>
      <c r="H2763" t="s">
        <v>8564</v>
      </c>
      <c r="I2763" t="str">
        <f t="shared" si="172"/>
        <v>62-64</v>
      </c>
      <c r="J2763" t="str">
        <f t="shared" si="173"/>
        <v>AD</v>
      </c>
      <c r="K2763" t="str">
        <f t="shared" si="174"/>
        <v>62</v>
      </c>
      <c r="L2763" t="str">
        <f t="shared" si="175"/>
        <v>64</v>
      </c>
    </row>
    <row r="2764" spans="1:12" x14ac:dyDescent="0.35">
      <c r="A2764">
        <v>2777</v>
      </c>
      <c r="B2764" t="s">
        <v>8563</v>
      </c>
      <c r="C2764" t="s">
        <v>10697</v>
      </c>
      <c r="D2764" t="s">
        <v>8562</v>
      </c>
      <c r="E2764" t="s">
        <v>8550</v>
      </c>
      <c r="F2764" t="s">
        <v>8549</v>
      </c>
      <c r="G2764" t="s">
        <v>61</v>
      </c>
      <c r="H2764" t="s">
        <v>8561</v>
      </c>
      <c r="I2764" t="str">
        <f t="shared" si="172"/>
        <v>62-64</v>
      </c>
      <c r="J2764" t="str">
        <f t="shared" si="173"/>
        <v>AD</v>
      </c>
      <c r="K2764" t="str">
        <f t="shared" si="174"/>
        <v>62</v>
      </c>
      <c r="L2764" t="str">
        <f t="shared" si="175"/>
        <v>64</v>
      </c>
    </row>
    <row r="2765" spans="1:12" x14ac:dyDescent="0.35">
      <c r="A2765">
        <v>2778</v>
      </c>
      <c r="B2765" t="s">
        <v>8486</v>
      </c>
      <c r="C2765" t="s">
        <v>10694</v>
      </c>
      <c r="D2765" t="s">
        <v>8560</v>
      </c>
      <c r="E2765" t="s">
        <v>8550</v>
      </c>
      <c r="F2765" t="s">
        <v>8549</v>
      </c>
      <c r="G2765" t="s">
        <v>53</v>
      </c>
      <c r="H2765" t="s">
        <v>8559</v>
      </c>
      <c r="I2765" t="str">
        <f t="shared" si="172"/>
        <v>62-64</v>
      </c>
      <c r="J2765" t="str">
        <f t="shared" si="173"/>
        <v>AD</v>
      </c>
      <c r="K2765" t="str">
        <f t="shared" si="174"/>
        <v>62</v>
      </c>
      <c r="L2765" t="str">
        <f t="shared" si="175"/>
        <v>64</v>
      </c>
    </row>
    <row r="2766" spans="1:12" x14ac:dyDescent="0.35">
      <c r="A2766">
        <v>2779</v>
      </c>
      <c r="B2766" t="s">
        <v>8558</v>
      </c>
      <c r="C2766" t="s">
        <v>9456</v>
      </c>
      <c r="D2766" t="s">
        <v>8557</v>
      </c>
      <c r="E2766" t="s">
        <v>8550</v>
      </c>
      <c r="F2766" t="s">
        <v>8549</v>
      </c>
      <c r="G2766" t="s">
        <v>53</v>
      </c>
      <c r="H2766" t="s">
        <v>8556</v>
      </c>
      <c r="I2766" t="str">
        <f t="shared" si="172"/>
        <v>62-64</v>
      </c>
      <c r="J2766" t="str">
        <f t="shared" si="173"/>
        <v>AD</v>
      </c>
      <c r="K2766" t="str">
        <f t="shared" si="174"/>
        <v>62</v>
      </c>
      <c r="L2766" t="str">
        <f t="shared" si="175"/>
        <v>64</v>
      </c>
    </row>
    <row r="2767" spans="1:12" x14ac:dyDescent="0.35">
      <c r="A2767">
        <v>2780</v>
      </c>
      <c r="B2767" t="s">
        <v>8555</v>
      </c>
      <c r="C2767" t="s">
        <v>9453</v>
      </c>
      <c r="D2767" t="s">
        <v>8554</v>
      </c>
      <c r="E2767" t="s">
        <v>8550</v>
      </c>
      <c r="F2767" t="s">
        <v>8549</v>
      </c>
      <c r="G2767" t="s">
        <v>53</v>
      </c>
      <c r="H2767" t="s">
        <v>8553</v>
      </c>
      <c r="I2767" t="str">
        <f t="shared" si="172"/>
        <v>62-64</v>
      </c>
      <c r="J2767" t="str">
        <f t="shared" si="173"/>
        <v>AD</v>
      </c>
      <c r="K2767" t="str">
        <f t="shared" si="174"/>
        <v>62</v>
      </c>
      <c r="L2767" t="str">
        <f t="shared" si="175"/>
        <v>64</v>
      </c>
    </row>
    <row r="2768" spans="1:12" x14ac:dyDescent="0.35">
      <c r="A2768">
        <v>2781</v>
      </c>
      <c r="B2768" t="s">
        <v>8552</v>
      </c>
      <c r="C2768" t="s">
        <v>9358</v>
      </c>
      <c r="D2768" t="s">
        <v>8551</v>
      </c>
      <c r="E2768" t="s">
        <v>8550</v>
      </c>
      <c r="F2768" t="s">
        <v>8549</v>
      </c>
      <c r="G2768" t="s">
        <v>53</v>
      </c>
      <c r="H2768" t="s">
        <v>8548</v>
      </c>
      <c r="I2768" t="str">
        <f t="shared" si="172"/>
        <v>62-64</v>
      </c>
      <c r="J2768" t="str">
        <f t="shared" si="173"/>
        <v>AD</v>
      </c>
      <c r="K2768" t="str">
        <f t="shared" si="174"/>
        <v>62</v>
      </c>
      <c r="L2768" t="str">
        <f t="shared" si="175"/>
        <v>64</v>
      </c>
    </row>
    <row r="2769" spans="1:12" x14ac:dyDescent="0.35">
      <c r="A2769">
        <v>2782</v>
      </c>
      <c r="B2769" t="s">
        <v>8732</v>
      </c>
      <c r="C2769" t="s">
        <v>10038</v>
      </c>
      <c r="D2769" t="s">
        <v>8729</v>
      </c>
      <c r="E2769" t="s">
        <v>1112</v>
      </c>
      <c r="F2769" t="s">
        <v>8726</v>
      </c>
      <c r="G2769" t="s">
        <v>59</v>
      </c>
      <c r="H2769" t="s">
        <v>8731</v>
      </c>
      <c r="I2769" t="str">
        <f t="shared" si="172"/>
        <v>64-68</v>
      </c>
      <c r="J2769" t="str">
        <f t="shared" si="173"/>
        <v>AD</v>
      </c>
      <c r="K2769" t="str">
        <f t="shared" si="174"/>
        <v>64</v>
      </c>
      <c r="L2769" t="str">
        <f t="shared" si="175"/>
        <v>68</v>
      </c>
    </row>
    <row r="2770" spans="1:12" x14ac:dyDescent="0.35">
      <c r="A2770">
        <v>2783</v>
      </c>
      <c r="B2770" t="s">
        <v>8730</v>
      </c>
      <c r="C2770" t="s">
        <v>9862</v>
      </c>
      <c r="D2770" t="s">
        <v>8729</v>
      </c>
      <c r="E2770" t="s">
        <v>1112</v>
      </c>
      <c r="F2770" t="s">
        <v>8726</v>
      </c>
      <c r="G2770" t="s">
        <v>53</v>
      </c>
      <c r="H2770" t="s">
        <v>7856</v>
      </c>
      <c r="I2770" t="str">
        <f t="shared" si="172"/>
        <v>64-68</v>
      </c>
      <c r="J2770" t="str">
        <f t="shared" si="173"/>
        <v>AD</v>
      </c>
      <c r="K2770" t="str">
        <f t="shared" si="174"/>
        <v>64</v>
      </c>
      <c r="L2770" t="str">
        <f t="shared" si="175"/>
        <v>68</v>
      </c>
    </row>
    <row r="2771" spans="1:12" x14ac:dyDescent="0.35">
      <c r="A2771">
        <v>2784</v>
      </c>
      <c r="B2771" t="s">
        <v>8728</v>
      </c>
      <c r="C2771" t="s">
        <v>9456</v>
      </c>
      <c r="D2771" t="s">
        <v>8727</v>
      </c>
      <c r="E2771" t="s">
        <v>1112</v>
      </c>
      <c r="F2771" t="s">
        <v>8726</v>
      </c>
      <c r="G2771" t="s">
        <v>53</v>
      </c>
      <c r="H2771" t="s">
        <v>8725</v>
      </c>
      <c r="I2771" t="str">
        <f t="shared" si="172"/>
        <v>64-68</v>
      </c>
      <c r="J2771" t="str">
        <f t="shared" si="173"/>
        <v>AD</v>
      </c>
      <c r="K2771" t="str">
        <f t="shared" si="174"/>
        <v>64</v>
      </c>
      <c r="L2771" t="str">
        <f t="shared" si="175"/>
        <v>68</v>
      </c>
    </row>
    <row r="2772" spans="1:12" x14ac:dyDescent="0.35">
      <c r="A2772">
        <v>2785</v>
      </c>
      <c r="B2772" t="s">
        <v>8724</v>
      </c>
      <c r="C2772" t="s">
        <v>10569</v>
      </c>
      <c r="D2772" t="s">
        <v>8723</v>
      </c>
      <c r="E2772" t="s">
        <v>6131</v>
      </c>
      <c r="F2772" t="s">
        <v>6067</v>
      </c>
      <c r="G2772" t="s">
        <v>8722</v>
      </c>
      <c r="H2772" t="s">
        <v>8721</v>
      </c>
      <c r="I2772" t="str">
        <f t="shared" si="172"/>
        <v>30-33</v>
      </c>
      <c r="J2772" t="str">
        <f t="shared" si="173"/>
        <v>AD</v>
      </c>
      <c r="K2772" t="str">
        <f t="shared" si="174"/>
        <v>30</v>
      </c>
      <c r="L2772" t="str">
        <f t="shared" si="175"/>
        <v>33</v>
      </c>
    </row>
    <row r="2773" spans="1:12" x14ac:dyDescent="0.35">
      <c r="A2773">
        <v>2786</v>
      </c>
      <c r="B2773" t="s">
        <v>8720</v>
      </c>
      <c r="C2773" t="s">
        <v>10540</v>
      </c>
      <c r="D2773" t="s">
        <v>8719</v>
      </c>
      <c r="E2773" t="s">
        <v>6131</v>
      </c>
      <c r="F2773" t="s">
        <v>6067</v>
      </c>
      <c r="G2773" t="s">
        <v>60</v>
      </c>
      <c r="H2773" t="s">
        <v>8718</v>
      </c>
      <c r="I2773" t="str">
        <f t="shared" si="172"/>
        <v>30-33</v>
      </c>
      <c r="J2773" t="str">
        <f t="shared" si="173"/>
        <v>AD</v>
      </c>
      <c r="K2773" t="str">
        <f t="shared" si="174"/>
        <v>30</v>
      </c>
      <c r="L2773" t="str">
        <f t="shared" si="175"/>
        <v>33</v>
      </c>
    </row>
    <row r="2774" spans="1:12" x14ac:dyDescent="0.35">
      <c r="A2774">
        <v>2787</v>
      </c>
      <c r="B2774" t="s">
        <v>8717</v>
      </c>
      <c r="C2774" t="s">
        <v>10613</v>
      </c>
      <c r="D2774" t="s">
        <v>8716</v>
      </c>
      <c r="E2774" t="s">
        <v>3807</v>
      </c>
      <c r="F2774" t="s">
        <v>8693</v>
      </c>
      <c r="G2774" t="s">
        <v>8715</v>
      </c>
      <c r="H2774" t="s">
        <v>8714</v>
      </c>
      <c r="I2774" t="str">
        <f t="shared" si="172"/>
        <v>Throughout history</v>
      </c>
      <c r="J2774" t="str">
        <f t="shared" si="173"/>
        <v>ry</v>
      </c>
      <c r="K2774" t="str">
        <f t="shared" si="174"/>
        <v>Throughout history</v>
      </c>
      <c r="L2774" t="str">
        <f t="shared" si="175"/>
        <v>Throughout history</v>
      </c>
    </row>
    <row r="2775" spans="1:12" x14ac:dyDescent="0.35">
      <c r="A2775">
        <v>2788</v>
      </c>
      <c r="B2775" t="s">
        <v>8713</v>
      </c>
      <c r="C2775" t="s">
        <v>10544</v>
      </c>
      <c r="D2775" t="s">
        <v>8712</v>
      </c>
      <c r="E2775" t="s">
        <v>8711</v>
      </c>
      <c r="F2775" t="s">
        <v>8710</v>
      </c>
      <c r="G2775" t="s">
        <v>53</v>
      </c>
      <c r="H2775" t="s">
        <v>8709</v>
      </c>
      <c r="I2775" t="str">
        <f t="shared" si="172"/>
        <v>Before creation</v>
      </c>
      <c r="J2775" t="str">
        <f t="shared" si="173"/>
        <v>on</v>
      </c>
      <c r="K2775" t="str">
        <f t="shared" si="174"/>
        <v>Before creation</v>
      </c>
      <c r="L2775" t="str">
        <f t="shared" si="175"/>
        <v>Before creation</v>
      </c>
    </row>
    <row r="2776" spans="1:12" x14ac:dyDescent="0.35">
      <c r="A2776">
        <v>2789</v>
      </c>
      <c r="B2776" t="s">
        <v>8708</v>
      </c>
      <c r="C2776" t="s">
        <v>10042</v>
      </c>
      <c r="D2776" t="s">
        <v>8707</v>
      </c>
      <c r="E2776" t="s">
        <v>115</v>
      </c>
      <c r="F2776" t="s">
        <v>8706</v>
      </c>
      <c r="G2776" t="s">
        <v>53</v>
      </c>
      <c r="H2776" t="s">
        <v>8705</v>
      </c>
      <c r="I2776" t="str">
        <f t="shared" si="172"/>
        <v>2500-2000</v>
      </c>
      <c r="J2776" t="str">
        <f t="shared" si="173"/>
        <v>BC</v>
      </c>
      <c r="K2776">
        <f t="shared" si="174"/>
        <v>-2500</v>
      </c>
      <c r="L2776">
        <f t="shared" si="175"/>
        <v>-2000</v>
      </c>
    </row>
    <row r="2777" spans="1:12" x14ac:dyDescent="0.35">
      <c r="A2777">
        <v>2790</v>
      </c>
      <c r="B2777" t="s">
        <v>8704</v>
      </c>
      <c r="C2777" t="s">
        <v>10544</v>
      </c>
      <c r="D2777" t="s">
        <v>8703</v>
      </c>
      <c r="E2777" t="s">
        <v>8702</v>
      </c>
      <c r="F2777" t="s">
        <v>6926</v>
      </c>
      <c r="G2777" t="s">
        <v>53</v>
      </c>
      <c r="H2777" t="s">
        <v>8701</v>
      </c>
      <c r="I2777" t="str">
        <f t="shared" si="172"/>
        <v>2000</v>
      </c>
      <c r="J2777" t="str">
        <f t="shared" si="173"/>
        <v>BC</v>
      </c>
      <c r="K2777">
        <f t="shared" si="174"/>
        <v>-2000</v>
      </c>
      <c r="L2777">
        <f t="shared" si="175"/>
        <v>-2000</v>
      </c>
    </row>
    <row r="2778" spans="1:12" x14ac:dyDescent="0.35">
      <c r="A2778">
        <v>2791</v>
      </c>
      <c r="B2778" t="s">
        <v>8700</v>
      </c>
      <c r="C2778" t="s">
        <v>10042</v>
      </c>
      <c r="D2778" t="s">
        <v>8699</v>
      </c>
      <c r="E2778" t="s">
        <v>209</v>
      </c>
      <c r="F2778" t="s">
        <v>6926</v>
      </c>
      <c r="G2778" t="s">
        <v>12500</v>
      </c>
      <c r="H2778" t="s">
        <v>8698</v>
      </c>
      <c r="I2778" t="str">
        <f t="shared" si="172"/>
        <v>2000</v>
      </c>
      <c r="J2778" t="str">
        <f t="shared" si="173"/>
        <v>BC</v>
      </c>
      <c r="K2778">
        <f t="shared" si="174"/>
        <v>-2000</v>
      </c>
      <c r="L2778">
        <f t="shared" si="175"/>
        <v>-2000</v>
      </c>
    </row>
    <row r="2779" spans="1:12" x14ac:dyDescent="0.35">
      <c r="A2779">
        <v>2792</v>
      </c>
      <c r="B2779" t="s">
        <v>8697</v>
      </c>
      <c r="C2779" t="s">
        <v>10042</v>
      </c>
      <c r="D2779" t="s">
        <v>8694</v>
      </c>
      <c r="E2779" t="s">
        <v>3807</v>
      </c>
      <c r="F2779" t="s">
        <v>8693</v>
      </c>
      <c r="G2779" t="s">
        <v>53</v>
      </c>
      <c r="H2779" t="s">
        <v>8696</v>
      </c>
      <c r="I2779" t="str">
        <f t="shared" si="172"/>
        <v>Throughout history</v>
      </c>
      <c r="J2779" t="str">
        <f t="shared" si="173"/>
        <v>ry</v>
      </c>
      <c r="K2779" t="str">
        <f t="shared" si="174"/>
        <v>Throughout history</v>
      </c>
      <c r="L2779" t="str">
        <f t="shared" si="175"/>
        <v>Throughout history</v>
      </c>
    </row>
    <row r="2780" spans="1:12" x14ac:dyDescent="0.35">
      <c r="A2780">
        <v>2793</v>
      </c>
      <c r="B2780" t="s">
        <v>8695</v>
      </c>
      <c r="C2780" t="s">
        <v>10544</v>
      </c>
      <c r="D2780" t="s">
        <v>8694</v>
      </c>
      <c r="E2780" t="s">
        <v>3807</v>
      </c>
      <c r="F2780" t="s">
        <v>8693</v>
      </c>
      <c r="G2780" t="s">
        <v>53</v>
      </c>
      <c r="H2780" t="s">
        <v>8692</v>
      </c>
      <c r="I2780" t="str">
        <f t="shared" si="172"/>
        <v>Throughout history</v>
      </c>
      <c r="J2780" t="str">
        <f t="shared" si="173"/>
        <v>ry</v>
      </c>
      <c r="K2780" t="str">
        <f t="shared" si="174"/>
        <v>Throughout history</v>
      </c>
      <c r="L2780" t="str">
        <f t="shared" si="175"/>
        <v>Throughout history</v>
      </c>
    </row>
    <row r="2781" spans="1:12" x14ac:dyDescent="0.35">
      <c r="A2781">
        <v>2794</v>
      </c>
      <c r="B2781" t="s">
        <v>8691</v>
      </c>
      <c r="C2781" t="s">
        <v>8689</v>
      </c>
      <c r="D2781" t="s">
        <v>8690</v>
      </c>
      <c r="E2781" t="s">
        <v>3613</v>
      </c>
      <c r="F2781" t="s">
        <v>3866</v>
      </c>
      <c r="G2781" t="s">
        <v>207</v>
      </c>
      <c r="H2781" t="s">
        <v>8688</v>
      </c>
      <c r="I2781" t="str">
        <f t="shared" si="172"/>
        <v>Ongoing</v>
      </c>
      <c r="J2781" t="str">
        <f t="shared" si="173"/>
        <v>ng</v>
      </c>
      <c r="K2781" t="str">
        <f t="shared" si="174"/>
        <v>Ongoing</v>
      </c>
      <c r="L2781" t="str">
        <f t="shared" si="175"/>
        <v>Ongoing</v>
      </c>
    </row>
    <row r="2782" spans="1:12" x14ac:dyDescent="0.35">
      <c r="A2782">
        <v>2795</v>
      </c>
      <c r="B2782" t="s">
        <v>8687</v>
      </c>
      <c r="C2782" t="s">
        <v>11126</v>
      </c>
      <c r="D2782" t="s">
        <v>8686</v>
      </c>
      <c r="E2782" t="s">
        <v>124</v>
      </c>
      <c r="F2782" t="s">
        <v>4363</v>
      </c>
      <c r="G2782" t="s">
        <v>53</v>
      </c>
      <c r="H2782" t="s">
        <v>8685</v>
      </c>
      <c r="I2782" t="str">
        <f t="shared" si="172"/>
        <v>Future</v>
      </c>
      <c r="J2782" t="str">
        <f t="shared" si="173"/>
        <v>re</v>
      </c>
      <c r="K2782" t="str">
        <f t="shared" si="174"/>
        <v>Future</v>
      </c>
      <c r="L2782" t="str">
        <f t="shared" si="175"/>
        <v>Future</v>
      </c>
    </row>
    <row r="2783" spans="1:12" x14ac:dyDescent="0.35">
      <c r="A2783">
        <v>2796</v>
      </c>
      <c r="B2783" t="s">
        <v>8684</v>
      </c>
      <c r="C2783" t="s">
        <v>10698</v>
      </c>
      <c r="D2783" t="s">
        <v>8683</v>
      </c>
      <c r="E2783" t="s">
        <v>115</v>
      </c>
      <c r="F2783" t="s">
        <v>4363</v>
      </c>
      <c r="G2783" t="s">
        <v>53</v>
      </c>
      <c r="H2783" t="s">
        <v>8682</v>
      </c>
      <c r="I2783" t="str">
        <f t="shared" si="172"/>
        <v>Future</v>
      </c>
      <c r="J2783" t="str">
        <f t="shared" si="173"/>
        <v>re</v>
      </c>
      <c r="K2783" t="str">
        <f t="shared" si="174"/>
        <v>Future</v>
      </c>
      <c r="L2783" t="str">
        <f t="shared" si="175"/>
        <v>Future</v>
      </c>
    </row>
    <row r="2784" spans="1:12" x14ac:dyDescent="0.35">
      <c r="A2784">
        <v>2797</v>
      </c>
      <c r="B2784" t="s">
        <v>8681</v>
      </c>
      <c r="C2784" t="s">
        <v>8679</v>
      </c>
      <c r="D2784" t="s">
        <v>8680</v>
      </c>
      <c r="E2784" t="s">
        <v>124</v>
      </c>
      <c r="F2784" t="s">
        <v>4363</v>
      </c>
      <c r="G2784" t="s">
        <v>53</v>
      </c>
      <c r="H2784" t="s">
        <v>8678</v>
      </c>
      <c r="I2784" t="str">
        <f t="shared" si="172"/>
        <v>Future</v>
      </c>
      <c r="J2784" t="str">
        <f t="shared" si="173"/>
        <v>re</v>
      </c>
      <c r="K2784" t="str">
        <f t="shared" si="174"/>
        <v>Future</v>
      </c>
      <c r="L2784" t="str">
        <f t="shared" si="175"/>
        <v>Future</v>
      </c>
    </row>
    <row r="2785" spans="1:12" x14ac:dyDescent="0.35">
      <c r="A2785">
        <v>2798</v>
      </c>
      <c r="B2785" t="s">
        <v>8677</v>
      </c>
      <c r="C2785" t="s">
        <v>3653</v>
      </c>
      <c r="D2785" t="s">
        <v>8676</v>
      </c>
      <c r="E2785" t="s">
        <v>4423</v>
      </c>
      <c r="F2785" t="s">
        <v>4363</v>
      </c>
      <c r="G2785" t="s">
        <v>53</v>
      </c>
      <c r="H2785" t="s">
        <v>8675</v>
      </c>
      <c r="I2785" t="str">
        <f t="shared" si="172"/>
        <v>Future</v>
      </c>
      <c r="J2785" t="str">
        <f t="shared" si="173"/>
        <v>re</v>
      </c>
      <c r="K2785" t="str">
        <f t="shared" si="174"/>
        <v>Future</v>
      </c>
      <c r="L2785" t="str">
        <f t="shared" si="175"/>
        <v>Future</v>
      </c>
    </row>
    <row r="2786" spans="1:12" x14ac:dyDescent="0.35">
      <c r="A2786">
        <v>2799</v>
      </c>
      <c r="B2786" t="s">
        <v>8674</v>
      </c>
      <c r="C2786" t="s">
        <v>11719</v>
      </c>
      <c r="D2786" t="s">
        <v>8673</v>
      </c>
      <c r="E2786" t="s">
        <v>8672</v>
      </c>
      <c r="F2786" t="s">
        <v>3866</v>
      </c>
      <c r="G2786" t="s">
        <v>53</v>
      </c>
      <c r="H2786" t="s">
        <v>8671</v>
      </c>
      <c r="I2786" t="str">
        <f t="shared" si="172"/>
        <v>Ongoing</v>
      </c>
      <c r="J2786" t="str">
        <f t="shared" si="173"/>
        <v>ng</v>
      </c>
      <c r="K2786" t="str">
        <f t="shared" si="174"/>
        <v>Ongoing</v>
      </c>
      <c r="L2786" t="str">
        <f t="shared" si="175"/>
        <v>Ongoing</v>
      </c>
    </row>
    <row r="2787" spans="1:12" x14ac:dyDescent="0.35">
      <c r="A2787">
        <v>2800</v>
      </c>
      <c r="B2787" t="s">
        <v>8840</v>
      </c>
      <c r="C2787" t="s">
        <v>10699</v>
      </c>
      <c r="D2787" t="s">
        <v>8839</v>
      </c>
      <c r="E2787" t="s">
        <v>8779</v>
      </c>
      <c r="F2787" t="s">
        <v>8778</v>
      </c>
      <c r="G2787" t="s">
        <v>8777</v>
      </c>
      <c r="H2787" t="s">
        <v>8838</v>
      </c>
      <c r="I2787" t="str">
        <f t="shared" si="172"/>
        <v>85-95</v>
      </c>
      <c r="J2787" t="str">
        <f t="shared" si="173"/>
        <v>AD</v>
      </c>
      <c r="K2787" t="str">
        <f t="shared" si="174"/>
        <v>85</v>
      </c>
      <c r="L2787" t="str">
        <f t="shared" si="175"/>
        <v>95</v>
      </c>
    </row>
    <row r="2788" spans="1:12" x14ac:dyDescent="0.35">
      <c r="A2788">
        <v>2801</v>
      </c>
      <c r="B2788" t="s">
        <v>8837</v>
      </c>
      <c r="C2788" t="s">
        <v>10048</v>
      </c>
      <c r="D2788" t="s">
        <v>8836</v>
      </c>
      <c r="E2788" t="s">
        <v>8779</v>
      </c>
      <c r="F2788" t="s">
        <v>8778</v>
      </c>
      <c r="G2788" t="s">
        <v>8777</v>
      </c>
      <c r="H2788" t="s">
        <v>8835</v>
      </c>
      <c r="I2788" t="str">
        <f t="shared" si="172"/>
        <v>85-95</v>
      </c>
      <c r="J2788" t="str">
        <f t="shared" si="173"/>
        <v>AD</v>
      </c>
      <c r="K2788" t="str">
        <f t="shared" si="174"/>
        <v>85</v>
      </c>
      <c r="L2788" t="str">
        <f t="shared" si="175"/>
        <v>95</v>
      </c>
    </row>
    <row r="2789" spans="1:12" x14ac:dyDescent="0.35">
      <c r="A2789">
        <v>2802</v>
      </c>
      <c r="B2789" t="s">
        <v>8834</v>
      </c>
      <c r="C2789" t="s">
        <v>11720</v>
      </c>
      <c r="D2789" t="s">
        <v>8833</v>
      </c>
      <c r="E2789" t="s">
        <v>8779</v>
      </c>
      <c r="F2789" t="s">
        <v>8778</v>
      </c>
      <c r="G2789" t="s">
        <v>8777</v>
      </c>
      <c r="H2789" t="s">
        <v>8832</v>
      </c>
      <c r="I2789" t="str">
        <f t="shared" si="172"/>
        <v>85-95</v>
      </c>
      <c r="J2789" t="str">
        <f t="shared" si="173"/>
        <v>AD</v>
      </c>
      <c r="K2789" t="str">
        <f t="shared" si="174"/>
        <v>85</v>
      </c>
      <c r="L2789" t="str">
        <f t="shared" si="175"/>
        <v>95</v>
      </c>
    </row>
    <row r="2790" spans="1:12" x14ac:dyDescent="0.35">
      <c r="A2790">
        <v>2803</v>
      </c>
      <c r="B2790" t="s">
        <v>8831</v>
      </c>
      <c r="C2790" t="s">
        <v>10624</v>
      </c>
      <c r="D2790" t="s">
        <v>8830</v>
      </c>
      <c r="E2790" t="s">
        <v>8779</v>
      </c>
      <c r="F2790" t="s">
        <v>8778</v>
      </c>
      <c r="G2790" t="s">
        <v>8777</v>
      </c>
      <c r="H2790" t="s">
        <v>8829</v>
      </c>
      <c r="I2790" t="str">
        <f t="shared" si="172"/>
        <v>85-95</v>
      </c>
      <c r="J2790" t="str">
        <f t="shared" si="173"/>
        <v>AD</v>
      </c>
      <c r="K2790" t="str">
        <f t="shared" si="174"/>
        <v>85</v>
      </c>
      <c r="L2790" t="str">
        <f t="shared" si="175"/>
        <v>95</v>
      </c>
    </row>
    <row r="2791" spans="1:12" x14ac:dyDescent="0.35">
      <c r="A2791">
        <v>2804</v>
      </c>
      <c r="B2791" t="s">
        <v>8828</v>
      </c>
      <c r="C2791" t="s">
        <v>10700</v>
      </c>
      <c r="D2791" t="s">
        <v>8827</v>
      </c>
      <c r="E2791" t="s">
        <v>8779</v>
      </c>
      <c r="F2791" t="s">
        <v>8778</v>
      </c>
      <c r="G2791" t="s">
        <v>8777</v>
      </c>
      <c r="H2791" t="s">
        <v>8826</v>
      </c>
      <c r="I2791" t="str">
        <f t="shared" si="172"/>
        <v>85-95</v>
      </c>
      <c r="J2791" t="str">
        <f t="shared" si="173"/>
        <v>AD</v>
      </c>
      <c r="K2791" t="str">
        <f t="shared" si="174"/>
        <v>85</v>
      </c>
      <c r="L2791" t="str">
        <f t="shared" si="175"/>
        <v>95</v>
      </c>
    </row>
    <row r="2792" spans="1:12" x14ac:dyDescent="0.35">
      <c r="A2792">
        <v>2805</v>
      </c>
      <c r="B2792" t="s">
        <v>8825</v>
      </c>
      <c r="C2792" t="s">
        <v>10701</v>
      </c>
      <c r="D2792" t="s">
        <v>8824</v>
      </c>
      <c r="E2792" t="s">
        <v>8779</v>
      </c>
      <c r="F2792" t="s">
        <v>8778</v>
      </c>
      <c r="G2792" t="s">
        <v>8777</v>
      </c>
      <c r="H2792" t="s">
        <v>8823</v>
      </c>
      <c r="I2792" t="str">
        <f t="shared" si="172"/>
        <v>85-95</v>
      </c>
      <c r="J2792" t="str">
        <f t="shared" si="173"/>
        <v>AD</v>
      </c>
      <c r="K2792" t="str">
        <f t="shared" si="174"/>
        <v>85</v>
      </c>
      <c r="L2792" t="str">
        <f t="shared" si="175"/>
        <v>95</v>
      </c>
    </row>
    <row r="2793" spans="1:12" x14ac:dyDescent="0.35">
      <c r="A2793">
        <v>2806</v>
      </c>
      <c r="B2793" t="s">
        <v>8822</v>
      </c>
      <c r="C2793" t="s">
        <v>9578</v>
      </c>
      <c r="D2793" t="s">
        <v>8821</v>
      </c>
      <c r="E2793" t="s">
        <v>8779</v>
      </c>
      <c r="F2793" t="s">
        <v>8778</v>
      </c>
      <c r="G2793" t="s">
        <v>8777</v>
      </c>
      <c r="H2793" t="s">
        <v>8820</v>
      </c>
      <c r="I2793" t="str">
        <f t="shared" si="172"/>
        <v>85-95</v>
      </c>
      <c r="J2793" t="str">
        <f t="shared" si="173"/>
        <v>AD</v>
      </c>
      <c r="K2793" t="str">
        <f t="shared" si="174"/>
        <v>85</v>
      </c>
      <c r="L2793" t="str">
        <f t="shared" si="175"/>
        <v>95</v>
      </c>
    </row>
    <row r="2794" spans="1:12" x14ac:dyDescent="0.35">
      <c r="A2794">
        <v>2807</v>
      </c>
      <c r="B2794" t="s">
        <v>8819</v>
      </c>
      <c r="C2794" t="s">
        <v>9456</v>
      </c>
      <c r="D2794" t="s">
        <v>8818</v>
      </c>
      <c r="E2794" t="s">
        <v>8779</v>
      </c>
      <c r="F2794" t="s">
        <v>8778</v>
      </c>
      <c r="G2794" t="s">
        <v>8817</v>
      </c>
      <c r="H2794" t="s">
        <v>8787</v>
      </c>
      <c r="I2794" t="str">
        <f t="shared" si="172"/>
        <v>85-95</v>
      </c>
      <c r="J2794" t="str">
        <f t="shared" si="173"/>
        <v>AD</v>
      </c>
      <c r="K2794" t="str">
        <f t="shared" si="174"/>
        <v>85</v>
      </c>
      <c r="L2794" t="str">
        <f t="shared" si="175"/>
        <v>95</v>
      </c>
    </row>
    <row r="2795" spans="1:12" x14ac:dyDescent="0.35">
      <c r="A2795">
        <v>2808</v>
      </c>
      <c r="B2795" t="s">
        <v>8816</v>
      </c>
      <c r="C2795" t="s">
        <v>10535</v>
      </c>
      <c r="D2795" t="s">
        <v>8815</v>
      </c>
      <c r="E2795" t="s">
        <v>8779</v>
      </c>
      <c r="F2795" t="s">
        <v>8778</v>
      </c>
      <c r="G2795" t="s">
        <v>8777</v>
      </c>
      <c r="H2795" t="s">
        <v>8814</v>
      </c>
      <c r="I2795" t="str">
        <f t="shared" si="172"/>
        <v>85-95</v>
      </c>
      <c r="J2795" t="str">
        <f t="shared" si="173"/>
        <v>AD</v>
      </c>
      <c r="K2795" t="str">
        <f t="shared" si="174"/>
        <v>85</v>
      </c>
      <c r="L2795" t="str">
        <f t="shared" si="175"/>
        <v>95</v>
      </c>
    </row>
    <row r="2796" spans="1:12" x14ac:dyDescent="0.35">
      <c r="A2796">
        <v>2809</v>
      </c>
      <c r="B2796" t="s">
        <v>8813</v>
      </c>
      <c r="C2796" t="s">
        <v>11721</v>
      </c>
      <c r="D2796" t="s">
        <v>8812</v>
      </c>
      <c r="E2796" t="s">
        <v>8779</v>
      </c>
      <c r="F2796" t="s">
        <v>8778</v>
      </c>
      <c r="G2796" t="s">
        <v>8777</v>
      </c>
      <c r="H2796" t="s">
        <v>8811</v>
      </c>
      <c r="I2796" t="str">
        <f t="shared" si="172"/>
        <v>85-95</v>
      </c>
      <c r="J2796" t="str">
        <f t="shared" si="173"/>
        <v>AD</v>
      </c>
      <c r="K2796" t="str">
        <f t="shared" si="174"/>
        <v>85</v>
      </c>
      <c r="L2796" t="str">
        <f t="shared" si="175"/>
        <v>95</v>
      </c>
    </row>
    <row r="2797" spans="1:12" x14ac:dyDescent="0.35">
      <c r="A2797">
        <v>2810</v>
      </c>
      <c r="B2797" t="s">
        <v>8810</v>
      </c>
      <c r="C2797" t="s">
        <v>10635</v>
      </c>
      <c r="D2797" t="s">
        <v>8809</v>
      </c>
      <c r="E2797" t="s">
        <v>8779</v>
      </c>
      <c r="F2797" t="s">
        <v>8778</v>
      </c>
      <c r="G2797" t="s">
        <v>8777</v>
      </c>
      <c r="H2797" t="s">
        <v>8808</v>
      </c>
      <c r="I2797" t="str">
        <f t="shared" si="172"/>
        <v>85-95</v>
      </c>
      <c r="J2797" t="str">
        <f t="shared" si="173"/>
        <v>AD</v>
      </c>
      <c r="K2797" t="str">
        <f t="shared" si="174"/>
        <v>85</v>
      </c>
      <c r="L2797" t="str">
        <f t="shared" si="175"/>
        <v>95</v>
      </c>
    </row>
    <row r="2798" spans="1:12" x14ac:dyDescent="0.35">
      <c r="A2798">
        <v>2811</v>
      </c>
      <c r="B2798" t="s">
        <v>8807</v>
      </c>
      <c r="C2798" t="s">
        <v>10702</v>
      </c>
      <c r="D2798" t="s">
        <v>8806</v>
      </c>
      <c r="E2798" t="s">
        <v>8779</v>
      </c>
      <c r="F2798" t="s">
        <v>8778</v>
      </c>
      <c r="G2798" t="s">
        <v>8777</v>
      </c>
      <c r="H2798" t="s">
        <v>8805</v>
      </c>
      <c r="I2798" t="str">
        <f t="shared" si="172"/>
        <v>85-95</v>
      </c>
      <c r="J2798" t="str">
        <f t="shared" si="173"/>
        <v>AD</v>
      </c>
      <c r="K2798" t="str">
        <f t="shared" si="174"/>
        <v>85</v>
      </c>
      <c r="L2798" t="str">
        <f t="shared" si="175"/>
        <v>95</v>
      </c>
    </row>
    <row r="2799" spans="1:12" x14ac:dyDescent="0.35">
      <c r="A2799">
        <v>2812</v>
      </c>
      <c r="B2799" t="s">
        <v>8804</v>
      </c>
      <c r="C2799" t="s">
        <v>10703</v>
      </c>
      <c r="D2799" t="s">
        <v>8803</v>
      </c>
      <c r="E2799" t="s">
        <v>8779</v>
      </c>
      <c r="F2799" t="s">
        <v>8778</v>
      </c>
      <c r="G2799" t="s">
        <v>8777</v>
      </c>
      <c r="H2799" t="s">
        <v>8802</v>
      </c>
      <c r="I2799" t="str">
        <f t="shared" si="172"/>
        <v>85-95</v>
      </c>
      <c r="J2799" t="str">
        <f t="shared" si="173"/>
        <v>AD</v>
      </c>
      <c r="K2799" t="str">
        <f t="shared" si="174"/>
        <v>85</v>
      </c>
      <c r="L2799" t="str">
        <f t="shared" si="175"/>
        <v>95</v>
      </c>
    </row>
    <row r="2800" spans="1:12" x14ac:dyDescent="0.35">
      <c r="A2800">
        <v>2813</v>
      </c>
      <c r="B2800" t="s">
        <v>8801</v>
      </c>
      <c r="C2800" t="s">
        <v>11722</v>
      </c>
      <c r="D2800" t="s">
        <v>8800</v>
      </c>
      <c r="E2800" t="s">
        <v>8779</v>
      </c>
      <c r="F2800" t="s">
        <v>8778</v>
      </c>
      <c r="G2800" t="s">
        <v>8777</v>
      </c>
      <c r="H2800" t="s">
        <v>8799</v>
      </c>
      <c r="I2800" t="str">
        <f t="shared" si="172"/>
        <v>85-95</v>
      </c>
      <c r="J2800" t="str">
        <f t="shared" si="173"/>
        <v>AD</v>
      </c>
      <c r="K2800" t="str">
        <f t="shared" si="174"/>
        <v>85</v>
      </c>
      <c r="L2800" t="str">
        <f t="shared" si="175"/>
        <v>95</v>
      </c>
    </row>
    <row r="2801" spans="1:12" x14ac:dyDescent="0.35">
      <c r="A2801">
        <v>2814</v>
      </c>
      <c r="B2801" t="s">
        <v>8798</v>
      </c>
      <c r="C2801" t="s">
        <v>10704</v>
      </c>
      <c r="D2801" t="s">
        <v>8797</v>
      </c>
      <c r="E2801" t="s">
        <v>8779</v>
      </c>
      <c r="F2801" t="s">
        <v>8778</v>
      </c>
      <c r="G2801" t="s">
        <v>8777</v>
      </c>
      <c r="H2801" t="s">
        <v>8796</v>
      </c>
      <c r="I2801" t="str">
        <f t="shared" si="172"/>
        <v>85-95</v>
      </c>
      <c r="J2801" t="str">
        <f t="shared" si="173"/>
        <v>AD</v>
      </c>
      <c r="K2801" t="str">
        <f t="shared" si="174"/>
        <v>85</v>
      </c>
      <c r="L2801" t="str">
        <f t="shared" si="175"/>
        <v>95</v>
      </c>
    </row>
    <row r="2802" spans="1:12" x14ac:dyDescent="0.35">
      <c r="A2802">
        <v>2815</v>
      </c>
      <c r="B2802" t="s">
        <v>8795</v>
      </c>
      <c r="C2802" t="s">
        <v>10705</v>
      </c>
      <c r="D2802" t="s">
        <v>8794</v>
      </c>
      <c r="E2802" t="s">
        <v>8779</v>
      </c>
      <c r="F2802" t="s">
        <v>8778</v>
      </c>
      <c r="G2802" t="s">
        <v>8777</v>
      </c>
      <c r="H2802" t="s">
        <v>8793</v>
      </c>
      <c r="I2802" t="str">
        <f t="shared" si="172"/>
        <v>85-95</v>
      </c>
      <c r="J2802" t="str">
        <f t="shared" si="173"/>
        <v>AD</v>
      </c>
      <c r="K2802" t="str">
        <f t="shared" si="174"/>
        <v>85</v>
      </c>
      <c r="L2802" t="str">
        <f t="shared" si="175"/>
        <v>95</v>
      </c>
    </row>
    <row r="2803" spans="1:12" x14ac:dyDescent="0.35">
      <c r="A2803">
        <v>2816</v>
      </c>
      <c r="B2803" t="s">
        <v>8792</v>
      </c>
      <c r="C2803" t="s">
        <v>10706</v>
      </c>
      <c r="D2803" t="s">
        <v>8791</v>
      </c>
      <c r="E2803" t="s">
        <v>8779</v>
      </c>
      <c r="F2803" t="s">
        <v>8778</v>
      </c>
      <c r="G2803" t="s">
        <v>8777</v>
      </c>
      <c r="H2803" t="s">
        <v>8790</v>
      </c>
      <c r="I2803" t="str">
        <f t="shared" si="172"/>
        <v>85-95</v>
      </c>
      <c r="J2803" t="str">
        <f t="shared" si="173"/>
        <v>AD</v>
      </c>
      <c r="K2803" t="str">
        <f t="shared" si="174"/>
        <v>85</v>
      </c>
      <c r="L2803" t="str">
        <f t="shared" si="175"/>
        <v>95</v>
      </c>
    </row>
    <row r="2804" spans="1:12" x14ac:dyDescent="0.35">
      <c r="A2804">
        <v>2817</v>
      </c>
      <c r="B2804" t="s">
        <v>8789</v>
      </c>
      <c r="C2804" t="s">
        <v>10621</v>
      </c>
      <c r="D2804" t="s">
        <v>8788</v>
      </c>
      <c r="E2804" t="s">
        <v>8779</v>
      </c>
      <c r="F2804" t="s">
        <v>8778</v>
      </c>
      <c r="G2804" t="s">
        <v>8777</v>
      </c>
      <c r="H2804" t="s">
        <v>8787</v>
      </c>
      <c r="I2804" t="str">
        <f t="shared" ref="I2804:I2867" si="176">SUBSTITUTE(SUBSTITUTE(SUBSTITUTE(F2804,"c. ","")," BC","")," AD","")</f>
        <v>85-95</v>
      </c>
      <c r="J2804" t="str">
        <f t="shared" si="173"/>
        <v>AD</v>
      </c>
      <c r="K2804" t="str">
        <f t="shared" si="174"/>
        <v>85</v>
      </c>
      <c r="L2804" t="str">
        <f t="shared" si="175"/>
        <v>95</v>
      </c>
    </row>
    <row r="2805" spans="1:12" x14ac:dyDescent="0.35">
      <c r="A2805">
        <v>2818</v>
      </c>
      <c r="B2805" t="s">
        <v>8786</v>
      </c>
      <c r="C2805" t="s">
        <v>10040</v>
      </c>
      <c r="D2805" t="s">
        <v>8785</v>
      </c>
      <c r="E2805" t="s">
        <v>8779</v>
      </c>
      <c r="F2805" t="s">
        <v>8778</v>
      </c>
      <c r="G2805" t="s">
        <v>8777</v>
      </c>
      <c r="H2805" t="s">
        <v>8784</v>
      </c>
      <c r="I2805" t="str">
        <f t="shared" si="176"/>
        <v>85-95</v>
      </c>
      <c r="J2805" t="str">
        <f t="shared" si="173"/>
        <v>AD</v>
      </c>
      <c r="K2805" t="str">
        <f t="shared" si="174"/>
        <v>85</v>
      </c>
      <c r="L2805" t="str">
        <f t="shared" si="175"/>
        <v>95</v>
      </c>
    </row>
    <row r="2806" spans="1:12" x14ac:dyDescent="0.35">
      <c r="A2806">
        <v>2819</v>
      </c>
      <c r="B2806" t="s">
        <v>8783</v>
      </c>
      <c r="C2806" t="s">
        <v>10707</v>
      </c>
      <c r="D2806" t="s">
        <v>8780</v>
      </c>
      <c r="E2806" t="s">
        <v>8779</v>
      </c>
      <c r="F2806" t="s">
        <v>8778</v>
      </c>
      <c r="G2806" t="s">
        <v>8777</v>
      </c>
      <c r="H2806" t="s">
        <v>8782</v>
      </c>
      <c r="I2806" t="str">
        <f t="shared" si="176"/>
        <v>85-95</v>
      </c>
      <c r="J2806" t="str">
        <f t="shared" si="173"/>
        <v>AD</v>
      </c>
      <c r="K2806" t="str">
        <f t="shared" si="174"/>
        <v>85</v>
      </c>
      <c r="L2806" t="str">
        <f t="shared" si="175"/>
        <v>95</v>
      </c>
    </row>
    <row r="2807" spans="1:12" x14ac:dyDescent="0.35">
      <c r="A2807">
        <v>2820</v>
      </c>
      <c r="B2807" t="s">
        <v>8781</v>
      </c>
      <c r="C2807" t="s">
        <v>10619</v>
      </c>
      <c r="D2807" t="s">
        <v>8780</v>
      </c>
      <c r="E2807" t="s">
        <v>8779</v>
      </c>
      <c r="F2807" t="s">
        <v>8778</v>
      </c>
      <c r="G2807" t="s">
        <v>8777</v>
      </c>
      <c r="H2807" t="s">
        <v>8776</v>
      </c>
      <c r="I2807" t="str">
        <f t="shared" si="176"/>
        <v>85-95</v>
      </c>
      <c r="J2807" t="str">
        <f t="shared" si="173"/>
        <v>AD</v>
      </c>
      <c r="K2807" t="str">
        <f t="shared" si="174"/>
        <v>85</v>
      </c>
      <c r="L2807" t="str">
        <f t="shared" si="175"/>
        <v>95</v>
      </c>
    </row>
    <row r="2808" spans="1:12" x14ac:dyDescent="0.35">
      <c r="A2808">
        <v>2821</v>
      </c>
      <c r="B2808" t="s">
        <v>8938</v>
      </c>
      <c r="C2808" t="s">
        <v>8936</v>
      </c>
      <c r="D2808" t="s">
        <v>8937</v>
      </c>
      <c r="E2808" t="s">
        <v>8921</v>
      </c>
      <c r="F2808" t="s">
        <v>8778</v>
      </c>
      <c r="G2808" t="s">
        <v>8920</v>
      </c>
      <c r="H2808" t="s">
        <v>8935</v>
      </c>
      <c r="I2808" t="str">
        <f t="shared" si="176"/>
        <v>85-95</v>
      </c>
      <c r="J2808" t="str">
        <f t="shared" si="173"/>
        <v>AD</v>
      </c>
      <c r="K2808" t="str">
        <f t="shared" si="174"/>
        <v>85</v>
      </c>
      <c r="L2808" t="str">
        <f t="shared" si="175"/>
        <v>95</v>
      </c>
    </row>
    <row r="2809" spans="1:12" x14ac:dyDescent="0.35">
      <c r="A2809">
        <v>2822</v>
      </c>
      <c r="B2809" t="s">
        <v>8934</v>
      </c>
      <c r="C2809" t="s">
        <v>11723</v>
      </c>
      <c r="D2809" t="s">
        <v>8933</v>
      </c>
      <c r="E2809" t="s">
        <v>8921</v>
      </c>
      <c r="F2809" t="s">
        <v>8778</v>
      </c>
      <c r="G2809" t="s">
        <v>8920</v>
      </c>
      <c r="H2809" t="s">
        <v>8932</v>
      </c>
      <c r="I2809" t="str">
        <f t="shared" si="176"/>
        <v>85-95</v>
      </c>
      <c r="J2809" t="str">
        <f t="shared" si="173"/>
        <v>AD</v>
      </c>
      <c r="K2809" t="str">
        <f t="shared" si="174"/>
        <v>85</v>
      </c>
      <c r="L2809" t="str">
        <f t="shared" si="175"/>
        <v>95</v>
      </c>
    </row>
    <row r="2810" spans="1:12" x14ac:dyDescent="0.35">
      <c r="A2810">
        <v>2823</v>
      </c>
      <c r="B2810" t="s">
        <v>8931</v>
      </c>
      <c r="C2810" t="s">
        <v>9902</v>
      </c>
      <c r="D2810" t="s">
        <v>8930</v>
      </c>
      <c r="E2810" t="s">
        <v>8921</v>
      </c>
      <c r="F2810" t="s">
        <v>8778</v>
      </c>
      <c r="G2810" t="s">
        <v>8920</v>
      </c>
      <c r="H2810" t="s">
        <v>8929</v>
      </c>
      <c r="I2810" t="str">
        <f t="shared" si="176"/>
        <v>85-95</v>
      </c>
      <c r="J2810" t="str">
        <f t="shared" si="173"/>
        <v>AD</v>
      </c>
      <c r="K2810" t="str">
        <f t="shared" si="174"/>
        <v>85</v>
      </c>
      <c r="L2810" t="str">
        <f t="shared" si="175"/>
        <v>95</v>
      </c>
    </row>
    <row r="2811" spans="1:12" x14ac:dyDescent="0.35">
      <c r="A2811">
        <v>2824</v>
      </c>
      <c r="B2811" t="s">
        <v>8928</v>
      </c>
      <c r="C2811" t="s">
        <v>10546</v>
      </c>
      <c r="D2811" t="s">
        <v>8925</v>
      </c>
      <c r="E2811" t="s">
        <v>8921</v>
      </c>
      <c r="F2811" t="s">
        <v>8778</v>
      </c>
      <c r="G2811" t="s">
        <v>8920</v>
      </c>
      <c r="H2811" t="s">
        <v>8927</v>
      </c>
      <c r="I2811" t="str">
        <f t="shared" si="176"/>
        <v>85-95</v>
      </c>
      <c r="J2811" t="str">
        <f t="shared" si="173"/>
        <v>AD</v>
      </c>
      <c r="K2811" t="str">
        <f t="shared" si="174"/>
        <v>85</v>
      </c>
      <c r="L2811" t="str">
        <f t="shared" si="175"/>
        <v>95</v>
      </c>
    </row>
    <row r="2812" spans="1:12" x14ac:dyDescent="0.35">
      <c r="A2812">
        <v>2825</v>
      </c>
      <c r="B2812" t="s">
        <v>8926</v>
      </c>
      <c r="C2812" t="s">
        <v>10612</v>
      </c>
      <c r="D2812" t="s">
        <v>8925</v>
      </c>
      <c r="E2812" t="s">
        <v>8921</v>
      </c>
      <c r="F2812" t="s">
        <v>8778</v>
      </c>
      <c r="G2812" t="s">
        <v>8920</v>
      </c>
      <c r="H2812" t="s">
        <v>8924</v>
      </c>
      <c r="I2812" t="str">
        <f t="shared" si="176"/>
        <v>85-95</v>
      </c>
      <c r="J2812" t="str">
        <f t="shared" si="173"/>
        <v>AD</v>
      </c>
      <c r="K2812" t="str">
        <f t="shared" si="174"/>
        <v>85</v>
      </c>
      <c r="L2812" t="str">
        <f t="shared" si="175"/>
        <v>95</v>
      </c>
    </row>
    <row r="2813" spans="1:12" x14ac:dyDescent="0.35">
      <c r="A2813">
        <v>2826</v>
      </c>
      <c r="B2813" t="s">
        <v>8923</v>
      </c>
      <c r="C2813" t="s">
        <v>8919</v>
      </c>
      <c r="D2813" t="s">
        <v>8922</v>
      </c>
      <c r="E2813" t="s">
        <v>8921</v>
      </c>
      <c r="F2813" t="s">
        <v>8778</v>
      </c>
      <c r="G2813" t="s">
        <v>8920</v>
      </c>
      <c r="H2813" t="s">
        <v>8918</v>
      </c>
      <c r="I2813" t="str">
        <f t="shared" si="176"/>
        <v>85-95</v>
      </c>
      <c r="J2813" t="str">
        <f t="shared" si="173"/>
        <v>AD</v>
      </c>
      <c r="K2813" t="str">
        <f t="shared" si="174"/>
        <v>85</v>
      </c>
      <c r="L2813" t="str">
        <f t="shared" si="175"/>
        <v>95</v>
      </c>
    </row>
    <row r="2814" spans="1:12" x14ac:dyDescent="0.35">
      <c r="A2814">
        <v>2827</v>
      </c>
      <c r="B2814" t="s">
        <v>9018</v>
      </c>
      <c r="C2814" t="s">
        <v>10749</v>
      </c>
      <c r="D2814" t="s">
        <v>9014</v>
      </c>
      <c r="E2814" t="s">
        <v>9017</v>
      </c>
      <c r="F2814" t="s">
        <v>3384</v>
      </c>
      <c r="G2814" t="s">
        <v>53</v>
      </c>
      <c r="H2814" t="s">
        <v>9016</v>
      </c>
      <c r="I2814" t="str">
        <f t="shared" si="176"/>
        <v>1440</v>
      </c>
      <c r="J2814" t="str">
        <f t="shared" si="173"/>
        <v>BC</v>
      </c>
      <c r="K2814">
        <f t="shared" si="174"/>
        <v>-1440</v>
      </c>
      <c r="L2814">
        <f t="shared" si="175"/>
        <v>-1440</v>
      </c>
    </row>
    <row r="2815" spans="1:12" x14ac:dyDescent="0.35">
      <c r="A2815">
        <v>2828</v>
      </c>
      <c r="B2815" t="s">
        <v>9015</v>
      </c>
      <c r="C2815" t="s">
        <v>10544</v>
      </c>
      <c r="D2815" t="s">
        <v>9014</v>
      </c>
      <c r="E2815" t="s">
        <v>337</v>
      </c>
      <c r="F2815" t="s">
        <v>3819</v>
      </c>
      <c r="G2815" t="s">
        <v>53</v>
      </c>
      <c r="H2815" t="s">
        <v>9013</v>
      </c>
      <c r="I2815" t="str">
        <f t="shared" si="176"/>
        <v>1440-1400</v>
      </c>
      <c r="J2815" t="str">
        <f t="shared" si="173"/>
        <v>BC</v>
      </c>
      <c r="K2815">
        <f t="shared" si="174"/>
        <v>-1440</v>
      </c>
      <c r="L2815">
        <f t="shared" si="175"/>
        <v>-1400</v>
      </c>
    </row>
    <row r="2816" spans="1:12" x14ac:dyDescent="0.35">
      <c r="A2816">
        <v>2829</v>
      </c>
      <c r="B2816" t="s">
        <v>9012</v>
      </c>
      <c r="C2816" t="s">
        <v>10708</v>
      </c>
      <c r="D2816" t="s">
        <v>9008</v>
      </c>
      <c r="E2816" t="s">
        <v>7219</v>
      </c>
      <c r="F2816" t="s">
        <v>8710</v>
      </c>
      <c r="G2816" t="s">
        <v>9011</v>
      </c>
      <c r="H2816" t="s">
        <v>9010</v>
      </c>
      <c r="I2816" t="str">
        <f t="shared" si="176"/>
        <v>Before creation</v>
      </c>
      <c r="J2816" t="str">
        <f t="shared" si="173"/>
        <v>on</v>
      </c>
      <c r="K2816" t="str">
        <f t="shared" si="174"/>
        <v>Before creation</v>
      </c>
      <c r="L2816" t="str">
        <f t="shared" si="175"/>
        <v>Before creation</v>
      </c>
    </row>
    <row r="2817" spans="1:12" x14ac:dyDescent="0.35">
      <c r="A2817">
        <v>2830</v>
      </c>
      <c r="B2817" t="s">
        <v>9009</v>
      </c>
      <c r="C2817" t="s">
        <v>10544</v>
      </c>
      <c r="D2817" t="s">
        <v>9008</v>
      </c>
      <c r="E2817" t="s">
        <v>3613</v>
      </c>
      <c r="F2817" t="s">
        <v>8710</v>
      </c>
      <c r="G2817" t="s">
        <v>53</v>
      </c>
      <c r="H2817" t="s">
        <v>9007</v>
      </c>
      <c r="I2817" t="str">
        <f t="shared" si="176"/>
        <v>Before creation</v>
      </c>
      <c r="J2817" t="str">
        <f t="shared" si="173"/>
        <v>on</v>
      </c>
      <c r="K2817" t="str">
        <f t="shared" si="174"/>
        <v>Before creation</v>
      </c>
      <c r="L2817" t="str">
        <f t="shared" si="175"/>
        <v>Before creation</v>
      </c>
    </row>
    <row r="2818" spans="1:12" x14ac:dyDescent="0.35">
      <c r="A2818">
        <v>2831</v>
      </c>
      <c r="B2818" t="s">
        <v>9006</v>
      </c>
      <c r="C2818" t="s">
        <v>10750</v>
      </c>
      <c r="D2818" t="s">
        <v>9005</v>
      </c>
      <c r="E2818" t="s">
        <v>9004</v>
      </c>
      <c r="F2818" t="s">
        <v>6926</v>
      </c>
      <c r="G2818" t="s">
        <v>53</v>
      </c>
      <c r="H2818" t="s">
        <v>9003</v>
      </c>
      <c r="I2818" t="str">
        <f t="shared" si="176"/>
        <v>2000</v>
      </c>
      <c r="J2818" t="str">
        <f t="shared" ref="J2818:J2881" si="177">RIGHT(F2818, 2)</f>
        <v>BC</v>
      </c>
      <c r="K2818">
        <f t="shared" ref="K2818:K2881" si="178">IF(J2818="BC", 0-IF(ISERROR(FIND("-",I2818)),I2818,LEFT(I2818,FIND("-",I2818)-1)), IF(ISERROR(FIND("-",I2818)),I2818,LEFT(I2818,FIND("-",I2818)-1)))</f>
        <v>-2000</v>
      </c>
      <c r="L2818">
        <f t="shared" ref="L2818:L2881" si="179">IF(J2818="BC", 0-IF(ISERROR(FIND("-",I2818)),I2818,RIGHT(I2818,FIND("-",I2818)-1)), IF(ISERROR(FIND("-",I2818)),I2818,RIGHT(I2818,FIND("-",I2818)-1)))</f>
        <v>-2000</v>
      </c>
    </row>
    <row r="2819" spans="1:12" x14ac:dyDescent="0.35">
      <c r="A2819">
        <v>2832</v>
      </c>
      <c r="B2819" t="s">
        <v>9002</v>
      </c>
      <c r="C2819" t="s">
        <v>6062</v>
      </c>
      <c r="D2819" t="s">
        <v>9001</v>
      </c>
      <c r="E2819" t="s">
        <v>9000</v>
      </c>
      <c r="F2819" t="s">
        <v>966</v>
      </c>
      <c r="G2819" t="s">
        <v>8999</v>
      </c>
      <c r="H2819" t="s">
        <v>8998</v>
      </c>
      <c r="I2819" t="str">
        <f t="shared" si="176"/>
        <v>1400</v>
      </c>
      <c r="J2819" t="str">
        <f t="shared" si="177"/>
        <v>BC</v>
      </c>
      <c r="K2819">
        <f t="shared" si="178"/>
        <v>-1400</v>
      </c>
      <c r="L2819">
        <f t="shared" si="179"/>
        <v>-1400</v>
      </c>
    </row>
    <row r="2820" spans="1:12" x14ac:dyDescent="0.35">
      <c r="A2820">
        <v>2833</v>
      </c>
      <c r="B2820" t="s">
        <v>8997</v>
      </c>
      <c r="C2820" t="s">
        <v>10544</v>
      </c>
      <c r="D2820" t="s">
        <v>8990</v>
      </c>
      <c r="E2820" t="s">
        <v>115</v>
      </c>
      <c r="F2820" t="s">
        <v>8996</v>
      </c>
      <c r="G2820" t="s">
        <v>53</v>
      </c>
      <c r="H2820" t="s">
        <v>8995</v>
      </c>
      <c r="I2820" t="str">
        <f t="shared" si="176"/>
        <v>Primordial time</v>
      </c>
      <c r="J2820" t="str">
        <f t="shared" si="177"/>
        <v>me</v>
      </c>
      <c r="K2820" t="str">
        <f t="shared" si="178"/>
        <v>Primordial time</v>
      </c>
      <c r="L2820" t="str">
        <f t="shared" si="179"/>
        <v>Primordial time</v>
      </c>
    </row>
    <row r="2821" spans="1:12" x14ac:dyDescent="0.35">
      <c r="A2821">
        <v>2834</v>
      </c>
      <c r="B2821" t="s">
        <v>8994</v>
      </c>
      <c r="C2821" t="s">
        <v>10544</v>
      </c>
      <c r="D2821" t="s">
        <v>8990</v>
      </c>
      <c r="E2821" t="s">
        <v>8993</v>
      </c>
      <c r="F2821" t="s">
        <v>966</v>
      </c>
      <c r="G2821" t="s">
        <v>53</v>
      </c>
      <c r="H2821" t="s">
        <v>8992</v>
      </c>
      <c r="I2821" t="str">
        <f t="shared" si="176"/>
        <v>1400</v>
      </c>
      <c r="J2821" t="str">
        <f t="shared" si="177"/>
        <v>BC</v>
      </c>
      <c r="K2821">
        <f t="shared" si="178"/>
        <v>-1400</v>
      </c>
      <c r="L2821">
        <f t="shared" si="179"/>
        <v>-1400</v>
      </c>
    </row>
    <row r="2822" spans="1:12" x14ac:dyDescent="0.35">
      <c r="A2822">
        <v>2835</v>
      </c>
      <c r="B2822" t="s">
        <v>8991</v>
      </c>
      <c r="C2822" t="s">
        <v>10544</v>
      </c>
      <c r="D2822" t="s">
        <v>8990</v>
      </c>
      <c r="E2822" t="s">
        <v>337</v>
      </c>
      <c r="F2822" t="s">
        <v>3384</v>
      </c>
      <c r="G2822" t="s">
        <v>53</v>
      </c>
      <c r="H2822" t="s">
        <v>8989</v>
      </c>
      <c r="I2822" t="str">
        <f t="shared" si="176"/>
        <v>1440</v>
      </c>
      <c r="J2822" t="str">
        <f t="shared" si="177"/>
        <v>BC</v>
      </c>
      <c r="K2822">
        <f t="shared" si="178"/>
        <v>-1440</v>
      </c>
      <c r="L2822">
        <f t="shared" si="179"/>
        <v>-1440</v>
      </c>
    </row>
    <row r="2823" spans="1:12" x14ac:dyDescent="0.35">
      <c r="A2823">
        <v>2836</v>
      </c>
      <c r="B2823" t="s">
        <v>8988</v>
      </c>
      <c r="C2823" t="s">
        <v>6157</v>
      </c>
      <c r="D2823" t="s">
        <v>8987</v>
      </c>
      <c r="E2823" t="s">
        <v>8986</v>
      </c>
      <c r="F2823" t="s">
        <v>8985</v>
      </c>
      <c r="G2823" t="s">
        <v>8984</v>
      </c>
      <c r="H2823" t="s">
        <v>8983</v>
      </c>
      <c r="I2823" t="str">
        <f t="shared" si="176"/>
        <v>Before flood</v>
      </c>
      <c r="J2823" t="str">
        <f t="shared" si="177"/>
        <v>od</v>
      </c>
      <c r="K2823" t="str">
        <f t="shared" si="178"/>
        <v>Before flood</v>
      </c>
      <c r="L2823" t="str">
        <f t="shared" si="179"/>
        <v>Before flood</v>
      </c>
    </row>
    <row r="2824" spans="1:12" x14ac:dyDescent="0.35">
      <c r="A2824">
        <v>2837</v>
      </c>
      <c r="B2824" t="s">
        <v>8982</v>
      </c>
      <c r="C2824" t="s">
        <v>10667</v>
      </c>
      <c r="D2824" t="s">
        <v>8979</v>
      </c>
      <c r="E2824" t="s">
        <v>3788</v>
      </c>
      <c r="F2824" t="s">
        <v>3866</v>
      </c>
      <c r="G2824" t="s">
        <v>53</v>
      </c>
      <c r="H2824" t="s">
        <v>8981</v>
      </c>
      <c r="I2824" t="str">
        <f t="shared" si="176"/>
        <v>Ongoing</v>
      </c>
      <c r="J2824" t="str">
        <f t="shared" si="177"/>
        <v>ng</v>
      </c>
      <c r="K2824" t="str">
        <f t="shared" si="178"/>
        <v>Ongoing</v>
      </c>
      <c r="L2824" t="str">
        <f t="shared" si="179"/>
        <v>Ongoing</v>
      </c>
    </row>
    <row r="2825" spans="1:12" x14ac:dyDescent="0.35">
      <c r="A2825">
        <v>2838</v>
      </c>
      <c r="B2825" t="s">
        <v>8980</v>
      </c>
      <c r="C2825" t="s">
        <v>9456</v>
      </c>
      <c r="D2825" t="s">
        <v>8979</v>
      </c>
      <c r="E2825" t="s">
        <v>8034</v>
      </c>
      <c r="F2825" t="s">
        <v>8978</v>
      </c>
      <c r="G2825" t="s">
        <v>53</v>
      </c>
      <c r="H2825" t="s">
        <v>8977</v>
      </c>
      <c r="I2825" t="str">
        <f t="shared" si="176"/>
        <v>Eschatological</v>
      </c>
      <c r="J2825" t="str">
        <f t="shared" si="177"/>
        <v>al</v>
      </c>
      <c r="K2825" t="str">
        <f t="shared" si="178"/>
        <v>Eschatological</v>
      </c>
      <c r="L2825" t="str">
        <f t="shared" si="179"/>
        <v>Eschatological</v>
      </c>
    </row>
    <row r="2826" spans="1:12" x14ac:dyDescent="0.35">
      <c r="A2826">
        <v>2839</v>
      </c>
      <c r="B2826" t="s">
        <v>9036</v>
      </c>
      <c r="C2826" t="s">
        <v>10048</v>
      </c>
      <c r="D2826" t="s">
        <v>9037</v>
      </c>
      <c r="E2826" t="s">
        <v>9038</v>
      </c>
      <c r="F2826" t="s">
        <v>9039</v>
      </c>
      <c r="G2826" t="s">
        <v>9040</v>
      </c>
      <c r="H2826" t="s">
        <v>9041</v>
      </c>
      <c r="I2826" t="str">
        <f t="shared" si="176"/>
        <v>95</v>
      </c>
      <c r="J2826" t="str">
        <f t="shared" si="177"/>
        <v>AD</v>
      </c>
      <c r="K2826" t="str">
        <f t="shared" si="178"/>
        <v>95</v>
      </c>
      <c r="L2826" t="str">
        <f t="shared" si="179"/>
        <v>95</v>
      </c>
    </row>
    <row r="2827" spans="1:12" x14ac:dyDescent="0.35">
      <c r="A2827">
        <v>2840</v>
      </c>
      <c r="B2827" t="s">
        <v>9042</v>
      </c>
      <c r="C2827" t="s">
        <v>10640</v>
      </c>
      <c r="D2827" t="s">
        <v>9043</v>
      </c>
      <c r="E2827" t="s">
        <v>9038</v>
      </c>
      <c r="F2827" t="s">
        <v>9039</v>
      </c>
      <c r="G2827" t="s">
        <v>61</v>
      </c>
      <c r="H2827" t="s">
        <v>9044</v>
      </c>
      <c r="I2827" t="str">
        <f t="shared" si="176"/>
        <v>95</v>
      </c>
      <c r="J2827" t="str">
        <f t="shared" si="177"/>
        <v>AD</v>
      </c>
      <c r="K2827" t="str">
        <f t="shared" si="178"/>
        <v>95</v>
      </c>
      <c r="L2827" t="str">
        <f t="shared" si="179"/>
        <v>95</v>
      </c>
    </row>
    <row r="2828" spans="1:12" x14ac:dyDescent="0.35">
      <c r="A2828">
        <v>2841</v>
      </c>
      <c r="B2828" t="s">
        <v>9045</v>
      </c>
      <c r="C2828" t="s">
        <v>10540</v>
      </c>
      <c r="D2828" t="s">
        <v>9043</v>
      </c>
      <c r="E2828" t="s">
        <v>9038</v>
      </c>
      <c r="F2828" t="s">
        <v>9039</v>
      </c>
      <c r="G2828" t="s">
        <v>7392</v>
      </c>
      <c r="H2828" t="s">
        <v>9046</v>
      </c>
      <c r="I2828" t="str">
        <f t="shared" si="176"/>
        <v>95</v>
      </c>
      <c r="J2828" t="str">
        <f t="shared" si="177"/>
        <v>AD</v>
      </c>
      <c r="K2828" t="str">
        <f t="shared" si="178"/>
        <v>95</v>
      </c>
      <c r="L2828" t="str">
        <f t="shared" si="179"/>
        <v>95</v>
      </c>
    </row>
    <row r="2829" spans="1:12" x14ac:dyDescent="0.35">
      <c r="A2829">
        <v>2842</v>
      </c>
      <c r="B2829" t="s">
        <v>9047</v>
      </c>
      <c r="C2829" t="s">
        <v>10622</v>
      </c>
      <c r="D2829" t="s">
        <v>9048</v>
      </c>
      <c r="E2829" t="s">
        <v>9038</v>
      </c>
      <c r="F2829" t="s">
        <v>9039</v>
      </c>
      <c r="G2829" t="s">
        <v>7392</v>
      </c>
      <c r="H2829" t="s">
        <v>9049</v>
      </c>
      <c r="I2829" t="str">
        <f t="shared" si="176"/>
        <v>95</v>
      </c>
      <c r="J2829" t="str">
        <f t="shared" si="177"/>
        <v>AD</v>
      </c>
      <c r="K2829" t="str">
        <f t="shared" si="178"/>
        <v>95</v>
      </c>
      <c r="L2829" t="str">
        <f t="shared" si="179"/>
        <v>95</v>
      </c>
    </row>
    <row r="2830" spans="1:12" x14ac:dyDescent="0.35">
      <c r="A2830">
        <v>2843</v>
      </c>
      <c r="B2830" t="s">
        <v>9050</v>
      </c>
      <c r="C2830" t="s">
        <v>10569</v>
      </c>
      <c r="D2830" t="s">
        <v>9051</v>
      </c>
      <c r="E2830" t="s">
        <v>9038</v>
      </c>
      <c r="F2830" t="s">
        <v>9039</v>
      </c>
      <c r="G2830" t="s">
        <v>7392</v>
      </c>
      <c r="H2830" t="s">
        <v>9052</v>
      </c>
      <c r="I2830" t="str">
        <f t="shared" si="176"/>
        <v>95</v>
      </c>
      <c r="J2830" t="str">
        <f t="shared" si="177"/>
        <v>AD</v>
      </c>
      <c r="K2830" t="str">
        <f t="shared" si="178"/>
        <v>95</v>
      </c>
      <c r="L2830" t="str">
        <f t="shared" si="179"/>
        <v>95</v>
      </c>
    </row>
    <row r="2831" spans="1:12" x14ac:dyDescent="0.35">
      <c r="A2831">
        <v>2844</v>
      </c>
      <c r="B2831" t="s">
        <v>9053</v>
      </c>
      <c r="C2831" t="s">
        <v>9438</v>
      </c>
      <c r="D2831" t="s">
        <v>9054</v>
      </c>
      <c r="E2831" t="s">
        <v>9038</v>
      </c>
      <c r="F2831" t="s">
        <v>9039</v>
      </c>
      <c r="G2831" t="s">
        <v>9055</v>
      </c>
      <c r="H2831" t="s">
        <v>9057</v>
      </c>
      <c r="I2831" t="str">
        <f t="shared" si="176"/>
        <v>95</v>
      </c>
      <c r="J2831" t="str">
        <f t="shared" si="177"/>
        <v>AD</v>
      </c>
      <c r="K2831" t="str">
        <f t="shared" si="178"/>
        <v>95</v>
      </c>
      <c r="L2831" t="str">
        <f t="shared" si="179"/>
        <v>95</v>
      </c>
    </row>
    <row r="2832" spans="1:12" x14ac:dyDescent="0.35">
      <c r="A2832">
        <v>2845</v>
      </c>
      <c r="B2832" t="s">
        <v>9058</v>
      </c>
      <c r="C2832" t="s">
        <v>10709</v>
      </c>
      <c r="D2832" t="s">
        <v>9054</v>
      </c>
      <c r="E2832" t="s">
        <v>9038</v>
      </c>
      <c r="F2832" t="s">
        <v>9039</v>
      </c>
      <c r="G2832" t="s">
        <v>7392</v>
      </c>
      <c r="H2832" t="s">
        <v>9059</v>
      </c>
      <c r="I2832" t="str">
        <f t="shared" si="176"/>
        <v>95</v>
      </c>
      <c r="J2832" t="str">
        <f t="shared" si="177"/>
        <v>AD</v>
      </c>
      <c r="K2832" t="str">
        <f t="shared" si="178"/>
        <v>95</v>
      </c>
      <c r="L2832" t="str">
        <f t="shared" si="179"/>
        <v>95</v>
      </c>
    </row>
    <row r="2833" spans="1:12" x14ac:dyDescent="0.35">
      <c r="A2833">
        <v>2846</v>
      </c>
      <c r="B2833" t="s">
        <v>9060</v>
      </c>
      <c r="C2833" t="s">
        <v>10540</v>
      </c>
      <c r="D2833" t="s">
        <v>9061</v>
      </c>
      <c r="E2833" t="s">
        <v>9038</v>
      </c>
      <c r="F2833" t="s">
        <v>9039</v>
      </c>
      <c r="G2833" t="s">
        <v>7392</v>
      </c>
      <c r="H2833" t="s">
        <v>6146</v>
      </c>
      <c r="I2833" t="str">
        <f t="shared" si="176"/>
        <v>95</v>
      </c>
      <c r="J2833" t="str">
        <f t="shared" si="177"/>
        <v>AD</v>
      </c>
      <c r="K2833" t="str">
        <f t="shared" si="178"/>
        <v>95</v>
      </c>
      <c r="L2833" t="str">
        <f t="shared" si="179"/>
        <v>95</v>
      </c>
    </row>
    <row r="2834" spans="1:12" x14ac:dyDescent="0.35">
      <c r="A2834">
        <v>2847</v>
      </c>
      <c r="B2834" t="s">
        <v>9062</v>
      </c>
      <c r="C2834" t="s">
        <v>10039</v>
      </c>
      <c r="D2834" t="s">
        <v>9063</v>
      </c>
      <c r="E2834" t="s">
        <v>7219</v>
      </c>
      <c r="F2834" t="s">
        <v>9039</v>
      </c>
      <c r="G2834" t="s">
        <v>61</v>
      </c>
      <c r="H2834" t="s">
        <v>9064</v>
      </c>
      <c r="I2834" t="str">
        <f t="shared" si="176"/>
        <v>95</v>
      </c>
      <c r="J2834" t="str">
        <f t="shared" si="177"/>
        <v>AD</v>
      </c>
      <c r="K2834" t="str">
        <f t="shared" si="178"/>
        <v>95</v>
      </c>
      <c r="L2834" t="str">
        <f t="shared" si="179"/>
        <v>95</v>
      </c>
    </row>
    <row r="2835" spans="1:12" x14ac:dyDescent="0.35">
      <c r="A2835">
        <v>2848</v>
      </c>
      <c r="B2835" t="s">
        <v>9065</v>
      </c>
      <c r="C2835" t="s">
        <v>10622</v>
      </c>
      <c r="D2835" t="s">
        <v>9066</v>
      </c>
      <c r="E2835" t="s">
        <v>7219</v>
      </c>
      <c r="F2835" t="s">
        <v>9039</v>
      </c>
      <c r="G2835" t="s">
        <v>9055</v>
      </c>
      <c r="H2835" t="s">
        <v>9067</v>
      </c>
      <c r="I2835" t="str">
        <f t="shared" si="176"/>
        <v>95</v>
      </c>
      <c r="J2835" t="str">
        <f t="shared" si="177"/>
        <v>AD</v>
      </c>
      <c r="K2835" t="str">
        <f t="shared" si="178"/>
        <v>95</v>
      </c>
      <c r="L2835" t="str">
        <f t="shared" si="179"/>
        <v>95</v>
      </c>
    </row>
    <row r="2836" spans="1:12" x14ac:dyDescent="0.35">
      <c r="A2836">
        <v>2849</v>
      </c>
      <c r="B2836" t="s">
        <v>9068</v>
      </c>
      <c r="C2836" t="s">
        <v>10688</v>
      </c>
      <c r="D2836" t="s">
        <v>9069</v>
      </c>
      <c r="E2836" t="s">
        <v>7219</v>
      </c>
      <c r="F2836" t="s">
        <v>9039</v>
      </c>
      <c r="G2836" t="s">
        <v>9070</v>
      </c>
      <c r="H2836" t="s">
        <v>2461</v>
      </c>
      <c r="I2836" t="str">
        <f t="shared" si="176"/>
        <v>95</v>
      </c>
      <c r="J2836" t="str">
        <f t="shared" si="177"/>
        <v>AD</v>
      </c>
      <c r="K2836" t="str">
        <f t="shared" si="178"/>
        <v>95</v>
      </c>
      <c r="L2836" t="str">
        <f t="shared" si="179"/>
        <v>95</v>
      </c>
    </row>
    <row r="2837" spans="1:12" x14ac:dyDescent="0.35">
      <c r="A2837">
        <v>2850</v>
      </c>
      <c r="B2837" t="s">
        <v>9071</v>
      </c>
      <c r="C2837" t="s">
        <v>10688</v>
      </c>
      <c r="D2837" t="s">
        <v>9072</v>
      </c>
      <c r="E2837" t="s">
        <v>7219</v>
      </c>
      <c r="F2837" t="s">
        <v>9039</v>
      </c>
      <c r="G2837" t="s">
        <v>9073</v>
      </c>
      <c r="H2837" t="s">
        <v>9074</v>
      </c>
      <c r="I2837" t="str">
        <f t="shared" si="176"/>
        <v>95</v>
      </c>
      <c r="J2837" t="str">
        <f t="shared" si="177"/>
        <v>AD</v>
      </c>
      <c r="K2837" t="str">
        <f t="shared" si="178"/>
        <v>95</v>
      </c>
      <c r="L2837" t="str">
        <f t="shared" si="179"/>
        <v>95</v>
      </c>
    </row>
    <row r="2838" spans="1:12" x14ac:dyDescent="0.35">
      <c r="A2838">
        <v>2851</v>
      </c>
      <c r="B2838" t="s">
        <v>9075</v>
      </c>
      <c r="C2838" t="s">
        <v>10622</v>
      </c>
      <c r="D2838" t="s">
        <v>9076</v>
      </c>
      <c r="E2838" t="s">
        <v>7219</v>
      </c>
      <c r="F2838" t="s">
        <v>9039</v>
      </c>
      <c r="G2838" t="s">
        <v>9077</v>
      </c>
      <c r="H2838" t="s">
        <v>9078</v>
      </c>
      <c r="I2838" t="str">
        <f t="shared" si="176"/>
        <v>95</v>
      </c>
      <c r="J2838" t="str">
        <f t="shared" si="177"/>
        <v>AD</v>
      </c>
      <c r="K2838" t="str">
        <f t="shared" si="178"/>
        <v>95</v>
      </c>
      <c r="L2838" t="str">
        <f t="shared" si="179"/>
        <v>95</v>
      </c>
    </row>
    <row r="2839" spans="1:12" x14ac:dyDescent="0.35">
      <c r="A2839">
        <v>2852</v>
      </c>
      <c r="B2839" t="s">
        <v>9079</v>
      </c>
      <c r="C2839" t="s">
        <v>10544</v>
      </c>
      <c r="D2839" t="s">
        <v>9080</v>
      </c>
      <c r="E2839" t="s">
        <v>4371</v>
      </c>
      <c r="F2839" t="s">
        <v>4363</v>
      </c>
      <c r="G2839" t="s">
        <v>9081</v>
      </c>
      <c r="H2839" t="s">
        <v>9082</v>
      </c>
      <c r="I2839" t="str">
        <f t="shared" si="176"/>
        <v>Future</v>
      </c>
      <c r="J2839" t="str">
        <f t="shared" si="177"/>
        <v>re</v>
      </c>
      <c r="K2839" t="str">
        <f t="shared" si="178"/>
        <v>Future</v>
      </c>
      <c r="L2839" t="str">
        <f t="shared" si="179"/>
        <v>Future</v>
      </c>
    </row>
    <row r="2840" spans="1:12" x14ac:dyDescent="0.35">
      <c r="A2840">
        <v>2853</v>
      </c>
      <c r="B2840" t="s">
        <v>9083</v>
      </c>
      <c r="C2840" t="s">
        <v>10544</v>
      </c>
      <c r="D2840" t="s">
        <v>9084</v>
      </c>
      <c r="E2840" t="s">
        <v>115</v>
      </c>
      <c r="F2840" t="s">
        <v>4363</v>
      </c>
      <c r="G2840" t="s">
        <v>9085</v>
      </c>
      <c r="H2840" t="s">
        <v>9086</v>
      </c>
      <c r="I2840" t="str">
        <f t="shared" si="176"/>
        <v>Future</v>
      </c>
      <c r="J2840" t="str">
        <f t="shared" si="177"/>
        <v>re</v>
      </c>
      <c r="K2840" t="str">
        <f t="shared" si="178"/>
        <v>Future</v>
      </c>
      <c r="L2840" t="str">
        <f t="shared" si="179"/>
        <v>Future</v>
      </c>
    </row>
    <row r="2841" spans="1:12" x14ac:dyDescent="0.35">
      <c r="A2841">
        <v>2854</v>
      </c>
      <c r="B2841" t="s">
        <v>9087</v>
      </c>
      <c r="C2841" t="s">
        <v>10544</v>
      </c>
      <c r="D2841" t="s">
        <v>9088</v>
      </c>
      <c r="E2841" t="s">
        <v>115</v>
      </c>
      <c r="F2841" t="s">
        <v>4363</v>
      </c>
      <c r="G2841" t="s">
        <v>9085</v>
      </c>
      <c r="H2841" t="s">
        <v>9086</v>
      </c>
      <c r="I2841" t="str">
        <f t="shared" si="176"/>
        <v>Future</v>
      </c>
      <c r="J2841" t="str">
        <f t="shared" si="177"/>
        <v>re</v>
      </c>
      <c r="K2841" t="str">
        <f t="shared" si="178"/>
        <v>Future</v>
      </c>
      <c r="L2841" t="str">
        <f t="shared" si="179"/>
        <v>Future</v>
      </c>
    </row>
    <row r="2842" spans="1:12" x14ac:dyDescent="0.35">
      <c r="A2842">
        <v>2855</v>
      </c>
      <c r="B2842" t="s">
        <v>9089</v>
      </c>
      <c r="C2842" t="s">
        <v>10544</v>
      </c>
      <c r="D2842" t="s">
        <v>9090</v>
      </c>
      <c r="E2842" t="s">
        <v>115</v>
      </c>
      <c r="F2842" t="s">
        <v>4363</v>
      </c>
      <c r="G2842" t="s">
        <v>9085</v>
      </c>
      <c r="H2842" t="s">
        <v>9086</v>
      </c>
      <c r="I2842" t="str">
        <f t="shared" si="176"/>
        <v>Future</v>
      </c>
      <c r="J2842" t="str">
        <f t="shared" si="177"/>
        <v>re</v>
      </c>
      <c r="K2842" t="str">
        <f t="shared" si="178"/>
        <v>Future</v>
      </c>
      <c r="L2842" t="str">
        <f t="shared" si="179"/>
        <v>Future</v>
      </c>
    </row>
    <row r="2843" spans="1:12" x14ac:dyDescent="0.35">
      <c r="A2843">
        <v>2856</v>
      </c>
      <c r="B2843" t="s">
        <v>9091</v>
      </c>
      <c r="C2843" t="s">
        <v>10544</v>
      </c>
      <c r="D2843" t="s">
        <v>9092</v>
      </c>
      <c r="E2843" t="s">
        <v>115</v>
      </c>
      <c r="F2843" t="s">
        <v>4363</v>
      </c>
      <c r="G2843" t="s">
        <v>9085</v>
      </c>
      <c r="H2843" t="s">
        <v>9093</v>
      </c>
      <c r="I2843" t="str">
        <f t="shared" si="176"/>
        <v>Future</v>
      </c>
      <c r="J2843" t="str">
        <f t="shared" si="177"/>
        <v>re</v>
      </c>
      <c r="K2843" t="str">
        <f t="shared" si="178"/>
        <v>Future</v>
      </c>
      <c r="L2843" t="str">
        <f t="shared" si="179"/>
        <v>Future</v>
      </c>
    </row>
    <row r="2844" spans="1:12" x14ac:dyDescent="0.35">
      <c r="A2844">
        <v>2857</v>
      </c>
      <c r="B2844" t="s">
        <v>9094</v>
      </c>
      <c r="C2844" t="s">
        <v>10540</v>
      </c>
      <c r="D2844" t="s">
        <v>9095</v>
      </c>
      <c r="E2844" t="s">
        <v>7219</v>
      </c>
      <c r="F2844" t="s">
        <v>4363</v>
      </c>
      <c r="G2844" t="s">
        <v>9096</v>
      </c>
      <c r="H2844" t="s">
        <v>9097</v>
      </c>
      <c r="I2844" t="str">
        <f t="shared" si="176"/>
        <v>Future</v>
      </c>
      <c r="J2844" t="str">
        <f t="shared" si="177"/>
        <v>re</v>
      </c>
      <c r="K2844" t="str">
        <f t="shared" si="178"/>
        <v>Future</v>
      </c>
      <c r="L2844" t="str">
        <f t="shared" si="179"/>
        <v>Future</v>
      </c>
    </row>
    <row r="2845" spans="1:12" x14ac:dyDescent="0.35">
      <c r="A2845">
        <v>2858</v>
      </c>
      <c r="B2845" t="s">
        <v>9098</v>
      </c>
      <c r="C2845" t="s">
        <v>10750</v>
      </c>
      <c r="D2845" t="s">
        <v>9099</v>
      </c>
      <c r="E2845" t="s">
        <v>115</v>
      </c>
      <c r="F2845" t="s">
        <v>4363</v>
      </c>
      <c r="G2845" t="s">
        <v>53</v>
      </c>
      <c r="H2845" t="s">
        <v>9100</v>
      </c>
      <c r="I2845" t="str">
        <f t="shared" si="176"/>
        <v>Future</v>
      </c>
      <c r="J2845" t="str">
        <f t="shared" si="177"/>
        <v>re</v>
      </c>
      <c r="K2845" t="str">
        <f t="shared" si="178"/>
        <v>Future</v>
      </c>
      <c r="L2845" t="str">
        <f t="shared" si="179"/>
        <v>Future</v>
      </c>
    </row>
    <row r="2846" spans="1:12" x14ac:dyDescent="0.35">
      <c r="A2846">
        <v>2859</v>
      </c>
      <c r="B2846" t="s">
        <v>9101</v>
      </c>
      <c r="C2846" t="s">
        <v>10651</v>
      </c>
      <c r="D2846" t="s">
        <v>9102</v>
      </c>
      <c r="E2846" t="s">
        <v>115</v>
      </c>
      <c r="F2846" t="s">
        <v>4363</v>
      </c>
      <c r="G2846" t="s">
        <v>207</v>
      </c>
      <c r="H2846" t="s">
        <v>9103</v>
      </c>
      <c r="I2846" t="str">
        <f t="shared" si="176"/>
        <v>Future</v>
      </c>
      <c r="J2846" t="str">
        <f t="shared" si="177"/>
        <v>re</v>
      </c>
      <c r="K2846" t="str">
        <f t="shared" si="178"/>
        <v>Future</v>
      </c>
      <c r="L2846" t="str">
        <f t="shared" si="179"/>
        <v>Future</v>
      </c>
    </row>
    <row r="2847" spans="1:12" x14ac:dyDescent="0.35">
      <c r="A2847">
        <v>2860</v>
      </c>
      <c r="B2847" t="s">
        <v>9104</v>
      </c>
      <c r="C2847" t="s">
        <v>10688</v>
      </c>
      <c r="D2847" t="s">
        <v>9105</v>
      </c>
      <c r="E2847" t="s">
        <v>7219</v>
      </c>
      <c r="F2847" t="s">
        <v>4363</v>
      </c>
      <c r="G2847" t="s">
        <v>9106</v>
      </c>
      <c r="H2847" t="s">
        <v>9107</v>
      </c>
      <c r="I2847" t="str">
        <f t="shared" si="176"/>
        <v>Future</v>
      </c>
      <c r="J2847" t="str">
        <f t="shared" si="177"/>
        <v>re</v>
      </c>
      <c r="K2847" t="str">
        <f t="shared" si="178"/>
        <v>Future</v>
      </c>
      <c r="L2847" t="str">
        <f t="shared" si="179"/>
        <v>Future</v>
      </c>
    </row>
    <row r="2848" spans="1:12" x14ac:dyDescent="0.35">
      <c r="A2848">
        <v>2861</v>
      </c>
      <c r="B2848" t="s">
        <v>9108</v>
      </c>
      <c r="C2848" t="s">
        <v>10710</v>
      </c>
      <c r="D2848" t="s">
        <v>9109</v>
      </c>
      <c r="E2848" t="s">
        <v>7219</v>
      </c>
      <c r="F2848" t="s">
        <v>4363</v>
      </c>
      <c r="G2848" t="s">
        <v>53</v>
      </c>
      <c r="H2848" t="s">
        <v>9110</v>
      </c>
      <c r="I2848" t="str">
        <f t="shared" si="176"/>
        <v>Future</v>
      </c>
      <c r="J2848" t="str">
        <f t="shared" si="177"/>
        <v>re</v>
      </c>
      <c r="K2848" t="str">
        <f t="shared" si="178"/>
        <v>Future</v>
      </c>
      <c r="L2848" t="str">
        <f t="shared" si="179"/>
        <v>Future</v>
      </c>
    </row>
    <row r="2849" spans="1:12" x14ac:dyDescent="0.35">
      <c r="A2849">
        <v>2862</v>
      </c>
      <c r="B2849" t="s">
        <v>9111</v>
      </c>
      <c r="C2849" t="s">
        <v>10624</v>
      </c>
      <c r="D2849" t="s">
        <v>9112</v>
      </c>
      <c r="E2849" t="s">
        <v>7219</v>
      </c>
      <c r="F2849" t="s">
        <v>4363</v>
      </c>
      <c r="G2849" t="s">
        <v>4938</v>
      </c>
      <c r="H2849" t="s">
        <v>9113</v>
      </c>
      <c r="I2849" t="str">
        <f t="shared" si="176"/>
        <v>Future</v>
      </c>
      <c r="J2849" t="str">
        <f t="shared" si="177"/>
        <v>re</v>
      </c>
      <c r="K2849" t="str">
        <f t="shared" si="178"/>
        <v>Future</v>
      </c>
      <c r="L2849" t="str">
        <f t="shared" si="179"/>
        <v>Future</v>
      </c>
    </row>
    <row r="2850" spans="1:12" x14ac:dyDescent="0.35">
      <c r="A2850">
        <v>2863</v>
      </c>
      <c r="B2850" t="s">
        <v>9114</v>
      </c>
      <c r="C2850" t="s">
        <v>10544</v>
      </c>
      <c r="D2850" t="s">
        <v>9115</v>
      </c>
      <c r="E2850" t="s">
        <v>4371</v>
      </c>
      <c r="F2850" t="s">
        <v>4363</v>
      </c>
      <c r="G2850" t="s">
        <v>4938</v>
      </c>
      <c r="H2850" t="s">
        <v>9116</v>
      </c>
      <c r="I2850" t="str">
        <f t="shared" si="176"/>
        <v>Future</v>
      </c>
      <c r="J2850" t="str">
        <f t="shared" si="177"/>
        <v>re</v>
      </c>
      <c r="K2850" t="str">
        <f t="shared" si="178"/>
        <v>Future</v>
      </c>
      <c r="L2850" t="str">
        <f t="shared" si="179"/>
        <v>Future</v>
      </c>
    </row>
    <row r="2851" spans="1:12" x14ac:dyDescent="0.35">
      <c r="A2851">
        <v>2864</v>
      </c>
      <c r="B2851" t="s">
        <v>9117</v>
      </c>
      <c r="C2851" t="s">
        <v>9393</v>
      </c>
      <c r="D2851" t="s">
        <v>9118</v>
      </c>
      <c r="E2851" t="s">
        <v>7219</v>
      </c>
      <c r="F2851" t="s">
        <v>4363</v>
      </c>
      <c r="G2851" t="s">
        <v>9119</v>
      </c>
      <c r="H2851" t="s">
        <v>553</v>
      </c>
      <c r="I2851" t="str">
        <f t="shared" si="176"/>
        <v>Future</v>
      </c>
      <c r="J2851" t="str">
        <f t="shared" si="177"/>
        <v>re</v>
      </c>
      <c r="K2851" t="str">
        <f t="shared" si="178"/>
        <v>Future</v>
      </c>
      <c r="L2851" t="str">
        <f t="shared" si="179"/>
        <v>Future</v>
      </c>
    </row>
    <row r="2852" spans="1:12" x14ac:dyDescent="0.35">
      <c r="A2852">
        <v>2865</v>
      </c>
      <c r="B2852" t="s">
        <v>9120</v>
      </c>
      <c r="C2852" t="s">
        <v>10750</v>
      </c>
      <c r="D2852" t="s">
        <v>9121</v>
      </c>
      <c r="E2852" t="s">
        <v>115</v>
      </c>
      <c r="F2852" t="s">
        <v>4363</v>
      </c>
      <c r="G2852" t="s">
        <v>4938</v>
      </c>
      <c r="H2852" t="s">
        <v>9122</v>
      </c>
      <c r="I2852" t="str">
        <f t="shared" si="176"/>
        <v>Future</v>
      </c>
      <c r="J2852" t="str">
        <f t="shared" si="177"/>
        <v>re</v>
      </c>
      <c r="K2852" t="str">
        <f t="shared" si="178"/>
        <v>Future</v>
      </c>
      <c r="L2852" t="str">
        <f t="shared" si="179"/>
        <v>Future</v>
      </c>
    </row>
    <row r="2853" spans="1:12" x14ac:dyDescent="0.35">
      <c r="A2853">
        <v>2866</v>
      </c>
      <c r="B2853" t="s">
        <v>9123</v>
      </c>
      <c r="C2853" t="s">
        <v>10750</v>
      </c>
      <c r="D2853" t="s">
        <v>9124</v>
      </c>
      <c r="E2853" t="s">
        <v>115</v>
      </c>
      <c r="F2853" t="s">
        <v>4363</v>
      </c>
      <c r="G2853" t="s">
        <v>4938</v>
      </c>
      <c r="H2853" t="s">
        <v>9125</v>
      </c>
      <c r="I2853" t="str">
        <f t="shared" si="176"/>
        <v>Future</v>
      </c>
      <c r="J2853" t="str">
        <f t="shared" si="177"/>
        <v>re</v>
      </c>
      <c r="K2853" t="str">
        <f t="shared" si="178"/>
        <v>Future</v>
      </c>
      <c r="L2853" t="str">
        <f t="shared" si="179"/>
        <v>Future</v>
      </c>
    </row>
    <row r="2854" spans="1:12" x14ac:dyDescent="0.35">
      <c r="A2854">
        <v>2867</v>
      </c>
      <c r="B2854" t="s">
        <v>9126</v>
      </c>
      <c r="C2854" t="s">
        <v>10544</v>
      </c>
      <c r="D2854" t="s">
        <v>9127</v>
      </c>
      <c r="E2854" t="s">
        <v>115</v>
      </c>
      <c r="F2854" t="s">
        <v>4363</v>
      </c>
      <c r="G2854" t="s">
        <v>4938</v>
      </c>
      <c r="H2854" t="s">
        <v>9128</v>
      </c>
      <c r="I2854" t="str">
        <f t="shared" si="176"/>
        <v>Future</v>
      </c>
      <c r="J2854" t="str">
        <f t="shared" si="177"/>
        <v>re</v>
      </c>
      <c r="K2854" t="str">
        <f t="shared" si="178"/>
        <v>Future</v>
      </c>
      <c r="L2854" t="str">
        <f t="shared" si="179"/>
        <v>Future</v>
      </c>
    </row>
    <row r="2855" spans="1:12" x14ac:dyDescent="0.35">
      <c r="A2855">
        <v>2868</v>
      </c>
      <c r="B2855" t="s">
        <v>9129</v>
      </c>
      <c r="C2855" t="s">
        <v>10750</v>
      </c>
      <c r="D2855" t="s">
        <v>9130</v>
      </c>
      <c r="E2855" t="s">
        <v>115</v>
      </c>
      <c r="F2855" t="s">
        <v>4363</v>
      </c>
      <c r="G2855" t="s">
        <v>4938</v>
      </c>
      <c r="H2855" t="s">
        <v>9131</v>
      </c>
      <c r="I2855" t="str">
        <f t="shared" si="176"/>
        <v>Future</v>
      </c>
      <c r="J2855" t="str">
        <f t="shared" si="177"/>
        <v>re</v>
      </c>
      <c r="K2855" t="str">
        <f t="shared" si="178"/>
        <v>Future</v>
      </c>
      <c r="L2855" t="str">
        <f t="shared" si="179"/>
        <v>Future</v>
      </c>
    </row>
    <row r="2856" spans="1:12" x14ac:dyDescent="0.35">
      <c r="A2856">
        <v>2869</v>
      </c>
      <c r="B2856" t="s">
        <v>9132</v>
      </c>
      <c r="C2856" t="s">
        <v>10540</v>
      </c>
      <c r="D2856" t="s">
        <v>9133</v>
      </c>
      <c r="E2856" t="s">
        <v>7219</v>
      </c>
      <c r="F2856" t="s">
        <v>4363</v>
      </c>
      <c r="G2856" t="s">
        <v>9134</v>
      </c>
      <c r="H2856" t="s">
        <v>9135</v>
      </c>
      <c r="I2856" t="str">
        <f t="shared" si="176"/>
        <v>Future</v>
      </c>
      <c r="J2856" t="str">
        <f t="shared" si="177"/>
        <v>re</v>
      </c>
      <c r="K2856" t="str">
        <f t="shared" si="178"/>
        <v>Future</v>
      </c>
      <c r="L2856" t="str">
        <f t="shared" si="179"/>
        <v>Future</v>
      </c>
    </row>
    <row r="2857" spans="1:12" x14ac:dyDescent="0.35">
      <c r="A2857">
        <v>2870</v>
      </c>
      <c r="B2857" t="s">
        <v>9136</v>
      </c>
      <c r="C2857" t="s">
        <v>10544</v>
      </c>
      <c r="D2857" t="s">
        <v>9137</v>
      </c>
      <c r="E2857" t="s">
        <v>115</v>
      </c>
      <c r="F2857" t="s">
        <v>4363</v>
      </c>
      <c r="G2857" t="s">
        <v>9138</v>
      </c>
      <c r="H2857" t="s">
        <v>9139</v>
      </c>
      <c r="I2857" t="str">
        <f t="shared" si="176"/>
        <v>Future</v>
      </c>
      <c r="J2857" t="str">
        <f t="shared" si="177"/>
        <v>re</v>
      </c>
      <c r="K2857" t="str">
        <f t="shared" si="178"/>
        <v>Future</v>
      </c>
      <c r="L2857" t="str">
        <f t="shared" si="179"/>
        <v>Future</v>
      </c>
    </row>
    <row r="2858" spans="1:12" x14ac:dyDescent="0.35">
      <c r="A2858">
        <v>2871</v>
      </c>
      <c r="B2858" t="s">
        <v>9140</v>
      </c>
      <c r="C2858" t="s">
        <v>10544</v>
      </c>
      <c r="D2858" t="s">
        <v>9141</v>
      </c>
      <c r="E2858" t="s">
        <v>115</v>
      </c>
      <c r="F2858" t="s">
        <v>4363</v>
      </c>
      <c r="G2858" t="s">
        <v>9142</v>
      </c>
      <c r="H2858" t="s">
        <v>9143</v>
      </c>
      <c r="I2858" t="str">
        <f t="shared" si="176"/>
        <v>Future</v>
      </c>
      <c r="J2858" t="str">
        <f t="shared" si="177"/>
        <v>re</v>
      </c>
      <c r="K2858" t="str">
        <f t="shared" si="178"/>
        <v>Future</v>
      </c>
      <c r="L2858" t="str">
        <f t="shared" si="179"/>
        <v>Future</v>
      </c>
    </row>
    <row r="2859" spans="1:12" x14ac:dyDescent="0.35">
      <c r="A2859">
        <v>2872</v>
      </c>
      <c r="B2859" t="s">
        <v>9144</v>
      </c>
      <c r="C2859" t="s">
        <v>10606</v>
      </c>
      <c r="D2859" t="s">
        <v>9145</v>
      </c>
      <c r="E2859" t="s">
        <v>115</v>
      </c>
      <c r="F2859" t="s">
        <v>4363</v>
      </c>
      <c r="G2859" t="s">
        <v>9146</v>
      </c>
      <c r="H2859" t="s">
        <v>9147</v>
      </c>
      <c r="I2859" t="str">
        <f t="shared" si="176"/>
        <v>Future</v>
      </c>
      <c r="J2859" t="str">
        <f t="shared" si="177"/>
        <v>re</v>
      </c>
      <c r="K2859" t="str">
        <f t="shared" si="178"/>
        <v>Future</v>
      </c>
      <c r="L2859" t="str">
        <f t="shared" si="179"/>
        <v>Future</v>
      </c>
    </row>
    <row r="2860" spans="1:12" x14ac:dyDescent="0.35">
      <c r="A2860">
        <v>2873</v>
      </c>
      <c r="B2860" t="s">
        <v>9148</v>
      </c>
      <c r="C2860" t="s">
        <v>10540</v>
      </c>
      <c r="D2860" t="s">
        <v>9149</v>
      </c>
      <c r="E2860" t="s">
        <v>115</v>
      </c>
      <c r="F2860" t="s">
        <v>4363</v>
      </c>
      <c r="G2860" t="s">
        <v>9150</v>
      </c>
      <c r="H2860" t="s">
        <v>9151</v>
      </c>
      <c r="I2860" t="str">
        <f t="shared" si="176"/>
        <v>Future</v>
      </c>
      <c r="J2860" t="str">
        <f t="shared" si="177"/>
        <v>re</v>
      </c>
      <c r="K2860" t="str">
        <f t="shared" si="178"/>
        <v>Future</v>
      </c>
      <c r="L2860" t="str">
        <f t="shared" si="179"/>
        <v>Future</v>
      </c>
    </row>
    <row r="2861" spans="1:12" x14ac:dyDescent="0.35">
      <c r="A2861">
        <v>2874</v>
      </c>
      <c r="B2861" t="s">
        <v>9152</v>
      </c>
      <c r="C2861" t="s">
        <v>10690</v>
      </c>
      <c r="D2861" t="s">
        <v>9153</v>
      </c>
      <c r="E2861" t="s">
        <v>115</v>
      </c>
      <c r="F2861" t="s">
        <v>4363</v>
      </c>
      <c r="G2861" t="s">
        <v>9146</v>
      </c>
      <c r="H2861" t="s">
        <v>9154</v>
      </c>
      <c r="I2861" t="str">
        <f t="shared" si="176"/>
        <v>Future</v>
      </c>
      <c r="J2861" t="str">
        <f t="shared" si="177"/>
        <v>re</v>
      </c>
      <c r="K2861" t="str">
        <f t="shared" si="178"/>
        <v>Future</v>
      </c>
      <c r="L2861" t="str">
        <f t="shared" si="179"/>
        <v>Future</v>
      </c>
    </row>
    <row r="2862" spans="1:12" x14ac:dyDescent="0.35">
      <c r="A2862">
        <v>2875</v>
      </c>
      <c r="B2862" t="s">
        <v>9155</v>
      </c>
      <c r="C2862" t="s">
        <v>10640</v>
      </c>
      <c r="D2862" t="s">
        <v>9156</v>
      </c>
      <c r="E2862" t="s">
        <v>115</v>
      </c>
      <c r="F2862" t="s">
        <v>4363</v>
      </c>
      <c r="G2862" t="s">
        <v>9055</v>
      </c>
      <c r="H2862" t="s">
        <v>9157</v>
      </c>
      <c r="I2862" t="str">
        <f t="shared" si="176"/>
        <v>Future</v>
      </c>
      <c r="J2862" t="str">
        <f t="shared" si="177"/>
        <v>re</v>
      </c>
      <c r="K2862" t="str">
        <f t="shared" si="178"/>
        <v>Future</v>
      </c>
      <c r="L2862" t="str">
        <f t="shared" si="179"/>
        <v>Future</v>
      </c>
    </row>
    <row r="2863" spans="1:12" x14ac:dyDescent="0.35">
      <c r="A2863">
        <v>2876</v>
      </c>
      <c r="B2863" t="s">
        <v>9158</v>
      </c>
      <c r="C2863" t="s">
        <v>9813</v>
      </c>
      <c r="D2863" t="s">
        <v>9159</v>
      </c>
      <c r="E2863" t="s">
        <v>1211</v>
      </c>
      <c r="F2863" t="s">
        <v>4363</v>
      </c>
      <c r="G2863" t="s">
        <v>9160</v>
      </c>
      <c r="H2863" t="s">
        <v>9161</v>
      </c>
      <c r="I2863" t="str">
        <f t="shared" si="176"/>
        <v>Future</v>
      </c>
      <c r="J2863" t="str">
        <f t="shared" si="177"/>
        <v>re</v>
      </c>
      <c r="K2863" t="str">
        <f t="shared" si="178"/>
        <v>Future</v>
      </c>
      <c r="L2863" t="str">
        <f t="shared" si="179"/>
        <v>Future</v>
      </c>
    </row>
    <row r="2864" spans="1:12" x14ac:dyDescent="0.35">
      <c r="A2864">
        <v>2877</v>
      </c>
      <c r="B2864" t="s">
        <v>9162</v>
      </c>
      <c r="C2864" t="s">
        <v>10733</v>
      </c>
      <c r="D2864" t="s">
        <v>9163</v>
      </c>
      <c r="E2864" t="s">
        <v>1211</v>
      </c>
      <c r="F2864" t="s">
        <v>4363</v>
      </c>
      <c r="G2864" t="s">
        <v>9160</v>
      </c>
      <c r="H2864" t="s">
        <v>9164</v>
      </c>
      <c r="I2864" t="str">
        <f t="shared" si="176"/>
        <v>Future</v>
      </c>
      <c r="J2864" t="str">
        <f t="shared" si="177"/>
        <v>re</v>
      </c>
      <c r="K2864" t="str">
        <f t="shared" si="178"/>
        <v>Future</v>
      </c>
      <c r="L2864" t="str">
        <f t="shared" si="179"/>
        <v>Future</v>
      </c>
    </row>
    <row r="2865" spans="1:12" x14ac:dyDescent="0.35">
      <c r="A2865">
        <v>2878</v>
      </c>
      <c r="B2865" t="s">
        <v>9165</v>
      </c>
      <c r="C2865" t="s">
        <v>10750</v>
      </c>
      <c r="D2865" t="s">
        <v>9166</v>
      </c>
      <c r="E2865" t="s">
        <v>1211</v>
      </c>
      <c r="F2865" t="s">
        <v>4363</v>
      </c>
      <c r="G2865" t="s">
        <v>53</v>
      </c>
      <c r="H2865" t="s">
        <v>9167</v>
      </c>
      <c r="I2865" t="str">
        <f t="shared" si="176"/>
        <v>Future</v>
      </c>
      <c r="J2865" t="str">
        <f t="shared" si="177"/>
        <v>re</v>
      </c>
      <c r="K2865" t="str">
        <f t="shared" si="178"/>
        <v>Future</v>
      </c>
      <c r="L2865" t="str">
        <f t="shared" si="179"/>
        <v>Future</v>
      </c>
    </row>
    <row r="2866" spans="1:12" x14ac:dyDescent="0.35">
      <c r="A2866">
        <v>2879</v>
      </c>
      <c r="B2866" t="s">
        <v>9168</v>
      </c>
      <c r="C2866" t="s">
        <v>10711</v>
      </c>
      <c r="D2866" t="s">
        <v>9169</v>
      </c>
      <c r="E2866" t="s">
        <v>4371</v>
      </c>
      <c r="F2866" t="s">
        <v>4363</v>
      </c>
      <c r="G2866" t="s">
        <v>4938</v>
      </c>
      <c r="H2866" t="s">
        <v>9170</v>
      </c>
      <c r="I2866" t="str">
        <f t="shared" si="176"/>
        <v>Future</v>
      </c>
      <c r="J2866" t="str">
        <f t="shared" si="177"/>
        <v>re</v>
      </c>
      <c r="K2866" t="str">
        <f t="shared" si="178"/>
        <v>Future</v>
      </c>
      <c r="L2866" t="str">
        <f t="shared" si="179"/>
        <v>Future</v>
      </c>
    </row>
    <row r="2867" spans="1:12" x14ac:dyDescent="0.35">
      <c r="A2867">
        <v>2880</v>
      </c>
      <c r="B2867" t="s">
        <v>9171</v>
      </c>
      <c r="C2867" t="s">
        <v>10048</v>
      </c>
      <c r="D2867" t="s">
        <v>9172</v>
      </c>
      <c r="E2867" t="s">
        <v>7219</v>
      </c>
      <c r="F2867" t="s">
        <v>4363</v>
      </c>
      <c r="G2867" t="s">
        <v>53</v>
      </c>
      <c r="H2867" t="s">
        <v>9173</v>
      </c>
      <c r="I2867" t="str">
        <f t="shared" si="176"/>
        <v>Future</v>
      </c>
      <c r="J2867" t="str">
        <f t="shared" si="177"/>
        <v>re</v>
      </c>
      <c r="K2867" t="str">
        <f t="shared" si="178"/>
        <v>Future</v>
      </c>
      <c r="L2867" t="str">
        <f t="shared" si="179"/>
        <v>Future</v>
      </c>
    </row>
    <row r="2868" spans="1:12" x14ac:dyDescent="0.35">
      <c r="A2868">
        <v>2881</v>
      </c>
      <c r="B2868" t="s">
        <v>9174</v>
      </c>
      <c r="C2868" t="s">
        <v>10604</v>
      </c>
      <c r="D2868" t="s">
        <v>9175</v>
      </c>
      <c r="E2868" t="s">
        <v>7219</v>
      </c>
      <c r="F2868" t="s">
        <v>4363</v>
      </c>
      <c r="G2868" t="s">
        <v>9176</v>
      </c>
      <c r="H2868" t="s">
        <v>9177</v>
      </c>
      <c r="I2868" t="str">
        <f t="shared" ref="I2868:I2913" si="180">SUBSTITUTE(SUBSTITUTE(SUBSTITUTE(F2868,"c. ","")," BC","")," AD","")</f>
        <v>Future</v>
      </c>
      <c r="J2868" t="str">
        <f t="shared" si="177"/>
        <v>re</v>
      </c>
      <c r="K2868" t="str">
        <f t="shared" si="178"/>
        <v>Future</v>
      </c>
      <c r="L2868" t="str">
        <f t="shared" si="179"/>
        <v>Future</v>
      </c>
    </row>
    <row r="2869" spans="1:12" x14ac:dyDescent="0.35">
      <c r="A2869">
        <v>2882</v>
      </c>
      <c r="B2869" t="s">
        <v>9178</v>
      </c>
      <c r="C2869" t="s">
        <v>10569</v>
      </c>
      <c r="D2869" t="s">
        <v>9179</v>
      </c>
      <c r="E2869" t="s">
        <v>7219</v>
      </c>
      <c r="F2869" t="s">
        <v>4363</v>
      </c>
      <c r="G2869" t="s">
        <v>9180</v>
      </c>
      <c r="H2869" t="s">
        <v>9181</v>
      </c>
      <c r="I2869" t="str">
        <f t="shared" si="180"/>
        <v>Future</v>
      </c>
      <c r="J2869" t="str">
        <f t="shared" si="177"/>
        <v>re</v>
      </c>
      <c r="K2869" t="str">
        <f t="shared" si="178"/>
        <v>Future</v>
      </c>
      <c r="L2869" t="str">
        <f t="shared" si="179"/>
        <v>Future</v>
      </c>
    </row>
    <row r="2870" spans="1:12" x14ac:dyDescent="0.35">
      <c r="A2870">
        <v>2883</v>
      </c>
      <c r="B2870" t="s">
        <v>9182</v>
      </c>
      <c r="C2870" t="s">
        <v>10712</v>
      </c>
      <c r="D2870" t="s">
        <v>9183</v>
      </c>
      <c r="E2870" t="s">
        <v>7219</v>
      </c>
      <c r="F2870" t="s">
        <v>4363</v>
      </c>
      <c r="G2870" t="s">
        <v>9184</v>
      </c>
      <c r="H2870" t="s">
        <v>9185</v>
      </c>
      <c r="I2870" t="str">
        <f t="shared" si="180"/>
        <v>Future</v>
      </c>
      <c r="J2870" t="str">
        <f t="shared" si="177"/>
        <v>re</v>
      </c>
      <c r="K2870" t="str">
        <f t="shared" si="178"/>
        <v>Future</v>
      </c>
      <c r="L2870" t="str">
        <f t="shared" si="179"/>
        <v>Future</v>
      </c>
    </row>
    <row r="2871" spans="1:12" x14ac:dyDescent="0.35">
      <c r="A2871">
        <v>2884</v>
      </c>
      <c r="B2871" t="s">
        <v>9186</v>
      </c>
      <c r="C2871" t="s">
        <v>10713</v>
      </c>
      <c r="D2871" t="s">
        <v>9187</v>
      </c>
      <c r="E2871" t="s">
        <v>4371</v>
      </c>
      <c r="F2871" t="s">
        <v>4363</v>
      </c>
      <c r="G2871" t="s">
        <v>9180</v>
      </c>
      <c r="H2871" t="s">
        <v>9188</v>
      </c>
      <c r="I2871" t="str">
        <f t="shared" si="180"/>
        <v>Future</v>
      </c>
      <c r="J2871" t="str">
        <f t="shared" si="177"/>
        <v>re</v>
      </c>
      <c r="K2871" t="str">
        <f t="shared" si="178"/>
        <v>Future</v>
      </c>
      <c r="L2871" t="str">
        <f t="shared" si="179"/>
        <v>Future</v>
      </c>
    </row>
    <row r="2872" spans="1:12" x14ac:dyDescent="0.35">
      <c r="A2872">
        <v>2885</v>
      </c>
      <c r="B2872" t="s">
        <v>9189</v>
      </c>
      <c r="C2872" t="s">
        <v>10569</v>
      </c>
      <c r="D2872" t="s">
        <v>9190</v>
      </c>
      <c r="E2872" t="s">
        <v>115</v>
      </c>
      <c r="F2872" t="s">
        <v>4363</v>
      </c>
      <c r="G2872" t="s">
        <v>9191</v>
      </c>
      <c r="H2872" t="s">
        <v>9192</v>
      </c>
      <c r="I2872" t="str">
        <f t="shared" si="180"/>
        <v>Future</v>
      </c>
      <c r="J2872" t="str">
        <f t="shared" si="177"/>
        <v>re</v>
      </c>
      <c r="K2872" t="str">
        <f t="shared" si="178"/>
        <v>Future</v>
      </c>
      <c r="L2872" t="str">
        <f t="shared" si="179"/>
        <v>Future</v>
      </c>
    </row>
    <row r="2873" spans="1:12" x14ac:dyDescent="0.35">
      <c r="A2873">
        <v>2886</v>
      </c>
      <c r="B2873" t="s">
        <v>9193</v>
      </c>
      <c r="C2873" t="s">
        <v>10642</v>
      </c>
      <c r="D2873" t="s">
        <v>9194</v>
      </c>
      <c r="E2873" t="s">
        <v>115</v>
      </c>
      <c r="F2873" t="s">
        <v>4363</v>
      </c>
      <c r="G2873" t="s">
        <v>9195</v>
      </c>
      <c r="H2873" t="s">
        <v>9196</v>
      </c>
      <c r="I2873" t="str">
        <f t="shared" si="180"/>
        <v>Future</v>
      </c>
      <c r="J2873" t="str">
        <f t="shared" si="177"/>
        <v>re</v>
      </c>
      <c r="K2873" t="str">
        <f t="shared" si="178"/>
        <v>Future</v>
      </c>
      <c r="L2873" t="str">
        <f t="shared" si="179"/>
        <v>Future</v>
      </c>
    </row>
    <row r="2874" spans="1:12" x14ac:dyDescent="0.35">
      <c r="A2874">
        <v>2887</v>
      </c>
      <c r="B2874" t="s">
        <v>9197</v>
      </c>
      <c r="C2874" t="s">
        <v>10622</v>
      </c>
      <c r="D2874" t="s">
        <v>9198</v>
      </c>
      <c r="E2874" t="s">
        <v>5316</v>
      </c>
      <c r="F2874" t="s">
        <v>4363</v>
      </c>
      <c r="G2874" t="s">
        <v>9199</v>
      </c>
      <c r="H2874" t="s">
        <v>9200</v>
      </c>
      <c r="I2874" t="str">
        <f t="shared" si="180"/>
        <v>Future</v>
      </c>
      <c r="J2874" t="str">
        <f t="shared" si="177"/>
        <v>re</v>
      </c>
      <c r="K2874" t="str">
        <f t="shared" si="178"/>
        <v>Future</v>
      </c>
      <c r="L2874" t="str">
        <f t="shared" si="179"/>
        <v>Future</v>
      </c>
    </row>
    <row r="2875" spans="1:12" x14ac:dyDescent="0.35">
      <c r="A2875">
        <v>2888</v>
      </c>
      <c r="B2875" t="s">
        <v>9201</v>
      </c>
      <c r="C2875" t="s">
        <v>10540</v>
      </c>
      <c r="D2875" t="s">
        <v>9202</v>
      </c>
      <c r="E2875" t="s">
        <v>115</v>
      </c>
      <c r="F2875" t="s">
        <v>4363</v>
      </c>
      <c r="G2875" t="s">
        <v>4938</v>
      </c>
      <c r="H2875" t="s">
        <v>9203</v>
      </c>
      <c r="I2875" t="str">
        <f t="shared" si="180"/>
        <v>Future</v>
      </c>
      <c r="J2875" t="str">
        <f t="shared" si="177"/>
        <v>re</v>
      </c>
      <c r="K2875" t="str">
        <f t="shared" si="178"/>
        <v>Future</v>
      </c>
      <c r="L2875" t="str">
        <f t="shared" si="179"/>
        <v>Future</v>
      </c>
    </row>
    <row r="2876" spans="1:12" x14ac:dyDescent="0.35">
      <c r="A2876">
        <v>2889</v>
      </c>
      <c r="B2876" t="s">
        <v>9204</v>
      </c>
      <c r="C2876" t="s">
        <v>10711</v>
      </c>
      <c r="D2876" t="s">
        <v>9205</v>
      </c>
      <c r="E2876" t="s">
        <v>115</v>
      </c>
      <c r="F2876" t="s">
        <v>4363</v>
      </c>
      <c r="G2876" t="s">
        <v>207</v>
      </c>
      <c r="H2876" t="s">
        <v>9206</v>
      </c>
      <c r="I2876" t="str">
        <f t="shared" si="180"/>
        <v>Future</v>
      </c>
      <c r="J2876" t="str">
        <f t="shared" si="177"/>
        <v>re</v>
      </c>
      <c r="K2876" t="str">
        <f t="shared" si="178"/>
        <v>Future</v>
      </c>
      <c r="L2876" t="str">
        <f t="shared" si="179"/>
        <v>Future</v>
      </c>
    </row>
    <row r="2877" spans="1:12" x14ac:dyDescent="0.35">
      <c r="A2877">
        <v>2890</v>
      </c>
      <c r="B2877" t="s">
        <v>9207</v>
      </c>
      <c r="C2877" t="s">
        <v>10540</v>
      </c>
      <c r="D2877" t="s">
        <v>9208</v>
      </c>
      <c r="E2877" t="s">
        <v>7219</v>
      </c>
      <c r="F2877" t="s">
        <v>4363</v>
      </c>
      <c r="G2877" t="s">
        <v>9209</v>
      </c>
      <c r="H2877" t="s">
        <v>6146</v>
      </c>
      <c r="I2877" t="str">
        <f t="shared" si="180"/>
        <v>Future</v>
      </c>
      <c r="J2877" t="str">
        <f t="shared" si="177"/>
        <v>re</v>
      </c>
      <c r="K2877" t="str">
        <f t="shared" si="178"/>
        <v>Future</v>
      </c>
      <c r="L2877" t="str">
        <f t="shared" si="179"/>
        <v>Future</v>
      </c>
    </row>
    <row r="2878" spans="1:12" x14ac:dyDescent="0.35">
      <c r="A2878">
        <v>2891</v>
      </c>
      <c r="B2878" t="s">
        <v>9210</v>
      </c>
      <c r="C2878" t="s">
        <v>10714</v>
      </c>
      <c r="D2878" t="s">
        <v>9211</v>
      </c>
      <c r="E2878" t="s">
        <v>115</v>
      </c>
      <c r="F2878" t="s">
        <v>4363</v>
      </c>
      <c r="G2878" t="s">
        <v>4935</v>
      </c>
      <c r="H2878" t="s">
        <v>9212</v>
      </c>
      <c r="I2878" t="str">
        <f t="shared" si="180"/>
        <v>Future</v>
      </c>
      <c r="J2878" t="str">
        <f t="shared" si="177"/>
        <v>re</v>
      </c>
      <c r="K2878" t="str">
        <f t="shared" si="178"/>
        <v>Future</v>
      </c>
      <c r="L2878" t="str">
        <f t="shared" si="179"/>
        <v>Future</v>
      </c>
    </row>
    <row r="2879" spans="1:12" x14ac:dyDescent="0.35">
      <c r="A2879">
        <v>2892</v>
      </c>
      <c r="B2879" t="s">
        <v>9213</v>
      </c>
      <c r="C2879" t="s">
        <v>10544</v>
      </c>
      <c r="D2879" t="s">
        <v>9214</v>
      </c>
      <c r="E2879" t="s">
        <v>115</v>
      </c>
      <c r="F2879" t="s">
        <v>4363</v>
      </c>
      <c r="G2879" t="s">
        <v>4938</v>
      </c>
      <c r="H2879" t="s">
        <v>9215</v>
      </c>
      <c r="I2879" t="str">
        <f t="shared" si="180"/>
        <v>Future</v>
      </c>
      <c r="J2879" t="str">
        <f t="shared" si="177"/>
        <v>re</v>
      </c>
      <c r="K2879" t="str">
        <f t="shared" si="178"/>
        <v>Future</v>
      </c>
      <c r="L2879" t="str">
        <f t="shared" si="179"/>
        <v>Future</v>
      </c>
    </row>
    <row r="2880" spans="1:12" x14ac:dyDescent="0.35">
      <c r="A2880">
        <v>2893</v>
      </c>
      <c r="B2880" t="s">
        <v>9216</v>
      </c>
      <c r="C2880" t="s">
        <v>10622</v>
      </c>
      <c r="D2880" t="s">
        <v>9217</v>
      </c>
      <c r="E2880" t="s">
        <v>7219</v>
      </c>
      <c r="F2880" t="s">
        <v>4363</v>
      </c>
      <c r="G2880" t="s">
        <v>9119</v>
      </c>
      <c r="H2880" t="s">
        <v>9218</v>
      </c>
      <c r="I2880" t="str">
        <f t="shared" si="180"/>
        <v>Future</v>
      </c>
      <c r="J2880" t="str">
        <f t="shared" si="177"/>
        <v>re</v>
      </c>
      <c r="K2880" t="str">
        <f t="shared" si="178"/>
        <v>Future</v>
      </c>
      <c r="L2880" t="str">
        <f t="shared" si="179"/>
        <v>Future</v>
      </c>
    </row>
    <row r="2881" spans="1:12" x14ac:dyDescent="0.35">
      <c r="A2881">
        <v>2894</v>
      </c>
      <c r="B2881" t="s">
        <v>9219</v>
      </c>
      <c r="C2881" t="s">
        <v>10544</v>
      </c>
      <c r="D2881" t="s">
        <v>9220</v>
      </c>
      <c r="E2881" t="s">
        <v>115</v>
      </c>
      <c r="F2881" t="s">
        <v>4363</v>
      </c>
      <c r="G2881" t="s">
        <v>4938</v>
      </c>
      <c r="H2881" t="s">
        <v>9221</v>
      </c>
      <c r="I2881" t="str">
        <f t="shared" si="180"/>
        <v>Future</v>
      </c>
      <c r="J2881" t="str">
        <f t="shared" si="177"/>
        <v>re</v>
      </c>
      <c r="K2881" t="str">
        <f t="shared" si="178"/>
        <v>Future</v>
      </c>
      <c r="L2881" t="str">
        <f t="shared" si="179"/>
        <v>Future</v>
      </c>
    </row>
    <row r="2882" spans="1:12" x14ac:dyDescent="0.35">
      <c r="A2882">
        <v>2895</v>
      </c>
      <c r="B2882" t="s">
        <v>9222</v>
      </c>
      <c r="C2882" t="s">
        <v>10750</v>
      </c>
      <c r="D2882" t="s">
        <v>9223</v>
      </c>
      <c r="E2882" t="s">
        <v>115</v>
      </c>
      <c r="F2882" t="s">
        <v>4363</v>
      </c>
      <c r="G2882" t="s">
        <v>4938</v>
      </c>
      <c r="H2882" t="s">
        <v>9224</v>
      </c>
      <c r="I2882" t="str">
        <f t="shared" si="180"/>
        <v>Future</v>
      </c>
      <c r="J2882" t="str">
        <f t="shared" ref="J2882:J2913" si="181">RIGHT(F2882, 2)</f>
        <v>re</v>
      </c>
      <c r="K2882" t="str">
        <f t="shared" ref="K2882:K2945" si="182">IF(J2882="BC", 0-IF(ISERROR(FIND("-",I2882)),I2882,LEFT(I2882,FIND("-",I2882)-1)), IF(ISERROR(FIND("-",I2882)),I2882,LEFT(I2882,FIND("-",I2882)-1)))</f>
        <v>Future</v>
      </c>
      <c r="L2882" t="str">
        <f t="shared" ref="L2882:L2913" si="183">IF(J2882="BC", 0-IF(ISERROR(FIND("-",I2882)),I2882,RIGHT(I2882,FIND("-",I2882)-1)), IF(ISERROR(FIND("-",I2882)),I2882,RIGHT(I2882,FIND("-",I2882)-1)))</f>
        <v>Future</v>
      </c>
    </row>
    <row r="2883" spans="1:12" x14ac:dyDescent="0.35">
      <c r="A2883">
        <v>2896</v>
      </c>
      <c r="B2883" t="s">
        <v>9225</v>
      </c>
      <c r="C2883" t="s">
        <v>10750</v>
      </c>
      <c r="D2883" t="s">
        <v>9226</v>
      </c>
      <c r="E2883" t="s">
        <v>115</v>
      </c>
      <c r="F2883" t="s">
        <v>4363</v>
      </c>
      <c r="G2883" t="s">
        <v>4938</v>
      </c>
      <c r="H2883" t="s">
        <v>9224</v>
      </c>
      <c r="I2883" t="str">
        <f t="shared" si="180"/>
        <v>Future</v>
      </c>
      <c r="J2883" t="str">
        <f t="shared" si="181"/>
        <v>re</v>
      </c>
      <c r="K2883" t="str">
        <f t="shared" si="182"/>
        <v>Future</v>
      </c>
      <c r="L2883" t="str">
        <f t="shared" si="183"/>
        <v>Future</v>
      </c>
    </row>
    <row r="2884" spans="1:12" x14ac:dyDescent="0.35">
      <c r="A2884">
        <v>2897</v>
      </c>
      <c r="B2884" t="s">
        <v>9227</v>
      </c>
      <c r="C2884" t="s">
        <v>10750</v>
      </c>
      <c r="D2884" t="s">
        <v>9228</v>
      </c>
      <c r="E2884" t="s">
        <v>115</v>
      </c>
      <c r="F2884" t="s">
        <v>4363</v>
      </c>
      <c r="G2884" t="s">
        <v>4938</v>
      </c>
      <c r="H2884" t="s">
        <v>9229</v>
      </c>
      <c r="I2884" t="str">
        <f t="shared" si="180"/>
        <v>Future</v>
      </c>
      <c r="J2884" t="str">
        <f t="shared" si="181"/>
        <v>re</v>
      </c>
      <c r="K2884" t="str">
        <f t="shared" si="182"/>
        <v>Future</v>
      </c>
      <c r="L2884" t="str">
        <f t="shared" si="183"/>
        <v>Future</v>
      </c>
    </row>
    <row r="2885" spans="1:12" x14ac:dyDescent="0.35">
      <c r="A2885">
        <v>2898</v>
      </c>
      <c r="B2885" t="s">
        <v>9230</v>
      </c>
      <c r="C2885" t="s">
        <v>10544</v>
      </c>
      <c r="D2885" t="s">
        <v>9231</v>
      </c>
      <c r="E2885" t="s">
        <v>115</v>
      </c>
      <c r="F2885" t="s">
        <v>4363</v>
      </c>
      <c r="G2885" t="s">
        <v>4938</v>
      </c>
      <c r="H2885" t="s">
        <v>9232</v>
      </c>
      <c r="I2885" t="str">
        <f t="shared" si="180"/>
        <v>Future</v>
      </c>
      <c r="J2885" t="str">
        <f t="shared" si="181"/>
        <v>re</v>
      </c>
      <c r="K2885" t="str">
        <f t="shared" si="182"/>
        <v>Future</v>
      </c>
      <c r="L2885" t="str">
        <f t="shared" si="183"/>
        <v>Future</v>
      </c>
    </row>
    <row r="2886" spans="1:12" x14ac:dyDescent="0.35">
      <c r="A2886">
        <v>2899</v>
      </c>
      <c r="B2886" t="s">
        <v>9233</v>
      </c>
      <c r="C2886" t="s">
        <v>10732</v>
      </c>
      <c r="D2886" t="s">
        <v>9234</v>
      </c>
      <c r="E2886" t="s">
        <v>115</v>
      </c>
      <c r="F2886" t="s">
        <v>4363</v>
      </c>
      <c r="G2886" t="s">
        <v>4938</v>
      </c>
      <c r="H2886" t="s">
        <v>9235</v>
      </c>
      <c r="I2886" t="str">
        <f t="shared" si="180"/>
        <v>Future</v>
      </c>
      <c r="J2886" t="str">
        <f t="shared" si="181"/>
        <v>re</v>
      </c>
      <c r="K2886" t="str">
        <f t="shared" si="182"/>
        <v>Future</v>
      </c>
      <c r="L2886" t="str">
        <f t="shared" si="183"/>
        <v>Future</v>
      </c>
    </row>
    <row r="2887" spans="1:12" x14ac:dyDescent="0.35">
      <c r="A2887">
        <v>2900</v>
      </c>
      <c r="B2887" t="s">
        <v>9236</v>
      </c>
      <c r="C2887" t="s">
        <v>10642</v>
      </c>
      <c r="D2887" t="s">
        <v>9237</v>
      </c>
      <c r="E2887" t="s">
        <v>115</v>
      </c>
      <c r="F2887" t="s">
        <v>4363</v>
      </c>
      <c r="G2887" t="s">
        <v>9238</v>
      </c>
      <c r="H2887" t="s">
        <v>9239</v>
      </c>
      <c r="I2887" t="str">
        <f t="shared" si="180"/>
        <v>Future</v>
      </c>
      <c r="J2887" t="str">
        <f t="shared" si="181"/>
        <v>re</v>
      </c>
      <c r="K2887" t="str">
        <f t="shared" si="182"/>
        <v>Future</v>
      </c>
      <c r="L2887" t="str">
        <f t="shared" si="183"/>
        <v>Future</v>
      </c>
    </row>
    <row r="2888" spans="1:12" x14ac:dyDescent="0.35">
      <c r="A2888">
        <v>2901</v>
      </c>
      <c r="B2888" t="s">
        <v>9240</v>
      </c>
      <c r="C2888" t="s">
        <v>10750</v>
      </c>
      <c r="D2888" t="s">
        <v>9241</v>
      </c>
      <c r="E2888" t="s">
        <v>115</v>
      </c>
      <c r="F2888" t="s">
        <v>4363</v>
      </c>
      <c r="G2888" t="s">
        <v>4938</v>
      </c>
      <c r="H2888" t="s">
        <v>9242</v>
      </c>
      <c r="I2888" t="str">
        <f t="shared" si="180"/>
        <v>Future</v>
      </c>
      <c r="J2888" t="str">
        <f t="shared" si="181"/>
        <v>re</v>
      </c>
      <c r="K2888" t="str">
        <f t="shared" si="182"/>
        <v>Future</v>
      </c>
      <c r="L2888" t="str">
        <f t="shared" si="183"/>
        <v>Future</v>
      </c>
    </row>
    <row r="2889" spans="1:12" x14ac:dyDescent="0.35">
      <c r="A2889">
        <v>2902</v>
      </c>
      <c r="B2889" t="s">
        <v>9243</v>
      </c>
      <c r="C2889" t="s">
        <v>10622</v>
      </c>
      <c r="D2889" t="s">
        <v>9244</v>
      </c>
      <c r="E2889" t="s">
        <v>337</v>
      </c>
      <c r="F2889" t="s">
        <v>4363</v>
      </c>
      <c r="G2889" t="s">
        <v>4938</v>
      </c>
      <c r="H2889" t="s">
        <v>9245</v>
      </c>
      <c r="I2889" t="str">
        <f t="shared" si="180"/>
        <v>Future</v>
      </c>
      <c r="J2889" t="str">
        <f t="shared" si="181"/>
        <v>re</v>
      </c>
      <c r="K2889" t="str">
        <f t="shared" si="182"/>
        <v>Future</v>
      </c>
      <c r="L2889" t="str">
        <f t="shared" si="183"/>
        <v>Future</v>
      </c>
    </row>
    <row r="2890" spans="1:12" x14ac:dyDescent="0.35">
      <c r="A2890">
        <v>2903</v>
      </c>
      <c r="B2890" t="s">
        <v>9246</v>
      </c>
      <c r="C2890" t="s">
        <v>10711</v>
      </c>
      <c r="D2890" t="s">
        <v>9247</v>
      </c>
      <c r="E2890" t="s">
        <v>115</v>
      </c>
      <c r="F2890" t="s">
        <v>4363</v>
      </c>
      <c r="G2890" t="s">
        <v>4938</v>
      </c>
      <c r="H2890" t="s">
        <v>9206</v>
      </c>
      <c r="I2890" t="str">
        <f t="shared" si="180"/>
        <v>Future</v>
      </c>
      <c r="J2890" t="str">
        <f t="shared" si="181"/>
        <v>re</v>
      </c>
      <c r="K2890" t="str">
        <f t="shared" si="182"/>
        <v>Future</v>
      </c>
      <c r="L2890" t="str">
        <f t="shared" si="183"/>
        <v>Future</v>
      </c>
    </row>
    <row r="2891" spans="1:12" x14ac:dyDescent="0.35">
      <c r="A2891">
        <v>2904</v>
      </c>
      <c r="B2891" t="s">
        <v>9248</v>
      </c>
      <c r="C2891" t="s">
        <v>10540</v>
      </c>
      <c r="D2891" t="s">
        <v>9249</v>
      </c>
      <c r="E2891" t="s">
        <v>7219</v>
      </c>
      <c r="F2891" t="s">
        <v>4363</v>
      </c>
      <c r="G2891" t="s">
        <v>9250</v>
      </c>
      <c r="H2891" t="s">
        <v>9251</v>
      </c>
      <c r="I2891" t="str">
        <f t="shared" si="180"/>
        <v>Future</v>
      </c>
      <c r="J2891" t="str">
        <f t="shared" si="181"/>
        <v>re</v>
      </c>
      <c r="K2891" t="str">
        <f t="shared" si="182"/>
        <v>Future</v>
      </c>
      <c r="L2891" t="str">
        <f t="shared" si="183"/>
        <v>Future</v>
      </c>
    </row>
    <row r="2892" spans="1:12" x14ac:dyDescent="0.35">
      <c r="A2892">
        <v>2905</v>
      </c>
      <c r="B2892" t="s">
        <v>9252</v>
      </c>
      <c r="C2892" t="s">
        <v>10544</v>
      </c>
      <c r="D2892" t="s">
        <v>9253</v>
      </c>
      <c r="E2892" t="s">
        <v>115</v>
      </c>
      <c r="F2892" t="s">
        <v>4363</v>
      </c>
      <c r="G2892" t="s">
        <v>53</v>
      </c>
      <c r="H2892" t="s">
        <v>9254</v>
      </c>
      <c r="I2892" t="str">
        <f t="shared" si="180"/>
        <v>Future</v>
      </c>
      <c r="J2892" t="str">
        <f t="shared" si="181"/>
        <v>re</v>
      </c>
      <c r="K2892" t="str">
        <f t="shared" si="182"/>
        <v>Future</v>
      </c>
      <c r="L2892" t="str">
        <f t="shared" si="183"/>
        <v>Future</v>
      </c>
    </row>
    <row r="2893" spans="1:12" x14ac:dyDescent="0.35">
      <c r="A2893">
        <v>2906</v>
      </c>
      <c r="B2893" t="s">
        <v>9255</v>
      </c>
      <c r="C2893" t="s">
        <v>10604</v>
      </c>
      <c r="D2893" t="s">
        <v>9256</v>
      </c>
      <c r="E2893" t="s">
        <v>115</v>
      </c>
      <c r="F2893" t="s">
        <v>4363</v>
      </c>
      <c r="G2893" t="s">
        <v>4938</v>
      </c>
      <c r="H2893" t="s">
        <v>9257</v>
      </c>
      <c r="I2893" t="str">
        <f t="shared" si="180"/>
        <v>Future</v>
      </c>
      <c r="J2893" t="str">
        <f t="shared" si="181"/>
        <v>re</v>
      </c>
      <c r="K2893" t="str">
        <f t="shared" si="182"/>
        <v>Future</v>
      </c>
      <c r="L2893" t="str">
        <f t="shared" si="183"/>
        <v>Future</v>
      </c>
    </row>
    <row r="2894" spans="1:12" x14ac:dyDescent="0.35">
      <c r="A2894">
        <v>2907</v>
      </c>
      <c r="B2894" t="s">
        <v>9258</v>
      </c>
      <c r="C2894" t="s">
        <v>10688</v>
      </c>
      <c r="D2894" t="s">
        <v>9259</v>
      </c>
      <c r="E2894" t="s">
        <v>7219</v>
      </c>
      <c r="F2894" t="s">
        <v>4363</v>
      </c>
      <c r="G2894" t="s">
        <v>9260</v>
      </c>
      <c r="H2894" t="s">
        <v>9261</v>
      </c>
      <c r="I2894" t="str">
        <f t="shared" si="180"/>
        <v>Future</v>
      </c>
      <c r="J2894" t="str">
        <f t="shared" si="181"/>
        <v>re</v>
      </c>
      <c r="K2894" t="str">
        <f t="shared" si="182"/>
        <v>Future</v>
      </c>
      <c r="L2894" t="str">
        <f t="shared" si="183"/>
        <v>Future</v>
      </c>
    </row>
    <row r="2895" spans="1:12" x14ac:dyDescent="0.35">
      <c r="A2895">
        <v>2908</v>
      </c>
      <c r="B2895" t="s">
        <v>9262</v>
      </c>
      <c r="C2895" t="s">
        <v>10569</v>
      </c>
      <c r="D2895" t="s">
        <v>9263</v>
      </c>
      <c r="E2895" t="s">
        <v>7219</v>
      </c>
      <c r="F2895" t="s">
        <v>4363</v>
      </c>
      <c r="G2895" t="s">
        <v>7392</v>
      </c>
      <c r="H2895" t="s">
        <v>9264</v>
      </c>
      <c r="I2895" t="str">
        <f t="shared" si="180"/>
        <v>Future</v>
      </c>
      <c r="J2895" t="str">
        <f t="shared" si="181"/>
        <v>re</v>
      </c>
      <c r="K2895" t="str">
        <f t="shared" si="182"/>
        <v>Future</v>
      </c>
      <c r="L2895" t="str">
        <f t="shared" si="183"/>
        <v>Future</v>
      </c>
    </row>
    <row r="2896" spans="1:12" x14ac:dyDescent="0.35">
      <c r="A2896">
        <v>2909</v>
      </c>
      <c r="B2896" t="s">
        <v>9265</v>
      </c>
      <c r="C2896" t="s">
        <v>10711</v>
      </c>
      <c r="D2896" t="s">
        <v>9266</v>
      </c>
      <c r="E2896" t="s">
        <v>115</v>
      </c>
      <c r="F2896" t="s">
        <v>4363</v>
      </c>
      <c r="G2896" t="s">
        <v>4938</v>
      </c>
      <c r="H2896" t="s">
        <v>9267</v>
      </c>
      <c r="I2896" t="str">
        <f t="shared" si="180"/>
        <v>Future</v>
      </c>
      <c r="J2896" t="str">
        <f t="shared" si="181"/>
        <v>re</v>
      </c>
      <c r="K2896" t="str">
        <f t="shared" si="182"/>
        <v>Future</v>
      </c>
      <c r="L2896" t="str">
        <f t="shared" si="183"/>
        <v>Future</v>
      </c>
    </row>
    <row r="2897" spans="1:12" x14ac:dyDescent="0.35">
      <c r="A2897">
        <v>2910</v>
      </c>
      <c r="B2897" t="s">
        <v>9268</v>
      </c>
      <c r="C2897" t="s">
        <v>10544</v>
      </c>
      <c r="D2897" t="s">
        <v>9269</v>
      </c>
      <c r="E2897" t="s">
        <v>115</v>
      </c>
      <c r="F2897" t="s">
        <v>4363</v>
      </c>
      <c r="G2897" t="s">
        <v>7392</v>
      </c>
      <c r="H2897" t="s">
        <v>9270</v>
      </c>
      <c r="I2897" t="str">
        <f t="shared" si="180"/>
        <v>Future</v>
      </c>
      <c r="J2897" t="str">
        <f t="shared" si="181"/>
        <v>re</v>
      </c>
      <c r="K2897" t="str">
        <f t="shared" si="182"/>
        <v>Future</v>
      </c>
      <c r="L2897" t="str">
        <f t="shared" si="183"/>
        <v>Future</v>
      </c>
    </row>
    <row r="2898" spans="1:12" x14ac:dyDescent="0.35">
      <c r="A2898">
        <v>2911</v>
      </c>
      <c r="B2898" t="s">
        <v>9271</v>
      </c>
      <c r="C2898" t="s">
        <v>10715</v>
      </c>
      <c r="D2898" t="s">
        <v>9272</v>
      </c>
      <c r="E2898" t="s">
        <v>115</v>
      </c>
      <c r="F2898" t="s">
        <v>4363</v>
      </c>
      <c r="G2898" t="s">
        <v>4938</v>
      </c>
      <c r="H2898" t="s">
        <v>9273</v>
      </c>
      <c r="I2898" t="str">
        <f t="shared" si="180"/>
        <v>Future</v>
      </c>
      <c r="J2898" t="str">
        <f t="shared" si="181"/>
        <v>re</v>
      </c>
      <c r="K2898" t="str">
        <f t="shared" si="182"/>
        <v>Future</v>
      </c>
      <c r="L2898" t="str">
        <f t="shared" si="183"/>
        <v>Future</v>
      </c>
    </row>
    <row r="2899" spans="1:12" x14ac:dyDescent="0.35">
      <c r="A2899">
        <v>2912</v>
      </c>
      <c r="B2899" t="s">
        <v>9274</v>
      </c>
      <c r="C2899" t="s">
        <v>10733</v>
      </c>
      <c r="D2899" t="s">
        <v>9275</v>
      </c>
      <c r="E2899" t="s">
        <v>9276</v>
      </c>
      <c r="F2899" t="s">
        <v>4363</v>
      </c>
      <c r="G2899" t="s">
        <v>53</v>
      </c>
      <c r="H2899" t="s">
        <v>9277</v>
      </c>
      <c r="I2899" t="str">
        <f t="shared" si="180"/>
        <v>Future</v>
      </c>
      <c r="J2899" t="str">
        <f t="shared" si="181"/>
        <v>re</v>
      </c>
      <c r="K2899" t="str">
        <f t="shared" si="182"/>
        <v>Future</v>
      </c>
      <c r="L2899" t="str">
        <f t="shared" si="183"/>
        <v>Future</v>
      </c>
    </row>
    <row r="2900" spans="1:12" x14ac:dyDescent="0.35">
      <c r="A2900">
        <v>2913</v>
      </c>
      <c r="B2900" t="s">
        <v>9278</v>
      </c>
      <c r="C2900" t="s">
        <v>10642</v>
      </c>
      <c r="D2900" t="s">
        <v>9279</v>
      </c>
      <c r="E2900" t="s">
        <v>115</v>
      </c>
      <c r="F2900" t="s">
        <v>4363</v>
      </c>
      <c r="G2900" t="s">
        <v>2407</v>
      </c>
      <c r="H2900" t="s">
        <v>9280</v>
      </c>
      <c r="I2900" t="str">
        <f t="shared" si="180"/>
        <v>Future</v>
      </c>
      <c r="J2900" t="str">
        <f t="shared" si="181"/>
        <v>re</v>
      </c>
      <c r="K2900" t="str">
        <f t="shared" si="182"/>
        <v>Future</v>
      </c>
      <c r="L2900" t="str">
        <f t="shared" si="183"/>
        <v>Future</v>
      </c>
    </row>
    <row r="2901" spans="1:12" x14ac:dyDescent="0.35">
      <c r="A2901">
        <v>2914</v>
      </c>
      <c r="B2901" t="s">
        <v>9281</v>
      </c>
      <c r="C2901" t="s">
        <v>10544</v>
      </c>
      <c r="D2901" t="s">
        <v>9282</v>
      </c>
      <c r="E2901" t="s">
        <v>115</v>
      </c>
      <c r="F2901" t="s">
        <v>4363</v>
      </c>
      <c r="G2901" t="s">
        <v>53</v>
      </c>
      <c r="H2901" t="s">
        <v>9283</v>
      </c>
      <c r="I2901" t="str">
        <f t="shared" si="180"/>
        <v>Future</v>
      </c>
      <c r="J2901" t="str">
        <f t="shared" si="181"/>
        <v>re</v>
      </c>
      <c r="K2901" t="str">
        <f t="shared" si="182"/>
        <v>Future</v>
      </c>
      <c r="L2901" t="str">
        <f t="shared" si="183"/>
        <v>Future</v>
      </c>
    </row>
    <row r="2902" spans="1:12" x14ac:dyDescent="0.35">
      <c r="A2902">
        <v>2915</v>
      </c>
      <c r="B2902" t="s">
        <v>9284</v>
      </c>
      <c r="C2902" t="s">
        <v>10544</v>
      </c>
      <c r="D2902" t="s">
        <v>9285</v>
      </c>
      <c r="E2902" t="s">
        <v>9286</v>
      </c>
      <c r="F2902" t="s">
        <v>4363</v>
      </c>
      <c r="G2902" t="s">
        <v>53</v>
      </c>
      <c r="H2902" t="s">
        <v>9287</v>
      </c>
      <c r="I2902" t="str">
        <f t="shared" si="180"/>
        <v>Future</v>
      </c>
      <c r="J2902" t="str">
        <f t="shared" si="181"/>
        <v>re</v>
      </c>
      <c r="K2902" t="str">
        <f t="shared" si="182"/>
        <v>Future</v>
      </c>
      <c r="L2902" t="str">
        <f t="shared" si="183"/>
        <v>Future</v>
      </c>
    </row>
    <row r="2903" spans="1:12" x14ac:dyDescent="0.35">
      <c r="A2903">
        <v>2916</v>
      </c>
      <c r="B2903" t="s">
        <v>9288</v>
      </c>
      <c r="C2903" t="s">
        <v>10544</v>
      </c>
      <c r="D2903" t="s">
        <v>9289</v>
      </c>
      <c r="E2903" t="s">
        <v>9290</v>
      </c>
      <c r="F2903" t="s">
        <v>4363</v>
      </c>
      <c r="G2903" t="s">
        <v>53</v>
      </c>
      <c r="H2903" t="s">
        <v>9291</v>
      </c>
      <c r="I2903" t="str">
        <f t="shared" si="180"/>
        <v>Future</v>
      </c>
      <c r="J2903" t="str">
        <f t="shared" si="181"/>
        <v>re</v>
      </c>
      <c r="K2903" t="str">
        <f t="shared" si="182"/>
        <v>Future</v>
      </c>
      <c r="L2903" t="str">
        <f t="shared" si="183"/>
        <v>Future</v>
      </c>
    </row>
    <row r="2904" spans="1:12" x14ac:dyDescent="0.35">
      <c r="A2904">
        <v>2917</v>
      </c>
      <c r="B2904" t="s">
        <v>9292</v>
      </c>
      <c r="C2904" t="s">
        <v>10733</v>
      </c>
      <c r="D2904" t="s">
        <v>9293</v>
      </c>
      <c r="E2904" t="s">
        <v>9290</v>
      </c>
      <c r="F2904" t="s">
        <v>4363</v>
      </c>
      <c r="G2904" t="s">
        <v>53</v>
      </c>
      <c r="H2904" t="s">
        <v>9294</v>
      </c>
      <c r="I2904" t="str">
        <f t="shared" si="180"/>
        <v>Future</v>
      </c>
      <c r="J2904" t="str">
        <f t="shared" si="181"/>
        <v>re</v>
      </c>
      <c r="K2904" t="str">
        <f t="shared" si="182"/>
        <v>Future</v>
      </c>
      <c r="L2904" t="str">
        <f t="shared" si="183"/>
        <v>Future</v>
      </c>
    </row>
    <row r="2905" spans="1:12" x14ac:dyDescent="0.35">
      <c r="A2905">
        <v>2918</v>
      </c>
      <c r="B2905" t="s">
        <v>9295</v>
      </c>
      <c r="C2905" t="s">
        <v>10739</v>
      </c>
      <c r="D2905" t="s">
        <v>9296</v>
      </c>
      <c r="E2905" t="s">
        <v>9297</v>
      </c>
      <c r="F2905" t="s">
        <v>4363</v>
      </c>
      <c r="G2905" t="s">
        <v>53</v>
      </c>
      <c r="H2905" t="s">
        <v>9298</v>
      </c>
      <c r="I2905" t="str">
        <f t="shared" si="180"/>
        <v>Future</v>
      </c>
      <c r="J2905" t="str">
        <f t="shared" si="181"/>
        <v>re</v>
      </c>
      <c r="K2905" t="str">
        <f t="shared" si="182"/>
        <v>Future</v>
      </c>
      <c r="L2905" t="str">
        <f t="shared" si="183"/>
        <v>Future</v>
      </c>
    </row>
    <row r="2906" spans="1:12" x14ac:dyDescent="0.35">
      <c r="A2906">
        <v>2919</v>
      </c>
      <c r="B2906" t="s">
        <v>9299</v>
      </c>
      <c r="C2906" t="s">
        <v>10716</v>
      </c>
      <c r="D2906" t="s">
        <v>9300</v>
      </c>
      <c r="E2906" t="s">
        <v>9301</v>
      </c>
      <c r="F2906" t="s">
        <v>4363</v>
      </c>
      <c r="G2906" t="s">
        <v>53</v>
      </c>
      <c r="H2906" t="s">
        <v>9302</v>
      </c>
      <c r="I2906" t="str">
        <f t="shared" si="180"/>
        <v>Future</v>
      </c>
      <c r="J2906" t="str">
        <f t="shared" si="181"/>
        <v>re</v>
      </c>
      <c r="K2906" t="str">
        <f t="shared" si="182"/>
        <v>Future</v>
      </c>
      <c r="L2906" t="str">
        <f t="shared" si="183"/>
        <v>Future</v>
      </c>
    </row>
    <row r="2907" spans="1:12" x14ac:dyDescent="0.35">
      <c r="A2907">
        <v>2920</v>
      </c>
      <c r="B2907" t="s">
        <v>9303</v>
      </c>
      <c r="C2907" t="s">
        <v>10540</v>
      </c>
      <c r="D2907" t="s">
        <v>9304</v>
      </c>
      <c r="E2907" t="s">
        <v>9297</v>
      </c>
      <c r="F2907" t="s">
        <v>4363</v>
      </c>
      <c r="G2907" t="s">
        <v>53</v>
      </c>
      <c r="H2907" t="s">
        <v>9305</v>
      </c>
      <c r="I2907" t="str">
        <f t="shared" si="180"/>
        <v>Future</v>
      </c>
      <c r="J2907" t="str">
        <f t="shared" si="181"/>
        <v>re</v>
      </c>
      <c r="K2907" t="str">
        <f t="shared" si="182"/>
        <v>Future</v>
      </c>
      <c r="L2907" t="str">
        <f t="shared" si="183"/>
        <v>Future</v>
      </c>
    </row>
    <row r="2908" spans="1:12" x14ac:dyDescent="0.35">
      <c r="A2908">
        <v>2921</v>
      </c>
      <c r="B2908" t="s">
        <v>9306</v>
      </c>
      <c r="C2908" t="s">
        <v>10038</v>
      </c>
      <c r="D2908" t="s">
        <v>9307</v>
      </c>
      <c r="E2908" t="s">
        <v>4426</v>
      </c>
      <c r="F2908" t="s">
        <v>4363</v>
      </c>
      <c r="G2908" t="s">
        <v>53</v>
      </c>
      <c r="H2908" t="s">
        <v>9308</v>
      </c>
      <c r="I2908" t="str">
        <f t="shared" si="180"/>
        <v>Future</v>
      </c>
      <c r="J2908" t="str">
        <f t="shared" si="181"/>
        <v>re</v>
      </c>
      <c r="K2908" t="str">
        <f t="shared" si="182"/>
        <v>Future</v>
      </c>
      <c r="L2908" t="str">
        <f t="shared" si="183"/>
        <v>Future</v>
      </c>
    </row>
    <row r="2909" spans="1:12" x14ac:dyDescent="0.35">
      <c r="A2909">
        <v>2922</v>
      </c>
      <c r="B2909" t="s">
        <v>9309</v>
      </c>
      <c r="C2909" t="s">
        <v>10038</v>
      </c>
      <c r="D2909" t="s">
        <v>9310</v>
      </c>
      <c r="E2909" t="s">
        <v>4426</v>
      </c>
      <c r="F2909" t="s">
        <v>4363</v>
      </c>
      <c r="G2909" t="s">
        <v>53</v>
      </c>
      <c r="H2909" t="s">
        <v>9311</v>
      </c>
      <c r="I2909" t="str">
        <f t="shared" si="180"/>
        <v>Future</v>
      </c>
      <c r="J2909" t="str">
        <f t="shared" si="181"/>
        <v>re</v>
      </c>
      <c r="K2909" t="str">
        <f t="shared" si="182"/>
        <v>Future</v>
      </c>
      <c r="L2909" t="str">
        <f t="shared" si="183"/>
        <v>Future</v>
      </c>
    </row>
    <row r="2910" spans="1:12" x14ac:dyDescent="0.35">
      <c r="A2910">
        <v>2923</v>
      </c>
      <c r="B2910" t="s">
        <v>9312</v>
      </c>
      <c r="C2910" t="s">
        <v>10513</v>
      </c>
      <c r="D2910" t="s">
        <v>9313</v>
      </c>
      <c r="E2910" t="s">
        <v>4426</v>
      </c>
      <c r="F2910" t="s">
        <v>4363</v>
      </c>
      <c r="G2910" t="s">
        <v>53</v>
      </c>
      <c r="H2910" t="s">
        <v>9314</v>
      </c>
      <c r="I2910" t="str">
        <f t="shared" si="180"/>
        <v>Future</v>
      </c>
      <c r="J2910" t="str">
        <f t="shared" si="181"/>
        <v>re</v>
      </c>
      <c r="K2910" t="str">
        <f t="shared" si="182"/>
        <v>Future</v>
      </c>
      <c r="L2910" t="str">
        <f t="shared" si="183"/>
        <v>Future</v>
      </c>
    </row>
    <row r="2911" spans="1:12" x14ac:dyDescent="0.35">
      <c r="A2911">
        <v>2924</v>
      </c>
      <c r="B2911" t="s">
        <v>9315</v>
      </c>
      <c r="C2911" t="s">
        <v>10048</v>
      </c>
      <c r="D2911" t="s">
        <v>9316</v>
      </c>
      <c r="E2911" t="s">
        <v>9038</v>
      </c>
      <c r="F2911" t="s">
        <v>9039</v>
      </c>
      <c r="G2911" t="s">
        <v>4938</v>
      </c>
      <c r="H2911" t="s">
        <v>9317</v>
      </c>
      <c r="I2911" t="str">
        <f t="shared" si="180"/>
        <v>95</v>
      </c>
      <c r="J2911" t="str">
        <f t="shared" si="181"/>
        <v>AD</v>
      </c>
      <c r="K2911" t="str">
        <f t="shared" si="182"/>
        <v>95</v>
      </c>
      <c r="L2911" t="str">
        <f t="shared" si="183"/>
        <v>95</v>
      </c>
    </row>
    <row r="2912" spans="1:12" x14ac:dyDescent="0.35">
      <c r="A2912">
        <v>2925</v>
      </c>
      <c r="B2912" t="s">
        <v>9318</v>
      </c>
      <c r="C2912" t="s">
        <v>9456</v>
      </c>
      <c r="D2912" t="s">
        <v>9319</v>
      </c>
      <c r="E2912" t="s">
        <v>9038</v>
      </c>
      <c r="F2912" t="s">
        <v>9039</v>
      </c>
      <c r="G2912" t="s">
        <v>7392</v>
      </c>
      <c r="H2912" t="s">
        <v>9320</v>
      </c>
      <c r="I2912" t="str">
        <f t="shared" si="180"/>
        <v>95</v>
      </c>
      <c r="J2912" t="str">
        <f t="shared" si="181"/>
        <v>AD</v>
      </c>
      <c r="K2912" t="str">
        <f t="shared" si="182"/>
        <v>95</v>
      </c>
      <c r="L2912" t="str">
        <f t="shared" si="183"/>
        <v>95</v>
      </c>
    </row>
    <row r="2913" spans="1:12" x14ac:dyDescent="0.35">
      <c r="A2913">
        <v>2926</v>
      </c>
      <c r="B2913" t="s">
        <v>9321</v>
      </c>
      <c r="C2913" t="s">
        <v>10717</v>
      </c>
      <c r="D2913" t="s">
        <v>9322</v>
      </c>
      <c r="E2913" t="s">
        <v>9038</v>
      </c>
      <c r="F2913" t="s">
        <v>9039</v>
      </c>
      <c r="G2913" t="s">
        <v>9323</v>
      </c>
      <c r="H2913" t="s">
        <v>9324</v>
      </c>
      <c r="I2913" t="str">
        <f t="shared" si="180"/>
        <v>95</v>
      </c>
      <c r="J2913" t="str">
        <f t="shared" si="181"/>
        <v>AD</v>
      </c>
      <c r="K2913" t="str">
        <f t="shared" si="182"/>
        <v>95</v>
      </c>
      <c r="L2913" t="str">
        <f t="shared" si="183"/>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0DAD7-8155-4F4F-92F7-051A92A56A60}">
  <dimension ref="A1:C64"/>
  <sheetViews>
    <sheetView topLeftCell="A10" workbookViewId="0">
      <selection activeCell="B27" sqref="B27"/>
    </sheetView>
  </sheetViews>
  <sheetFormatPr defaultRowHeight="14.5" x14ac:dyDescent="0.35"/>
  <cols>
    <col min="1" max="1" width="69.36328125" bestFit="1" customWidth="1"/>
    <col min="2" max="2" width="20.90625" bestFit="1" customWidth="1"/>
    <col min="3" max="3" width="22.1796875" bestFit="1" customWidth="1"/>
  </cols>
  <sheetData>
    <row r="1" spans="1:3" x14ac:dyDescent="0.35">
      <c r="A1" s="6" t="s">
        <v>12558</v>
      </c>
      <c r="B1" s="31" t="s">
        <v>12657</v>
      </c>
      <c r="C1" s="6" t="s">
        <v>12559</v>
      </c>
    </row>
    <row r="2" spans="1:3" x14ac:dyDescent="0.35">
      <c r="A2" s="6" t="s">
        <v>12560</v>
      </c>
      <c r="B2" s="31" t="s">
        <v>12657</v>
      </c>
      <c r="C2" s="6" t="s">
        <v>12561</v>
      </c>
    </row>
    <row r="3" spans="1:3" x14ac:dyDescent="0.35">
      <c r="A3" s="6" t="s">
        <v>12562</v>
      </c>
      <c r="B3" s="6" t="s">
        <v>12563</v>
      </c>
      <c r="C3" s="6" t="s">
        <v>12561</v>
      </c>
    </row>
    <row r="4" spans="1:3" x14ac:dyDescent="0.35">
      <c r="A4" s="6" t="s">
        <v>12564</v>
      </c>
      <c r="B4" s="6" t="s">
        <v>12565</v>
      </c>
      <c r="C4" s="6" t="s">
        <v>12561</v>
      </c>
    </row>
    <row r="5" spans="1:3" x14ac:dyDescent="0.35">
      <c r="A5" s="6" t="s">
        <v>12566</v>
      </c>
      <c r="B5" s="6" t="s">
        <v>12567</v>
      </c>
      <c r="C5" s="6" t="s">
        <v>12561</v>
      </c>
    </row>
    <row r="6" spans="1:3" x14ac:dyDescent="0.35">
      <c r="A6" s="6" t="s">
        <v>12568</v>
      </c>
      <c r="B6" s="6" t="s">
        <v>12569</v>
      </c>
      <c r="C6" s="6" t="s">
        <v>12561</v>
      </c>
    </row>
    <row r="7" spans="1:3" x14ac:dyDescent="0.35">
      <c r="A7" s="6" t="s">
        <v>12570</v>
      </c>
      <c r="B7" s="6" t="s">
        <v>12571</v>
      </c>
      <c r="C7" s="6" t="s">
        <v>12561</v>
      </c>
    </row>
    <row r="8" spans="1:3" x14ac:dyDescent="0.35">
      <c r="A8" s="6" t="s">
        <v>12572</v>
      </c>
      <c r="B8" s="6" t="s">
        <v>12573</v>
      </c>
      <c r="C8" s="6" t="s">
        <v>12561</v>
      </c>
    </row>
    <row r="9" spans="1:3" x14ac:dyDescent="0.35">
      <c r="A9" s="6" t="s">
        <v>12574</v>
      </c>
      <c r="B9" s="6" t="s">
        <v>12575</v>
      </c>
      <c r="C9" s="6" t="s">
        <v>12561</v>
      </c>
    </row>
    <row r="10" spans="1:3" x14ac:dyDescent="0.35">
      <c r="A10" s="6" t="s">
        <v>12576</v>
      </c>
      <c r="B10" s="6" t="s">
        <v>12577</v>
      </c>
      <c r="C10" s="6" t="s">
        <v>12561</v>
      </c>
    </row>
    <row r="11" spans="1:3" x14ac:dyDescent="0.35">
      <c r="A11" s="6" t="s">
        <v>12578</v>
      </c>
      <c r="B11" s="6" t="s">
        <v>12579</v>
      </c>
      <c r="C11" s="6" t="s">
        <v>12561</v>
      </c>
    </row>
    <row r="12" spans="1:3" x14ac:dyDescent="0.35">
      <c r="A12" s="6" t="s">
        <v>168</v>
      </c>
      <c r="B12" s="6" t="s">
        <v>12580</v>
      </c>
      <c r="C12" s="6" t="s">
        <v>12581</v>
      </c>
    </row>
    <row r="13" spans="1:3" x14ac:dyDescent="0.35">
      <c r="A13" s="6" t="s">
        <v>12582</v>
      </c>
      <c r="B13" s="6" t="s">
        <v>12580</v>
      </c>
      <c r="C13" s="6" t="s">
        <v>12583</v>
      </c>
    </row>
    <row r="14" spans="1:3" x14ac:dyDescent="0.35">
      <c r="A14" s="6" t="s">
        <v>12584</v>
      </c>
      <c r="B14" s="6" t="s">
        <v>12585</v>
      </c>
      <c r="C14" s="6" t="s">
        <v>12586</v>
      </c>
    </row>
    <row r="15" spans="1:3" x14ac:dyDescent="0.35">
      <c r="A15" s="6" t="s">
        <v>12587</v>
      </c>
      <c r="B15" s="6" t="s">
        <v>12588</v>
      </c>
      <c r="C15" s="6" t="s">
        <v>12586</v>
      </c>
    </row>
    <row r="16" spans="1:3" x14ac:dyDescent="0.35">
      <c r="A16" s="6" t="s">
        <v>12589</v>
      </c>
      <c r="B16" s="6" t="s">
        <v>12590</v>
      </c>
      <c r="C16" s="6" t="s">
        <v>12586</v>
      </c>
    </row>
    <row r="17" spans="1:3" x14ac:dyDescent="0.35">
      <c r="A17" s="6" t="s">
        <v>12591</v>
      </c>
      <c r="B17" s="6" t="s">
        <v>12592</v>
      </c>
      <c r="C17" s="6" t="s">
        <v>12586</v>
      </c>
    </row>
    <row r="18" spans="1:3" x14ac:dyDescent="0.35">
      <c r="A18" s="6" t="s">
        <v>12593</v>
      </c>
      <c r="B18" s="6" t="s">
        <v>12594</v>
      </c>
      <c r="C18" s="6" t="s">
        <v>12586</v>
      </c>
    </row>
    <row r="19" spans="1:3" x14ac:dyDescent="0.35">
      <c r="A19" s="6" t="s">
        <v>12595</v>
      </c>
      <c r="B19" s="6" t="s">
        <v>12596</v>
      </c>
      <c r="C19" s="6" t="s">
        <v>12586</v>
      </c>
    </row>
    <row r="20" spans="1:3" x14ac:dyDescent="0.35">
      <c r="A20" s="6" t="s">
        <v>12597</v>
      </c>
      <c r="B20" s="6" t="s">
        <v>12598</v>
      </c>
      <c r="C20" s="6" t="s">
        <v>12586</v>
      </c>
    </row>
    <row r="21" spans="1:3" x14ac:dyDescent="0.35">
      <c r="A21" s="6" t="s">
        <v>12599</v>
      </c>
      <c r="B21" s="6" t="s">
        <v>12598</v>
      </c>
      <c r="C21" s="6" t="s">
        <v>12586</v>
      </c>
    </row>
    <row r="22" spans="1:3" x14ac:dyDescent="0.35">
      <c r="A22" s="6" t="s">
        <v>12600</v>
      </c>
      <c r="B22" s="6" t="s">
        <v>12601</v>
      </c>
      <c r="C22" s="6" t="s">
        <v>12586</v>
      </c>
    </row>
    <row r="23" spans="1:3" x14ac:dyDescent="0.35">
      <c r="A23" s="6" t="s">
        <v>12602</v>
      </c>
      <c r="B23" s="6" t="s">
        <v>12603</v>
      </c>
      <c r="C23" s="6" t="s">
        <v>12586</v>
      </c>
    </row>
    <row r="24" spans="1:3" x14ac:dyDescent="0.35">
      <c r="A24" s="6" t="s">
        <v>12604</v>
      </c>
      <c r="B24" s="6" t="s">
        <v>12658</v>
      </c>
      <c r="C24" s="6" t="s">
        <v>12586</v>
      </c>
    </row>
    <row r="25" spans="1:3" x14ac:dyDescent="0.35">
      <c r="A25" s="6" t="s">
        <v>12605</v>
      </c>
      <c r="B25" s="6" t="s">
        <v>12606</v>
      </c>
      <c r="C25" s="6" t="s">
        <v>12586</v>
      </c>
    </row>
    <row r="26" spans="1:3" x14ac:dyDescent="0.35">
      <c r="A26" s="6" t="s">
        <v>12607</v>
      </c>
      <c r="B26" s="6" t="s">
        <v>12608</v>
      </c>
      <c r="C26" s="6" t="s">
        <v>12586</v>
      </c>
    </row>
    <row r="27" spans="1:3" x14ac:dyDescent="0.35">
      <c r="A27" s="6" t="s">
        <v>12609</v>
      </c>
      <c r="B27" s="6" t="s">
        <v>12610</v>
      </c>
      <c r="C27" s="6" t="s">
        <v>12586</v>
      </c>
    </row>
    <row r="28" spans="1:3" x14ac:dyDescent="0.35">
      <c r="A28" s="6" t="s">
        <v>12611</v>
      </c>
      <c r="B28" s="6" t="s">
        <v>12612</v>
      </c>
      <c r="C28" s="6" t="s">
        <v>12613</v>
      </c>
    </row>
    <row r="29" spans="1:3" x14ac:dyDescent="0.35">
      <c r="A29" s="6" t="s">
        <v>12614</v>
      </c>
      <c r="B29" s="6" t="s">
        <v>12615</v>
      </c>
      <c r="C29" s="6" t="s">
        <v>12616</v>
      </c>
    </row>
    <row r="30" spans="1:3" x14ac:dyDescent="0.35">
      <c r="A30" s="6" t="s">
        <v>12617</v>
      </c>
      <c r="B30" s="6" t="s">
        <v>12615</v>
      </c>
      <c r="C30" s="6" t="s">
        <v>12616</v>
      </c>
    </row>
    <row r="31" spans="1:3" x14ac:dyDescent="0.35">
      <c r="A31" s="6" t="s">
        <v>12618</v>
      </c>
      <c r="B31" s="6" t="s">
        <v>12619</v>
      </c>
      <c r="C31" s="6" t="s">
        <v>12616</v>
      </c>
    </row>
    <row r="32" spans="1:3" x14ac:dyDescent="0.35">
      <c r="A32" s="6" t="s">
        <v>12620</v>
      </c>
      <c r="B32" s="6" t="s">
        <v>12621</v>
      </c>
      <c r="C32" s="6" t="s">
        <v>12616</v>
      </c>
    </row>
    <row r="33" spans="1:3" x14ac:dyDescent="0.35">
      <c r="A33" s="6" t="s">
        <v>12622</v>
      </c>
      <c r="B33" s="6" t="s">
        <v>12623</v>
      </c>
      <c r="C33" s="6" t="s">
        <v>12616</v>
      </c>
    </row>
    <row r="34" spans="1:3" x14ac:dyDescent="0.35">
      <c r="A34" s="6" t="s">
        <v>12624</v>
      </c>
      <c r="B34" s="6" t="s">
        <v>12625</v>
      </c>
      <c r="C34" s="6" t="s">
        <v>12616</v>
      </c>
    </row>
    <row r="35" spans="1:3" x14ac:dyDescent="0.35">
      <c r="A35" s="6" t="s">
        <v>12626</v>
      </c>
      <c r="B35" s="6" t="s">
        <v>12627</v>
      </c>
      <c r="C35" s="6" t="s">
        <v>12616</v>
      </c>
    </row>
    <row r="36" spans="1:3" x14ac:dyDescent="0.35">
      <c r="A36" s="6" t="s">
        <v>12628</v>
      </c>
      <c r="B36" s="6" t="s">
        <v>12629</v>
      </c>
      <c r="C36" s="6" t="s">
        <v>12630</v>
      </c>
    </row>
    <row r="37" spans="1:3" x14ac:dyDescent="0.35">
      <c r="A37" s="6" t="s">
        <v>12631</v>
      </c>
      <c r="B37" s="6" t="s">
        <v>12629</v>
      </c>
      <c r="C37" s="6" t="s">
        <v>12632</v>
      </c>
    </row>
    <row r="38" spans="1:3" x14ac:dyDescent="0.35">
      <c r="A38" s="6" t="s">
        <v>12633</v>
      </c>
      <c r="B38" s="6" t="s">
        <v>12634</v>
      </c>
      <c r="C38" s="6" t="s">
        <v>12635</v>
      </c>
    </row>
    <row r="39" spans="1:3" x14ac:dyDescent="0.35">
      <c r="A39" s="6" t="s">
        <v>12636</v>
      </c>
      <c r="B39" s="6" t="s">
        <v>12637</v>
      </c>
      <c r="C39" s="6" t="s">
        <v>12638</v>
      </c>
    </row>
    <row r="41" spans="1:3" x14ac:dyDescent="0.35">
      <c r="A41" s="1" t="s">
        <v>12639</v>
      </c>
    </row>
    <row r="43" spans="1:3" x14ac:dyDescent="0.35">
      <c r="A43" s="1" t="s">
        <v>12640</v>
      </c>
    </row>
    <row r="44" spans="1:3" x14ac:dyDescent="0.35">
      <c r="A44" s="4"/>
    </row>
    <row r="45" spans="1:3" x14ac:dyDescent="0.35">
      <c r="A45" s="20" t="s">
        <v>12641</v>
      </c>
    </row>
    <row r="46" spans="1:3" x14ac:dyDescent="0.35">
      <c r="A46" s="20" t="s">
        <v>12642</v>
      </c>
    </row>
    <row r="47" spans="1:3" x14ac:dyDescent="0.35">
      <c r="A47" s="20" t="s">
        <v>12643</v>
      </c>
    </row>
    <row r="48" spans="1:3" x14ac:dyDescent="0.35">
      <c r="A48" s="20" t="s">
        <v>12644</v>
      </c>
    </row>
    <row r="50" spans="1:1" x14ac:dyDescent="0.35">
      <c r="A50" s="1" t="s">
        <v>12645</v>
      </c>
    </row>
    <row r="51" spans="1:1" x14ac:dyDescent="0.35">
      <c r="A51" s="4"/>
    </row>
    <row r="52" spans="1:1" x14ac:dyDescent="0.35">
      <c r="A52" s="4" t="s">
        <v>12646</v>
      </c>
    </row>
    <row r="53" spans="1:1" x14ac:dyDescent="0.35">
      <c r="A53" s="4" t="s">
        <v>12647</v>
      </c>
    </row>
    <row r="54" spans="1:1" x14ac:dyDescent="0.35">
      <c r="A54" s="4" t="s">
        <v>12648</v>
      </c>
    </row>
    <row r="55" spans="1:1" x14ac:dyDescent="0.35">
      <c r="A55" s="4" t="s">
        <v>12649</v>
      </c>
    </row>
    <row r="56" spans="1:1" x14ac:dyDescent="0.35">
      <c r="A56" s="4" t="s">
        <v>12650</v>
      </c>
    </row>
    <row r="58" spans="1:1" x14ac:dyDescent="0.35">
      <c r="A58" s="1" t="s">
        <v>12651</v>
      </c>
    </row>
    <row r="59" spans="1:1" x14ac:dyDescent="0.35">
      <c r="A59" s="4"/>
    </row>
    <row r="60" spans="1:1" x14ac:dyDescent="0.35">
      <c r="A60" s="4" t="s">
        <v>12652</v>
      </c>
    </row>
    <row r="61" spans="1:1" x14ac:dyDescent="0.35">
      <c r="A61" s="4" t="s">
        <v>12653</v>
      </c>
    </row>
    <row r="62" spans="1:1" x14ac:dyDescent="0.35">
      <c r="A62" s="4" t="s">
        <v>12654</v>
      </c>
    </row>
    <row r="63" spans="1:1" x14ac:dyDescent="0.35">
      <c r="A63" s="4" t="s">
        <v>12655</v>
      </c>
    </row>
    <row r="64" spans="1:1" x14ac:dyDescent="0.35">
      <c r="A64" s="4" t="s">
        <v>12656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CA76A-57A9-4D0F-8013-491F6DCBEB58}">
  <sheetPr codeName="Sheet1"/>
  <dimension ref="A1"/>
  <sheetViews>
    <sheetView workbookViewId="0"/>
  </sheetViews>
  <sheetFormatPr defaultRowHeight="14.5" x14ac:dyDescent="0.35"/>
  <cols>
    <col min="1" max="1" width="31.1796875" bestFit="1" customWidth="1"/>
  </cols>
  <sheetData>
    <row r="1" spans="1:1" x14ac:dyDescent="0.35">
      <c r="A1" t="e" cm="1">
        <f t="array" ref="A1">_xlfn._xlws.SORT(_xlfn.UNIQUE(_xlfn._xlws.FILTER(acts_and_miracles!G:G, acts_and_miracles!#REF!&lt;=9)))</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48130-104E-4CD7-B6E8-E69A78895D83}">
  <dimension ref="A1:Y679"/>
  <sheetViews>
    <sheetView topLeftCell="A641" workbookViewId="0">
      <selection sqref="A1:L679"/>
    </sheetView>
  </sheetViews>
  <sheetFormatPr defaultRowHeight="14.5" x14ac:dyDescent="0.35"/>
  <cols>
    <col min="1" max="2" width="13.08984375" customWidth="1"/>
    <col min="3" max="3" width="12.90625" bestFit="1" customWidth="1"/>
    <col min="4" max="4" width="10" bestFit="1" customWidth="1"/>
    <col min="5" max="5" width="6.453125" bestFit="1" customWidth="1"/>
    <col min="6" max="6" width="6.81640625" bestFit="1" customWidth="1"/>
    <col min="7" max="7" width="10" bestFit="1" customWidth="1"/>
    <col min="8" max="8" width="7.6328125" bestFit="1" customWidth="1"/>
    <col min="9" max="9" width="7.90625" bestFit="1" customWidth="1"/>
    <col min="10" max="10" width="7.81640625" bestFit="1" customWidth="1"/>
    <col min="11" max="12" width="7.81640625" customWidth="1"/>
    <col min="13" max="13" width="3.6328125" style="32" customWidth="1"/>
    <col min="14" max="14" width="13.81640625" bestFit="1" customWidth="1"/>
    <col min="15" max="15" width="12.90625" bestFit="1" customWidth="1"/>
    <col min="16" max="16" width="10" bestFit="1" customWidth="1"/>
    <col min="25" max="25" width="17.54296875" bestFit="1" customWidth="1"/>
  </cols>
  <sheetData>
    <row r="1" spans="1:25" x14ac:dyDescent="0.35">
      <c r="A1" t="s">
        <v>12662</v>
      </c>
      <c r="C1" t="s">
        <v>12664</v>
      </c>
      <c r="D1" t="s">
        <v>12665</v>
      </c>
      <c r="E1" t="s">
        <v>12666</v>
      </c>
      <c r="F1" t="s">
        <v>12667</v>
      </c>
      <c r="G1" t="s">
        <v>12668</v>
      </c>
      <c r="H1" t="s">
        <v>12669</v>
      </c>
      <c r="I1" t="s">
        <v>12670</v>
      </c>
      <c r="J1" t="s">
        <v>12671</v>
      </c>
      <c r="K1" t="s">
        <v>12672</v>
      </c>
      <c r="L1" t="s">
        <v>12673</v>
      </c>
      <c r="N1" t="str" cm="1">
        <f t="array" ref="N1:N135">_xlfn._xlws.SORT(_xlfn.UNIQUE(_xlfn._xlws.FILTER(C:C,(C:C&lt;&gt;"")*(ROW(C:C)&gt;1))))</f>
        <v>Abundance</v>
      </c>
      <c r="O1" t="str" cm="1">
        <f t="array" ref="O1:O112">_xlfn._xlws.SORT(_xlfn.UNIQUE(_xlfn._xlws.FILTER(D:D,(D:D&lt;&gt;"")*(ROW(D:D)&gt;1))))</f>
        <v>Anger</v>
      </c>
      <c r="P1" t="str" cm="1">
        <f t="array" ref="P1:P28">_xlfn._xlws.SORT(_xlfn.UNIQUE(_xlfn._xlws.FILTER(E:E,(E:E&lt;&gt;"")*(ROW(E:E)&gt;1))))</f>
        <v>Anointing</v>
      </c>
      <c r="Q1" t="str" cm="1">
        <f t="array" ref="Q1:Q7">_xlfn._xlws.SORT(_xlfn.UNIQUE(_xlfn._xlws.FILTER(F:F,(F:F&lt;&gt;"")*(ROW(F:F)&gt;1))))</f>
        <v>Disowning</v>
      </c>
      <c r="R1" t="str" cm="1">
        <f t="array" ref="R1">_xlfn._xlws.SORT(_xlfn.UNIQUE(_xlfn._xlws.FILTER(G:G,(G:G&lt;&gt;"")*(ROW(G:G)&gt;1))))</f>
        <v>Smoke</v>
      </c>
      <c r="S1" t="str" cm="1">
        <f t="array" ref="S1">_xlfn._xlws.SORT(_xlfn.UNIQUE(_xlfn._xlws.FILTER(H:H,(H:H&lt;&gt;"")*(ROW(H:H)&gt;1))))</f>
        <v>Speech</v>
      </c>
      <c r="T1" t="str" cm="1">
        <f t="array" ref="T1">_xlfn._xlws.SORT(_xlfn.UNIQUE(_xlfn._xlws.FILTER(I:I,(I:I&lt;&gt;"")*(ROW(I:I)&gt;1))))</f>
        <v>Theophany</v>
      </c>
      <c r="U1" t="str" cm="1">
        <f t="array" ref="U1">_xlfn._xlws.SORT(_xlfn.UNIQUE(_xlfn._xlws.FILTER(J:J,(J:J&lt;&gt;"")*(ROW(J:J)&gt;1))))</f>
        <v>Thunder</v>
      </c>
      <c r="V1" t="str" cm="1">
        <f t="array" ref="V1">_xlfn._xlws.SORT(_xlfn.UNIQUE(_xlfn._xlws.FILTER(K:K,(K:K&lt;&gt;"")*(ROW(K:K)&gt;1))))</f>
        <v>Trumpet</v>
      </c>
      <c r="W1" t="str" cm="1">
        <f t="array" ref="W1">_xlfn._xlws.SORT(_xlfn.UNIQUE(_xlfn._xlws.FILTER(L:L,(L:L&lt;&gt;"")*(ROW(L:L)&gt;1))))</f>
        <v>Warning</v>
      </c>
      <c r="Y1" t="str" cm="1">
        <f t="array" ref="Y1:Y202">_xlfn._xlws.SORT(_xlfn.UNIQUE(_xlfn.VSTACK(_xlfn._xlws.FILTER(N:N, N:N&lt;&gt;""), _xlfn._xlws.FILTER(O:O, O:O&lt;&gt;""), _xlfn._xlws.FILTER(P:P, P:P&lt;&gt;""), _xlfn._xlws.FILTER(R:R, R:R&lt;&gt;""), _xlfn._xlws.FILTER(S:S, S:S&lt;&gt;""), _xlfn._xlws.FILTER(T:T, T:T&lt;&gt;""), _xlfn._xlws.FILTER(U:U, U:U&lt;&gt;""), _xlfn._xlws.FILTER(V:V, V:V&lt;&gt;""), _xlfn._xlws.FILTER(W:W, W:W&lt;&gt;""))))</f>
        <v>Abundance</v>
      </c>
    </row>
    <row r="2" spans="1:25" x14ac:dyDescent="0.35">
      <c r="A2">
        <v>1</v>
      </c>
      <c r="B2" t="s">
        <v>3653</v>
      </c>
      <c r="C2" t="str" cm="1">
        <f t="array" ref="C2">_xlfn.TEXTSPLIT(B2, "/")</f>
        <v>Creation</v>
      </c>
      <c r="N2" t="str">
        <v>Anger</v>
      </c>
      <c r="O2" t="str">
        <v>Anointing</v>
      </c>
      <c r="P2" t="str">
        <v>Answer</v>
      </c>
      <c r="Q2" t="str">
        <v>Guidance</v>
      </c>
      <c r="Y2" t="str">
        <v>Anger</v>
      </c>
    </row>
    <row r="3" spans="1:25" x14ac:dyDescent="0.35">
      <c r="A3">
        <v>2</v>
      </c>
      <c r="B3" t="s">
        <v>11105</v>
      </c>
      <c r="C3" t="str" cm="1">
        <f t="array" ref="C3:D3">_xlfn.TEXTSPLIT(B3, "/")</f>
        <v>Creation</v>
      </c>
      <c r="D3" t="str">
        <v>Speech</v>
      </c>
      <c r="N3" t="str">
        <v>Annunciation</v>
      </c>
      <c r="O3" t="str">
        <v>Appointment</v>
      </c>
      <c r="P3" t="str">
        <v>Cloud</v>
      </c>
      <c r="Q3" t="str">
        <v>Presence</v>
      </c>
      <c r="Y3" t="str">
        <v>Annunciation</v>
      </c>
    </row>
    <row r="4" spans="1:25" x14ac:dyDescent="0.35">
      <c r="A4">
        <v>3</v>
      </c>
      <c r="B4" t="s">
        <v>11105</v>
      </c>
      <c r="C4" t="str" cm="1">
        <f t="array" ref="C4:D4">_xlfn.TEXTSPLIT(B4, "/")</f>
        <v>Creation</v>
      </c>
      <c r="D4" t="str">
        <v>Speech</v>
      </c>
      <c r="N4" t="str">
        <v>Anointing</v>
      </c>
      <c r="O4" t="str">
        <v>Assurance</v>
      </c>
      <c r="P4" t="str">
        <v>Death</v>
      </c>
      <c r="Q4" t="str">
        <v>Prophecy</v>
      </c>
      <c r="Y4" t="str">
        <v>Anointing</v>
      </c>
    </row>
    <row r="5" spans="1:25" x14ac:dyDescent="0.35">
      <c r="A5">
        <v>4</v>
      </c>
      <c r="B5" t="s">
        <v>11105</v>
      </c>
      <c r="C5" t="str" cm="1">
        <f t="array" ref="C5:D5">_xlfn.TEXTSPLIT(B5, "/")</f>
        <v>Creation</v>
      </c>
      <c r="D5" t="str">
        <v>Speech</v>
      </c>
      <c r="N5" t="str">
        <v>Appearance</v>
      </c>
      <c r="O5" t="str">
        <v>Blessing</v>
      </c>
      <c r="P5" t="str">
        <v>Destruction</v>
      </c>
      <c r="Q5" t="str">
        <v>Speech</v>
      </c>
      <c r="Y5" t="str">
        <v>Answer</v>
      </c>
    </row>
    <row r="6" spans="1:25" x14ac:dyDescent="0.35">
      <c r="A6">
        <v>5</v>
      </c>
      <c r="B6" t="s">
        <v>11105</v>
      </c>
      <c r="C6" t="str" cm="1">
        <f t="array" ref="C6:D6">_xlfn.TEXTSPLIT(B6, "/")</f>
        <v>Creation</v>
      </c>
      <c r="D6" t="str">
        <v>Speech</v>
      </c>
      <c r="N6" t="str">
        <v>Appointment</v>
      </c>
      <c r="O6" t="str">
        <v>Choice</v>
      </c>
      <c r="P6" t="str">
        <v>Disowning</v>
      </c>
      <c r="Q6" t="str">
        <v>Theophany</v>
      </c>
      <c r="Y6" t="str">
        <v>Appearance</v>
      </c>
    </row>
    <row r="7" spans="1:25" x14ac:dyDescent="0.35">
      <c r="A7">
        <v>6</v>
      </c>
      <c r="B7" t="s">
        <v>11105</v>
      </c>
      <c r="C7" t="str" cm="1">
        <f t="array" ref="C7:D7">_xlfn.TEXTSPLIT(B7, "/")</f>
        <v>Creation</v>
      </c>
      <c r="D7" t="str">
        <v>Speech</v>
      </c>
      <c r="N7" t="str">
        <v>Assassination</v>
      </c>
      <c r="O7" t="str">
        <v>Civil</v>
      </c>
      <c r="P7" t="str">
        <v>Fire</v>
      </c>
      <c r="Q7" t="str">
        <v>Wind</v>
      </c>
      <c r="Y7" t="str">
        <v>Appointment</v>
      </c>
    </row>
    <row r="8" spans="1:25" x14ac:dyDescent="0.35">
      <c r="A8">
        <v>7</v>
      </c>
      <c r="B8" t="s">
        <v>11105</v>
      </c>
      <c r="C8" t="str" cm="1">
        <f t="array" ref="C8:D8">_xlfn.TEXTSPLIT(B8, "/")</f>
        <v>Creation</v>
      </c>
      <c r="D8" t="str">
        <v>Speech</v>
      </c>
      <c r="N8" t="str">
        <v>Assignment</v>
      </c>
      <c r="O8" t="str">
        <v>Cloud</v>
      </c>
      <c r="P8" t="str">
        <v>Fulfillment</v>
      </c>
      <c r="Y8" t="str">
        <v>Assassination</v>
      </c>
    </row>
    <row r="9" spans="1:25" x14ac:dyDescent="0.35">
      <c r="A9">
        <v>8</v>
      </c>
      <c r="B9" t="s">
        <v>11105</v>
      </c>
      <c r="C9" t="str" cm="1">
        <f t="array" ref="C9:D9">_xlfn.TEXTSPLIT(B9, "/")</f>
        <v>Creation</v>
      </c>
      <c r="D9" t="str">
        <v>Speech</v>
      </c>
      <c r="N9" t="str">
        <v>Assurance</v>
      </c>
      <c r="O9" t="str">
        <v>Command</v>
      </c>
      <c r="P9" t="str">
        <v>Guidance</v>
      </c>
      <c r="Y9" t="str">
        <v>Assignment</v>
      </c>
    </row>
    <row r="10" spans="1:25" x14ac:dyDescent="0.35">
      <c r="A10">
        <v>9</v>
      </c>
      <c r="B10" t="s">
        <v>11105</v>
      </c>
      <c r="C10" t="str" cm="1">
        <f t="array" ref="C10:D10">_xlfn.TEXTSPLIT(B10, "/")</f>
        <v>Creation</v>
      </c>
      <c r="D10" t="str">
        <v>Speech</v>
      </c>
      <c r="N10" t="str">
        <v>Atonement</v>
      </c>
      <c r="O10" t="str">
        <v>Consecration</v>
      </c>
      <c r="P10" t="str">
        <v>Judgment</v>
      </c>
      <c r="Y10" t="str">
        <v>Assurance</v>
      </c>
    </row>
    <row r="11" spans="1:25" x14ac:dyDescent="0.35">
      <c r="A11">
        <v>10</v>
      </c>
      <c r="B11" t="s">
        <v>11106</v>
      </c>
      <c r="C11" t="str" cm="1">
        <f t="array" ref="C11:D11">_xlfn.TEXTSPLIT(B11, "/")</f>
        <v>Blessing</v>
      </c>
      <c r="D11" t="str">
        <v>Speech</v>
      </c>
      <c r="N11" t="str">
        <v>Birth</v>
      </c>
      <c r="O11" t="str">
        <v>Covenant</v>
      </c>
      <c r="P11" t="str">
        <v>Lightning</v>
      </c>
      <c r="Y11" t="str">
        <v>Atonement</v>
      </c>
    </row>
    <row r="12" spans="1:25" x14ac:dyDescent="0.35">
      <c r="A12">
        <v>11</v>
      </c>
      <c r="B12" t="s">
        <v>3653</v>
      </c>
      <c r="C12" t="str" cm="1">
        <f t="array" ref="C12">_xlfn.TEXTSPLIT(B12, "/")</f>
        <v>Creation</v>
      </c>
      <c r="N12" t="str">
        <v>Blessing</v>
      </c>
      <c r="O12" t="str">
        <v>Curse</v>
      </c>
      <c r="P12" t="str">
        <v>Plague</v>
      </c>
      <c r="Y12" t="str">
        <v>Birth</v>
      </c>
    </row>
    <row r="13" spans="1:25" x14ac:dyDescent="0.35">
      <c r="A13">
        <v>12</v>
      </c>
      <c r="B13" t="s">
        <v>11107</v>
      </c>
      <c r="C13" t="str" cm="1">
        <f t="array" ref="C13:D13">_xlfn.TEXTSPLIT(B13, "/")</f>
        <v>Command</v>
      </c>
      <c r="D13" t="str">
        <v>Speech</v>
      </c>
      <c r="N13" t="str">
        <v>Boils</v>
      </c>
      <c r="O13" t="str">
        <v>Death</v>
      </c>
      <c r="P13" t="str">
        <v>Prayer</v>
      </c>
      <c r="Y13" t="str">
        <v>Blessing</v>
      </c>
    </row>
    <row r="14" spans="1:25" x14ac:dyDescent="0.35">
      <c r="A14">
        <v>13</v>
      </c>
      <c r="B14" t="s">
        <v>3653</v>
      </c>
      <c r="C14" t="str" cm="1">
        <f t="array" ref="C14">_xlfn.TEXTSPLIT(B14, "/")</f>
        <v>Creation</v>
      </c>
      <c r="N14" t="str">
        <v>Burial</v>
      </c>
      <c r="O14" t="str">
        <v>Defeat</v>
      </c>
      <c r="P14" t="str">
        <v>Presence</v>
      </c>
      <c r="Y14" t="str">
        <v>Boils</v>
      </c>
    </row>
    <row r="15" spans="1:25" x14ac:dyDescent="0.35">
      <c r="A15">
        <v>14</v>
      </c>
      <c r="B15" t="s">
        <v>11108</v>
      </c>
      <c r="C15" t="str" cm="1">
        <f t="array" ref="C15:D15">_xlfn.TEXTSPLIT(B15, "/")</f>
        <v>Interrogation</v>
      </c>
      <c r="D15" t="str">
        <v>Speech</v>
      </c>
      <c r="N15" t="str">
        <v>Calling</v>
      </c>
      <c r="O15" t="str">
        <v>Deliverance</v>
      </c>
      <c r="P15" t="str">
        <v>Promise</v>
      </c>
      <c r="Y15" t="str">
        <v>Burial</v>
      </c>
    </row>
    <row r="16" spans="1:25" x14ac:dyDescent="0.35">
      <c r="A16">
        <v>15</v>
      </c>
      <c r="B16" t="s">
        <v>11108</v>
      </c>
      <c r="C16" t="str" cm="1">
        <f t="array" ref="C16:D16">_xlfn.TEXTSPLIT(B16, "/")</f>
        <v>Interrogation</v>
      </c>
      <c r="D16" t="str">
        <v>Speech</v>
      </c>
      <c r="N16" t="str">
        <v>Cessation</v>
      </c>
      <c r="O16" t="str">
        <v>Destruction</v>
      </c>
      <c r="P16" t="str">
        <v>Protection</v>
      </c>
      <c r="Y16" t="str">
        <v>Calling</v>
      </c>
    </row>
    <row r="17" spans="1:25" x14ac:dyDescent="0.35">
      <c r="A17">
        <v>16</v>
      </c>
      <c r="B17" t="s">
        <v>11109</v>
      </c>
      <c r="C17" t="str" cm="1">
        <f t="array" ref="C17:E17">_xlfn.TEXTSPLIT(B17, "/")</f>
        <v>Judgment</v>
      </c>
      <c r="D17" t="str">
        <v>Prophecy</v>
      </c>
      <c r="E17" t="str">
        <v>Speech</v>
      </c>
      <c r="N17" t="str">
        <v>Choice</v>
      </c>
      <c r="O17" t="str">
        <v>Discipline</v>
      </c>
      <c r="P17" t="str">
        <v>Provision</v>
      </c>
      <c r="Y17" t="str">
        <v>Cessation</v>
      </c>
    </row>
    <row r="18" spans="1:25" x14ac:dyDescent="0.35">
      <c r="A18">
        <v>17</v>
      </c>
      <c r="B18" t="s">
        <v>11110</v>
      </c>
      <c r="C18" t="str" cm="1">
        <f t="array" ref="C18:D18">_xlfn.TEXTSPLIT(B18, "/")</f>
        <v>Judgment</v>
      </c>
      <c r="D18" t="str">
        <v>Speech</v>
      </c>
      <c r="N18" t="str">
        <v>Cleansing</v>
      </c>
      <c r="O18" t="str">
        <v>Disempowerment</v>
      </c>
      <c r="P18" t="str">
        <v>Rain</v>
      </c>
      <c r="Y18" t="str">
        <v>Choice</v>
      </c>
    </row>
    <row r="19" spans="1:25" x14ac:dyDescent="0.35">
      <c r="A19">
        <v>18</v>
      </c>
      <c r="B19" t="s">
        <v>11110</v>
      </c>
      <c r="C19" t="str" cm="1">
        <f t="array" ref="C19:D19">_xlfn.TEXTSPLIT(B19, "/")</f>
        <v>Judgment</v>
      </c>
      <c r="D19" t="str">
        <v>Speech</v>
      </c>
      <c r="N19" t="str">
        <v>Cloud</v>
      </c>
      <c r="O19" t="str">
        <v>Disobedience</v>
      </c>
      <c r="P19" t="str">
        <v>Rejection</v>
      </c>
      <c r="Y19" t="str">
        <v>Civil</v>
      </c>
    </row>
    <row r="20" spans="1:25" x14ac:dyDescent="0.35">
      <c r="A20">
        <v>19</v>
      </c>
      <c r="B20" t="s">
        <v>10038</v>
      </c>
      <c r="C20" t="str" cm="1">
        <f t="array" ref="C20">_xlfn.TEXTSPLIT(B20, "/")</f>
        <v>Provision</v>
      </c>
      <c r="N20" t="str">
        <v>Comfort</v>
      </c>
      <c r="O20" t="str">
        <v>Dream</v>
      </c>
      <c r="P20" t="str">
        <v>Speech</v>
      </c>
      <c r="Y20" t="str">
        <v>Cleansing</v>
      </c>
    </row>
    <row r="21" spans="1:25" x14ac:dyDescent="0.35">
      <c r="A21">
        <v>20</v>
      </c>
      <c r="B21" t="s">
        <v>11110</v>
      </c>
      <c r="C21" t="str" cm="1">
        <f t="array" ref="C21:D21">_xlfn.TEXTSPLIT(B21, "/")</f>
        <v>Judgment</v>
      </c>
      <c r="D21" t="str">
        <v>Speech</v>
      </c>
      <c r="N21" t="str">
        <v>Command</v>
      </c>
      <c r="O21" t="str">
        <v>Empowerment</v>
      </c>
      <c r="P21" t="str">
        <v>Test</v>
      </c>
      <c r="Y21" t="str">
        <v>Cloud</v>
      </c>
    </row>
    <row r="22" spans="1:25" x14ac:dyDescent="0.35">
      <c r="A22">
        <v>21</v>
      </c>
      <c r="B22" t="s">
        <v>10544</v>
      </c>
      <c r="C22" t="str" cm="1">
        <f t="array" ref="C22">_xlfn.TEXTSPLIT(B22, "/")</f>
        <v>Judgment</v>
      </c>
      <c r="N22" t="str">
        <v>Commissioning</v>
      </c>
      <c r="O22" t="str">
        <v>Encouragement</v>
      </c>
      <c r="P22" t="str">
        <v>Theophany</v>
      </c>
      <c r="Y22" t="str">
        <v>Comfort</v>
      </c>
    </row>
    <row r="23" spans="1:25" x14ac:dyDescent="0.35">
      <c r="A23">
        <v>22</v>
      </c>
      <c r="B23" t="s">
        <v>11111</v>
      </c>
      <c r="C23" t="str" cm="1">
        <f t="array" ref="C23:D23">_xlfn.TEXTSPLIT(B23, "/")</f>
        <v>Judgment</v>
      </c>
      <c r="D23" t="str">
        <v>Protection</v>
      </c>
      <c r="N23" t="str">
        <v>Communication</v>
      </c>
      <c r="O23" t="str">
        <v>False Idols</v>
      </c>
      <c r="P23" t="str">
        <v>Transmutation</v>
      </c>
      <c r="Y23" t="str">
        <v>Command</v>
      </c>
    </row>
    <row r="24" spans="1:25" x14ac:dyDescent="0.35">
      <c r="A24">
        <v>23</v>
      </c>
      <c r="B24" t="s">
        <v>11112</v>
      </c>
      <c r="C24" t="str" cm="1">
        <f t="array" ref="C24:D24">_xlfn.TEXTSPLIT(B24, "/")</f>
        <v>Instruction</v>
      </c>
      <c r="D24" t="str">
        <v>Speech</v>
      </c>
      <c r="N24" t="str">
        <v>Compassion</v>
      </c>
      <c r="O24" t="str">
        <v>Fire</v>
      </c>
      <c r="P24" t="str">
        <v>Trumpet</v>
      </c>
      <c r="Y24" t="str">
        <v>Commissioning</v>
      </c>
    </row>
    <row r="25" spans="1:25" x14ac:dyDescent="0.35">
      <c r="A25">
        <v>24</v>
      </c>
      <c r="B25" t="s">
        <v>11108</v>
      </c>
      <c r="C25" t="str" cm="1">
        <f t="array" ref="C25:D25">_xlfn.TEXTSPLIT(B25, "/")</f>
        <v>Interrogation</v>
      </c>
      <c r="D25" t="str">
        <v>Speech</v>
      </c>
      <c r="N25" t="str">
        <v>Concealment</v>
      </c>
      <c r="O25" t="str">
        <v>Fulfillment</v>
      </c>
      <c r="P25" t="str">
        <v>Victory</v>
      </c>
      <c r="Y25" t="str">
        <v>Communication</v>
      </c>
    </row>
    <row r="26" spans="1:25" x14ac:dyDescent="0.35">
      <c r="A26">
        <v>25</v>
      </c>
      <c r="B26" t="s">
        <v>11113</v>
      </c>
      <c r="C26" t="str" cm="1">
        <f t="array" ref="C26:E26">_xlfn.TEXTSPLIT(B26, "/")</f>
        <v>Curse</v>
      </c>
      <c r="D26" t="str">
        <v>Judgment</v>
      </c>
      <c r="E26" t="str">
        <v>Speech</v>
      </c>
      <c r="N26" t="str">
        <v>Confirmation</v>
      </c>
      <c r="O26" t="str">
        <v>Growth</v>
      </c>
      <c r="P26" t="str">
        <v>War</v>
      </c>
      <c r="Y26" t="str">
        <v>Compassion</v>
      </c>
    </row>
    <row r="27" spans="1:25" x14ac:dyDescent="0.35">
      <c r="A27">
        <v>26</v>
      </c>
      <c r="B27" t="s">
        <v>11114</v>
      </c>
      <c r="C27" t="str" cm="1">
        <f t="array" ref="C27:E27">_xlfn.TEXTSPLIT(B27, "/")</f>
        <v>Protection</v>
      </c>
      <c r="D27" t="str">
        <v>Sign</v>
      </c>
      <c r="E27" t="str">
        <v>Speech</v>
      </c>
      <c r="N27" t="str">
        <v>Confusion</v>
      </c>
      <c r="O27" t="str">
        <v>Guidance</v>
      </c>
      <c r="P27" t="str">
        <v>Warning</v>
      </c>
      <c r="Y27" t="str">
        <v>Concealment</v>
      </c>
    </row>
    <row r="28" spans="1:25" x14ac:dyDescent="0.35">
      <c r="A28">
        <v>27</v>
      </c>
      <c r="B28" t="s">
        <v>10039</v>
      </c>
      <c r="C28" t="str" cm="1">
        <f t="array" ref="C28">_xlfn.TEXTSPLIT(B28, "/")</f>
        <v>Translation</v>
      </c>
      <c r="N28" t="str">
        <v>Conquest</v>
      </c>
      <c r="O28" t="str">
        <v>Healing</v>
      </c>
      <c r="P28" t="str">
        <v>Water</v>
      </c>
      <c r="Y28" t="str">
        <v>Confirmation</v>
      </c>
    </row>
    <row r="29" spans="1:25" x14ac:dyDescent="0.35">
      <c r="A29">
        <v>28</v>
      </c>
      <c r="B29" t="s">
        <v>10498</v>
      </c>
      <c r="C29" t="str" cm="1">
        <f t="array" ref="C29:D29">_xlfn.TEXTSPLIT(B29, "/")</f>
        <v>Judgment</v>
      </c>
      <c r="D29" t="str">
        <v>Revelation</v>
      </c>
      <c r="N29" t="str">
        <v>Consecration</v>
      </c>
      <c r="O29" t="str">
        <v>Hearing</v>
      </c>
      <c r="Y29" t="str">
        <v>Confusion</v>
      </c>
    </row>
    <row r="30" spans="1:25" x14ac:dyDescent="0.35">
      <c r="A30">
        <v>29</v>
      </c>
      <c r="B30" t="s">
        <v>11107</v>
      </c>
      <c r="C30" t="str" cm="1">
        <f t="array" ref="C30:D30">_xlfn.TEXTSPLIT(B30, "/")</f>
        <v>Command</v>
      </c>
      <c r="D30" t="str">
        <v>Speech</v>
      </c>
      <c r="N30" t="str">
        <v>Consequence</v>
      </c>
      <c r="O30" t="str">
        <v>Inscription</v>
      </c>
      <c r="Y30" t="str">
        <v>Conquest</v>
      </c>
    </row>
    <row r="31" spans="1:25" x14ac:dyDescent="0.35">
      <c r="A31">
        <v>30</v>
      </c>
      <c r="B31" t="s">
        <v>10040</v>
      </c>
      <c r="C31" t="str" cm="1">
        <f t="array" ref="C31">_xlfn.TEXTSPLIT(B31, "/")</f>
        <v>Protection</v>
      </c>
      <c r="N31" t="str">
        <v>Control</v>
      </c>
      <c r="O31" t="str">
        <v>Instruction</v>
      </c>
      <c r="Y31" t="str">
        <v>Consecration</v>
      </c>
    </row>
    <row r="32" spans="1:25" x14ac:dyDescent="0.35">
      <c r="A32">
        <v>31</v>
      </c>
      <c r="B32" t="s">
        <v>10505</v>
      </c>
      <c r="C32" t="str" cm="1">
        <f t="array" ref="C32:D32">_xlfn.TEXTSPLIT(B32, "/")</f>
        <v>Deliverance</v>
      </c>
      <c r="D32" t="str">
        <v>Judgment</v>
      </c>
      <c r="N32" t="str">
        <v>Conviction</v>
      </c>
      <c r="O32" t="str">
        <v>Intercession</v>
      </c>
      <c r="Y32" t="str">
        <v>Consequence</v>
      </c>
    </row>
    <row r="33" spans="1:25" x14ac:dyDescent="0.35">
      <c r="A33">
        <v>32</v>
      </c>
      <c r="B33" t="s">
        <v>11115</v>
      </c>
      <c r="C33" t="str" cm="1">
        <f t="array" ref="C33:D33">_xlfn.TEXTSPLIT(B33, "/")</f>
        <v>Intervention</v>
      </c>
      <c r="D33" t="str">
        <v>Mercy</v>
      </c>
      <c r="N33" t="str">
        <v>Cosmic</v>
      </c>
      <c r="O33" t="str">
        <v>Judgment</v>
      </c>
      <c r="Y33" t="str">
        <v>Control</v>
      </c>
    </row>
    <row r="34" spans="1:25" x14ac:dyDescent="0.35">
      <c r="A34">
        <v>33</v>
      </c>
      <c r="B34" t="s">
        <v>11112</v>
      </c>
      <c r="C34" t="str" cm="1">
        <f t="array" ref="C34:D34">_xlfn.TEXTSPLIT(B34, "/")</f>
        <v>Instruction</v>
      </c>
      <c r="D34" t="str">
        <v>Speech</v>
      </c>
      <c r="N34" t="str">
        <v>Covenant</v>
      </c>
      <c r="O34" t="str">
        <v>Kindness</v>
      </c>
      <c r="Y34" t="str">
        <v>Conviction</v>
      </c>
    </row>
    <row r="35" spans="1:25" x14ac:dyDescent="0.35">
      <c r="A35">
        <v>34</v>
      </c>
      <c r="B35" t="s">
        <v>11106</v>
      </c>
      <c r="C35" t="str" cm="1">
        <f t="array" ref="C35:D35">_xlfn.TEXTSPLIT(B35, "/")</f>
        <v>Blessing</v>
      </c>
      <c r="D35" t="str">
        <v>Speech</v>
      </c>
      <c r="N35" t="str">
        <v>Creation</v>
      </c>
      <c r="O35" t="str">
        <v>Law</v>
      </c>
      <c r="Y35" t="str">
        <v>Cosmic</v>
      </c>
    </row>
    <row r="36" spans="1:25" x14ac:dyDescent="0.35">
      <c r="A36">
        <v>35</v>
      </c>
      <c r="B36" t="s">
        <v>11116</v>
      </c>
      <c r="C36" t="str" cm="1">
        <f t="array" ref="C36:E36">_xlfn.TEXTSPLIT(B36, "/")</f>
        <v>Covenant</v>
      </c>
      <c r="D36" t="str">
        <v>Sign</v>
      </c>
      <c r="E36" t="str">
        <v>Speech</v>
      </c>
      <c r="N36" t="str">
        <v>Curse</v>
      </c>
      <c r="O36" t="str">
        <v>Leprosy</v>
      </c>
      <c r="Y36" t="str">
        <v>Covenant</v>
      </c>
    </row>
    <row r="37" spans="1:25" x14ac:dyDescent="0.35">
      <c r="A37">
        <v>36</v>
      </c>
      <c r="B37" t="s">
        <v>11117</v>
      </c>
      <c r="C37" t="str" cm="1">
        <f t="array" ref="C37:D37">_xlfn.TEXTSPLIT(B37, "/")</f>
        <v>Intervention</v>
      </c>
      <c r="D37" t="str">
        <v>Judgment</v>
      </c>
      <c r="N37" t="str">
        <v>Darkness</v>
      </c>
      <c r="O37" t="str">
        <v>Locusts</v>
      </c>
      <c r="Y37" t="str">
        <v>Creation</v>
      </c>
    </row>
    <row r="38" spans="1:25" x14ac:dyDescent="0.35">
      <c r="A38">
        <v>37</v>
      </c>
      <c r="B38" t="s">
        <v>11118</v>
      </c>
      <c r="C38" t="str" cm="1">
        <f t="array" ref="C38:D38">_xlfn.TEXTSPLIT(B38, "/")</f>
        <v>Calling</v>
      </c>
      <c r="D38" t="str">
        <v>Speech</v>
      </c>
      <c r="N38" t="str">
        <v>Death</v>
      </c>
      <c r="O38" t="str">
        <v>Meeting</v>
      </c>
      <c r="Y38" t="str">
        <v>Curse</v>
      </c>
    </row>
    <row r="39" spans="1:25" x14ac:dyDescent="0.35">
      <c r="A39">
        <v>38</v>
      </c>
      <c r="B39" t="s">
        <v>11119</v>
      </c>
      <c r="C39" t="str" cm="1">
        <f t="array" ref="C39:D39">_xlfn.TEXTSPLIT(B39, "/")</f>
        <v>Promise</v>
      </c>
      <c r="D39" t="str">
        <v>Theophany</v>
      </c>
      <c r="N39" t="str">
        <v>Declaration</v>
      </c>
      <c r="O39" t="str">
        <v>Memorial</v>
      </c>
      <c r="Y39" t="str">
        <v>Darkness</v>
      </c>
    </row>
    <row r="40" spans="1:25" x14ac:dyDescent="0.35">
      <c r="A40">
        <v>39</v>
      </c>
      <c r="B40" t="s">
        <v>11111</v>
      </c>
      <c r="C40" t="str" cm="1">
        <f t="array" ref="C40:D40">_xlfn.TEXTSPLIT(B40, "/")</f>
        <v>Judgment</v>
      </c>
      <c r="D40" t="str">
        <v>Protection</v>
      </c>
      <c r="N40" t="str">
        <v>Defeat</v>
      </c>
      <c r="O40" t="str">
        <v>Mercy</v>
      </c>
      <c r="Y40" t="str">
        <v>Death</v>
      </c>
    </row>
    <row r="41" spans="1:25" x14ac:dyDescent="0.35">
      <c r="A41">
        <v>40</v>
      </c>
      <c r="B41" t="s">
        <v>11120</v>
      </c>
      <c r="C41" t="str" cm="1">
        <f t="array" ref="C41:D41">_xlfn.TEXTSPLIT(B41, "/")</f>
        <v>Promise</v>
      </c>
      <c r="D41" t="str">
        <v>Speech</v>
      </c>
      <c r="N41" t="str">
        <v>Defense</v>
      </c>
      <c r="O41" t="str">
        <v>Messianic Preparation</v>
      </c>
      <c r="Y41" t="str">
        <v>Declaration</v>
      </c>
    </row>
    <row r="42" spans="1:25" x14ac:dyDescent="0.35">
      <c r="A42">
        <v>41</v>
      </c>
      <c r="B42" t="s">
        <v>11120</v>
      </c>
      <c r="C42" t="str" cm="1">
        <f t="array" ref="C42:D42">_xlfn.TEXTSPLIT(B42, "/")</f>
        <v>Promise</v>
      </c>
      <c r="D42" t="str">
        <v>Speech</v>
      </c>
      <c r="N42" t="str">
        <v>Deliverance</v>
      </c>
      <c r="O42" t="str">
        <v>Mourning</v>
      </c>
      <c r="Y42" t="str">
        <v>Defeat</v>
      </c>
    </row>
    <row r="43" spans="1:25" x14ac:dyDescent="0.35">
      <c r="A43">
        <v>42</v>
      </c>
      <c r="B43" t="s">
        <v>11121</v>
      </c>
      <c r="C43" t="str" cm="1">
        <f t="array" ref="C43:D43">_xlfn.TEXTSPLIT(B43, "/")</f>
        <v>Covenant</v>
      </c>
      <c r="D43" t="str">
        <v>Theophany</v>
      </c>
      <c r="N43" t="str">
        <v>Departure</v>
      </c>
      <c r="O43" t="str">
        <v>Movement</v>
      </c>
      <c r="Y43" t="str">
        <v>Defense</v>
      </c>
    </row>
    <row r="44" spans="1:25" x14ac:dyDescent="0.35">
      <c r="A44">
        <v>43</v>
      </c>
      <c r="B44" t="s">
        <v>10511</v>
      </c>
      <c r="C44" t="str" cm="1">
        <f t="array" ref="C44:D44">_xlfn.TEXTSPLIT(B44, "/")</f>
        <v>Speech</v>
      </c>
      <c r="D44" t="str">
        <v>Theophany</v>
      </c>
      <c r="N44" t="str">
        <v>Destruction</v>
      </c>
      <c r="O44" t="str">
        <v>Music</v>
      </c>
      <c r="Y44" t="str">
        <v>Deliverance</v>
      </c>
    </row>
    <row r="45" spans="1:25" x14ac:dyDescent="0.35">
      <c r="A45">
        <v>44</v>
      </c>
      <c r="B45" t="s">
        <v>10511</v>
      </c>
      <c r="C45" t="str" cm="1">
        <f t="array" ref="C45:D45">_xlfn.TEXTSPLIT(B45, "/")</f>
        <v>Speech</v>
      </c>
      <c r="D45" t="str">
        <v>Theophany</v>
      </c>
      <c r="N45" t="str">
        <v>Discernment</v>
      </c>
      <c r="O45" t="str">
        <v>Opposition</v>
      </c>
      <c r="Y45" t="str">
        <v>Departure</v>
      </c>
    </row>
    <row r="46" spans="1:25" x14ac:dyDescent="0.35">
      <c r="A46">
        <v>45</v>
      </c>
      <c r="B46" t="s">
        <v>11122</v>
      </c>
      <c r="C46" t="str" cm="1">
        <f t="array" ref="C46:D46">_xlfn.TEXTSPLIT(B46, "/")</f>
        <v>Covenant</v>
      </c>
      <c r="D46" t="str">
        <v>Speech</v>
      </c>
      <c r="N46" t="str">
        <v>Discord</v>
      </c>
      <c r="O46" t="str">
        <v>Oppression</v>
      </c>
      <c r="Y46" t="str">
        <v>Destruction</v>
      </c>
    </row>
    <row r="47" spans="1:25" x14ac:dyDescent="0.35">
      <c r="A47">
        <v>46</v>
      </c>
      <c r="B47" t="s">
        <v>11123</v>
      </c>
      <c r="C47" t="str" cm="1">
        <f t="array" ref="C47:D47">_xlfn.TEXTSPLIT(B47, "/")</f>
        <v>Naming</v>
      </c>
      <c r="D47" t="str">
        <v>Speech</v>
      </c>
      <c r="N47" t="str">
        <v>Disease</v>
      </c>
      <c r="O47" t="str">
        <v>Organization</v>
      </c>
      <c r="Y47" t="str">
        <v>Discernment</v>
      </c>
    </row>
    <row r="48" spans="1:25" x14ac:dyDescent="0.35">
      <c r="A48">
        <v>47</v>
      </c>
      <c r="B48" t="s">
        <v>11123</v>
      </c>
      <c r="C48" t="str" cm="1">
        <f t="array" ref="C48:D48">_xlfn.TEXTSPLIT(B48, "/")</f>
        <v>Naming</v>
      </c>
      <c r="D48" t="str">
        <v>Speech</v>
      </c>
      <c r="N48" t="str">
        <v>Dream</v>
      </c>
      <c r="O48" t="str">
        <v>Ownership</v>
      </c>
      <c r="Y48" t="str">
        <v>Discipline</v>
      </c>
    </row>
    <row r="49" spans="1:25" x14ac:dyDescent="0.35">
      <c r="A49">
        <v>48</v>
      </c>
      <c r="B49" t="s">
        <v>11120</v>
      </c>
      <c r="C49" t="str" cm="1">
        <f t="array" ref="C49:D49">_xlfn.TEXTSPLIT(B49, "/")</f>
        <v>Promise</v>
      </c>
      <c r="D49" t="str">
        <v>Speech</v>
      </c>
      <c r="N49" t="str">
        <v>Earthquake</v>
      </c>
      <c r="O49" t="str">
        <v>Peace</v>
      </c>
      <c r="Y49" t="str">
        <v>Discord</v>
      </c>
    </row>
    <row r="50" spans="1:25" x14ac:dyDescent="0.35">
      <c r="A50">
        <v>49</v>
      </c>
      <c r="B50" t="s">
        <v>11124</v>
      </c>
      <c r="C50" t="str" cm="1">
        <f t="array" ref="C50:D50">_xlfn.TEXTSPLIT(B50, "/")</f>
        <v>Prophecy</v>
      </c>
      <c r="D50" t="str">
        <v>Speech</v>
      </c>
      <c r="N50" t="str">
        <v>Election</v>
      </c>
      <c r="O50" t="str">
        <v>Plague</v>
      </c>
      <c r="Y50" t="str">
        <v>Disease</v>
      </c>
    </row>
    <row r="51" spans="1:25" x14ac:dyDescent="0.35">
      <c r="A51">
        <v>50</v>
      </c>
      <c r="B51" t="s">
        <v>11124</v>
      </c>
      <c r="C51" t="str" cm="1">
        <f t="array" ref="C51:D51">_xlfn.TEXTSPLIT(B51, "/")</f>
        <v>Prophecy</v>
      </c>
      <c r="D51" t="str">
        <v>Speech</v>
      </c>
      <c r="N51" t="str">
        <v>Empowerment</v>
      </c>
      <c r="O51" t="str">
        <v>Prayer</v>
      </c>
      <c r="Y51" t="str">
        <v>Disempowerment</v>
      </c>
    </row>
    <row r="52" spans="1:25" x14ac:dyDescent="0.35">
      <c r="A52">
        <v>51</v>
      </c>
      <c r="B52" t="s">
        <v>11124</v>
      </c>
      <c r="C52" t="str" cm="1">
        <f t="array" ref="C52:D52">_xlfn.TEXTSPLIT(B52, "/")</f>
        <v>Prophecy</v>
      </c>
      <c r="D52" t="str">
        <v>Speech</v>
      </c>
      <c r="N52" t="str">
        <v>Encouragement</v>
      </c>
      <c r="O52" t="str">
        <v>Presence</v>
      </c>
      <c r="Y52" t="str">
        <v>Disobedience</v>
      </c>
    </row>
    <row r="53" spans="1:25" x14ac:dyDescent="0.35">
      <c r="A53">
        <v>52</v>
      </c>
      <c r="B53" t="s">
        <v>10511</v>
      </c>
      <c r="C53" t="str" cm="1">
        <f t="array" ref="C53:D53">_xlfn.TEXTSPLIT(B53, "/")</f>
        <v>Speech</v>
      </c>
      <c r="D53" t="str">
        <v>Theophany</v>
      </c>
      <c r="N53" t="str">
        <v>Exaltation</v>
      </c>
      <c r="O53" t="str">
        <v>Priesthood</v>
      </c>
      <c r="Y53" t="str">
        <v>Disowning</v>
      </c>
    </row>
    <row r="54" spans="1:25" x14ac:dyDescent="0.35">
      <c r="A54">
        <v>53</v>
      </c>
      <c r="B54" t="s">
        <v>11124</v>
      </c>
      <c r="C54" t="str" cm="1">
        <f t="array" ref="C54:D54">_xlfn.TEXTSPLIT(B54, "/")</f>
        <v>Prophecy</v>
      </c>
      <c r="D54" t="str">
        <v>Speech</v>
      </c>
      <c r="N54" t="str">
        <v>Execution</v>
      </c>
      <c r="O54" t="str">
        <v>Prohibition</v>
      </c>
      <c r="Y54" t="str">
        <v>Dream</v>
      </c>
    </row>
    <row r="55" spans="1:25" x14ac:dyDescent="0.35">
      <c r="A55">
        <v>54</v>
      </c>
      <c r="B55" t="s">
        <v>11125</v>
      </c>
      <c r="C55" t="str" cm="1">
        <f t="array" ref="C55:D55">_xlfn.TEXTSPLIT(B55, "/")</f>
        <v>Revelation</v>
      </c>
      <c r="D55" t="str">
        <v>Speech</v>
      </c>
      <c r="N55" t="str">
        <v>Expansion</v>
      </c>
      <c r="O55" t="str">
        <v>Promise</v>
      </c>
      <c r="Y55" t="str">
        <v>Earthquake</v>
      </c>
    </row>
    <row r="56" spans="1:25" x14ac:dyDescent="0.35">
      <c r="A56">
        <v>55</v>
      </c>
      <c r="B56" t="s">
        <v>10042</v>
      </c>
      <c r="C56" t="str" cm="1">
        <f t="array" ref="C56">_xlfn.TEXTSPLIT(B56, "/")</f>
        <v>Deliverance</v>
      </c>
      <c r="N56" t="str">
        <v>Faithfulness</v>
      </c>
      <c r="O56" t="str">
        <v>Prophecy</v>
      </c>
      <c r="Y56" t="str">
        <v>Election</v>
      </c>
    </row>
    <row r="57" spans="1:25" x14ac:dyDescent="0.35">
      <c r="A57">
        <v>56</v>
      </c>
      <c r="B57" t="s">
        <v>10544</v>
      </c>
      <c r="C57" t="str" cm="1">
        <f t="array" ref="C57">_xlfn.TEXTSPLIT(B57, "/")</f>
        <v>Judgment</v>
      </c>
      <c r="N57" t="str">
        <v>Fame</v>
      </c>
      <c r="O57" t="str">
        <v>Protection</v>
      </c>
      <c r="Y57" t="str">
        <v>Empowerment</v>
      </c>
    </row>
    <row r="58" spans="1:25" x14ac:dyDescent="0.35">
      <c r="A58">
        <v>57</v>
      </c>
      <c r="B58" t="s">
        <v>10042</v>
      </c>
      <c r="C58" t="str" cm="1">
        <f t="array" ref="C58">_xlfn.TEXTSPLIT(B58, "/")</f>
        <v>Deliverance</v>
      </c>
      <c r="N58" t="str">
        <v>Famine</v>
      </c>
      <c r="O58" t="str">
        <v>Providence</v>
      </c>
      <c r="Y58" t="str">
        <v>Encouragement</v>
      </c>
    </row>
    <row r="59" spans="1:25" x14ac:dyDescent="0.35">
      <c r="A59">
        <v>58</v>
      </c>
      <c r="B59" t="s">
        <v>11126</v>
      </c>
      <c r="C59" t="str" cm="1">
        <f t="array" ref="C59:D59">_xlfn.TEXTSPLIT(B59, "/")</f>
        <v>Destruction</v>
      </c>
      <c r="D59" t="str">
        <v>Judgment</v>
      </c>
      <c r="N59" t="str">
        <v>Favor</v>
      </c>
      <c r="O59" t="str">
        <v>Provision</v>
      </c>
      <c r="Y59" t="str">
        <v>Exaltation</v>
      </c>
    </row>
    <row r="60" spans="1:25" x14ac:dyDescent="0.35">
      <c r="A60">
        <v>59</v>
      </c>
      <c r="B60" t="s">
        <v>10043</v>
      </c>
      <c r="C60" t="str" cm="1">
        <f t="array" ref="C60:D60">_xlfn.TEXTSPLIT(B60, "/")</f>
        <v>Judgment</v>
      </c>
      <c r="D60" t="str">
        <v>Transformation</v>
      </c>
      <c r="N60" t="str">
        <v>Fertility</v>
      </c>
      <c r="O60" t="str">
        <v>Purity</v>
      </c>
      <c r="Y60" t="str">
        <v>Execution</v>
      </c>
    </row>
    <row r="61" spans="1:25" x14ac:dyDescent="0.35">
      <c r="A61">
        <v>60</v>
      </c>
      <c r="B61" t="s">
        <v>11127</v>
      </c>
      <c r="C61" t="str" cm="1">
        <f t="array" ref="C61:E61">_xlfn.TEXTSPLIT(B61, "/")</f>
        <v>Dream</v>
      </c>
      <c r="D61" t="str">
        <v>Speech</v>
      </c>
      <c r="E61" t="str">
        <v>Warning</v>
      </c>
      <c r="N61" t="str">
        <v xml:space="preserve">Fertility </v>
      </c>
      <c r="O61" t="str">
        <v>Reassurance</v>
      </c>
      <c r="Y61" t="str">
        <v>Expansion</v>
      </c>
    </row>
    <row r="62" spans="1:25" x14ac:dyDescent="0.35">
      <c r="A62">
        <v>61</v>
      </c>
      <c r="B62" t="s">
        <v>11128</v>
      </c>
      <c r="C62" t="str" cm="1">
        <f t="array" ref="C62:D62">_xlfn.TEXTSPLIT(B62, "/")</f>
        <v>Fertility</v>
      </c>
      <c r="D62" t="str">
        <v>Judgment</v>
      </c>
      <c r="N62" t="str">
        <v>Fire</v>
      </c>
      <c r="O62" t="str">
        <v>Rebuke</v>
      </c>
      <c r="Y62" t="str">
        <v>Faithfulness</v>
      </c>
    </row>
    <row r="63" spans="1:25" x14ac:dyDescent="0.35">
      <c r="A63">
        <v>62</v>
      </c>
      <c r="B63" t="s">
        <v>11129</v>
      </c>
      <c r="C63" t="str" cm="1">
        <f t="array" ref="C63:D63">_xlfn.TEXTSPLIT(B63, "/")</f>
        <v>Fertility</v>
      </c>
      <c r="D63" t="str">
        <v>Healing</v>
      </c>
      <c r="N63" t="str">
        <v>Flies</v>
      </c>
      <c r="O63" t="str">
        <v>Recognition</v>
      </c>
      <c r="Y63" t="str">
        <v>False Idols</v>
      </c>
    </row>
    <row r="64" spans="1:25" x14ac:dyDescent="0.35">
      <c r="A64">
        <v>63</v>
      </c>
      <c r="B64" t="s">
        <v>10722</v>
      </c>
      <c r="C64" t="str" cm="1">
        <f t="array" ref="C64">_xlfn.TEXTSPLIT(B64, "/")</f>
        <v xml:space="preserve">Fertility </v>
      </c>
      <c r="N64" t="str">
        <v>Food</v>
      </c>
      <c r="O64" t="str">
        <v>Recording</v>
      </c>
      <c r="Y64" t="str">
        <v>Fame</v>
      </c>
    </row>
    <row r="65" spans="1:25" x14ac:dyDescent="0.35">
      <c r="A65">
        <v>64</v>
      </c>
      <c r="B65" t="s">
        <v>11112</v>
      </c>
      <c r="C65" t="str" cm="1">
        <f t="array" ref="C65:D65">_xlfn.TEXTSPLIT(B65, "/")</f>
        <v>Instruction</v>
      </c>
      <c r="D65" t="str">
        <v>Speech</v>
      </c>
      <c r="N65" t="str">
        <v>Frogs</v>
      </c>
      <c r="O65" t="str">
        <v>Redemption</v>
      </c>
      <c r="Y65" t="str">
        <v>Famine</v>
      </c>
    </row>
    <row r="66" spans="1:25" x14ac:dyDescent="0.35">
      <c r="A66">
        <v>65</v>
      </c>
      <c r="B66" t="s">
        <v>11130</v>
      </c>
      <c r="C66" t="str" cm="1">
        <f t="array" ref="C66:D66">_xlfn.TEXTSPLIT(B66, "/")</f>
        <v>Provision</v>
      </c>
      <c r="D66" t="str">
        <v>Speech</v>
      </c>
      <c r="N66" t="str">
        <v>Fulfillment</v>
      </c>
      <c r="O66" t="str">
        <v>Rejection</v>
      </c>
      <c r="Y66" t="str">
        <v>Favor</v>
      </c>
    </row>
    <row r="67" spans="1:25" x14ac:dyDescent="0.35">
      <c r="A67">
        <v>66</v>
      </c>
      <c r="B67" t="s">
        <v>10038</v>
      </c>
      <c r="C67" t="str" cm="1">
        <f t="array" ref="C67">_xlfn.TEXTSPLIT(B67, "/")</f>
        <v>Provision</v>
      </c>
      <c r="N67" t="str">
        <v>Geography</v>
      </c>
      <c r="O67" t="str">
        <v>Relenting</v>
      </c>
      <c r="Y67" t="str">
        <v>Fertility</v>
      </c>
    </row>
    <row r="68" spans="1:25" x14ac:dyDescent="0.35">
      <c r="A68">
        <v>67</v>
      </c>
      <c r="B68" t="s">
        <v>11131</v>
      </c>
      <c r="C68" t="str" cm="1">
        <f t="array" ref="C68:E68">_xlfn.TEXTSPLIT(B68, "/")</f>
        <v>Instruction</v>
      </c>
      <c r="D68" t="str">
        <v>Speech</v>
      </c>
      <c r="E68" t="str">
        <v>Test</v>
      </c>
      <c r="N68" t="str">
        <v>Glory</v>
      </c>
      <c r="O68" t="str">
        <v>Remedy</v>
      </c>
      <c r="Y68" t="str">
        <v xml:space="preserve">Fertility </v>
      </c>
    </row>
    <row r="69" spans="1:25" x14ac:dyDescent="0.35">
      <c r="A69">
        <v>68</v>
      </c>
      <c r="B69" t="s">
        <v>11132</v>
      </c>
      <c r="C69" t="str" cm="1">
        <f t="array" ref="C69:D69">_xlfn.TEXTSPLIT(B69, "/")</f>
        <v>Intervention</v>
      </c>
      <c r="D69" t="str">
        <v>Speech</v>
      </c>
      <c r="N69" t="str">
        <v>Gnats</v>
      </c>
      <c r="O69" t="str">
        <v>Remembrance</v>
      </c>
      <c r="Y69" t="str">
        <v>Fire</v>
      </c>
    </row>
    <row r="70" spans="1:25" x14ac:dyDescent="0.35">
      <c r="A70">
        <v>69</v>
      </c>
      <c r="B70" t="s">
        <v>10038</v>
      </c>
      <c r="C70" t="str" cm="1">
        <f t="array" ref="C70">_xlfn.TEXTSPLIT(B70, "/")</f>
        <v>Provision</v>
      </c>
      <c r="N70" t="str">
        <v>Government</v>
      </c>
      <c r="O70" t="str">
        <v>Reminder</v>
      </c>
      <c r="Y70" t="str">
        <v>Flies</v>
      </c>
    </row>
    <row r="71" spans="1:25" x14ac:dyDescent="0.35">
      <c r="A71">
        <v>70</v>
      </c>
      <c r="B71" t="s">
        <v>11122</v>
      </c>
      <c r="C71" t="str" cm="1">
        <f t="array" ref="C71:D71">_xlfn.TEXTSPLIT(B71, "/")</f>
        <v>Covenant</v>
      </c>
      <c r="D71" t="str">
        <v>Speech</v>
      </c>
      <c r="N71" t="str">
        <v>Guidance</v>
      </c>
      <c r="O71" t="str">
        <v>Renewal</v>
      </c>
      <c r="Y71" t="str">
        <v>Food</v>
      </c>
    </row>
    <row r="72" spans="1:25" x14ac:dyDescent="0.35">
      <c r="A72">
        <v>71</v>
      </c>
      <c r="B72" t="s">
        <v>11133</v>
      </c>
      <c r="C72" t="str" cm="1">
        <f t="array" ref="C72:D72">_xlfn.TEXTSPLIT(B72, "/")</f>
        <v>Marriage</v>
      </c>
      <c r="D72" t="str">
        <v>Prayer</v>
      </c>
      <c r="N72" t="str">
        <v>Hail</v>
      </c>
      <c r="O72" t="str">
        <v>Repentance</v>
      </c>
      <c r="Y72" t="str">
        <v>Frogs</v>
      </c>
    </row>
    <row r="73" spans="1:25" x14ac:dyDescent="0.35">
      <c r="A73">
        <v>72</v>
      </c>
      <c r="B73" t="s">
        <v>11134</v>
      </c>
      <c r="C73" t="str" cm="1">
        <f t="array" ref="C73:D73">_xlfn.TEXTSPLIT(B73, "/")</f>
        <v xml:space="preserve">Fertility </v>
      </c>
      <c r="D73" t="str">
        <v>Prayer</v>
      </c>
      <c r="N73" t="str">
        <v>Harassment</v>
      </c>
      <c r="O73" t="str">
        <v>Response</v>
      </c>
      <c r="Y73" t="str">
        <v>Fulfillment</v>
      </c>
    </row>
    <row r="74" spans="1:25" x14ac:dyDescent="0.35">
      <c r="A74">
        <v>73</v>
      </c>
      <c r="B74" t="s">
        <v>11124</v>
      </c>
      <c r="C74" t="str" cm="1">
        <f t="array" ref="C74:D74">_xlfn.TEXTSPLIT(B74, "/")</f>
        <v>Prophecy</v>
      </c>
      <c r="D74" t="str">
        <v>Speech</v>
      </c>
      <c r="N74" t="str">
        <v>Hardening</v>
      </c>
      <c r="O74" t="str">
        <v>Rest</v>
      </c>
      <c r="Y74" t="str">
        <v>Geography</v>
      </c>
    </row>
    <row r="75" spans="1:25" x14ac:dyDescent="0.35">
      <c r="A75">
        <v>74</v>
      </c>
      <c r="B75" t="s">
        <v>10511</v>
      </c>
      <c r="C75" t="str" cm="1">
        <f t="array" ref="C75:D75">_xlfn.TEXTSPLIT(B75, "/")</f>
        <v>Speech</v>
      </c>
      <c r="D75" t="str">
        <v>Theophany</v>
      </c>
      <c r="N75" t="str">
        <v>Healing</v>
      </c>
      <c r="O75" t="str">
        <v>Restoration</v>
      </c>
      <c r="Y75" t="str">
        <v>Glory</v>
      </c>
    </row>
    <row r="76" spans="1:25" x14ac:dyDescent="0.35">
      <c r="A76">
        <v>75</v>
      </c>
      <c r="B76" t="s">
        <v>11135</v>
      </c>
      <c r="C76" t="str" cm="1">
        <f t="array" ref="C76:E76">_xlfn.TEXTSPLIT(B76, "/")</f>
        <v>Blessing</v>
      </c>
      <c r="D76" t="str">
        <v>Speech</v>
      </c>
      <c r="E76" t="str">
        <v>Theophany</v>
      </c>
      <c r="N76" t="str">
        <v>Health</v>
      </c>
      <c r="O76" t="str">
        <v>Restraint</v>
      </c>
      <c r="Y76" t="str">
        <v>Gnats</v>
      </c>
    </row>
    <row r="77" spans="1:25" x14ac:dyDescent="0.35">
      <c r="A77">
        <v>76</v>
      </c>
      <c r="B77" t="s">
        <v>10718</v>
      </c>
      <c r="C77" t="str" cm="1">
        <f t="array" ref="C77:D77">_xlfn.TEXTSPLIT(B77, "/")</f>
        <v>Speech</v>
      </c>
      <c r="D77" t="str">
        <v>Vision</v>
      </c>
      <c r="N77" t="str">
        <v>Heart Change</v>
      </c>
      <c r="O77" t="str">
        <v>Revelation</v>
      </c>
      <c r="Y77" t="str">
        <v>Government</v>
      </c>
    </row>
    <row r="78" spans="1:25" x14ac:dyDescent="0.35">
      <c r="A78">
        <v>77</v>
      </c>
      <c r="B78" t="s">
        <v>10722</v>
      </c>
      <c r="C78" t="str" cm="1">
        <f t="array" ref="C78">_xlfn.TEXTSPLIT(B78, "/")</f>
        <v xml:space="preserve">Fertility </v>
      </c>
      <c r="N78" t="str">
        <v>History</v>
      </c>
      <c r="O78" t="str">
        <v>Reward</v>
      </c>
      <c r="Y78" t="str">
        <v>Growth</v>
      </c>
    </row>
    <row r="79" spans="1:25" x14ac:dyDescent="0.35">
      <c r="A79">
        <v>78</v>
      </c>
      <c r="B79" t="s">
        <v>10722</v>
      </c>
      <c r="C79" t="str" cm="1">
        <f t="array" ref="C79">_xlfn.TEXTSPLIT(B79, "/")</f>
        <v xml:space="preserve">Fertility </v>
      </c>
      <c r="N79" t="str">
        <v>Holiness</v>
      </c>
      <c r="O79" t="str">
        <v>Safety</v>
      </c>
      <c r="Y79" t="str">
        <v>Guidance</v>
      </c>
    </row>
    <row r="80" spans="1:25" x14ac:dyDescent="0.35">
      <c r="A80">
        <v>79</v>
      </c>
      <c r="B80" t="s">
        <v>10722</v>
      </c>
      <c r="C80" t="str" cm="1">
        <f t="array" ref="C80">_xlfn.TEXTSPLIT(B80, "/")</f>
        <v xml:space="preserve">Fertility </v>
      </c>
      <c r="N80" t="str">
        <v>Holy Spirit</v>
      </c>
      <c r="O80" t="str">
        <v>Salvation</v>
      </c>
      <c r="Y80" t="str">
        <v>Hail</v>
      </c>
    </row>
    <row r="81" spans="1:25" x14ac:dyDescent="0.35">
      <c r="A81">
        <v>80</v>
      </c>
      <c r="B81" t="s">
        <v>10722</v>
      </c>
      <c r="C81" t="str" cm="1">
        <f t="array" ref="C81">_xlfn.TEXTSPLIT(B81, "/")</f>
        <v xml:space="preserve">Fertility </v>
      </c>
      <c r="N81" t="str">
        <v>Humility</v>
      </c>
      <c r="O81" t="str">
        <v>Separation</v>
      </c>
      <c r="Y81" t="str">
        <v>Harassment</v>
      </c>
    </row>
    <row r="82" spans="1:25" x14ac:dyDescent="0.35">
      <c r="A82">
        <v>81</v>
      </c>
      <c r="B82" t="s">
        <v>10722</v>
      </c>
      <c r="C82" t="str" cm="1">
        <f t="array" ref="C82">_xlfn.TEXTSPLIT(B82, "/")</f>
        <v xml:space="preserve">Fertility </v>
      </c>
      <c r="N82" t="str">
        <v>Identification</v>
      </c>
      <c r="O82" t="str">
        <v>Sign</v>
      </c>
      <c r="Y82" t="str">
        <v>Hardening</v>
      </c>
    </row>
    <row r="83" spans="1:25" x14ac:dyDescent="0.35">
      <c r="A83">
        <v>82</v>
      </c>
      <c r="B83" t="s">
        <v>10722</v>
      </c>
      <c r="C83" t="str" cm="1">
        <f t="array" ref="C83">_xlfn.TEXTSPLIT(B83, "/")</f>
        <v xml:space="preserve">Fertility </v>
      </c>
      <c r="N83" t="str">
        <v>Impoverishment</v>
      </c>
      <c r="O83" t="str">
        <v>Skill</v>
      </c>
      <c r="Y83" t="str">
        <v>Healing</v>
      </c>
    </row>
    <row r="84" spans="1:25" x14ac:dyDescent="0.35">
      <c r="A84">
        <v>83</v>
      </c>
      <c r="B84" t="s">
        <v>10722</v>
      </c>
      <c r="C84" t="str" cm="1">
        <f t="array" ref="C84">_xlfn.TEXTSPLIT(B84, "/")</f>
        <v xml:space="preserve">Fertility </v>
      </c>
      <c r="N84" t="str">
        <v>Inscription</v>
      </c>
      <c r="O84" t="str">
        <v>Slaughter</v>
      </c>
      <c r="Y84" t="str">
        <v>Health</v>
      </c>
    </row>
    <row r="85" spans="1:25" x14ac:dyDescent="0.35">
      <c r="A85">
        <v>84</v>
      </c>
      <c r="B85" t="s">
        <v>10722</v>
      </c>
      <c r="C85" t="str" cm="1">
        <f t="array" ref="C85">_xlfn.TEXTSPLIT(B85, "/")</f>
        <v xml:space="preserve">Fertility </v>
      </c>
      <c r="N85" t="str">
        <v>Institution</v>
      </c>
      <c r="O85" t="str">
        <v>Sleep</v>
      </c>
      <c r="Y85" t="str">
        <v>Hearing</v>
      </c>
    </row>
    <row r="86" spans="1:25" x14ac:dyDescent="0.35">
      <c r="A86">
        <v>85</v>
      </c>
      <c r="B86" t="s">
        <v>11136</v>
      </c>
      <c r="C86" t="str" cm="1">
        <f t="array" ref="C86:E86">_xlfn.TEXTSPLIT(B86, "/")</f>
        <v>Dream</v>
      </c>
      <c r="D86" t="str">
        <v>Revelation</v>
      </c>
      <c r="E86" t="str">
        <v>Speech</v>
      </c>
      <c r="N86" t="str">
        <v>Instruction</v>
      </c>
      <c r="O86" t="str">
        <v>Song</v>
      </c>
      <c r="Y86" t="str">
        <v>Heart Change</v>
      </c>
    </row>
    <row r="87" spans="1:25" x14ac:dyDescent="0.35">
      <c r="A87">
        <v>86</v>
      </c>
      <c r="B87" t="s">
        <v>11107</v>
      </c>
      <c r="C87" t="str" cm="1">
        <f t="array" ref="C87:D87">_xlfn.TEXTSPLIT(B87, "/")</f>
        <v>Command</v>
      </c>
      <c r="D87" t="str">
        <v>Speech</v>
      </c>
      <c r="N87" t="str">
        <v>Intercession</v>
      </c>
      <c r="O87" t="str">
        <v>Sorrow</v>
      </c>
      <c r="Y87" t="str">
        <v>History</v>
      </c>
    </row>
    <row r="88" spans="1:25" x14ac:dyDescent="0.35">
      <c r="A88">
        <v>87</v>
      </c>
      <c r="B88" t="s">
        <v>11137</v>
      </c>
      <c r="C88" t="str" cm="1">
        <f t="array" ref="C88:E88">_xlfn.TEXTSPLIT(B88, "/")</f>
        <v>Dream</v>
      </c>
      <c r="D88" t="str">
        <v>Instruction</v>
      </c>
      <c r="E88" t="str">
        <v>Speech</v>
      </c>
      <c r="N88" t="str">
        <v>Interpretation</v>
      </c>
      <c r="O88" t="str">
        <v>Speech</v>
      </c>
      <c r="Y88" t="str">
        <v>Holiness</v>
      </c>
    </row>
    <row r="89" spans="1:25" x14ac:dyDescent="0.35">
      <c r="A89">
        <v>88</v>
      </c>
      <c r="B89" t="s">
        <v>10751</v>
      </c>
      <c r="C89" t="str" cm="1">
        <f t="array" ref="C89">_xlfn.TEXTSPLIT(B89, "/")</f>
        <v>Theophany</v>
      </c>
      <c r="N89" t="str">
        <v>Interrogation</v>
      </c>
      <c r="O89" t="str">
        <v>Spirit</v>
      </c>
      <c r="Y89" t="str">
        <v>Holy Spirit</v>
      </c>
    </row>
    <row r="90" spans="1:25" x14ac:dyDescent="0.35">
      <c r="A90">
        <v>89</v>
      </c>
      <c r="B90" t="s">
        <v>11103</v>
      </c>
      <c r="C90" t="str" cm="1">
        <f t="array" ref="C90:D90">_xlfn.TEXTSPLIT(B90, "/")</f>
        <v>Theophany</v>
      </c>
      <c r="D90" t="str">
        <v>Wrestling</v>
      </c>
      <c r="N90" t="str">
        <v>Intervention</v>
      </c>
      <c r="O90" t="str">
        <v>Spiritual Affliction</v>
      </c>
      <c r="Y90" t="str">
        <v>Humility</v>
      </c>
    </row>
    <row r="91" spans="1:25" x14ac:dyDescent="0.35">
      <c r="A91">
        <v>90</v>
      </c>
      <c r="B91" t="s">
        <v>11123</v>
      </c>
      <c r="C91" t="str" cm="1">
        <f t="array" ref="C91:D91">_xlfn.TEXTSPLIT(B91, "/")</f>
        <v>Naming</v>
      </c>
      <c r="D91" t="str">
        <v>Speech</v>
      </c>
      <c r="N91" t="str">
        <v>Judgment</v>
      </c>
      <c r="O91" t="str">
        <v>Strategy</v>
      </c>
      <c r="Y91" t="str">
        <v>Identification</v>
      </c>
    </row>
    <row r="92" spans="1:25" x14ac:dyDescent="0.35">
      <c r="A92">
        <v>91</v>
      </c>
      <c r="B92" t="s">
        <v>11112</v>
      </c>
      <c r="C92" t="str" cm="1">
        <f t="array" ref="C92:D92">_xlfn.TEXTSPLIT(B92, "/")</f>
        <v>Instruction</v>
      </c>
      <c r="D92" t="str">
        <v>Speech</v>
      </c>
      <c r="N92" t="str">
        <v>Justice</v>
      </c>
      <c r="O92" t="str">
        <v>Strength</v>
      </c>
      <c r="Y92" t="str">
        <v>Impoverishment</v>
      </c>
    </row>
    <row r="93" spans="1:25" x14ac:dyDescent="0.35">
      <c r="A93">
        <v>92</v>
      </c>
      <c r="B93" t="s">
        <v>11138</v>
      </c>
      <c r="C93" t="str" cm="1">
        <f t="array" ref="C93:E93">_xlfn.TEXTSPLIT(B93, "/")</f>
        <v>Appearance</v>
      </c>
      <c r="D93" t="str">
        <v>Blessing</v>
      </c>
      <c r="E93" t="str">
        <v>Speech</v>
      </c>
      <c r="N93" t="str">
        <v>Law</v>
      </c>
      <c r="O93" t="str">
        <v>Strengthening Enemies</v>
      </c>
      <c r="Y93" t="str">
        <v>Inscription</v>
      </c>
    </row>
    <row r="94" spans="1:25" x14ac:dyDescent="0.35">
      <c r="A94">
        <v>93</v>
      </c>
      <c r="B94" t="s">
        <v>11122</v>
      </c>
      <c r="C94" t="str" cm="1">
        <f t="array" ref="C94:D94">_xlfn.TEXTSPLIT(B94, "/")</f>
        <v>Covenant</v>
      </c>
      <c r="D94" t="str">
        <v>Speech</v>
      </c>
      <c r="N94" t="str">
        <v>Lineage</v>
      </c>
      <c r="O94" t="str">
        <v>Test</v>
      </c>
      <c r="Y94" t="str">
        <v>Institution</v>
      </c>
    </row>
    <row r="95" spans="1:25" x14ac:dyDescent="0.35">
      <c r="A95">
        <v>94</v>
      </c>
      <c r="B95" t="s">
        <v>12705</v>
      </c>
      <c r="C95" t="str" cm="1">
        <f t="array" ref="C95:D95">_xlfn.TEXTSPLIT(B95, "/")</f>
        <v>Dream</v>
      </c>
      <c r="D95" t="str">
        <v>Revelation</v>
      </c>
      <c r="N95" t="str">
        <v>Location</v>
      </c>
      <c r="O95" t="str">
        <v>Testimony</v>
      </c>
      <c r="Y95" t="str">
        <v>Instruction</v>
      </c>
    </row>
    <row r="96" spans="1:25" x14ac:dyDescent="0.35">
      <c r="A96">
        <v>95</v>
      </c>
      <c r="B96" t="s">
        <v>11139</v>
      </c>
      <c r="C96" t="str" cm="1">
        <f t="array" ref="C96:D96">_xlfn.TEXTSPLIT(B96, "/")</f>
        <v>Death</v>
      </c>
      <c r="D96" t="str">
        <v>Judgment</v>
      </c>
      <c r="N96" t="str">
        <v>Manifestation</v>
      </c>
      <c r="O96" t="str">
        <v>Thanksgiving</v>
      </c>
      <c r="Y96" t="str">
        <v>Intercession</v>
      </c>
    </row>
    <row r="97" spans="1:25" x14ac:dyDescent="0.35">
      <c r="A97">
        <v>96</v>
      </c>
      <c r="B97" t="s">
        <v>11139</v>
      </c>
      <c r="C97" t="str" cm="1">
        <f t="array" ref="C97:D97">_xlfn.TEXTSPLIT(B97, "/")</f>
        <v>Death</v>
      </c>
      <c r="D97" t="str">
        <v>Judgment</v>
      </c>
      <c r="N97" t="str">
        <v>Marriage</v>
      </c>
      <c r="O97" t="str">
        <v>Theophany</v>
      </c>
      <c r="Y97" t="str">
        <v>Interpretation</v>
      </c>
    </row>
    <row r="98" spans="1:25" x14ac:dyDescent="0.35">
      <c r="A98">
        <v>97</v>
      </c>
      <c r="B98" t="s">
        <v>12705</v>
      </c>
      <c r="C98" t="str" cm="1">
        <f t="array" ref="C98:D98">_xlfn.TEXTSPLIT(B98, "/")</f>
        <v>Dream</v>
      </c>
      <c r="D98" t="str">
        <v>Revelation</v>
      </c>
      <c r="N98" t="str">
        <v>Mercy</v>
      </c>
      <c r="O98" t="str">
        <v>Thunder</v>
      </c>
      <c r="Y98" t="str">
        <v>Interrogation</v>
      </c>
    </row>
    <row r="99" spans="1:25" x14ac:dyDescent="0.35">
      <c r="A99">
        <v>98</v>
      </c>
      <c r="B99" t="s">
        <v>11140</v>
      </c>
      <c r="C99" t="str" cm="1">
        <f t="array" ref="C99:D99">_xlfn.TEXTSPLIT(B99, "/")</f>
        <v>Interpretation</v>
      </c>
      <c r="D99" t="str">
        <v>Revelation</v>
      </c>
      <c r="N99" t="str">
        <v>Naming</v>
      </c>
      <c r="O99" t="str">
        <v>Timing</v>
      </c>
      <c r="Y99" t="str">
        <v>Intervention</v>
      </c>
    </row>
    <row r="100" spans="1:25" x14ac:dyDescent="0.35">
      <c r="A100">
        <v>99</v>
      </c>
      <c r="B100" t="s">
        <v>12705</v>
      </c>
      <c r="C100" t="str" cm="1">
        <f t="array" ref="C100:D100">_xlfn.TEXTSPLIT(B100, "/")</f>
        <v>Dream</v>
      </c>
      <c r="D100" t="str">
        <v>Revelation</v>
      </c>
      <c r="N100" t="str">
        <v>Opportunity</v>
      </c>
      <c r="O100" t="str">
        <v>Tithe</v>
      </c>
      <c r="Y100" t="str">
        <v>Judgment</v>
      </c>
    </row>
    <row r="101" spans="1:25" x14ac:dyDescent="0.35">
      <c r="A101">
        <v>100</v>
      </c>
      <c r="B101" t="s">
        <v>11140</v>
      </c>
      <c r="C101" t="str" cm="1">
        <f t="array" ref="C101:D101">_xlfn.TEXTSPLIT(B101, "/")</f>
        <v>Interpretation</v>
      </c>
      <c r="D101" t="str">
        <v>Revelation</v>
      </c>
      <c r="N101" t="str">
        <v>Oppression</v>
      </c>
      <c r="O101" t="str">
        <v>Transformation</v>
      </c>
      <c r="Y101" t="str">
        <v>Justice</v>
      </c>
    </row>
    <row r="102" spans="1:25" x14ac:dyDescent="0.35">
      <c r="A102">
        <v>101</v>
      </c>
      <c r="B102" t="s">
        <v>12706</v>
      </c>
      <c r="C102" t="str" cm="1">
        <f t="array" ref="C102:D102">_xlfn.TEXTSPLIT(B102, "/")</f>
        <v>Fulfillment</v>
      </c>
      <c r="D102" t="str">
        <v>Providence</v>
      </c>
      <c r="N102" t="str">
        <v>Parting Waters</v>
      </c>
      <c r="O102" t="str">
        <v>Transmutation</v>
      </c>
      <c r="Y102" t="str">
        <v>Kindness</v>
      </c>
    </row>
    <row r="103" spans="1:25" x14ac:dyDescent="0.35">
      <c r="A103">
        <v>102</v>
      </c>
      <c r="B103" t="s">
        <v>12706</v>
      </c>
      <c r="C103" t="str" cm="1">
        <f t="array" ref="C103:D103">_xlfn.TEXTSPLIT(B103, "/")</f>
        <v>Fulfillment</v>
      </c>
      <c r="D103" t="str">
        <v>Providence</v>
      </c>
      <c r="N103" t="str">
        <v>Peace</v>
      </c>
      <c r="O103" t="str">
        <v>Victory</v>
      </c>
      <c r="Y103" t="str">
        <v>Law</v>
      </c>
    </row>
    <row r="104" spans="1:25" x14ac:dyDescent="0.35">
      <c r="A104">
        <v>103</v>
      </c>
      <c r="B104" t="s">
        <v>12707</v>
      </c>
      <c r="C104" t="str" cm="1">
        <f t="array" ref="C104:E104">_xlfn.TEXTSPLIT(B104, "/")</f>
        <v>Comfort</v>
      </c>
      <c r="D104" t="str">
        <v>Dream</v>
      </c>
      <c r="E104" t="str">
        <v>Speech</v>
      </c>
      <c r="N104" t="str">
        <v>Permission</v>
      </c>
      <c r="O104" t="str">
        <v>Vision</v>
      </c>
      <c r="Y104" t="str">
        <v>Leprosy</v>
      </c>
    </row>
    <row r="105" spans="1:25" x14ac:dyDescent="0.35">
      <c r="A105">
        <v>104</v>
      </c>
      <c r="B105" t="s">
        <v>10066</v>
      </c>
      <c r="C105" t="str" cm="1">
        <f t="array" ref="C105:D105">_xlfn.TEXTSPLIT(B105, "/")</f>
        <v>Blessing</v>
      </c>
      <c r="D105" t="str">
        <v>Prophecy</v>
      </c>
      <c r="N105" t="str">
        <v>Praise</v>
      </c>
      <c r="O105" t="str">
        <v>War</v>
      </c>
      <c r="Y105" t="str">
        <v>Lightning</v>
      </c>
    </row>
    <row r="106" spans="1:25" x14ac:dyDescent="0.35">
      <c r="A106">
        <v>105</v>
      </c>
      <c r="B106" t="s">
        <v>9678</v>
      </c>
      <c r="C106" t="str" cm="1">
        <f t="array" ref="C106">_xlfn.TEXTSPLIT(B106, "/")</f>
        <v>Blessing</v>
      </c>
      <c r="N106" t="str">
        <v>Prayer</v>
      </c>
      <c r="O106" t="str">
        <v>Warning</v>
      </c>
      <c r="Y106" t="str">
        <v>Lineage</v>
      </c>
    </row>
    <row r="107" spans="1:25" x14ac:dyDescent="0.35">
      <c r="A107">
        <v>106</v>
      </c>
      <c r="B107" t="s">
        <v>11141</v>
      </c>
      <c r="C107" t="str" cm="1">
        <f t="array" ref="C107:D107">_xlfn.TEXTSPLIT(B107, "/")</f>
        <v>Compassion</v>
      </c>
      <c r="D107" t="str">
        <v>Remembrance</v>
      </c>
      <c r="N107" t="str">
        <v>Preparation</v>
      </c>
      <c r="O107" t="str">
        <v>Water</v>
      </c>
      <c r="Y107" t="str">
        <v>Location</v>
      </c>
    </row>
    <row r="108" spans="1:25" x14ac:dyDescent="0.35">
      <c r="A108">
        <v>107</v>
      </c>
      <c r="B108" t="s">
        <v>10751</v>
      </c>
      <c r="C108" t="str" cm="1">
        <f t="array" ref="C108">_xlfn.TEXTSPLIT(B108, "/")</f>
        <v>Theophany</v>
      </c>
      <c r="N108" t="str">
        <v>Presence</v>
      </c>
      <c r="O108" t="str">
        <v>Wind</v>
      </c>
      <c r="Y108" t="str">
        <v>Locusts</v>
      </c>
    </row>
    <row r="109" spans="1:25" x14ac:dyDescent="0.35">
      <c r="A109">
        <v>108</v>
      </c>
      <c r="B109" t="s">
        <v>11112</v>
      </c>
      <c r="C109" t="str" cm="1">
        <f t="array" ref="C109:D109">_xlfn.TEXTSPLIT(B109, "/")</f>
        <v>Instruction</v>
      </c>
      <c r="D109" t="str">
        <v>Speech</v>
      </c>
      <c r="N109" t="str">
        <v>Preservation</v>
      </c>
      <c r="O109" t="str">
        <v>Withdrawal</v>
      </c>
      <c r="Y109" t="str">
        <v>Manifestation</v>
      </c>
    </row>
    <row r="110" spans="1:25" x14ac:dyDescent="0.35">
      <c r="A110">
        <v>109</v>
      </c>
      <c r="B110" t="s">
        <v>10896</v>
      </c>
      <c r="C110" t="str" cm="1">
        <f t="array" ref="C110:D110">_xlfn.TEXTSPLIT(B110, "/")</f>
        <v>Sign</v>
      </c>
      <c r="D110" t="str">
        <v>Transmutation</v>
      </c>
      <c r="N110" t="str">
        <v>Prohibition</v>
      </c>
      <c r="O110" t="str">
        <v>Worship</v>
      </c>
      <c r="Y110" t="str">
        <v>Marriage</v>
      </c>
    </row>
    <row r="111" spans="1:25" x14ac:dyDescent="0.35">
      <c r="A111">
        <v>110</v>
      </c>
      <c r="B111" t="s">
        <v>10896</v>
      </c>
      <c r="C111" t="str" cm="1">
        <f t="array" ref="C111:D111">_xlfn.TEXTSPLIT(B111, "/")</f>
        <v>Sign</v>
      </c>
      <c r="D111" t="str">
        <v>Transmutation</v>
      </c>
      <c r="N111" t="str">
        <v>Promise</v>
      </c>
      <c r="O111" t="str">
        <v>Wrestling</v>
      </c>
      <c r="Y111" t="str">
        <v>Meeting</v>
      </c>
    </row>
    <row r="112" spans="1:25" x14ac:dyDescent="0.35">
      <c r="A112">
        <v>111</v>
      </c>
      <c r="B112" t="s">
        <v>11142</v>
      </c>
      <c r="C112" t="str" cm="1">
        <f t="array" ref="C112:D112">_xlfn.TEXTSPLIT(B112, "/")</f>
        <v>Disease</v>
      </c>
      <c r="D112" t="str">
        <v>Sign</v>
      </c>
      <c r="N112" t="str">
        <v>Prophecy</v>
      </c>
      <c r="O112" t="str">
        <v>Writing</v>
      </c>
      <c r="Y112" t="str">
        <v>Memorial</v>
      </c>
    </row>
    <row r="113" spans="1:25" x14ac:dyDescent="0.35">
      <c r="A113">
        <v>112</v>
      </c>
      <c r="B113" t="s">
        <v>11143</v>
      </c>
      <c r="C113" t="str" cm="1">
        <f t="array" ref="C113:D113">_xlfn.TEXTSPLIT(B113, "/")</f>
        <v>Healing</v>
      </c>
      <c r="D113" t="str">
        <v>Sign</v>
      </c>
      <c r="N113" t="str">
        <v>Protection</v>
      </c>
      <c r="Y113" t="str">
        <v>Mercy</v>
      </c>
    </row>
    <row r="114" spans="1:25" x14ac:dyDescent="0.35">
      <c r="A114">
        <v>113</v>
      </c>
      <c r="B114" t="s">
        <v>10896</v>
      </c>
      <c r="C114" t="str" cm="1">
        <f t="array" ref="C114:D114">_xlfn.TEXTSPLIT(B114, "/")</f>
        <v>Sign</v>
      </c>
      <c r="D114" t="str">
        <v>Transmutation</v>
      </c>
      <c r="N114" t="str">
        <v>Providence</v>
      </c>
      <c r="Y114" t="str">
        <v>Messianic Preparation</v>
      </c>
    </row>
    <row r="115" spans="1:25" x14ac:dyDescent="0.35">
      <c r="A115">
        <v>114</v>
      </c>
      <c r="B115" t="s">
        <v>11144</v>
      </c>
      <c r="C115" t="str" cm="1">
        <f t="array" ref="C115:D115">_xlfn.TEXTSPLIT(B115, "/")</f>
        <v>Empowerment</v>
      </c>
      <c r="D115" t="str">
        <v>Speech</v>
      </c>
      <c r="N115" t="str">
        <v>Provision</v>
      </c>
      <c r="Y115" t="str">
        <v>Mourning</v>
      </c>
    </row>
    <row r="116" spans="1:25" x14ac:dyDescent="0.35">
      <c r="A116">
        <v>115</v>
      </c>
      <c r="B116" t="s">
        <v>11145</v>
      </c>
      <c r="C116" t="str" cm="1">
        <f t="array" ref="C116:D116">_xlfn.TEXTSPLIT(B116, "/")</f>
        <v>Appointment</v>
      </c>
      <c r="D116" t="str">
        <v>Speech</v>
      </c>
      <c r="N116" t="str">
        <v>Pursuit</v>
      </c>
      <c r="Y116" t="str">
        <v>Movement</v>
      </c>
    </row>
    <row r="117" spans="1:25" x14ac:dyDescent="0.35">
      <c r="A117">
        <v>116</v>
      </c>
      <c r="B117" t="s">
        <v>11107</v>
      </c>
      <c r="C117" t="str" cm="1">
        <f t="array" ref="C117:D117">_xlfn.TEXTSPLIT(B117, "/")</f>
        <v>Command</v>
      </c>
      <c r="D117" t="str">
        <v>Speech</v>
      </c>
      <c r="N117" t="str">
        <v>Rebuke</v>
      </c>
      <c r="Y117" t="str">
        <v>Music</v>
      </c>
    </row>
    <row r="118" spans="1:25" x14ac:dyDescent="0.35">
      <c r="A118">
        <v>117</v>
      </c>
      <c r="B118" t="s">
        <v>11117</v>
      </c>
      <c r="C118" t="str" cm="1">
        <f t="array" ref="C118:D118">_xlfn.TEXTSPLIT(B118, "/")</f>
        <v>Intervention</v>
      </c>
      <c r="D118" t="str">
        <v>Judgment</v>
      </c>
      <c r="N118" t="str">
        <v>Recognition</v>
      </c>
      <c r="Y118" t="str">
        <v>Naming</v>
      </c>
    </row>
    <row r="119" spans="1:25" x14ac:dyDescent="0.35">
      <c r="A119">
        <v>118</v>
      </c>
      <c r="B119" t="s">
        <v>11112</v>
      </c>
      <c r="C119" t="str" cm="1">
        <f t="array" ref="C119:D119">_xlfn.TEXTSPLIT(B119, "/")</f>
        <v>Instruction</v>
      </c>
      <c r="D119" t="str">
        <v>Speech</v>
      </c>
      <c r="N119" t="str">
        <v>Recovery</v>
      </c>
      <c r="Y119" t="str">
        <v>Opportunity</v>
      </c>
    </row>
    <row r="120" spans="1:25" x14ac:dyDescent="0.35">
      <c r="A120">
        <v>119</v>
      </c>
      <c r="B120" t="s">
        <v>12708</v>
      </c>
      <c r="C120" t="str" cm="1">
        <f t="array" ref="C120:D120">_xlfn.TEXTSPLIT(B120, "/")</f>
        <v>Confirmation</v>
      </c>
      <c r="D120" t="str">
        <v>Sign</v>
      </c>
      <c r="N120" t="str">
        <v>Requirement</v>
      </c>
      <c r="Y120" t="str">
        <v>Opposition</v>
      </c>
    </row>
    <row r="121" spans="1:25" x14ac:dyDescent="0.35">
      <c r="A121">
        <v>120</v>
      </c>
      <c r="B121" t="s">
        <v>12708</v>
      </c>
      <c r="C121" t="str" cm="1">
        <f t="array" ref="C121:D121">_xlfn.TEXTSPLIT(B121, "/")</f>
        <v>Confirmation</v>
      </c>
      <c r="D121" t="str">
        <v>Sign</v>
      </c>
      <c r="N121" t="str">
        <v>Restoration</v>
      </c>
      <c r="Y121" t="str">
        <v>Oppression</v>
      </c>
    </row>
    <row r="122" spans="1:25" x14ac:dyDescent="0.35">
      <c r="A122">
        <v>121</v>
      </c>
      <c r="B122" t="s">
        <v>10047</v>
      </c>
      <c r="C122" t="str" cm="1">
        <f t="array" ref="C122:D122">_xlfn.TEXTSPLIT(B122, "/")</f>
        <v>Hardening</v>
      </c>
      <c r="D122" t="str">
        <v>Judgment</v>
      </c>
      <c r="N122" t="str">
        <v>Revelation</v>
      </c>
      <c r="Y122" t="str">
        <v>Organization</v>
      </c>
    </row>
    <row r="123" spans="1:25" x14ac:dyDescent="0.35">
      <c r="A123">
        <v>122</v>
      </c>
      <c r="B123" t="s">
        <v>11120</v>
      </c>
      <c r="C123" t="str" cm="1">
        <f t="array" ref="C123:D123">_xlfn.TEXTSPLIT(B123, "/")</f>
        <v>Promise</v>
      </c>
      <c r="D123" t="str">
        <v>Speech</v>
      </c>
      <c r="N123" t="str">
        <v>Sign</v>
      </c>
      <c r="Y123" t="str">
        <v>Ownership</v>
      </c>
    </row>
    <row r="124" spans="1:25" x14ac:dyDescent="0.35">
      <c r="A124">
        <v>123</v>
      </c>
      <c r="B124" t="s">
        <v>11112</v>
      </c>
      <c r="C124" t="str" cm="1">
        <f t="array" ref="C124:D124">_xlfn.TEXTSPLIT(B124, "/")</f>
        <v>Instruction</v>
      </c>
      <c r="D124" t="str">
        <v>Speech</v>
      </c>
      <c r="N124" t="str">
        <v>Speech</v>
      </c>
      <c r="Y124" t="str">
        <v>Parting Waters</v>
      </c>
    </row>
    <row r="125" spans="1:25" x14ac:dyDescent="0.35">
      <c r="A125">
        <v>124</v>
      </c>
      <c r="B125" t="s">
        <v>11125</v>
      </c>
      <c r="C125" t="str" cm="1">
        <f t="array" ref="C125:D125">_xlfn.TEXTSPLIT(B125, "/")</f>
        <v>Revelation</v>
      </c>
      <c r="D125" t="str">
        <v>Speech</v>
      </c>
      <c r="N125" t="str">
        <v>Strength</v>
      </c>
      <c r="Y125" t="str">
        <v>Peace</v>
      </c>
    </row>
    <row r="126" spans="1:25" x14ac:dyDescent="0.35">
      <c r="A126">
        <v>125</v>
      </c>
      <c r="B126" t="s">
        <v>11112</v>
      </c>
      <c r="C126" t="str" cm="1">
        <f t="array" ref="C126:D126">_xlfn.TEXTSPLIT(B126, "/")</f>
        <v>Instruction</v>
      </c>
      <c r="D126" t="str">
        <v>Speech</v>
      </c>
      <c r="N126" t="str">
        <v>Supremacy</v>
      </c>
      <c r="Y126" t="str">
        <v>Permission</v>
      </c>
    </row>
    <row r="127" spans="1:25" x14ac:dyDescent="0.35">
      <c r="A127">
        <v>126</v>
      </c>
      <c r="B127" t="s">
        <v>10896</v>
      </c>
      <c r="C127" t="str" cm="1">
        <f t="array" ref="C127:D127">_xlfn.TEXTSPLIT(B127, "/")</f>
        <v>Sign</v>
      </c>
      <c r="D127" t="str">
        <v>Transmutation</v>
      </c>
      <c r="N127" t="str">
        <v>Test</v>
      </c>
      <c r="Y127" t="str">
        <v>Plague</v>
      </c>
    </row>
    <row r="128" spans="1:25" x14ac:dyDescent="0.35">
      <c r="A128">
        <v>127</v>
      </c>
      <c r="B128" t="s">
        <v>10719</v>
      </c>
      <c r="C128" t="str" cm="1">
        <f t="array" ref="C128:D128">_xlfn.TEXTSPLIT(B128, "/")</f>
        <v>Speech</v>
      </c>
      <c r="D128" t="str">
        <v>Warning</v>
      </c>
      <c r="N128" t="str">
        <v>Theophany</v>
      </c>
      <c r="Y128" t="str">
        <v>Praise</v>
      </c>
    </row>
    <row r="129" spans="1:25" x14ac:dyDescent="0.35">
      <c r="A129">
        <v>128</v>
      </c>
      <c r="B129" t="s">
        <v>11112</v>
      </c>
      <c r="C129" t="str" cm="1">
        <f t="array" ref="C129:D129">_xlfn.TEXTSPLIT(B129, "/")</f>
        <v>Instruction</v>
      </c>
      <c r="D129" t="str">
        <v>Speech</v>
      </c>
      <c r="N129" t="str">
        <v>Thunder</v>
      </c>
      <c r="Y129" t="str">
        <v>Prayer</v>
      </c>
    </row>
    <row r="130" spans="1:25" x14ac:dyDescent="0.35">
      <c r="A130">
        <v>129</v>
      </c>
      <c r="B130" t="s">
        <v>10924</v>
      </c>
      <c r="C130" t="str" cm="1">
        <f t="array" ref="C130:E130">_xlfn.TEXTSPLIT(B130, "/")</f>
        <v>Judgment</v>
      </c>
      <c r="D130" t="str">
        <v>Plague</v>
      </c>
      <c r="E130" t="str">
        <v>Transmutation</v>
      </c>
      <c r="N130" t="str">
        <v>Translation</v>
      </c>
      <c r="Y130" t="str">
        <v>Preparation</v>
      </c>
    </row>
    <row r="131" spans="1:25" x14ac:dyDescent="0.35">
      <c r="A131">
        <v>130</v>
      </c>
      <c r="B131" t="s">
        <v>10719</v>
      </c>
      <c r="C131" t="str" cm="1">
        <f t="array" ref="C131:D131">_xlfn.TEXTSPLIT(B131, "/")</f>
        <v>Speech</v>
      </c>
      <c r="D131" t="str">
        <v>Warning</v>
      </c>
      <c r="N131" t="str">
        <v>Victory</v>
      </c>
      <c r="Y131" t="str">
        <v>Presence</v>
      </c>
    </row>
    <row r="132" spans="1:25" x14ac:dyDescent="0.35">
      <c r="A132">
        <v>131</v>
      </c>
      <c r="B132" t="s">
        <v>11112</v>
      </c>
      <c r="C132" t="str" cm="1">
        <f t="array" ref="C132:D132">_xlfn.TEXTSPLIT(B132, "/")</f>
        <v>Instruction</v>
      </c>
      <c r="D132" t="str">
        <v>Speech</v>
      </c>
      <c r="N132" t="str">
        <v>Warning</v>
      </c>
      <c r="Y132" t="str">
        <v>Preservation</v>
      </c>
    </row>
    <row r="133" spans="1:25" x14ac:dyDescent="0.35">
      <c r="A133">
        <v>132</v>
      </c>
      <c r="B133" t="s">
        <v>11146</v>
      </c>
      <c r="C133" t="str" cm="1">
        <f t="array" ref="C133:E133">_xlfn.TEXTSPLIT(B133, "/")</f>
        <v>Frogs</v>
      </c>
      <c r="D133" t="str">
        <v>Judgment</v>
      </c>
      <c r="E133" t="str">
        <v>Plague</v>
      </c>
      <c r="N133" t="str">
        <v>Water</v>
      </c>
      <c r="Y133" t="str">
        <v>Priesthood</v>
      </c>
    </row>
    <row r="134" spans="1:25" x14ac:dyDescent="0.35">
      <c r="A134">
        <v>133</v>
      </c>
      <c r="B134" t="s">
        <v>11104</v>
      </c>
      <c r="C134" t="str" cm="1">
        <f t="array" ref="C134:D134">_xlfn.TEXTSPLIT(B134, "/")</f>
        <v>Intercession</v>
      </c>
      <c r="D134" t="str">
        <v>Prayer</v>
      </c>
      <c r="N134" t="str">
        <v>Witness</v>
      </c>
      <c r="Y134" t="str">
        <v>Prohibition</v>
      </c>
    </row>
    <row r="135" spans="1:25" x14ac:dyDescent="0.35">
      <c r="A135">
        <v>134</v>
      </c>
      <c r="B135" t="s">
        <v>11112</v>
      </c>
      <c r="C135" t="str" cm="1">
        <f t="array" ref="C135:D135">_xlfn.TEXTSPLIT(B135, "/")</f>
        <v>Instruction</v>
      </c>
      <c r="D135" t="str">
        <v>Speech</v>
      </c>
      <c r="N135" t="str">
        <v>Wrath</v>
      </c>
      <c r="Y135" t="str">
        <v>Promise</v>
      </c>
    </row>
    <row r="136" spans="1:25" x14ac:dyDescent="0.35">
      <c r="A136">
        <v>135</v>
      </c>
      <c r="B136" t="s">
        <v>11147</v>
      </c>
      <c r="C136" t="str" cm="1">
        <f t="array" ref="C136:E136">_xlfn.TEXTSPLIT(B136, "/")</f>
        <v>Gnats</v>
      </c>
      <c r="D136" t="str">
        <v>Judgment</v>
      </c>
      <c r="E136" t="str">
        <v>Plague</v>
      </c>
      <c r="Y136" t="str">
        <v>Prophecy</v>
      </c>
    </row>
    <row r="137" spans="1:25" x14ac:dyDescent="0.35">
      <c r="A137">
        <v>136</v>
      </c>
      <c r="B137" t="s">
        <v>10719</v>
      </c>
      <c r="C137" t="str" cm="1">
        <f t="array" ref="C137:D137">_xlfn.TEXTSPLIT(B137, "/")</f>
        <v>Speech</v>
      </c>
      <c r="D137" t="str">
        <v>Warning</v>
      </c>
      <c r="Y137" t="str">
        <v>Protection</v>
      </c>
    </row>
    <row r="138" spans="1:25" x14ac:dyDescent="0.35">
      <c r="A138">
        <v>137</v>
      </c>
      <c r="B138" t="s">
        <v>11148</v>
      </c>
      <c r="C138" t="str" cm="1">
        <f t="array" ref="C138:E138">_xlfn.TEXTSPLIT(B138, "/")</f>
        <v>Flies</v>
      </c>
      <c r="D138" t="str">
        <v>Judgment</v>
      </c>
      <c r="E138" t="str">
        <v>Plague</v>
      </c>
      <c r="Y138" t="str">
        <v>Providence</v>
      </c>
    </row>
    <row r="139" spans="1:25" x14ac:dyDescent="0.35">
      <c r="A139">
        <v>138</v>
      </c>
      <c r="B139" t="s">
        <v>12709</v>
      </c>
      <c r="C139" t="str" cm="1">
        <f t="array" ref="C139:D139">_xlfn.TEXTSPLIT(B139, "/")</f>
        <v>Prayer</v>
      </c>
      <c r="D139" t="str">
        <v>Intercession</v>
      </c>
      <c r="Y139" t="str">
        <v>Provision</v>
      </c>
    </row>
    <row r="140" spans="1:25" x14ac:dyDescent="0.35">
      <c r="A140">
        <v>139</v>
      </c>
      <c r="B140" t="s">
        <v>10719</v>
      </c>
      <c r="C140" t="str" cm="1">
        <f t="array" ref="C140:D140">_xlfn.TEXTSPLIT(B140, "/")</f>
        <v>Speech</v>
      </c>
      <c r="D140" t="str">
        <v>Warning</v>
      </c>
      <c r="Y140" t="str">
        <v>Purity</v>
      </c>
    </row>
    <row r="141" spans="1:25" x14ac:dyDescent="0.35">
      <c r="A141">
        <v>140</v>
      </c>
      <c r="B141" t="s">
        <v>11149</v>
      </c>
      <c r="C141" t="str" cm="1">
        <f t="array" ref="C141:E141">_xlfn.TEXTSPLIT(B141, "/")</f>
        <v>Death</v>
      </c>
      <c r="D141" t="str">
        <v>Judgment</v>
      </c>
      <c r="E141" t="str">
        <v>Plague</v>
      </c>
      <c r="Y141" t="str">
        <v>Pursuit</v>
      </c>
    </row>
    <row r="142" spans="1:25" x14ac:dyDescent="0.35">
      <c r="A142">
        <v>141</v>
      </c>
      <c r="B142" t="s">
        <v>11112</v>
      </c>
      <c r="C142" t="str" cm="1">
        <f t="array" ref="C142:D142">_xlfn.TEXTSPLIT(B142, "/")</f>
        <v>Instruction</v>
      </c>
      <c r="D142" t="str">
        <v>Speech</v>
      </c>
      <c r="Y142" t="str">
        <v>Rain</v>
      </c>
    </row>
    <row r="143" spans="1:25" x14ac:dyDescent="0.35">
      <c r="A143">
        <v>142</v>
      </c>
      <c r="B143" t="s">
        <v>11150</v>
      </c>
      <c r="C143" t="str" cm="1">
        <f t="array" ref="C143:E143">_xlfn.TEXTSPLIT(B143, "/")</f>
        <v>Boils</v>
      </c>
      <c r="D143" t="str">
        <v>Judgment</v>
      </c>
      <c r="E143" t="str">
        <v>Plague</v>
      </c>
      <c r="Y143" t="str">
        <v>Reassurance</v>
      </c>
    </row>
    <row r="144" spans="1:25" x14ac:dyDescent="0.35">
      <c r="A144">
        <v>143</v>
      </c>
      <c r="B144" t="s">
        <v>10719</v>
      </c>
      <c r="C144" t="str" cm="1">
        <f t="array" ref="C144:D144">_xlfn.TEXTSPLIT(B144, "/")</f>
        <v>Speech</v>
      </c>
      <c r="D144" t="str">
        <v>Warning</v>
      </c>
      <c r="Y144" t="str">
        <v>Rebuke</v>
      </c>
    </row>
    <row r="145" spans="1:25" x14ac:dyDescent="0.35">
      <c r="A145">
        <v>144</v>
      </c>
      <c r="B145" t="s">
        <v>11112</v>
      </c>
      <c r="C145" t="str" cm="1">
        <f t="array" ref="C145:D145">_xlfn.TEXTSPLIT(B145, "/")</f>
        <v>Instruction</v>
      </c>
      <c r="D145" t="str">
        <v>Speech</v>
      </c>
      <c r="Y145" t="str">
        <v>Recognition</v>
      </c>
    </row>
    <row r="146" spans="1:25" x14ac:dyDescent="0.35">
      <c r="A146">
        <v>145</v>
      </c>
      <c r="B146" t="s">
        <v>11151</v>
      </c>
      <c r="C146" t="str" cm="1">
        <f t="array" ref="C146:E146">_xlfn.TEXTSPLIT(B146, "/")</f>
        <v>Hail</v>
      </c>
      <c r="D146" t="str">
        <v>Judgment</v>
      </c>
      <c r="E146" t="str">
        <v>Plague</v>
      </c>
      <c r="Y146" t="str">
        <v>Recording</v>
      </c>
    </row>
    <row r="147" spans="1:25" x14ac:dyDescent="0.35">
      <c r="A147">
        <v>146</v>
      </c>
      <c r="B147" t="s">
        <v>12709</v>
      </c>
      <c r="C147" t="str" cm="1">
        <f t="array" ref="C147:D147">_xlfn.TEXTSPLIT(B147, "/")</f>
        <v>Prayer</v>
      </c>
      <c r="D147" t="str">
        <v>Intercession</v>
      </c>
      <c r="Y147" t="str">
        <v>Recovery</v>
      </c>
    </row>
    <row r="148" spans="1:25" x14ac:dyDescent="0.35">
      <c r="A148">
        <v>147</v>
      </c>
      <c r="B148" t="s">
        <v>10719</v>
      </c>
      <c r="C148" t="str" cm="1">
        <f t="array" ref="C148:D148">_xlfn.TEXTSPLIT(B148, "/")</f>
        <v>Speech</v>
      </c>
      <c r="D148" t="str">
        <v>Warning</v>
      </c>
      <c r="Y148" t="str">
        <v>Redemption</v>
      </c>
    </row>
    <row r="149" spans="1:25" x14ac:dyDescent="0.35">
      <c r="A149">
        <v>148</v>
      </c>
      <c r="B149" t="s">
        <v>11112</v>
      </c>
      <c r="C149" t="str" cm="1">
        <f t="array" ref="C149:D149">_xlfn.TEXTSPLIT(B149, "/")</f>
        <v>Instruction</v>
      </c>
      <c r="D149" t="str">
        <v>Speech</v>
      </c>
      <c r="Y149" t="str">
        <v>Rejection</v>
      </c>
    </row>
    <row r="150" spans="1:25" x14ac:dyDescent="0.35">
      <c r="A150">
        <v>149</v>
      </c>
      <c r="B150" t="s">
        <v>11152</v>
      </c>
      <c r="C150" t="str" cm="1">
        <f t="array" ref="C150:E150">_xlfn.TEXTSPLIT(B150, "/")</f>
        <v>Judgment</v>
      </c>
      <c r="D150" t="str">
        <v>Locusts</v>
      </c>
      <c r="E150" t="str">
        <v>Plague</v>
      </c>
      <c r="Y150" t="str">
        <v>Relenting</v>
      </c>
    </row>
    <row r="151" spans="1:25" x14ac:dyDescent="0.35">
      <c r="A151">
        <v>150</v>
      </c>
      <c r="B151" t="s">
        <v>12709</v>
      </c>
      <c r="C151" t="str" cm="1">
        <f t="array" ref="C151:D151">_xlfn.TEXTSPLIT(B151, "/")</f>
        <v>Prayer</v>
      </c>
      <c r="D151" t="str">
        <v>Intercession</v>
      </c>
      <c r="Y151" t="str">
        <v>Remedy</v>
      </c>
    </row>
    <row r="152" spans="1:25" x14ac:dyDescent="0.35">
      <c r="A152">
        <v>151</v>
      </c>
      <c r="B152" t="s">
        <v>11112</v>
      </c>
      <c r="C152" t="str" cm="1">
        <f t="array" ref="C152:D152">_xlfn.TEXTSPLIT(B152, "/")</f>
        <v>Instruction</v>
      </c>
      <c r="D152" t="str">
        <v>Speech</v>
      </c>
      <c r="Y152" t="str">
        <v>Remembrance</v>
      </c>
    </row>
    <row r="153" spans="1:25" x14ac:dyDescent="0.35">
      <c r="A153">
        <v>152</v>
      </c>
      <c r="B153" t="s">
        <v>11153</v>
      </c>
      <c r="C153" t="str" cm="1">
        <f t="array" ref="C153:E153">_xlfn.TEXTSPLIT(B153, "/")</f>
        <v>Darkness</v>
      </c>
      <c r="D153" t="str">
        <v>Judgment</v>
      </c>
      <c r="E153" t="str">
        <v>Plague</v>
      </c>
      <c r="Y153" t="str">
        <v>Reminder</v>
      </c>
    </row>
    <row r="154" spans="1:25" x14ac:dyDescent="0.35">
      <c r="A154">
        <v>153</v>
      </c>
      <c r="B154" t="s">
        <v>10719</v>
      </c>
      <c r="C154" t="str" cm="1">
        <f t="array" ref="C154:D154">_xlfn.TEXTSPLIT(B154, "/")</f>
        <v>Speech</v>
      </c>
      <c r="D154" t="str">
        <v>Warning</v>
      </c>
      <c r="Y154" t="str">
        <v>Renewal</v>
      </c>
    </row>
    <row r="155" spans="1:25" x14ac:dyDescent="0.35">
      <c r="A155">
        <v>154</v>
      </c>
      <c r="B155" t="s">
        <v>11112</v>
      </c>
      <c r="C155" t="str" cm="1">
        <f t="array" ref="C155:D155">_xlfn.TEXTSPLIT(B155, "/")</f>
        <v>Instruction</v>
      </c>
      <c r="D155" t="str">
        <v>Speech</v>
      </c>
      <c r="Y155" t="str">
        <v>Repentance</v>
      </c>
    </row>
    <row r="156" spans="1:25" x14ac:dyDescent="0.35">
      <c r="A156">
        <v>155</v>
      </c>
      <c r="B156" t="s">
        <v>11149</v>
      </c>
      <c r="C156" t="str" cm="1">
        <f t="array" ref="C156:E156">_xlfn.TEXTSPLIT(B156, "/")</f>
        <v>Death</v>
      </c>
      <c r="D156" t="str">
        <v>Judgment</v>
      </c>
      <c r="E156" t="str">
        <v>Plague</v>
      </c>
      <c r="Y156" t="str">
        <v>Requirement</v>
      </c>
    </row>
    <row r="157" spans="1:25" x14ac:dyDescent="0.35">
      <c r="A157">
        <v>156</v>
      </c>
      <c r="B157" t="s">
        <v>10050</v>
      </c>
      <c r="C157" t="str" cm="1">
        <f t="array" ref="C157:D157">_xlfn.TEXTSPLIT(B157, "/")</f>
        <v>Favor</v>
      </c>
      <c r="D157" t="str">
        <v>Fulfillment</v>
      </c>
      <c r="Y157" t="str">
        <v>Response</v>
      </c>
    </row>
    <row r="158" spans="1:25" x14ac:dyDescent="0.35">
      <c r="A158">
        <v>157</v>
      </c>
      <c r="B158" t="s">
        <v>10050</v>
      </c>
      <c r="C158" t="str" cm="1">
        <f t="array" ref="C158:D158">_xlfn.TEXTSPLIT(B158, "/")</f>
        <v>Favor</v>
      </c>
      <c r="D158" t="str">
        <v>Fulfillment</v>
      </c>
      <c r="Y158" t="str">
        <v>Rest</v>
      </c>
    </row>
    <row r="159" spans="1:25" x14ac:dyDescent="0.35">
      <c r="A159">
        <v>158</v>
      </c>
      <c r="B159" t="s">
        <v>11112</v>
      </c>
      <c r="C159" t="str" cm="1">
        <f t="array" ref="C159:D159">_xlfn.TEXTSPLIT(B159, "/")</f>
        <v>Instruction</v>
      </c>
      <c r="D159" t="str">
        <v>Speech</v>
      </c>
      <c r="Y159" t="str">
        <v>Restoration</v>
      </c>
    </row>
    <row r="160" spans="1:25" x14ac:dyDescent="0.35">
      <c r="A160">
        <v>159</v>
      </c>
      <c r="B160" t="s">
        <v>10966</v>
      </c>
      <c r="C160" t="str" cm="1">
        <f t="array" ref="C160:D160">_xlfn.TEXTSPLIT(B160, "/")</f>
        <v>Guidance</v>
      </c>
      <c r="D160" t="str">
        <v>Strategy</v>
      </c>
      <c r="Y160" t="str">
        <v>Restraint</v>
      </c>
    </row>
    <row r="161" spans="1:25" x14ac:dyDescent="0.35">
      <c r="A161">
        <v>160</v>
      </c>
      <c r="B161" t="s">
        <v>11154</v>
      </c>
      <c r="C161" t="str" cm="1">
        <f t="array" ref="C161:F161">_xlfn.TEXTSPLIT(B161, "/")</f>
        <v>Appearance</v>
      </c>
      <c r="D161" t="str">
        <v>Cloud</v>
      </c>
      <c r="E161" t="str">
        <v>Fire</v>
      </c>
      <c r="F161" t="str">
        <v>Guidance</v>
      </c>
      <c r="Y161" t="str">
        <v>Revelation</v>
      </c>
    </row>
    <row r="162" spans="1:25" x14ac:dyDescent="0.35">
      <c r="A162">
        <v>161</v>
      </c>
      <c r="B162" t="s">
        <v>11112</v>
      </c>
      <c r="C162" t="str" cm="1">
        <f t="array" ref="C162:D162">_xlfn.TEXTSPLIT(B162, "/")</f>
        <v>Instruction</v>
      </c>
      <c r="D162" t="str">
        <v>Speech</v>
      </c>
      <c r="Y162" t="str">
        <v>Reward</v>
      </c>
    </row>
    <row r="163" spans="1:25" x14ac:dyDescent="0.35">
      <c r="A163">
        <v>162</v>
      </c>
      <c r="B163" t="s">
        <v>11112</v>
      </c>
      <c r="C163" t="str" cm="1">
        <f t="array" ref="C163:D163">_xlfn.TEXTSPLIT(B163, "/")</f>
        <v>Instruction</v>
      </c>
      <c r="D163" t="str">
        <v>Speech</v>
      </c>
      <c r="Y163" t="str">
        <v>Safety</v>
      </c>
    </row>
    <row r="164" spans="1:25" x14ac:dyDescent="0.35">
      <c r="A164">
        <v>163</v>
      </c>
      <c r="B164" t="s">
        <v>11155</v>
      </c>
      <c r="C164" t="str" cm="1">
        <f t="array" ref="C164:E164">_xlfn.TEXTSPLIT(B164, "/")</f>
        <v>Appearance</v>
      </c>
      <c r="D164" t="str">
        <v>Cloud</v>
      </c>
      <c r="E164" t="str">
        <v>Protection</v>
      </c>
      <c r="Y164" t="str">
        <v>Salvation</v>
      </c>
    </row>
    <row r="165" spans="1:25" x14ac:dyDescent="0.35">
      <c r="A165">
        <v>164</v>
      </c>
      <c r="B165" t="s">
        <v>11156</v>
      </c>
      <c r="C165" t="str" cm="1">
        <f t="array" ref="C165:F165">_xlfn.TEXTSPLIT(B165, "/")</f>
        <v>Creation</v>
      </c>
      <c r="D165" t="str">
        <v>Deliverance</v>
      </c>
      <c r="E165" t="str">
        <v>Water</v>
      </c>
      <c r="F165" t="str">
        <v>Wind</v>
      </c>
      <c r="Y165" t="str">
        <v>Separation</v>
      </c>
    </row>
    <row r="166" spans="1:25" x14ac:dyDescent="0.35">
      <c r="A166">
        <v>165</v>
      </c>
      <c r="B166" t="s">
        <v>10505</v>
      </c>
      <c r="C166" t="str" cm="1">
        <f t="array" ref="C166:D166">_xlfn.TEXTSPLIT(B166, "/")</f>
        <v>Deliverance</v>
      </c>
      <c r="D166" t="str">
        <v>Judgment</v>
      </c>
      <c r="Y166" t="str">
        <v>Sign</v>
      </c>
    </row>
    <row r="167" spans="1:25" x14ac:dyDescent="0.35">
      <c r="A167">
        <v>166</v>
      </c>
      <c r="B167" t="s">
        <v>11112</v>
      </c>
      <c r="C167" t="str" cm="1">
        <f t="array" ref="C167:D167">_xlfn.TEXTSPLIT(B167, "/")</f>
        <v>Instruction</v>
      </c>
      <c r="D167" t="str">
        <v>Speech</v>
      </c>
      <c r="Y167" t="str">
        <v>Skill</v>
      </c>
    </row>
    <row r="168" spans="1:25" x14ac:dyDescent="0.35">
      <c r="A168">
        <v>167</v>
      </c>
      <c r="B168" t="s">
        <v>10505</v>
      </c>
      <c r="C168" t="str" cm="1">
        <f t="array" ref="C168:D168">_xlfn.TEXTSPLIT(B168, "/")</f>
        <v>Deliverance</v>
      </c>
      <c r="D168" t="str">
        <v>Judgment</v>
      </c>
      <c r="Y168" t="str">
        <v>Slaughter</v>
      </c>
    </row>
    <row r="169" spans="1:25" x14ac:dyDescent="0.35">
      <c r="A169">
        <v>168</v>
      </c>
      <c r="B169" t="s">
        <v>11157</v>
      </c>
      <c r="C169" t="str" cm="1">
        <f t="array" ref="C169:D169">_xlfn.TEXTSPLIT(B169, "/")</f>
        <v>Cleansing</v>
      </c>
      <c r="D169" t="str">
        <v>Provision</v>
      </c>
      <c r="Y169" t="str">
        <v>Sleep</v>
      </c>
    </row>
    <row r="170" spans="1:25" x14ac:dyDescent="0.35">
      <c r="A170">
        <v>169</v>
      </c>
      <c r="B170" t="s">
        <v>11158</v>
      </c>
      <c r="C170" t="str" cm="1">
        <f t="array" ref="C170:E170">_xlfn.TEXTSPLIT(B170, "/")</f>
        <v>Health</v>
      </c>
      <c r="D170" t="str">
        <v>Promise</v>
      </c>
      <c r="E170" t="str">
        <v>Speech</v>
      </c>
      <c r="Y170" t="str">
        <v>Smoke</v>
      </c>
    </row>
    <row r="171" spans="1:25" x14ac:dyDescent="0.35">
      <c r="A171">
        <v>170</v>
      </c>
      <c r="B171" t="s">
        <v>11159</v>
      </c>
      <c r="C171" t="str" cm="1">
        <f t="array" ref="C171:F171">_xlfn.TEXTSPLIT(B171, "/")</f>
        <v>Food</v>
      </c>
      <c r="D171" t="str">
        <v>Promise</v>
      </c>
      <c r="E171" t="str">
        <v>Provision</v>
      </c>
      <c r="F171" t="str">
        <v>Speech</v>
      </c>
      <c r="Y171" t="str">
        <v>Song</v>
      </c>
    </row>
    <row r="172" spans="1:25" x14ac:dyDescent="0.35">
      <c r="A172">
        <v>171</v>
      </c>
      <c r="B172" t="s">
        <v>11160</v>
      </c>
      <c r="C172" t="str" cm="1">
        <f t="array" ref="C172:D172">_xlfn.TEXTSPLIT(B172, "/")</f>
        <v>Glory</v>
      </c>
      <c r="D172" t="str">
        <v>Theophany</v>
      </c>
      <c r="Y172" t="str">
        <v>Sorrow</v>
      </c>
    </row>
    <row r="173" spans="1:25" x14ac:dyDescent="0.35">
      <c r="A173">
        <v>172</v>
      </c>
      <c r="B173" t="s">
        <v>11159</v>
      </c>
      <c r="C173" t="str" cm="1">
        <f t="array" ref="C173:F173">_xlfn.TEXTSPLIT(B173, "/")</f>
        <v>Food</v>
      </c>
      <c r="D173" t="str">
        <v>Promise</v>
      </c>
      <c r="E173" t="str">
        <v>Provision</v>
      </c>
      <c r="F173" t="str">
        <v>Speech</v>
      </c>
      <c r="Y173" t="str">
        <v>Speech</v>
      </c>
    </row>
    <row r="174" spans="1:25" x14ac:dyDescent="0.35">
      <c r="A174">
        <v>173</v>
      </c>
      <c r="B174" t="s">
        <v>11495</v>
      </c>
      <c r="C174" t="str" cm="1">
        <f t="array" ref="C174:D174">_xlfn.TEXTSPLIT(B174, "/")</f>
        <v>Food</v>
      </c>
      <c r="D174" t="str">
        <v>Provision</v>
      </c>
      <c r="Y174" t="str">
        <v>Spirit</v>
      </c>
    </row>
    <row r="175" spans="1:25" x14ac:dyDescent="0.35">
      <c r="A175">
        <v>174</v>
      </c>
      <c r="B175" t="s">
        <v>11112</v>
      </c>
      <c r="C175" t="str" cm="1">
        <f t="array" ref="C175:D175">_xlfn.TEXTSPLIT(B175, "/")</f>
        <v>Instruction</v>
      </c>
      <c r="D175" t="str">
        <v>Speech</v>
      </c>
      <c r="Y175" t="str">
        <v>Spiritual Affliction</v>
      </c>
    </row>
    <row r="176" spans="1:25" x14ac:dyDescent="0.35">
      <c r="A176">
        <v>175</v>
      </c>
      <c r="B176" t="s">
        <v>11112</v>
      </c>
      <c r="C176" t="str" cm="1">
        <f t="array" ref="C176:D176">_xlfn.TEXTSPLIT(B176, "/")</f>
        <v>Instruction</v>
      </c>
      <c r="D176" t="str">
        <v>Speech</v>
      </c>
      <c r="Y176" t="str">
        <v>Strategy</v>
      </c>
    </row>
    <row r="177" spans="1:25" x14ac:dyDescent="0.35">
      <c r="A177">
        <v>176</v>
      </c>
      <c r="B177" t="s">
        <v>11112</v>
      </c>
      <c r="C177" t="str" cm="1">
        <f t="array" ref="C177:D177">_xlfn.TEXTSPLIT(B177, "/")</f>
        <v>Instruction</v>
      </c>
      <c r="D177" t="str">
        <v>Speech</v>
      </c>
      <c r="Y177" t="str">
        <v>Strength</v>
      </c>
    </row>
    <row r="178" spans="1:25" x14ac:dyDescent="0.35">
      <c r="A178">
        <v>177</v>
      </c>
      <c r="B178" t="s">
        <v>10986</v>
      </c>
      <c r="C178" t="str" cm="1">
        <f t="array" ref="C178:D178">_xlfn.TEXTSPLIT(B178, "/")</f>
        <v>Provision</v>
      </c>
      <c r="D178" t="str">
        <v>Water</v>
      </c>
      <c r="Y178" t="str">
        <v>Strengthening Enemies</v>
      </c>
    </row>
    <row r="179" spans="1:25" x14ac:dyDescent="0.35">
      <c r="A179">
        <v>178</v>
      </c>
      <c r="B179" t="s">
        <v>11161</v>
      </c>
      <c r="C179" t="str" cm="1">
        <f t="array" ref="C179:D179">_xlfn.TEXTSPLIT(B179, "/")</f>
        <v>Intervention</v>
      </c>
      <c r="D179" t="str">
        <v>Victory</v>
      </c>
      <c r="Y179" t="str">
        <v>Supremacy</v>
      </c>
    </row>
    <row r="180" spans="1:25" x14ac:dyDescent="0.35">
      <c r="A180">
        <v>179</v>
      </c>
      <c r="B180" t="s">
        <v>11112</v>
      </c>
      <c r="C180" t="str" cm="1">
        <f t="array" ref="C180:D180">_xlfn.TEXTSPLIT(B180, "/")</f>
        <v>Instruction</v>
      </c>
      <c r="D180" t="str">
        <v>Speech</v>
      </c>
      <c r="Y180" t="str">
        <v>Test</v>
      </c>
    </row>
    <row r="181" spans="1:25" x14ac:dyDescent="0.35">
      <c r="A181">
        <v>180</v>
      </c>
      <c r="B181" t="s">
        <v>11122</v>
      </c>
      <c r="C181" t="str" cm="1">
        <f t="array" ref="C181:D181">_xlfn.TEXTSPLIT(B181, "/")</f>
        <v>Covenant</v>
      </c>
      <c r="D181" t="str">
        <v>Speech</v>
      </c>
      <c r="Y181" t="str">
        <v>Testimony</v>
      </c>
    </row>
    <row r="182" spans="1:25" x14ac:dyDescent="0.35">
      <c r="A182">
        <v>181</v>
      </c>
      <c r="B182" t="s">
        <v>11162</v>
      </c>
      <c r="C182" t="str" cm="1">
        <f t="array" ref="C182:E182">_xlfn.TEXTSPLIT(B182, "/")</f>
        <v>Consecration</v>
      </c>
      <c r="D182" t="str">
        <v>Instruction</v>
      </c>
      <c r="E182" t="str">
        <v>Speech</v>
      </c>
      <c r="Y182" t="str">
        <v>Thanksgiving</v>
      </c>
    </row>
    <row r="183" spans="1:25" x14ac:dyDescent="0.35">
      <c r="A183">
        <v>182</v>
      </c>
      <c r="B183" t="s">
        <v>11163</v>
      </c>
      <c r="C183" t="str" cm="1">
        <f t="array" ref="C183:L183">_xlfn.TEXTSPLIT(B183, "/")</f>
        <v>Cloud</v>
      </c>
      <c r="D183" t="str">
        <v>Fire</v>
      </c>
      <c r="E183" t="str">
        <v>Lightning</v>
      </c>
      <c r="F183" t="str">
        <v>Presence</v>
      </c>
      <c r="G183" t="str">
        <v>Smoke</v>
      </c>
      <c r="H183" t="str">
        <v>Speech</v>
      </c>
      <c r="I183" t="str">
        <v>Theophany</v>
      </c>
      <c r="J183" t="str">
        <v>Thunder</v>
      </c>
      <c r="K183" t="str">
        <v>Trumpet</v>
      </c>
      <c r="L183" t="str">
        <v>Warning</v>
      </c>
      <c r="Y183" t="str">
        <v>Theophany</v>
      </c>
    </row>
    <row r="184" spans="1:25" x14ac:dyDescent="0.35">
      <c r="A184">
        <v>183</v>
      </c>
      <c r="B184" t="s">
        <v>11164</v>
      </c>
      <c r="C184" t="str" cm="1">
        <f t="array" ref="C184:E184">_xlfn.TEXTSPLIT(B184, "/")</f>
        <v>Instruction</v>
      </c>
      <c r="D184" t="str">
        <v>Law</v>
      </c>
      <c r="E184" t="str">
        <v>Speech</v>
      </c>
      <c r="Y184" t="str">
        <v>Thunder</v>
      </c>
    </row>
    <row r="185" spans="1:25" x14ac:dyDescent="0.35">
      <c r="A185">
        <v>184</v>
      </c>
      <c r="B185" t="s">
        <v>11164</v>
      </c>
      <c r="C185" t="str" cm="1">
        <f t="array" ref="C185:E185">_xlfn.TEXTSPLIT(B185, "/")</f>
        <v>Instruction</v>
      </c>
      <c r="D185" t="str">
        <v>Law</v>
      </c>
      <c r="E185" t="str">
        <v>Speech</v>
      </c>
      <c r="Y185" t="str">
        <v>Timing</v>
      </c>
    </row>
    <row r="186" spans="1:25" x14ac:dyDescent="0.35">
      <c r="A186">
        <v>185</v>
      </c>
      <c r="B186" t="s">
        <v>11164</v>
      </c>
      <c r="C186" t="str" cm="1">
        <f t="array" ref="C186:E186">_xlfn.TEXTSPLIT(B186, "/")</f>
        <v>Instruction</v>
      </c>
      <c r="D186" t="str">
        <v>Law</v>
      </c>
      <c r="E186" t="str">
        <v>Speech</v>
      </c>
      <c r="Y186" t="str">
        <v>Tithe</v>
      </c>
    </row>
    <row r="187" spans="1:25" x14ac:dyDescent="0.35">
      <c r="A187">
        <v>186</v>
      </c>
      <c r="B187" t="s">
        <v>11120</v>
      </c>
      <c r="C187" t="str" cm="1">
        <f t="array" ref="C187:D187">_xlfn.TEXTSPLIT(B187, "/")</f>
        <v>Promise</v>
      </c>
      <c r="D187" t="str">
        <v>Speech</v>
      </c>
      <c r="Y187" t="str">
        <v>Transformation</v>
      </c>
    </row>
    <row r="188" spans="1:25" x14ac:dyDescent="0.35">
      <c r="A188">
        <v>187</v>
      </c>
      <c r="B188" t="s">
        <v>10052</v>
      </c>
      <c r="C188" t="str" cm="1">
        <f t="array" ref="C188:D188">_xlfn.TEXTSPLIT(B188, "/")</f>
        <v>Theophany</v>
      </c>
      <c r="D188" t="str">
        <v>Vision</v>
      </c>
      <c r="Y188" t="str">
        <v>Translation</v>
      </c>
    </row>
    <row r="189" spans="1:25" x14ac:dyDescent="0.35">
      <c r="A189">
        <v>188</v>
      </c>
      <c r="B189" t="s">
        <v>10511</v>
      </c>
      <c r="C189" t="str" cm="1">
        <f t="array" ref="C189:D189">_xlfn.TEXTSPLIT(B189, "/")</f>
        <v>Speech</v>
      </c>
      <c r="D189" t="str">
        <v>Theophany</v>
      </c>
      <c r="Y189" t="str">
        <v>Transmutation</v>
      </c>
    </row>
    <row r="190" spans="1:25" x14ac:dyDescent="0.35">
      <c r="A190">
        <v>189</v>
      </c>
      <c r="B190" t="s">
        <v>11112</v>
      </c>
      <c r="C190" t="str" cm="1">
        <f t="array" ref="C190:D190">_xlfn.TEXTSPLIT(B190, "/")</f>
        <v>Instruction</v>
      </c>
      <c r="D190" t="str">
        <v>Speech</v>
      </c>
      <c r="Y190" t="str">
        <v>Trumpet</v>
      </c>
    </row>
    <row r="191" spans="1:25" x14ac:dyDescent="0.35">
      <c r="A191">
        <v>190</v>
      </c>
      <c r="B191" t="s">
        <v>10752</v>
      </c>
      <c r="C191" t="str" cm="1">
        <f t="array" ref="C191">_xlfn.TEXTSPLIT(B191, "/")</f>
        <v>Inscription</v>
      </c>
      <c r="Y191" t="str">
        <v>Victory</v>
      </c>
    </row>
    <row r="192" spans="1:25" x14ac:dyDescent="0.35">
      <c r="A192">
        <v>191</v>
      </c>
      <c r="B192" t="s">
        <v>10048</v>
      </c>
      <c r="C192" t="str" cm="1">
        <f t="array" ref="C192">_xlfn.TEXTSPLIT(B192, "/")</f>
        <v>Revelation</v>
      </c>
      <c r="Y192" t="str">
        <v>Vision</v>
      </c>
    </row>
    <row r="193" spans="1:25" x14ac:dyDescent="0.35">
      <c r="A193">
        <v>192</v>
      </c>
      <c r="B193" t="s">
        <v>10053</v>
      </c>
      <c r="C193" t="str" cm="1">
        <f t="array" ref="C193:D193">_xlfn.TEXTSPLIT(B193, "/")</f>
        <v>Mercy</v>
      </c>
      <c r="D193" t="str">
        <v>Relenting</v>
      </c>
      <c r="Y193" t="str">
        <v>War</v>
      </c>
    </row>
    <row r="194" spans="1:25" x14ac:dyDescent="0.35">
      <c r="A194">
        <v>193</v>
      </c>
      <c r="B194" t="s">
        <v>11002</v>
      </c>
      <c r="C194" t="str" cm="1">
        <f t="array" ref="C194:D194">_xlfn.TEXTSPLIT(B194, "/")</f>
        <v>Judgment</v>
      </c>
      <c r="D194" t="str">
        <v>Separation</v>
      </c>
      <c r="Y194" t="str">
        <v>Warning</v>
      </c>
    </row>
    <row r="195" spans="1:25" x14ac:dyDescent="0.35">
      <c r="A195">
        <v>194</v>
      </c>
      <c r="B195" t="s">
        <v>10049</v>
      </c>
      <c r="C195" t="str" cm="1">
        <f t="array" ref="C195:D195">_xlfn.TEXTSPLIT(B195, "/")</f>
        <v>Judgment</v>
      </c>
      <c r="D195" t="str">
        <v>Plague</v>
      </c>
      <c r="Y195" t="str">
        <v>Water</v>
      </c>
    </row>
    <row r="196" spans="1:25" x14ac:dyDescent="0.35">
      <c r="A196">
        <v>195</v>
      </c>
      <c r="B196" t="s">
        <v>11112</v>
      </c>
      <c r="C196" t="str" cm="1">
        <f t="array" ref="C196:D196">_xlfn.TEXTSPLIT(B196, "/")</f>
        <v>Instruction</v>
      </c>
      <c r="D196" t="str">
        <v>Speech</v>
      </c>
      <c r="Y196" t="str">
        <v>Wind</v>
      </c>
    </row>
    <row r="197" spans="1:25" x14ac:dyDescent="0.35">
      <c r="A197">
        <v>196</v>
      </c>
      <c r="B197" t="s">
        <v>11165</v>
      </c>
      <c r="C197" t="str" cm="1">
        <f t="array" ref="C197:E197">_xlfn.TEXTSPLIT(B197, "/")</f>
        <v>Cloud</v>
      </c>
      <c r="D197" t="str">
        <v>Presence</v>
      </c>
      <c r="E197" t="str">
        <v>Theophany</v>
      </c>
      <c r="Y197" t="str">
        <v>Withdrawal</v>
      </c>
    </row>
    <row r="198" spans="1:25" x14ac:dyDescent="0.35">
      <c r="A198">
        <v>197</v>
      </c>
      <c r="B198" t="s">
        <v>11166</v>
      </c>
      <c r="C198" t="str" cm="1">
        <f t="array" ref="C198:F198">_xlfn.TEXTSPLIT(B198, "/")</f>
        <v>Comfort</v>
      </c>
      <c r="D198" t="str">
        <v>Instruction</v>
      </c>
      <c r="E198" t="str">
        <v>Speech</v>
      </c>
      <c r="F198" t="str">
        <v>Theophany</v>
      </c>
      <c r="Y198" t="str">
        <v>Witness</v>
      </c>
    </row>
    <row r="199" spans="1:25" x14ac:dyDescent="0.35">
      <c r="A199">
        <v>198</v>
      </c>
      <c r="B199" t="s">
        <v>11167</v>
      </c>
      <c r="C199" t="str" cm="1">
        <f t="array" ref="C199:D199">_xlfn.TEXTSPLIT(B199, "/")</f>
        <v>Inscription</v>
      </c>
      <c r="D199" t="str">
        <v>Speech</v>
      </c>
      <c r="Y199" t="str">
        <v>Worship</v>
      </c>
    </row>
    <row r="200" spans="1:25" x14ac:dyDescent="0.35">
      <c r="A200">
        <v>199</v>
      </c>
      <c r="B200" t="s">
        <v>11168</v>
      </c>
      <c r="C200" t="str" cm="1">
        <f t="array" ref="C200:D200">_xlfn.TEXTSPLIT(B200, "/")</f>
        <v>Cloud</v>
      </c>
      <c r="D200" t="str">
        <v>Theophany</v>
      </c>
      <c r="Y200" t="str">
        <v>Wrath</v>
      </c>
    </row>
    <row r="201" spans="1:25" x14ac:dyDescent="0.35">
      <c r="A201">
        <v>200</v>
      </c>
      <c r="B201" t="s">
        <v>11125</v>
      </c>
      <c r="C201" t="str" cm="1">
        <f t="array" ref="C201:D201">_xlfn.TEXTSPLIT(B201, "/")</f>
        <v>Revelation</v>
      </c>
      <c r="D201" t="str">
        <v>Speech</v>
      </c>
      <c r="Y201" t="str">
        <v>Wrestling</v>
      </c>
    </row>
    <row r="202" spans="1:25" x14ac:dyDescent="0.35">
      <c r="A202">
        <v>201</v>
      </c>
      <c r="B202" t="s">
        <v>11122</v>
      </c>
      <c r="C202" t="str" cm="1">
        <f t="array" ref="C202:D202">_xlfn.TEXTSPLIT(B202, "/")</f>
        <v>Covenant</v>
      </c>
      <c r="D202" t="str">
        <v>Speech</v>
      </c>
      <c r="Y202" t="str">
        <v>Writing</v>
      </c>
    </row>
    <row r="203" spans="1:25" x14ac:dyDescent="0.35">
      <c r="A203">
        <v>202</v>
      </c>
      <c r="B203" t="s">
        <v>11169</v>
      </c>
      <c r="C203" t="str" cm="1">
        <f t="array" ref="C203:D203">_xlfn.TEXTSPLIT(B203, "/")</f>
        <v>Glory</v>
      </c>
      <c r="D203" t="str">
        <v>Transformation</v>
      </c>
    </row>
    <row r="204" spans="1:25" x14ac:dyDescent="0.35">
      <c r="A204">
        <v>203</v>
      </c>
      <c r="B204" t="s">
        <v>10055</v>
      </c>
      <c r="C204" t="str" cm="1">
        <f t="array" ref="C204:D204">_xlfn.TEXTSPLIT(B204, "/")</f>
        <v>Empowerment</v>
      </c>
      <c r="D204" t="str">
        <v>Skill</v>
      </c>
    </row>
    <row r="205" spans="1:25" x14ac:dyDescent="0.35">
      <c r="A205">
        <v>204</v>
      </c>
      <c r="B205" t="s">
        <v>11112</v>
      </c>
      <c r="C205" t="str" cm="1">
        <f t="array" ref="C205:D205">_xlfn.TEXTSPLIT(B205, "/")</f>
        <v>Instruction</v>
      </c>
      <c r="D205" t="str">
        <v>Speech</v>
      </c>
    </row>
    <row r="206" spans="1:25" x14ac:dyDescent="0.35">
      <c r="A206">
        <v>205</v>
      </c>
      <c r="B206" t="s">
        <v>11170</v>
      </c>
      <c r="C206" t="str" cm="1">
        <f t="array" ref="C206:D206">_xlfn.TEXTSPLIT(B206, "/")</f>
        <v>Manifestation</v>
      </c>
      <c r="D206" t="str">
        <v>Presence</v>
      </c>
    </row>
    <row r="207" spans="1:25" x14ac:dyDescent="0.35">
      <c r="A207">
        <v>206</v>
      </c>
      <c r="B207" t="s">
        <v>11171</v>
      </c>
      <c r="C207" t="str" cm="1">
        <f t="array" ref="C207:F207">_xlfn.TEXTSPLIT(B207, "/")</f>
        <v>Cloud</v>
      </c>
      <c r="D207" t="str">
        <v>Fire</v>
      </c>
      <c r="E207" t="str">
        <v>Guidance</v>
      </c>
      <c r="F207" t="str">
        <v>Presence</v>
      </c>
    </row>
    <row r="208" spans="1:25" x14ac:dyDescent="0.35">
      <c r="A208">
        <v>207</v>
      </c>
      <c r="B208" t="s">
        <v>11164</v>
      </c>
      <c r="C208" t="str" cm="1">
        <f t="array" ref="C208:E208">_xlfn.TEXTSPLIT(B208, "/")</f>
        <v>Instruction</v>
      </c>
      <c r="D208" t="str">
        <v>Law</v>
      </c>
      <c r="E208" t="str">
        <v>Speech</v>
      </c>
    </row>
    <row r="209" spans="1:5" x14ac:dyDescent="0.35">
      <c r="A209">
        <v>208</v>
      </c>
      <c r="B209" t="s">
        <v>11164</v>
      </c>
      <c r="C209" t="str" cm="1">
        <f t="array" ref="C209:E209">_xlfn.TEXTSPLIT(B209, "/")</f>
        <v>Instruction</v>
      </c>
      <c r="D209" t="str">
        <v>Law</v>
      </c>
      <c r="E209" t="str">
        <v>Speech</v>
      </c>
    </row>
    <row r="210" spans="1:5" x14ac:dyDescent="0.35">
      <c r="A210">
        <v>209</v>
      </c>
      <c r="B210" t="s">
        <v>11164</v>
      </c>
      <c r="C210" t="str" cm="1">
        <f t="array" ref="C210:E210">_xlfn.TEXTSPLIT(B210, "/")</f>
        <v>Instruction</v>
      </c>
      <c r="D210" t="str">
        <v>Law</v>
      </c>
      <c r="E210" t="str">
        <v>Speech</v>
      </c>
    </row>
    <row r="211" spans="1:5" x14ac:dyDescent="0.35">
      <c r="A211">
        <v>210</v>
      </c>
      <c r="B211" t="s">
        <v>11164</v>
      </c>
      <c r="C211" t="str" cm="1">
        <f t="array" ref="C211:E211">_xlfn.TEXTSPLIT(B211, "/")</f>
        <v>Instruction</v>
      </c>
      <c r="D211" t="str">
        <v>Law</v>
      </c>
      <c r="E211" t="str">
        <v>Speech</v>
      </c>
    </row>
    <row r="212" spans="1:5" x14ac:dyDescent="0.35">
      <c r="A212">
        <v>211</v>
      </c>
      <c r="B212" t="s">
        <v>11164</v>
      </c>
      <c r="C212" t="str" cm="1">
        <f t="array" ref="C212:E212">_xlfn.TEXTSPLIT(B212, "/")</f>
        <v>Instruction</v>
      </c>
      <c r="D212" t="str">
        <v>Law</v>
      </c>
      <c r="E212" t="str">
        <v>Speech</v>
      </c>
    </row>
    <row r="213" spans="1:5" x14ac:dyDescent="0.35">
      <c r="A213">
        <v>212</v>
      </c>
      <c r="B213" t="s">
        <v>11164</v>
      </c>
      <c r="C213" t="str" cm="1">
        <f t="array" ref="C213:E213">_xlfn.TEXTSPLIT(B213, "/")</f>
        <v>Instruction</v>
      </c>
      <c r="D213" t="str">
        <v>Law</v>
      </c>
      <c r="E213" t="str">
        <v>Speech</v>
      </c>
    </row>
    <row r="214" spans="1:5" x14ac:dyDescent="0.35">
      <c r="A214">
        <v>213</v>
      </c>
      <c r="B214" t="s">
        <v>11164</v>
      </c>
      <c r="C214" t="str" cm="1">
        <f t="array" ref="C214:E214">_xlfn.TEXTSPLIT(B214, "/")</f>
        <v>Instruction</v>
      </c>
      <c r="D214" t="str">
        <v>Law</v>
      </c>
      <c r="E214" t="str">
        <v>Speech</v>
      </c>
    </row>
    <row r="215" spans="1:5" x14ac:dyDescent="0.35">
      <c r="A215">
        <v>214</v>
      </c>
      <c r="B215" t="s">
        <v>11172</v>
      </c>
      <c r="C215" t="str" cm="1">
        <f t="array" ref="C215:D215">_xlfn.TEXTSPLIT(B215, "/")</f>
        <v>Fire</v>
      </c>
      <c r="D215" t="str">
        <v>Theophany</v>
      </c>
    </row>
    <row r="216" spans="1:5" x14ac:dyDescent="0.35">
      <c r="A216">
        <v>215</v>
      </c>
      <c r="B216" t="s">
        <v>11139</v>
      </c>
      <c r="C216" t="str" cm="1">
        <f t="array" ref="C216:D216">_xlfn.TEXTSPLIT(B216, "/")</f>
        <v>Death</v>
      </c>
      <c r="D216" t="str">
        <v>Judgment</v>
      </c>
    </row>
    <row r="217" spans="1:5" x14ac:dyDescent="0.35">
      <c r="A217">
        <v>216</v>
      </c>
      <c r="B217" t="s">
        <v>11164</v>
      </c>
      <c r="C217" t="str" cm="1">
        <f t="array" ref="C217:E217">_xlfn.TEXTSPLIT(B217, "/")</f>
        <v>Instruction</v>
      </c>
      <c r="D217" t="str">
        <v>Law</v>
      </c>
      <c r="E217" t="str">
        <v>Speech</v>
      </c>
    </row>
    <row r="218" spans="1:5" x14ac:dyDescent="0.35">
      <c r="A218">
        <v>217</v>
      </c>
      <c r="B218" t="s">
        <v>11164</v>
      </c>
      <c r="C218" t="str" cm="1">
        <f t="array" ref="C218:E218">_xlfn.TEXTSPLIT(B218, "/")</f>
        <v>Instruction</v>
      </c>
      <c r="D218" t="str">
        <v>Law</v>
      </c>
      <c r="E218" t="str">
        <v>Speech</v>
      </c>
    </row>
    <row r="219" spans="1:5" x14ac:dyDescent="0.35">
      <c r="A219">
        <v>218</v>
      </c>
      <c r="B219" t="s">
        <v>11164</v>
      </c>
      <c r="C219" t="str" cm="1">
        <f t="array" ref="C219:E219">_xlfn.TEXTSPLIT(B219, "/")</f>
        <v>Instruction</v>
      </c>
      <c r="D219" t="str">
        <v>Law</v>
      </c>
      <c r="E219" t="str">
        <v>Speech</v>
      </c>
    </row>
    <row r="220" spans="1:5" x14ac:dyDescent="0.35">
      <c r="A220">
        <v>219</v>
      </c>
      <c r="B220" t="s">
        <v>11164</v>
      </c>
      <c r="C220" t="str" cm="1">
        <f t="array" ref="C220:E220">_xlfn.TEXTSPLIT(B220, "/")</f>
        <v>Instruction</v>
      </c>
      <c r="D220" t="str">
        <v>Law</v>
      </c>
      <c r="E220" t="str">
        <v>Speech</v>
      </c>
    </row>
    <row r="221" spans="1:5" x14ac:dyDescent="0.35">
      <c r="A221">
        <v>220</v>
      </c>
      <c r="B221" t="s">
        <v>11164</v>
      </c>
      <c r="C221" t="str" cm="1">
        <f t="array" ref="C221:E221">_xlfn.TEXTSPLIT(B221, "/")</f>
        <v>Instruction</v>
      </c>
      <c r="D221" t="str">
        <v>Law</v>
      </c>
      <c r="E221" t="str">
        <v>Speech</v>
      </c>
    </row>
    <row r="222" spans="1:5" x14ac:dyDescent="0.35">
      <c r="A222">
        <v>221</v>
      </c>
      <c r="B222" t="s">
        <v>11164</v>
      </c>
      <c r="C222" t="str" cm="1">
        <f t="array" ref="C222:E222">_xlfn.TEXTSPLIT(B222, "/")</f>
        <v>Instruction</v>
      </c>
      <c r="D222" t="str">
        <v>Law</v>
      </c>
      <c r="E222" t="str">
        <v>Speech</v>
      </c>
    </row>
    <row r="223" spans="1:5" x14ac:dyDescent="0.35">
      <c r="A223">
        <v>222</v>
      </c>
      <c r="B223" t="s">
        <v>11164</v>
      </c>
      <c r="C223" t="str" cm="1">
        <f t="array" ref="C223:E223">_xlfn.TEXTSPLIT(B223, "/")</f>
        <v>Instruction</v>
      </c>
      <c r="D223" t="str">
        <v>Law</v>
      </c>
      <c r="E223" t="str">
        <v>Speech</v>
      </c>
    </row>
    <row r="224" spans="1:5" x14ac:dyDescent="0.35">
      <c r="A224">
        <v>223</v>
      </c>
      <c r="B224" t="s">
        <v>11164</v>
      </c>
      <c r="C224" t="str" cm="1">
        <f t="array" ref="C224:E224">_xlfn.TEXTSPLIT(B224, "/")</f>
        <v>Instruction</v>
      </c>
      <c r="D224" t="str">
        <v>Law</v>
      </c>
      <c r="E224" t="str">
        <v>Speech</v>
      </c>
    </row>
    <row r="225" spans="1:5" x14ac:dyDescent="0.35">
      <c r="A225">
        <v>224</v>
      </c>
      <c r="B225" t="s">
        <v>11164</v>
      </c>
      <c r="C225" t="str" cm="1">
        <f t="array" ref="C225:E225">_xlfn.TEXTSPLIT(B225, "/")</f>
        <v>Instruction</v>
      </c>
      <c r="D225" t="str">
        <v>Law</v>
      </c>
      <c r="E225" t="str">
        <v>Speech</v>
      </c>
    </row>
    <row r="226" spans="1:5" x14ac:dyDescent="0.35">
      <c r="A226">
        <v>225</v>
      </c>
      <c r="B226" t="s">
        <v>11164</v>
      </c>
      <c r="C226" t="str" cm="1">
        <f t="array" ref="C226:E226">_xlfn.TEXTSPLIT(B226, "/")</f>
        <v>Instruction</v>
      </c>
      <c r="D226" t="str">
        <v>Law</v>
      </c>
      <c r="E226" t="str">
        <v>Speech</v>
      </c>
    </row>
    <row r="227" spans="1:5" x14ac:dyDescent="0.35">
      <c r="A227">
        <v>226</v>
      </c>
      <c r="B227" t="s">
        <v>11164</v>
      </c>
      <c r="C227" t="str" cm="1">
        <f t="array" ref="C227:E227">_xlfn.TEXTSPLIT(B227, "/")</f>
        <v>Instruction</v>
      </c>
      <c r="D227" t="str">
        <v>Law</v>
      </c>
      <c r="E227" t="str">
        <v>Speech</v>
      </c>
    </row>
    <row r="228" spans="1:5" x14ac:dyDescent="0.35">
      <c r="A228">
        <v>227</v>
      </c>
      <c r="B228" t="s">
        <v>11164</v>
      </c>
      <c r="C228" t="str" cm="1">
        <f t="array" ref="C228:E228">_xlfn.TEXTSPLIT(B228, "/")</f>
        <v>Instruction</v>
      </c>
      <c r="D228" t="str">
        <v>Law</v>
      </c>
      <c r="E228" t="str">
        <v>Speech</v>
      </c>
    </row>
    <row r="229" spans="1:5" x14ac:dyDescent="0.35">
      <c r="A229">
        <v>228</v>
      </c>
      <c r="B229" t="s">
        <v>11164</v>
      </c>
      <c r="C229" t="str" cm="1">
        <f t="array" ref="C229:E229">_xlfn.TEXTSPLIT(B229, "/")</f>
        <v>Instruction</v>
      </c>
      <c r="D229" t="str">
        <v>Law</v>
      </c>
      <c r="E229" t="str">
        <v>Speech</v>
      </c>
    </row>
    <row r="230" spans="1:5" x14ac:dyDescent="0.35">
      <c r="A230">
        <v>229</v>
      </c>
      <c r="B230" t="s">
        <v>11164</v>
      </c>
      <c r="C230" t="str" cm="1">
        <f t="array" ref="C230:E230">_xlfn.TEXTSPLIT(B230, "/")</f>
        <v>Instruction</v>
      </c>
      <c r="D230" t="str">
        <v>Law</v>
      </c>
      <c r="E230" t="str">
        <v>Speech</v>
      </c>
    </row>
    <row r="231" spans="1:5" x14ac:dyDescent="0.35">
      <c r="A231">
        <v>230</v>
      </c>
      <c r="B231" t="s">
        <v>11164</v>
      </c>
      <c r="C231" t="str" cm="1">
        <f t="array" ref="C231:E231">_xlfn.TEXTSPLIT(B231, "/")</f>
        <v>Instruction</v>
      </c>
      <c r="D231" t="str">
        <v>Law</v>
      </c>
      <c r="E231" t="str">
        <v>Speech</v>
      </c>
    </row>
    <row r="232" spans="1:5" x14ac:dyDescent="0.35">
      <c r="A232">
        <v>231</v>
      </c>
      <c r="B232" t="s">
        <v>11164</v>
      </c>
      <c r="C232" t="str" cm="1">
        <f t="array" ref="C232:E232">_xlfn.TEXTSPLIT(B232, "/")</f>
        <v>Instruction</v>
      </c>
      <c r="D232" t="str">
        <v>Law</v>
      </c>
      <c r="E232" t="str">
        <v>Speech</v>
      </c>
    </row>
    <row r="233" spans="1:5" x14ac:dyDescent="0.35">
      <c r="A233">
        <v>232</v>
      </c>
      <c r="B233" t="s">
        <v>11164</v>
      </c>
      <c r="C233" t="str" cm="1">
        <f t="array" ref="C233:E233">_xlfn.TEXTSPLIT(B233, "/")</f>
        <v>Instruction</v>
      </c>
      <c r="D233" t="str">
        <v>Law</v>
      </c>
      <c r="E233" t="str">
        <v>Speech</v>
      </c>
    </row>
    <row r="234" spans="1:5" x14ac:dyDescent="0.35">
      <c r="A234">
        <v>233</v>
      </c>
      <c r="B234" t="s">
        <v>11164</v>
      </c>
      <c r="C234" t="str" cm="1">
        <f t="array" ref="C234:E234">_xlfn.TEXTSPLIT(B234, "/")</f>
        <v>Instruction</v>
      </c>
      <c r="D234" t="str">
        <v>Law</v>
      </c>
      <c r="E234" t="str">
        <v>Speech</v>
      </c>
    </row>
    <row r="235" spans="1:5" x14ac:dyDescent="0.35">
      <c r="A235">
        <v>234</v>
      </c>
      <c r="B235" t="s">
        <v>11164</v>
      </c>
      <c r="C235" t="str" cm="1">
        <f t="array" ref="C235:E235">_xlfn.TEXTSPLIT(B235, "/")</f>
        <v>Instruction</v>
      </c>
      <c r="D235" t="str">
        <v>Law</v>
      </c>
      <c r="E235" t="str">
        <v>Speech</v>
      </c>
    </row>
    <row r="236" spans="1:5" x14ac:dyDescent="0.35">
      <c r="A236">
        <v>235</v>
      </c>
      <c r="B236" t="s">
        <v>11164</v>
      </c>
      <c r="C236" t="str" cm="1">
        <f t="array" ref="C236:E236">_xlfn.TEXTSPLIT(B236, "/")</f>
        <v>Instruction</v>
      </c>
      <c r="D236" t="str">
        <v>Law</v>
      </c>
      <c r="E236" t="str">
        <v>Speech</v>
      </c>
    </row>
    <row r="237" spans="1:5" x14ac:dyDescent="0.35">
      <c r="A237">
        <v>236</v>
      </c>
      <c r="B237" t="s">
        <v>10139</v>
      </c>
      <c r="C237" t="str" cm="1">
        <f t="array" ref="C237:D237">_xlfn.TEXTSPLIT(B237, "/")</f>
        <v>Covenant</v>
      </c>
      <c r="D237" t="str">
        <v>Promise</v>
      </c>
    </row>
    <row r="238" spans="1:5" x14ac:dyDescent="0.35">
      <c r="A238">
        <v>237</v>
      </c>
      <c r="B238" t="s">
        <v>11173</v>
      </c>
      <c r="C238" t="str" cm="1">
        <f t="array" ref="C238:D238">_xlfn.TEXTSPLIT(B238, "/")</f>
        <v>Presence</v>
      </c>
      <c r="D238" t="str">
        <v>Promise</v>
      </c>
    </row>
    <row r="239" spans="1:5" x14ac:dyDescent="0.35">
      <c r="A239">
        <v>238</v>
      </c>
      <c r="B239" t="s">
        <v>11174</v>
      </c>
      <c r="C239" t="str" cm="1">
        <f t="array" ref="C239:D239">_xlfn.TEXTSPLIT(B239, "/")</f>
        <v>Judgment</v>
      </c>
      <c r="D239" t="str">
        <v>Warning</v>
      </c>
    </row>
    <row r="240" spans="1:5" x14ac:dyDescent="0.35">
      <c r="A240">
        <v>239</v>
      </c>
      <c r="B240" t="s">
        <v>10256</v>
      </c>
      <c r="C240" t="str" cm="1">
        <f t="array" ref="C240:D240">_xlfn.TEXTSPLIT(B240, "/")</f>
        <v>Mercy</v>
      </c>
      <c r="D240" t="str">
        <v>Promise</v>
      </c>
    </row>
    <row r="241" spans="1:5" x14ac:dyDescent="0.35">
      <c r="A241">
        <v>240</v>
      </c>
      <c r="B241" t="s">
        <v>11175</v>
      </c>
      <c r="C241" t="str" cm="1">
        <f t="array" ref="C241:D241">_xlfn.TEXTSPLIT(B241, "/")</f>
        <v>Instruction</v>
      </c>
      <c r="D241" t="str">
        <v>Law</v>
      </c>
    </row>
    <row r="242" spans="1:5" x14ac:dyDescent="0.35">
      <c r="A242">
        <v>241</v>
      </c>
      <c r="B242" t="s">
        <v>11176</v>
      </c>
      <c r="C242" t="str" cm="1">
        <f t="array" ref="C242:E242">_xlfn.TEXTSPLIT(B242, "/")</f>
        <v>Command</v>
      </c>
      <c r="D242" t="str">
        <v>Instruction</v>
      </c>
      <c r="E242" t="str">
        <v>Speech</v>
      </c>
    </row>
    <row r="243" spans="1:5" x14ac:dyDescent="0.35">
      <c r="A243">
        <v>242</v>
      </c>
      <c r="B243" t="s">
        <v>11177</v>
      </c>
      <c r="C243" t="str" cm="1">
        <f t="array" ref="C243:E243">_xlfn.TEXTSPLIT(B243, "/")</f>
        <v>Instruction</v>
      </c>
      <c r="D243" t="str">
        <v>Organization</v>
      </c>
      <c r="E243" t="str">
        <v>Speech</v>
      </c>
    </row>
    <row r="244" spans="1:5" x14ac:dyDescent="0.35">
      <c r="A244">
        <v>243</v>
      </c>
      <c r="B244" t="s">
        <v>11145</v>
      </c>
      <c r="C244" t="str" cm="1">
        <f t="array" ref="C244:D244">_xlfn.TEXTSPLIT(B244, "/")</f>
        <v>Appointment</v>
      </c>
      <c r="D244" t="str">
        <v>Speech</v>
      </c>
    </row>
    <row r="245" spans="1:5" x14ac:dyDescent="0.35">
      <c r="A245">
        <v>244</v>
      </c>
      <c r="B245" t="s">
        <v>11112</v>
      </c>
      <c r="C245" t="str" cm="1">
        <f t="array" ref="C245:D245">_xlfn.TEXTSPLIT(B245, "/")</f>
        <v>Instruction</v>
      </c>
      <c r="D245" t="str">
        <v>Speech</v>
      </c>
    </row>
    <row r="246" spans="1:5" x14ac:dyDescent="0.35">
      <c r="A246">
        <v>245</v>
      </c>
      <c r="B246" t="s">
        <v>11164</v>
      </c>
      <c r="C246" t="str" cm="1">
        <f t="array" ref="C246:E246">_xlfn.TEXTSPLIT(B246, "/")</f>
        <v>Instruction</v>
      </c>
      <c r="D246" t="str">
        <v>Law</v>
      </c>
      <c r="E246" t="str">
        <v>Speech</v>
      </c>
    </row>
    <row r="247" spans="1:5" x14ac:dyDescent="0.35">
      <c r="A247">
        <v>246</v>
      </c>
      <c r="B247" t="s">
        <v>11164</v>
      </c>
      <c r="C247" t="str" cm="1">
        <f t="array" ref="C247:E247">_xlfn.TEXTSPLIT(B247, "/")</f>
        <v>Instruction</v>
      </c>
      <c r="D247" t="str">
        <v>Law</v>
      </c>
      <c r="E247" t="str">
        <v>Speech</v>
      </c>
    </row>
    <row r="248" spans="1:5" x14ac:dyDescent="0.35">
      <c r="A248">
        <v>247</v>
      </c>
      <c r="B248" t="s">
        <v>11178</v>
      </c>
      <c r="C248" t="str" cm="1">
        <f t="array" ref="C248:E248">_xlfn.TEXTSPLIT(B248, "/")</f>
        <v>Judgment</v>
      </c>
      <c r="D248" t="str">
        <v>Law</v>
      </c>
      <c r="E248" t="str">
        <v>Speech</v>
      </c>
    </row>
    <row r="249" spans="1:5" x14ac:dyDescent="0.35">
      <c r="A249">
        <v>248</v>
      </c>
      <c r="B249" t="s">
        <v>11164</v>
      </c>
      <c r="C249" t="str" cm="1">
        <f t="array" ref="C249:E249">_xlfn.TEXTSPLIT(B249, "/")</f>
        <v>Instruction</v>
      </c>
      <c r="D249" t="str">
        <v>Law</v>
      </c>
      <c r="E249" t="str">
        <v>Speech</v>
      </c>
    </row>
    <row r="250" spans="1:5" x14ac:dyDescent="0.35">
      <c r="A250">
        <v>249</v>
      </c>
      <c r="B250" t="s">
        <v>11179</v>
      </c>
      <c r="C250" t="str" cm="1">
        <f t="array" ref="C250:E250">_xlfn.TEXTSPLIT(B250, "/")</f>
        <v>Blessing</v>
      </c>
      <c r="D250" t="str">
        <v>Instruction</v>
      </c>
      <c r="E250" t="str">
        <v>Speech</v>
      </c>
    </row>
    <row r="251" spans="1:5" x14ac:dyDescent="0.35">
      <c r="A251">
        <v>250</v>
      </c>
      <c r="B251" t="s">
        <v>11180</v>
      </c>
      <c r="C251" t="str" cm="1">
        <f t="array" ref="C251:E251">_xlfn.TEXTSPLIT(B251, "/")</f>
        <v>Assignment</v>
      </c>
      <c r="D251" t="str">
        <v>Provision</v>
      </c>
      <c r="E251" t="str">
        <v>Speech</v>
      </c>
    </row>
    <row r="252" spans="1:5" x14ac:dyDescent="0.35">
      <c r="A252">
        <v>251</v>
      </c>
      <c r="B252" t="s">
        <v>11181</v>
      </c>
      <c r="C252" t="str" cm="1">
        <f t="array" ref="C252:D252">_xlfn.TEXTSPLIT(B252, "/")</f>
        <v>Communication</v>
      </c>
      <c r="D252" t="str">
        <v>Speech</v>
      </c>
    </row>
    <row r="253" spans="1:5" x14ac:dyDescent="0.35">
      <c r="A253">
        <v>252</v>
      </c>
      <c r="B253" t="s">
        <v>11112</v>
      </c>
      <c r="C253" t="str" cm="1">
        <f t="array" ref="C253:D253">_xlfn.TEXTSPLIT(B253, "/")</f>
        <v>Instruction</v>
      </c>
      <c r="D253" t="str">
        <v>Speech</v>
      </c>
    </row>
    <row r="254" spans="1:5" x14ac:dyDescent="0.35">
      <c r="A254">
        <v>253</v>
      </c>
      <c r="B254" t="s">
        <v>11182</v>
      </c>
      <c r="C254" t="str" cm="1">
        <f t="array" ref="C254:E254">_xlfn.TEXTSPLIT(B254, "/")</f>
        <v>Command</v>
      </c>
      <c r="D254" t="str">
        <v>Consecration</v>
      </c>
      <c r="E254" t="str">
        <v>Speech</v>
      </c>
    </row>
    <row r="255" spans="1:5" x14ac:dyDescent="0.35">
      <c r="A255">
        <v>254</v>
      </c>
      <c r="B255" t="s">
        <v>11183</v>
      </c>
      <c r="C255" t="str" cm="1">
        <f t="array" ref="C255:D255">_xlfn.TEXTSPLIT(B255, "/")</f>
        <v>Institution</v>
      </c>
      <c r="D255" t="str">
        <v>Speech</v>
      </c>
    </row>
    <row r="256" spans="1:5" x14ac:dyDescent="0.35">
      <c r="A256">
        <v>255</v>
      </c>
      <c r="B256" t="s">
        <v>10051</v>
      </c>
      <c r="C256" t="str" cm="1">
        <f t="array" ref="C256:D256">_xlfn.TEXTSPLIT(B256, "/")</f>
        <v>Guidance</v>
      </c>
      <c r="D256" t="str">
        <v>Presence</v>
      </c>
    </row>
    <row r="257" spans="1:6" x14ac:dyDescent="0.35">
      <c r="A257">
        <v>256</v>
      </c>
      <c r="B257" t="s">
        <v>11112</v>
      </c>
      <c r="C257" t="str" cm="1">
        <f t="array" ref="C257:D257">_xlfn.TEXTSPLIT(B257, "/")</f>
        <v>Instruction</v>
      </c>
      <c r="D257" t="str">
        <v>Speech</v>
      </c>
    </row>
    <row r="258" spans="1:6" x14ac:dyDescent="0.35">
      <c r="A258">
        <v>257</v>
      </c>
      <c r="B258" t="s">
        <v>10058</v>
      </c>
      <c r="C258" t="str" cm="1">
        <f t="array" ref="C258:D258">_xlfn.TEXTSPLIT(B258, "/")</f>
        <v>Guidance</v>
      </c>
      <c r="D258" t="str">
        <v>Movement</v>
      </c>
    </row>
    <row r="259" spans="1:6" x14ac:dyDescent="0.35">
      <c r="A259">
        <v>258</v>
      </c>
      <c r="B259" t="s">
        <v>10220</v>
      </c>
      <c r="C259" t="str" cm="1">
        <f t="array" ref="C259:D259">_xlfn.TEXTSPLIT(B259, "/")</f>
        <v>Fire</v>
      </c>
      <c r="D259" t="str">
        <v>Judgment</v>
      </c>
    </row>
    <row r="260" spans="1:6" x14ac:dyDescent="0.35">
      <c r="A260">
        <v>259</v>
      </c>
      <c r="B260" t="s">
        <v>11104</v>
      </c>
      <c r="C260" t="str" cm="1">
        <f t="array" ref="C260:D260">_xlfn.TEXTSPLIT(B260, "/")</f>
        <v>Intercession</v>
      </c>
      <c r="D260" t="str">
        <v>Prayer</v>
      </c>
    </row>
    <row r="261" spans="1:6" x14ac:dyDescent="0.35">
      <c r="A261">
        <v>260</v>
      </c>
      <c r="B261" t="s">
        <v>11184</v>
      </c>
      <c r="C261" t="str" cm="1">
        <f t="array" ref="C261:E261">_xlfn.TEXTSPLIT(B261, "/")</f>
        <v>Appointment</v>
      </c>
      <c r="D261" t="str">
        <v>Promise</v>
      </c>
      <c r="E261" t="str">
        <v>Speech</v>
      </c>
    </row>
    <row r="262" spans="1:6" x14ac:dyDescent="0.35">
      <c r="A262">
        <v>261</v>
      </c>
      <c r="B262" t="s">
        <v>11185</v>
      </c>
      <c r="C262" t="str" cm="1">
        <f t="array" ref="C262:F262">_xlfn.TEXTSPLIT(B262, "/")</f>
        <v>Cloud</v>
      </c>
      <c r="D262" t="str">
        <v>Empowerment</v>
      </c>
      <c r="E262" t="str">
        <v>Presence</v>
      </c>
      <c r="F262" t="str">
        <v>Prophecy</v>
      </c>
    </row>
    <row r="263" spans="1:6" x14ac:dyDescent="0.35">
      <c r="A263">
        <v>262</v>
      </c>
      <c r="B263" t="s">
        <v>10059</v>
      </c>
      <c r="C263" t="str" cm="1">
        <f t="array" ref="C263:D263">_xlfn.TEXTSPLIT(B263, "/")</f>
        <v>Empowerment</v>
      </c>
      <c r="D263" t="str">
        <v>Prophecy</v>
      </c>
    </row>
    <row r="264" spans="1:6" x14ac:dyDescent="0.35">
      <c r="A264">
        <v>263</v>
      </c>
      <c r="B264" t="s">
        <v>11186</v>
      </c>
      <c r="C264" t="str" cm="1">
        <f t="array" ref="C264:D264">_xlfn.TEXTSPLIT(B264, "/")</f>
        <v>Provision</v>
      </c>
      <c r="D264" t="str">
        <v>Wind</v>
      </c>
    </row>
    <row r="265" spans="1:6" x14ac:dyDescent="0.35">
      <c r="A265">
        <v>264</v>
      </c>
      <c r="B265" t="s">
        <v>10049</v>
      </c>
      <c r="C265" t="str" cm="1">
        <f t="array" ref="C265:D265">_xlfn.TEXTSPLIT(B265, "/")</f>
        <v>Judgment</v>
      </c>
      <c r="D265" t="str">
        <v>Plague</v>
      </c>
    </row>
    <row r="266" spans="1:6" x14ac:dyDescent="0.35">
      <c r="A266">
        <v>265</v>
      </c>
      <c r="B266" t="s">
        <v>11118</v>
      </c>
      <c r="C266" t="str" cm="1">
        <f t="array" ref="C266:D266">_xlfn.TEXTSPLIT(B266, "/")</f>
        <v>Calling</v>
      </c>
      <c r="D266" t="str">
        <v>Speech</v>
      </c>
    </row>
    <row r="267" spans="1:6" x14ac:dyDescent="0.35">
      <c r="A267">
        <v>266</v>
      </c>
      <c r="B267" t="s">
        <v>11187</v>
      </c>
      <c r="C267" t="str" cm="1">
        <f t="array" ref="C267:D267">_xlfn.TEXTSPLIT(B267, "/")</f>
        <v>Appearance</v>
      </c>
      <c r="D267" t="str">
        <v>Theophany</v>
      </c>
    </row>
    <row r="268" spans="1:6" x14ac:dyDescent="0.35">
      <c r="A268">
        <v>267</v>
      </c>
      <c r="B268" t="s">
        <v>11188</v>
      </c>
      <c r="C268" t="str" cm="1">
        <f t="array" ref="C268:D268">_xlfn.TEXTSPLIT(B268, "/")</f>
        <v>Defense</v>
      </c>
      <c r="D268" t="str">
        <v>Speech</v>
      </c>
    </row>
    <row r="269" spans="1:6" x14ac:dyDescent="0.35">
      <c r="A269">
        <v>268</v>
      </c>
      <c r="B269" t="s">
        <v>10060</v>
      </c>
      <c r="C269" t="str" cm="1">
        <f t="array" ref="C269:D269">_xlfn.TEXTSPLIT(B269, "/")</f>
        <v>Judgment</v>
      </c>
      <c r="D269" t="str">
        <v>Leprosy</v>
      </c>
    </row>
    <row r="270" spans="1:6" x14ac:dyDescent="0.35">
      <c r="A270">
        <v>269</v>
      </c>
      <c r="B270" t="s">
        <v>12663</v>
      </c>
      <c r="C270" t="str" cm="1">
        <f t="array" ref="C270:E270">_xlfn.TEXTSPLIT(B270, "/")</f>
        <v>Intercession</v>
      </c>
      <c r="D270" t="str">
        <v>Prayer</v>
      </c>
      <c r="E270" t="str">
        <v>Speech</v>
      </c>
    </row>
    <row r="271" spans="1:6" x14ac:dyDescent="0.35">
      <c r="A271">
        <v>270</v>
      </c>
      <c r="B271" t="s">
        <v>10061</v>
      </c>
      <c r="C271" t="str" cm="1">
        <f t="array" ref="C271:D271">_xlfn.TEXTSPLIT(B271, "/")</f>
        <v>Healing</v>
      </c>
      <c r="D271" t="str">
        <v>Restoration</v>
      </c>
    </row>
    <row r="272" spans="1:6" x14ac:dyDescent="0.35">
      <c r="A272">
        <v>271</v>
      </c>
      <c r="B272" t="s">
        <v>11176</v>
      </c>
      <c r="C272" t="str" cm="1">
        <f t="array" ref="C272:E272">_xlfn.TEXTSPLIT(B272, "/")</f>
        <v>Command</v>
      </c>
      <c r="D272" t="str">
        <v>Instruction</v>
      </c>
      <c r="E272" t="str">
        <v>Speech</v>
      </c>
    </row>
    <row r="273" spans="1:5" x14ac:dyDescent="0.35">
      <c r="A273">
        <v>272</v>
      </c>
      <c r="B273" t="s">
        <v>11160</v>
      </c>
      <c r="C273" t="str" cm="1">
        <f t="array" ref="C273:D273">_xlfn.TEXTSPLIT(B273, "/")</f>
        <v>Glory</v>
      </c>
      <c r="D273" t="str">
        <v>Theophany</v>
      </c>
    </row>
    <row r="274" spans="1:5" x14ac:dyDescent="0.35">
      <c r="A274">
        <v>273</v>
      </c>
      <c r="B274" t="s">
        <v>10719</v>
      </c>
      <c r="C274" t="str" cm="1">
        <f t="array" ref="C274:D274">_xlfn.TEXTSPLIT(B274, "/")</f>
        <v>Speech</v>
      </c>
      <c r="D274" t="str">
        <v>Warning</v>
      </c>
    </row>
    <row r="275" spans="1:5" x14ac:dyDescent="0.35">
      <c r="A275">
        <v>274</v>
      </c>
      <c r="B275" t="s">
        <v>11189</v>
      </c>
      <c r="C275" t="str" cm="1">
        <f t="array" ref="C275:E275">_xlfn.TEXTSPLIT(B275, "/")</f>
        <v>Judgment</v>
      </c>
      <c r="D275" t="str">
        <v>Mercy</v>
      </c>
      <c r="E275" t="str">
        <v>Speech</v>
      </c>
    </row>
    <row r="276" spans="1:5" x14ac:dyDescent="0.35">
      <c r="A276">
        <v>275</v>
      </c>
      <c r="B276" t="s">
        <v>10049</v>
      </c>
      <c r="C276" t="str" cm="1">
        <f t="array" ref="C276:D276">_xlfn.TEXTSPLIT(B276, "/")</f>
        <v>Judgment</v>
      </c>
      <c r="D276" t="str">
        <v>Plague</v>
      </c>
    </row>
    <row r="277" spans="1:5" x14ac:dyDescent="0.35">
      <c r="A277">
        <v>276</v>
      </c>
      <c r="B277" t="s">
        <v>11190</v>
      </c>
      <c r="C277" t="str" cm="1">
        <f t="array" ref="C277:D277">_xlfn.TEXTSPLIT(B277, "/")</f>
        <v>Defeat</v>
      </c>
      <c r="D277" t="str">
        <v>Judgment</v>
      </c>
    </row>
    <row r="278" spans="1:5" x14ac:dyDescent="0.35">
      <c r="A278">
        <v>277</v>
      </c>
      <c r="B278" t="s">
        <v>11175</v>
      </c>
      <c r="C278" t="str" cm="1">
        <f t="array" ref="C278:D278">_xlfn.TEXTSPLIT(B278, "/")</f>
        <v>Instruction</v>
      </c>
      <c r="D278" t="str">
        <v>Law</v>
      </c>
    </row>
    <row r="279" spans="1:5" x14ac:dyDescent="0.35">
      <c r="A279">
        <v>278</v>
      </c>
      <c r="B279" t="s">
        <v>11191</v>
      </c>
      <c r="C279" t="str" cm="1">
        <f t="array" ref="C279:E279">_xlfn.TEXTSPLIT(B279, "/")</f>
        <v>Execution</v>
      </c>
      <c r="D279" t="str">
        <v>Judgment</v>
      </c>
      <c r="E279" t="str">
        <v>Speech</v>
      </c>
    </row>
    <row r="280" spans="1:5" x14ac:dyDescent="0.35">
      <c r="A280">
        <v>279</v>
      </c>
      <c r="B280" t="s">
        <v>11176</v>
      </c>
      <c r="C280" t="str" cm="1">
        <f t="array" ref="C280:E280">_xlfn.TEXTSPLIT(B280, "/")</f>
        <v>Command</v>
      </c>
      <c r="D280" t="str">
        <v>Instruction</v>
      </c>
      <c r="E280" t="str">
        <v>Speech</v>
      </c>
    </row>
    <row r="281" spans="1:5" x14ac:dyDescent="0.35">
      <c r="A281">
        <v>280</v>
      </c>
      <c r="B281" t="s">
        <v>10719</v>
      </c>
      <c r="C281" t="str" cm="1">
        <f t="array" ref="C281:D281">_xlfn.TEXTSPLIT(B281, "/")</f>
        <v>Speech</v>
      </c>
      <c r="D281" t="str">
        <v>Warning</v>
      </c>
    </row>
    <row r="282" spans="1:5" x14ac:dyDescent="0.35">
      <c r="A282">
        <v>281</v>
      </c>
      <c r="B282" t="s">
        <v>11192</v>
      </c>
      <c r="C282" t="str" cm="1">
        <f t="array" ref="C282:E282">_xlfn.TEXTSPLIT(B282, "/")</f>
        <v>Mercy</v>
      </c>
      <c r="D282" t="str">
        <v>Speech</v>
      </c>
      <c r="E282" t="str">
        <v>Warning</v>
      </c>
    </row>
    <row r="283" spans="1:5" x14ac:dyDescent="0.35">
      <c r="A283">
        <v>282</v>
      </c>
      <c r="B283" t="s">
        <v>11193</v>
      </c>
      <c r="C283" t="str" cm="1">
        <f t="array" ref="C283:D283">_xlfn.TEXTSPLIT(B283, "/")</f>
        <v>Earthquake</v>
      </c>
      <c r="D283" t="str">
        <v>Judgment</v>
      </c>
    </row>
    <row r="284" spans="1:5" x14ac:dyDescent="0.35">
      <c r="A284">
        <v>283</v>
      </c>
      <c r="B284" t="s">
        <v>10220</v>
      </c>
      <c r="C284" t="str" cm="1">
        <f t="array" ref="C284:D284">_xlfn.TEXTSPLIT(B284, "/")</f>
        <v>Fire</v>
      </c>
      <c r="D284" t="str">
        <v>Judgment</v>
      </c>
    </row>
    <row r="285" spans="1:5" x14ac:dyDescent="0.35">
      <c r="A285">
        <v>284</v>
      </c>
      <c r="B285" t="s">
        <v>11194</v>
      </c>
      <c r="C285" t="str" cm="1">
        <f t="array" ref="C285:E285">_xlfn.TEXTSPLIT(B285, "/")</f>
        <v>Command</v>
      </c>
      <c r="D285" t="str">
        <v>Memorial</v>
      </c>
      <c r="E285" t="str">
        <v>Speech</v>
      </c>
    </row>
    <row r="286" spans="1:5" x14ac:dyDescent="0.35">
      <c r="A286">
        <v>285</v>
      </c>
      <c r="B286" t="s">
        <v>11160</v>
      </c>
      <c r="C286" t="str" cm="1">
        <f t="array" ref="C286:D286">_xlfn.TEXTSPLIT(B286, "/")</f>
        <v>Glory</v>
      </c>
      <c r="D286" t="str">
        <v>Theophany</v>
      </c>
    </row>
    <row r="287" spans="1:5" x14ac:dyDescent="0.35">
      <c r="A287">
        <v>286</v>
      </c>
      <c r="B287" t="s">
        <v>10546</v>
      </c>
      <c r="C287" t="str" cm="1">
        <f t="array" ref="C287">_xlfn.TEXTSPLIT(B287, "/")</f>
        <v>Warning</v>
      </c>
    </row>
    <row r="288" spans="1:5" x14ac:dyDescent="0.35">
      <c r="A288">
        <v>287</v>
      </c>
      <c r="B288" t="s">
        <v>10049</v>
      </c>
      <c r="C288" t="str" cm="1">
        <f t="array" ref="C288:D288">_xlfn.TEXTSPLIT(B288, "/")</f>
        <v>Judgment</v>
      </c>
      <c r="D288" t="str">
        <v>Plague</v>
      </c>
    </row>
    <row r="289" spans="1:5" x14ac:dyDescent="0.35">
      <c r="A289">
        <v>288</v>
      </c>
      <c r="B289" t="s">
        <v>11195</v>
      </c>
      <c r="C289" t="str" cm="1">
        <f t="array" ref="C289:D289">_xlfn.TEXTSPLIT(B289, "/")</f>
        <v>Atonement</v>
      </c>
      <c r="D289" t="str">
        <v>Mercy</v>
      </c>
    </row>
    <row r="290" spans="1:5" x14ac:dyDescent="0.35">
      <c r="A290">
        <v>289</v>
      </c>
      <c r="B290" t="s">
        <v>11139</v>
      </c>
      <c r="C290" t="str" cm="1">
        <f t="array" ref="C290:D290">_xlfn.TEXTSPLIT(B290, "/")</f>
        <v>Death</v>
      </c>
      <c r="D290" t="str">
        <v>Judgment</v>
      </c>
    </row>
    <row r="291" spans="1:5" x14ac:dyDescent="0.35">
      <c r="A291">
        <v>290</v>
      </c>
      <c r="B291" t="s">
        <v>11196</v>
      </c>
      <c r="C291" t="str" cm="1">
        <f t="array" ref="C291:E291">_xlfn.TEXTSPLIT(B291, "/")</f>
        <v>Command</v>
      </c>
      <c r="D291" t="str">
        <v>Speech</v>
      </c>
      <c r="E291" t="str">
        <v>Test</v>
      </c>
    </row>
    <row r="292" spans="1:5" x14ac:dyDescent="0.35">
      <c r="A292">
        <v>291</v>
      </c>
      <c r="B292" t="s">
        <v>10604</v>
      </c>
      <c r="C292" t="str" cm="1">
        <f t="array" ref="C292">_xlfn.TEXTSPLIT(B292, "/")</f>
        <v>Sign</v>
      </c>
    </row>
    <row r="293" spans="1:5" x14ac:dyDescent="0.35">
      <c r="A293">
        <v>292</v>
      </c>
      <c r="B293" t="s">
        <v>11194</v>
      </c>
      <c r="C293" t="str" cm="1">
        <f t="array" ref="C293:E293">_xlfn.TEXTSPLIT(B293, "/")</f>
        <v>Command</v>
      </c>
      <c r="D293" t="str">
        <v>Memorial</v>
      </c>
      <c r="E293" t="str">
        <v>Speech</v>
      </c>
    </row>
    <row r="294" spans="1:5" x14ac:dyDescent="0.35">
      <c r="A294">
        <v>293</v>
      </c>
      <c r="B294" t="s">
        <v>11175</v>
      </c>
      <c r="C294" t="str" cm="1">
        <f t="array" ref="C294:D294">_xlfn.TEXTSPLIT(B294, "/")</f>
        <v>Instruction</v>
      </c>
      <c r="D294" t="str">
        <v>Law</v>
      </c>
    </row>
    <row r="295" spans="1:5" x14ac:dyDescent="0.35">
      <c r="A295">
        <v>294</v>
      </c>
      <c r="B295" t="s">
        <v>11175</v>
      </c>
      <c r="C295" t="str" cm="1">
        <f t="array" ref="C295:D295">_xlfn.TEXTSPLIT(B295, "/")</f>
        <v>Instruction</v>
      </c>
      <c r="D295" t="str">
        <v>Law</v>
      </c>
    </row>
    <row r="296" spans="1:5" x14ac:dyDescent="0.35">
      <c r="A296">
        <v>295</v>
      </c>
      <c r="B296" t="s">
        <v>11197</v>
      </c>
      <c r="C296" t="str" cm="1">
        <f t="array" ref="C296:D296">_xlfn.TEXTSPLIT(B296, "/")</f>
        <v>Command</v>
      </c>
      <c r="D296" t="str">
        <v>Instruction</v>
      </c>
    </row>
    <row r="297" spans="1:5" x14ac:dyDescent="0.35">
      <c r="A297">
        <v>296</v>
      </c>
      <c r="B297" t="s">
        <v>10038</v>
      </c>
      <c r="C297" t="str" cm="1">
        <f t="array" ref="C297">_xlfn.TEXTSPLIT(B297, "/")</f>
        <v>Provision</v>
      </c>
    </row>
    <row r="298" spans="1:5" x14ac:dyDescent="0.35">
      <c r="A298">
        <v>297</v>
      </c>
      <c r="B298" t="s">
        <v>10062</v>
      </c>
      <c r="C298" t="str" cm="1">
        <f t="array" ref="C298:D298">_xlfn.TEXTSPLIT(B298, "/")</f>
        <v>Judgment</v>
      </c>
      <c r="D298" t="str">
        <v>Prohibition</v>
      </c>
    </row>
    <row r="299" spans="1:5" x14ac:dyDescent="0.35">
      <c r="A299">
        <v>298</v>
      </c>
      <c r="B299" t="s">
        <v>11198</v>
      </c>
      <c r="C299" t="str" cm="1">
        <f t="array" ref="C299:D299">_xlfn.TEXTSPLIT(B299, "/")</f>
        <v>Death</v>
      </c>
      <c r="D299" t="str">
        <v>Timing</v>
      </c>
    </row>
    <row r="300" spans="1:5" x14ac:dyDescent="0.35">
      <c r="A300">
        <v>299</v>
      </c>
      <c r="B300" t="s">
        <v>11199</v>
      </c>
      <c r="C300" t="str" cm="1">
        <f t="array" ref="C300:E300">_xlfn.TEXTSPLIT(B300, "/")</f>
        <v>Deliverance</v>
      </c>
      <c r="D300" t="str">
        <v>Prayer</v>
      </c>
      <c r="E300" t="str">
        <v>Victory</v>
      </c>
    </row>
    <row r="301" spans="1:5" x14ac:dyDescent="0.35">
      <c r="A301">
        <v>300</v>
      </c>
      <c r="B301" t="s">
        <v>11139</v>
      </c>
      <c r="C301" t="str" cm="1">
        <f t="array" ref="C301:D301">_xlfn.TEXTSPLIT(B301, "/")</f>
        <v>Death</v>
      </c>
      <c r="D301" t="str">
        <v>Judgment</v>
      </c>
    </row>
    <row r="302" spans="1:5" x14ac:dyDescent="0.35">
      <c r="A302">
        <v>301</v>
      </c>
      <c r="B302" t="s">
        <v>11200</v>
      </c>
      <c r="C302" t="str" cm="1">
        <f t="array" ref="C302:E302">_xlfn.TEXTSPLIT(B302, "/")</f>
        <v>Command</v>
      </c>
      <c r="D302" t="str">
        <v>Remedy</v>
      </c>
      <c r="E302" t="str">
        <v>Speech</v>
      </c>
    </row>
    <row r="303" spans="1:5" x14ac:dyDescent="0.35">
      <c r="A303">
        <v>302</v>
      </c>
      <c r="B303" t="s">
        <v>10063</v>
      </c>
      <c r="C303" t="str" cm="1">
        <f t="array" ref="C303:D303">_xlfn.TEXTSPLIT(B303, "/")</f>
        <v>Healing</v>
      </c>
      <c r="D303" t="str">
        <v>Salvation</v>
      </c>
    </row>
    <row r="304" spans="1:5" x14ac:dyDescent="0.35">
      <c r="A304">
        <v>303</v>
      </c>
      <c r="B304" t="s">
        <v>12710</v>
      </c>
      <c r="C304" t="str" cm="1">
        <f t="array" ref="C304:D304">_xlfn.TEXTSPLIT(B304, "/")</f>
        <v>Victory</v>
      </c>
      <c r="D304" t="str">
        <v>War</v>
      </c>
    </row>
    <row r="305" spans="1:5" x14ac:dyDescent="0.35">
      <c r="A305">
        <v>304</v>
      </c>
      <c r="B305" t="s">
        <v>12710</v>
      </c>
      <c r="C305" t="str" cm="1">
        <f t="array" ref="C305:D305">_xlfn.TEXTSPLIT(B305, "/")</f>
        <v>Victory</v>
      </c>
      <c r="D305" t="str">
        <v>War</v>
      </c>
    </row>
    <row r="306" spans="1:5" x14ac:dyDescent="0.35">
      <c r="A306">
        <v>305</v>
      </c>
      <c r="B306" t="s">
        <v>11201</v>
      </c>
      <c r="C306" t="str" cm="1">
        <f t="array" ref="C306:D306">_xlfn.TEXTSPLIT(B306, "/")</f>
        <v>Prohibition</v>
      </c>
      <c r="D306" t="str">
        <v>Speech</v>
      </c>
    </row>
    <row r="307" spans="1:5" x14ac:dyDescent="0.35">
      <c r="A307">
        <v>306</v>
      </c>
      <c r="B307" t="s">
        <v>11202</v>
      </c>
      <c r="C307" t="str" cm="1">
        <f t="array" ref="C307:D307">_xlfn.TEXTSPLIT(B307, "/")</f>
        <v>Permission</v>
      </c>
      <c r="D307" t="str">
        <v>Speech</v>
      </c>
    </row>
    <row r="308" spans="1:5" x14ac:dyDescent="0.35">
      <c r="A308">
        <v>307</v>
      </c>
      <c r="B308" t="s">
        <v>10065</v>
      </c>
      <c r="C308" t="str" cm="1">
        <f t="array" ref="C308:D308">_xlfn.TEXTSPLIT(B308, "/")</f>
        <v>Intervention</v>
      </c>
      <c r="D308" t="str">
        <v>Opposition</v>
      </c>
    </row>
    <row r="309" spans="1:5" x14ac:dyDescent="0.35">
      <c r="A309">
        <v>308</v>
      </c>
      <c r="B309" t="s">
        <v>10753</v>
      </c>
      <c r="C309" t="str" cm="1">
        <f t="array" ref="C309">_xlfn.TEXTSPLIT(B309, "/")</f>
        <v>Speech</v>
      </c>
    </row>
    <row r="310" spans="1:5" x14ac:dyDescent="0.35">
      <c r="A310">
        <v>309</v>
      </c>
      <c r="B310" t="s">
        <v>10524</v>
      </c>
      <c r="C310" t="str" cm="1">
        <f t="array" ref="C310:D310">_xlfn.TEXTSPLIT(B310, "/")</f>
        <v>Revelation</v>
      </c>
      <c r="D310" t="str">
        <v>Vision</v>
      </c>
    </row>
    <row r="311" spans="1:5" x14ac:dyDescent="0.35">
      <c r="A311">
        <v>310</v>
      </c>
      <c r="B311" t="s">
        <v>11203</v>
      </c>
      <c r="C311" t="str" cm="1">
        <f t="array" ref="C311:D311">_xlfn.TEXTSPLIT(B311, "/")</f>
        <v>Rebuke</v>
      </c>
      <c r="D311" t="str">
        <v>Speech</v>
      </c>
    </row>
    <row r="312" spans="1:5" x14ac:dyDescent="0.35">
      <c r="A312">
        <v>311</v>
      </c>
      <c r="B312" t="s">
        <v>10606</v>
      </c>
      <c r="C312" t="str" cm="1">
        <f t="array" ref="C312">_xlfn.TEXTSPLIT(B312, "/")</f>
        <v>Appearance</v>
      </c>
    </row>
    <row r="313" spans="1:5" x14ac:dyDescent="0.35">
      <c r="A313">
        <v>312</v>
      </c>
      <c r="B313" t="s">
        <v>11204</v>
      </c>
      <c r="C313" t="str" cm="1">
        <f t="array" ref="C313:D313">_xlfn.TEXTSPLIT(B313, "/")</f>
        <v>Control</v>
      </c>
      <c r="D313" t="str">
        <v>Speech</v>
      </c>
    </row>
    <row r="314" spans="1:5" x14ac:dyDescent="0.35">
      <c r="A314">
        <v>313</v>
      </c>
      <c r="B314" t="s">
        <v>10066</v>
      </c>
      <c r="C314" t="str" cm="1">
        <f t="array" ref="C314:D314">_xlfn.TEXTSPLIT(B314, "/")</f>
        <v>Blessing</v>
      </c>
      <c r="D314" t="str">
        <v>Prophecy</v>
      </c>
    </row>
    <row r="315" spans="1:5" x14ac:dyDescent="0.35">
      <c r="A315">
        <v>314</v>
      </c>
      <c r="B315" t="s">
        <v>10059</v>
      </c>
      <c r="C315" t="str" cm="1">
        <f t="array" ref="C315:D315">_xlfn.TEXTSPLIT(B315, "/")</f>
        <v>Empowerment</v>
      </c>
      <c r="D315" t="str">
        <v>Prophecy</v>
      </c>
    </row>
    <row r="316" spans="1:5" x14ac:dyDescent="0.35">
      <c r="A316">
        <v>315</v>
      </c>
      <c r="B316" t="s">
        <v>10544</v>
      </c>
      <c r="C316" t="str" cm="1">
        <f t="array" ref="C316">_xlfn.TEXTSPLIT(B316, "/")</f>
        <v>Judgment</v>
      </c>
    </row>
    <row r="317" spans="1:5" x14ac:dyDescent="0.35">
      <c r="A317">
        <v>316</v>
      </c>
      <c r="B317" t="s">
        <v>10049</v>
      </c>
      <c r="C317" t="str" cm="1">
        <f t="array" ref="C317:D317">_xlfn.TEXTSPLIT(B317, "/")</f>
        <v>Judgment</v>
      </c>
      <c r="D317" t="str">
        <v>Plague</v>
      </c>
    </row>
    <row r="318" spans="1:5" x14ac:dyDescent="0.35">
      <c r="A318">
        <v>317</v>
      </c>
      <c r="B318" t="s">
        <v>11205</v>
      </c>
      <c r="C318" t="str" cm="1">
        <f t="array" ref="C318:D318">_xlfn.TEXTSPLIT(B318, "/")</f>
        <v>Cessation</v>
      </c>
      <c r="D318" t="str">
        <v>Mercy</v>
      </c>
    </row>
    <row r="319" spans="1:5" x14ac:dyDescent="0.35">
      <c r="A319">
        <v>318</v>
      </c>
      <c r="B319" t="s">
        <v>11139</v>
      </c>
      <c r="C319" t="str" cm="1">
        <f t="array" ref="C319:D319">_xlfn.TEXTSPLIT(B319, "/")</f>
        <v>Death</v>
      </c>
      <c r="D319" t="str">
        <v>Judgment</v>
      </c>
    </row>
    <row r="320" spans="1:5" x14ac:dyDescent="0.35">
      <c r="A320">
        <v>319</v>
      </c>
      <c r="B320" t="s">
        <v>11206</v>
      </c>
      <c r="C320" t="str" cm="1">
        <f t="array" ref="C320:E320">_xlfn.TEXTSPLIT(B320, "/")</f>
        <v>Blessing</v>
      </c>
      <c r="D320" t="str">
        <v>Covenant</v>
      </c>
      <c r="E320" t="str">
        <v>Speech</v>
      </c>
    </row>
    <row r="321" spans="1:5" x14ac:dyDescent="0.35">
      <c r="A321">
        <v>320</v>
      </c>
      <c r="B321" t="s">
        <v>11207</v>
      </c>
      <c r="C321" t="str" cm="1">
        <f t="array" ref="C321:E321">_xlfn.TEXTSPLIT(B321, "/")</f>
        <v>Harassment</v>
      </c>
      <c r="D321" t="str">
        <v>Judgment</v>
      </c>
      <c r="E321" t="str">
        <v>Speech</v>
      </c>
    </row>
    <row r="322" spans="1:5" x14ac:dyDescent="0.35">
      <c r="A322">
        <v>321</v>
      </c>
      <c r="B322" t="s">
        <v>11176</v>
      </c>
      <c r="C322" t="str" cm="1">
        <f t="array" ref="C322:E322">_xlfn.TEXTSPLIT(B322, "/")</f>
        <v>Command</v>
      </c>
      <c r="D322" t="str">
        <v>Instruction</v>
      </c>
      <c r="E322" t="str">
        <v>Speech</v>
      </c>
    </row>
    <row r="323" spans="1:5" x14ac:dyDescent="0.35">
      <c r="A323">
        <v>322</v>
      </c>
      <c r="B323" t="s">
        <v>11178</v>
      </c>
      <c r="C323" t="str" cm="1">
        <f t="array" ref="C323:E323">_xlfn.TEXTSPLIT(B323, "/")</f>
        <v>Judgment</v>
      </c>
      <c r="D323" t="str">
        <v>Law</v>
      </c>
      <c r="E323" t="str">
        <v>Speech</v>
      </c>
    </row>
    <row r="324" spans="1:5" x14ac:dyDescent="0.35">
      <c r="A324">
        <v>323</v>
      </c>
      <c r="B324" t="s">
        <v>11107</v>
      </c>
      <c r="C324" t="str" cm="1">
        <f t="array" ref="C324:D324">_xlfn.TEXTSPLIT(B324, "/")</f>
        <v>Command</v>
      </c>
      <c r="D324" t="str">
        <v>Speech</v>
      </c>
    </row>
    <row r="325" spans="1:5" x14ac:dyDescent="0.35">
      <c r="A325">
        <v>324</v>
      </c>
      <c r="B325" t="s">
        <v>11145</v>
      </c>
      <c r="C325" t="str" cm="1">
        <f t="array" ref="C325:D325">_xlfn.TEXTSPLIT(B325, "/")</f>
        <v>Appointment</v>
      </c>
      <c r="D325" t="str">
        <v>Speech</v>
      </c>
    </row>
    <row r="326" spans="1:5" x14ac:dyDescent="0.35">
      <c r="A326">
        <v>325</v>
      </c>
      <c r="B326" t="s">
        <v>11164</v>
      </c>
      <c r="C326" t="str" cm="1">
        <f t="array" ref="C326:E326">_xlfn.TEXTSPLIT(B326, "/")</f>
        <v>Instruction</v>
      </c>
      <c r="D326" t="str">
        <v>Law</v>
      </c>
      <c r="E326" t="str">
        <v>Speech</v>
      </c>
    </row>
    <row r="327" spans="1:5" x14ac:dyDescent="0.35">
      <c r="A327">
        <v>326</v>
      </c>
      <c r="B327" t="s">
        <v>12711</v>
      </c>
      <c r="C327" t="str" cm="1">
        <f t="array" ref="C327:E327">_xlfn.TEXTSPLIT(B327, "/")</f>
        <v>Command</v>
      </c>
      <c r="D327" t="str">
        <v>Speech</v>
      </c>
      <c r="E327" t="str">
        <v>War</v>
      </c>
    </row>
    <row r="328" spans="1:5" x14ac:dyDescent="0.35">
      <c r="A328">
        <v>327</v>
      </c>
      <c r="B328" t="s">
        <v>12710</v>
      </c>
      <c r="C328" t="str" cm="1">
        <f t="array" ref="C328:D328">_xlfn.TEXTSPLIT(B328, "/")</f>
        <v>Victory</v>
      </c>
      <c r="D328" t="str">
        <v>War</v>
      </c>
    </row>
    <row r="329" spans="1:5" x14ac:dyDescent="0.35">
      <c r="A329">
        <v>328</v>
      </c>
      <c r="B329" t="s">
        <v>11164</v>
      </c>
      <c r="C329" t="str" cm="1">
        <f t="array" ref="C329:E329">_xlfn.TEXTSPLIT(B329, "/")</f>
        <v>Instruction</v>
      </c>
      <c r="D329" t="str">
        <v>Law</v>
      </c>
      <c r="E329" t="str">
        <v>Speech</v>
      </c>
    </row>
    <row r="330" spans="1:5" x14ac:dyDescent="0.35">
      <c r="A330">
        <v>329</v>
      </c>
      <c r="B330" t="s">
        <v>11208</v>
      </c>
      <c r="C330" t="str" cm="1">
        <f t="array" ref="C330:E330">_xlfn.TEXTSPLIT(B330, "/")</f>
        <v>Instruction</v>
      </c>
      <c r="D330" t="str">
        <v>Recording</v>
      </c>
      <c r="E330" t="str">
        <v>Speech</v>
      </c>
    </row>
    <row r="331" spans="1:5" x14ac:dyDescent="0.35">
      <c r="A331">
        <v>330</v>
      </c>
      <c r="B331" t="s">
        <v>12711</v>
      </c>
      <c r="C331" t="str" cm="1">
        <f t="array" ref="C331:E331">_xlfn.TEXTSPLIT(B331, "/")</f>
        <v>Command</v>
      </c>
      <c r="D331" t="str">
        <v>Speech</v>
      </c>
      <c r="E331" t="str">
        <v>War</v>
      </c>
    </row>
    <row r="332" spans="1:5" x14ac:dyDescent="0.35">
      <c r="A332">
        <v>331</v>
      </c>
      <c r="B332" t="s">
        <v>11209</v>
      </c>
      <c r="C332" t="str" cm="1">
        <f t="array" ref="C332:E332">_xlfn.TEXTSPLIT(B332, "/")</f>
        <v>Geography</v>
      </c>
      <c r="D332" t="str">
        <v>Instruction</v>
      </c>
      <c r="E332" t="str">
        <v>Speech</v>
      </c>
    </row>
    <row r="333" spans="1:5" x14ac:dyDescent="0.35">
      <c r="A333">
        <v>332</v>
      </c>
      <c r="B333" t="s">
        <v>11176</v>
      </c>
      <c r="C333" t="str" cm="1">
        <f t="array" ref="C333:E333">_xlfn.TEXTSPLIT(B333, "/")</f>
        <v>Command</v>
      </c>
      <c r="D333" t="str">
        <v>Instruction</v>
      </c>
      <c r="E333" t="str">
        <v>Speech</v>
      </c>
    </row>
    <row r="334" spans="1:5" x14ac:dyDescent="0.35">
      <c r="A334">
        <v>333</v>
      </c>
      <c r="B334" t="s">
        <v>11210</v>
      </c>
      <c r="C334" t="str" cm="1">
        <f t="array" ref="C334:E334">_xlfn.TEXTSPLIT(B334, "/")</f>
        <v>Justice</v>
      </c>
      <c r="D334" t="str">
        <v>Law</v>
      </c>
      <c r="E334" t="str">
        <v>Speech</v>
      </c>
    </row>
    <row r="335" spans="1:5" x14ac:dyDescent="0.35">
      <c r="A335">
        <v>334</v>
      </c>
      <c r="B335" t="s">
        <v>11164</v>
      </c>
      <c r="C335" t="str" cm="1">
        <f t="array" ref="C335:E335">_xlfn.TEXTSPLIT(B335, "/")</f>
        <v>Instruction</v>
      </c>
      <c r="D335" t="str">
        <v>Law</v>
      </c>
      <c r="E335" t="str">
        <v>Speech</v>
      </c>
    </row>
    <row r="336" spans="1:5" x14ac:dyDescent="0.35">
      <c r="A336">
        <v>335</v>
      </c>
      <c r="B336" t="s">
        <v>10645</v>
      </c>
      <c r="C336" t="str" cm="1">
        <f t="array" ref="C336">_xlfn.TEXTSPLIT(B336, "/")</f>
        <v>Guidance</v>
      </c>
    </row>
    <row r="337" spans="1:4" x14ac:dyDescent="0.35">
      <c r="A337">
        <v>336</v>
      </c>
      <c r="B337" t="s">
        <v>9456</v>
      </c>
      <c r="C337" t="str" cm="1">
        <f t="array" ref="C337">_xlfn.TEXTSPLIT(B337, "/")</f>
        <v>Promise</v>
      </c>
    </row>
    <row r="338" spans="1:4" x14ac:dyDescent="0.35">
      <c r="A338">
        <v>337</v>
      </c>
      <c r="B338" t="s">
        <v>10664</v>
      </c>
      <c r="C338" t="str" cm="1">
        <f t="array" ref="C338">_xlfn.TEXTSPLIT(B338, "/")</f>
        <v>Instruction</v>
      </c>
    </row>
    <row r="339" spans="1:4" x14ac:dyDescent="0.35">
      <c r="A339">
        <v>338</v>
      </c>
      <c r="B339" t="s">
        <v>10664</v>
      </c>
      <c r="C339" t="str" cm="1">
        <f t="array" ref="C339">_xlfn.TEXTSPLIT(B339, "/")</f>
        <v>Instruction</v>
      </c>
    </row>
    <row r="340" spans="1:4" x14ac:dyDescent="0.35">
      <c r="A340">
        <v>339</v>
      </c>
      <c r="B340" t="s">
        <v>9456</v>
      </c>
      <c r="C340" t="str" cm="1">
        <f t="array" ref="C340">_xlfn.TEXTSPLIT(B340, "/")</f>
        <v>Promise</v>
      </c>
    </row>
    <row r="341" spans="1:4" x14ac:dyDescent="0.35">
      <c r="A341">
        <v>340</v>
      </c>
      <c r="B341" t="s">
        <v>11190</v>
      </c>
      <c r="C341" t="str" cm="1">
        <f t="array" ref="C341:D341">_xlfn.TEXTSPLIT(B341, "/")</f>
        <v>Defeat</v>
      </c>
      <c r="D341" t="str">
        <v>Judgment</v>
      </c>
    </row>
    <row r="342" spans="1:4" x14ac:dyDescent="0.35">
      <c r="A342">
        <v>341</v>
      </c>
      <c r="B342" t="s">
        <v>10040</v>
      </c>
      <c r="C342" t="str" cm="1">
        <f t="array" ref="C342">_xlfn.TEXTSPLIT(B342, "/")</f>
        <v>Protection</v>
      </c>
    </row>
    <row r="343" spans="1:4" x14ac:dyDescent="0.35">
      <c r="A343">
        <v>342</v>
      </c>
      <c r="B343" t="s">
        <v>10040</v>
      </c>
      <c r="C343" t="str" cm="1">
        <f t="array" ref="C343">_xlfn.TEXTSPLIT(B343, "/")</f>
        <v>Protection</v>
      </c>
    </row>
    <row r="344" spans="1:4" x14ac:dyDescent="0.35">
      <c r="A344">
        <v>343</v>
      </c>
      <c r="B344" t="s">
        <v>10635</v>
      </c>
      <c r="C344" t="str" cm="1">
        <f t="array" ref="C344">_xlfn.TEXTSPLIT(B344, "/")</f>
        <v>Victory</v>
      </c>
    </row>
    <row r="345" spans="1:4" x14ac:dyDescent="0.35">
      <c r="A345">
        <v>344</v>
      </c>
      <c r="B345" t="s">
        <v>10664</v>
      </c>
      <c r="C345" t="str" cm="1">
        <f t="array" ref="C345">_xlfn.TEXTSPLIT(B345, "/")</f>
        <v>Instruction</v>
      </c>
    </row>
    <row r="346" spans="1:4" x14ac:dyDescent="0.35">
      <c r="A346">
        <v>345</v>
      </c>
      <c r="B346" t="s">
        <v>10635</v>
      </c>
      <c r="C346" t="str" cm="1">
        <f t="array" ref="C346">_xlfn.TEXTSPLIT(B346, "/")</f>
        <v>Victory</v>
      </c>
    </row>
    <row r="347" spans="1:4" x14ac:dyDescent="0.35">
      <c r="A347">
        <v>346</v>
      </c>
      <c r="B347" t="s">
        <v>11834</v>
      </c>
      <c r="C347" t="str" cm="1">
        <f t="array" ref="C347">_xlfn.TEXTSPLIT(B347, "/")</f>
        <v>Hardening</v>
      </c>
    </row>
    <row r="348" spans="1:4" x14ac:dyDescent="0.35">
      <c r="A348">
        <v>347</v>
      </c>
      <c r="B348" t="s">
        <v>10635</v>
      </c>
      <c r="C348" t="str" cm="1">
        <f t="array" ref="C348">_xlfn.TEXTSPLIT(B348, "/")</f>
        <v>Victory</v>
      </c>
    </row>
    <row r="349" spans="1:4" x14ac:dyDescent="0.35">
      <c r="A349">
        <v>348</v>
      </c>
      <c r="B349" t="s">
        <v>11835</v>
      </c>
      <c r="C349" t="str" cm="1">
        <f t="array" ref="C349">_xlfn.TEXTSPLIT(B349, "/")</f>
        <v>Encouragement</v>
      </c>
    </row>
    <row r="350" spans="1:4" x14ac:dyDescent="0.35">
      <c r="A350">
        <v>349</v>
      </c>
      <c r="B350" t="s">
        <v>10544</v>
      </c>
      <c r="C350" t="str" cm="1">
        <f t="array" ref="C350">_xlfn.TEXTSPLIT(B350, "/")</f>
        <v>Judgment</v>
      </c>
    </row>
    <row r="351" spans="1:4" x14ac:dyDescent="0.35">
      <c r="A351">
        <v>350</v>
      </c>
      <c r="B351" t="s">
        <v>11139</v>
      </c>
      <c r="C351" t="str" cm="1">
        <f t="array" ref="C351:D351">_xlfn.TEXTSPLIT(B351, "/")</f>
        <v>Death</v>
      </c>
      <c r="D351" t="str">
        <v>Judgment</v>
      </c>
    </row>
    <row r="352" spans="1:4" x14ac:dyDescent="0.35">
      <c r="A352">
        <v>351</v>
      </c>
      <c r="B352" t="s">
        <v>10751</v>
      </c>
      <c r="C352" t="str" cm="1">
        <f t="array" ref="C352">_xlfn.TEXTSPLIT(B352, "/")</f>
        <v>Theophany</v>
      </c>
    </row>
    <row r="353" spans="1:5" x14ac:dyDescent="0.35">
      <c r="A353">
        <v>352</v>
      </c>
      <c r="B353" t="s">
        <v>10253</v>
      </c>
      <c r="C353" t="str" cm="1">
        <f t="array" ref="C353:D353">_xlfn.TEXTSPLIT(B353, "/")</f>
        <v>Prophecy</v>
      </c>
      <c r="D353" t="str">
        <v>Warning</v>
      </c>
    </row>
    <row r="354" spans="1:5" x14ac:dyDescent="0.35">
      <c r="A354">
        <v>353</v>
      </c>
      <c r="B354" t="s">
        <v>10068</v>
      </c>
      <c r="C354" t="str" cm="1">
        <f t="array" ref="C354:D354">_xlfn.TEXTSPLIT(B354, "/")</f>
        <v>Promise</v>
      </c>
      <c r="D354" t="str">
        <v>Prophecy</v>
      </c>
    </row>
    <row r="355" spans="1:5" x14ac:dyDescent="0.35">
      <c r="A355">
        <v>354</v>
      </c>
      <c r="B355" t="s">
        <v>10662</v>
      </c>
      <c r="C355" t="str" cm="1">
        <f t="array" ref="C355">_xlfn.TEXTSPLIT(B355, "/")</f>
        <v>Election</v>
      </c>
    </row>
    <row r="356" spans="1:5" x14ac:dyDescent="0.35">
      <c r="A356">
        <v>355</v>
      </c>
      <c r="B356" t="s">
        <v>11866</v>
      </c>
      <c r="C356" t="str" cm="1">
        <f t="array" ref="C356">_xlfn.TEXTSPLIT(B356, "/")</f>
        <v>Law</v>
      </c>
    </row>
    <row r="357" spans="1:5" x14ac:dyDescent="0.35">
      <c r="A357">
        <v>356</v>
      </c>
      <c r="B357" t="s">
        <v>11865</v>
      </c>
      <c r="C357" t="str" cm="1">
        <f t="array" ref="C357:E357">_xlfn.TEXTSPLIT(B357, "/")</f>
        <v>Theophany</v>
      </c>
      <c r="D357" t="str">
        <v>Fire</v>
      </c>
      <c r="E357" t="str">
        <v>Cloud</v>
      </c>
    </row>
    <row r="358" spans="1:5" x14ac:dyDescent="0.35">
      <c r="A358">
        <v>357</v>
      </c>
      <c r="B358" t="s">
        <v>10752</v>
      </c>
      <c r="C358" t="str" cm="1">
        <f t="array" ref="C358">_xlfn.TEXTSPLIT(B358, "/")</f>
        <v>Inscription</v>
      </c>
    </row>
    <row r="359" spans="1:5" x14ac:dyDescent="0.35">
      <c r="A359">
        <v>358</v>
      </c>
      <c r="B359" t="s">
        <v>10589</v>
      </c>
      <c r="C359" t="str" cm="1">
        <f t="array" ref="C359">_xlfn.TEXTSPLIT(B359, "/")</f>
        <v>Command</v>
      </c>
    </row>
    <row r="360" spans="1:5" x14ac:dyDescent="0.35">
      <c r="A360">
        <v>359</v>
      </c>
      <c r="B360" t="s">
        <v>10546</v>
      </c>
      <c r="C360" t="str" cm="1">
        <f t="array" ref="C360">_xlfn.TEXTSPLIT(B360, "/")</f>
        <v>Warning</v>
      </c>
    </row>
    <row r="361" spans="1:5" x14ac:dyDescent="0.35">
      <c r="A361">
        <v>360</v>
      </c>
      <c r="B361" t="s">
        <v>10546</v>
      </c>
      <c r="C361" t="str" cm="1">
        <f t="array" ref="C361">_xlfn.TEXTSPLIT(B361, "/")</f>
        <v>Warning</v>
      </c>
    </row>
    <row r="362" spans="1:5" x14ac:dyDescent="0.35">
      <c r="A362">
        <v>361</v>
      </c>
      <c r="B362" t="s">
        <v>9456</v>
      </c>
      <c r="C362" t="str" cm="1">
        <f t="array" ref="C362">_xlfn.TEXTSPLIT(B362, "/")</f>
        <v>Promise</v>
      </c>
    </row>
    <row r="363" spans="1:5" x14ac:dyDescent="0.35">
      <c r="A363">
        <v>362</v>
      </c>
      <c r="B363" t="s">
        <v>10662</v>
      </c>
      <c r="C363" t="str" cm="1">
        <f t="array" ref="C363">_xlfn.TEXTSPLIT(B363, "/")</f>
        <v>Election</v>
      </c>
    </row>
    <row r="364" spans="1:5" x14ac:dyDescent="0.35">
      <c r="A364">
        <v>363</v>
      </c>
      <c r="B364" t="s">
        <v>10139</v>
      </c>
      <c r="C364" t="str" cm="1">
        <f t="array" ref="C364:D364">_xlfn.TEXTSPLIT(B364, "/")</f>
        <v>Covenant</v>
      </c>
      <c r="D364" t="str">
        <v>Promise</v>
      </c>
    </row>
    <row r="365" spans="1:5" x14ac:dyDescent="0.35">
      <c r="A365">
        <v>364</v>
      </c>
      <c r="B365" t="s">
        <v>12712</v>
      </c>
      <c r="C365" t="str" cm="1">
        <f t="array" ref="C365:D365">_xlfn.TEXTSPLIT(B365, "/")</f>
        <v>Promise</v>
      </c>
      <c r="D365" t="str">
        <v>War</v>
      </c>
    </row>
    <row r="366" spans="1:5" x14ac:dyDescent="0.35">
      <c r="A366">
        <v>365</v>
      </c>
      <c r="B366" t="s">
        <v>10038</v>
      </c>
      <c r="C366" t="str" cm="1">
        <f t="array" ref="C366">_xlfn.TEXTSPLIT(B366, "/")</f>
        <v>Provision</v>
      </c>
    </row>
    <row r="367" spans="1:5" x14ac:dyDescent="0.35">
      <c r="A367">
        <v>366</v>
      </c>
      <c r="B367" t="s">
        <v>9456</v>
      </c>
      <c r="C367" t="str" cm="1">
        <f t="array" ref="C367">_xlfn.TEXTSPLIT(B367, "/")</f>
        <v>Promise</v>
      </c>
    </row>
    <row r="368" spans="1:5" x14ac:dyDescent="0.35">
      <c r="A368">
        <v>367</v>
      </c>
      <c r="B368" t="s">
        <v>10546</v>
      </c>
      <c r="C368" t="str" cm="1">
        <f t="array" ref="C368">_xlfn.TEXTSPLIT(B368, "/")</f>
        <v>Warning</v>
      </c>
    </row>
    <row r="369" spans="1:4" x14ac:dyDescent="0.35">
      <c r="A369">
        <v>368</v>
      </c>
      <c r="B369" t="s">
        <v>12712</v>
      </c>
      <c r="C369" t="str" cm="1">
        <f t="array" ref="C369:D369">_xlfn.TEXTSPLIT(B369, "/")</f>
        <v>Promise</v>
      </c>
      <c r="D369" t="str">
        <v>War</v>
      </c>
    </row>
    <row r="370" spans="1:4" x14ac:dyDescent="0.35">
      <c r="A370">
        <v>369</v>
      </c>
      <c r="B370" t="s">
        <v>11863</v>
      </c>
      <c r="C370" t="str" cm="1">
        <f t="array" ref="C370:D370">_xlfn.TEXTSPLIT(B370, "/")</f>
        <v>Wrath</v>
      </c>
      <c r="D370" t="str">
        <v>Judgment</v>
      </c>
    </row>
    <row r="371" spans="1:4" x14ac:dyDescent="0.35">
      <c r="A371">
        <v>370</v>
      </c>
      <c r="B371" t="s">
        <v>11864</v>
      </c>
      <c r="C371" t="str" cm="1">
        <f t="array" ref="C371:D371">_xlfn.TEXTSPLIT(B371, "/")</f>
        <v>Command</v>
      </c>
      <c r="D371" t="str">
        <v>Inscription</v>
      </c>
    </row>
    <row r="372" spans="1:4" x14ac:dyDescent="0.35">
      <c r="A372">
        <v>371</v>
      </c>
      <c r="B372" t="s">
        <v>10634</v>
      </c>
      <c r="C372" t="str" cm="1">
        <f t="array" ref="C372">_xlfn.TEXTSPLIT(B372, "/")</f>
        <v>Appointment</v>
      </c>
    </row>
    <row r="373" spans="1:4" x14ac:dyDescent="0.35">
      <c r="A373">
        <v>372</v>
      </c>
      <c r="B373" t="s">
        <v>11867</v>
      </c>
      <c r="C373" t="str" cm="1">
        <f t="array" ref="C373">_xlfn.TEXTSPLIT(B373, "/")</f>
        <v>Requirement</v>
      </c>
    </row>
    <row r="374" spans="1:4" x14ac:dyDescent="0.35">
      <c r="A374">
        <v>373</v>
      </c>
      <c r="B374" t="s">
        <v>10139</v>
      </c>
      <c r="C374" t="str" cm="1">
        <f t="array" ref="C374:D374">_xlfn.TEXTSPLIT(B374, "/")</f>
        <v>Covenant</v>
      </c>
      <c r="D374" t="str">
        <v>Promise</v>
      </c>
    </row>
    <row r="375" spans="1:4" x14ac:dyDescent="0.35">
      <c r="A375">
        <v>374</v>
      </c>
      <c r="B375" t="s">
        <v>11174</v>
      </c>
      <c r="C375" t="str" cm="1">
        <f t="array" ref="C375:D375">_xlfn.TEXTSPLIT(B375, "/")</f>
        <v>Judgment</v>
      </c>
      <c r="D375" t="str">
        <v>Warning</v>
      </c>
    </row>
    <row r="376" spans="1:4" x14ac:dyDescent="0.35">
      <c r="A376">
        <v>375</v>
      </c>
      <c r="B376" t="s">
        <v>11211</v>
      </c>
      <c r="C376" t="str" cm="1">
        <f t="array" ref="C376:D376">_xlfn.TEXTSPLIT(B376, "/")</f>
        <v>Expansion</v>
      </c>
      <c r="D376" t="str">
        <v>Promise</v>
      </c>
    </row>
    <row r="377" spans="1:4" x14ac:dyDescent="0.35">
      <c r="A377">
        <v>376</v>
      </c>
      <c r="B377" t="s">
        <v>11869</v>
      </c>
      <c r="C377" t="str" cm="1">
        <f t="array" ref="C377">_xlfn.TEXTSPLIT(B377, "/")</f>
        <v>Covenant</v>
      </c>
    </row>
    <row r="378" spans="1:4" x14ac:dyDescent="0.35">
      <c r="A378">
        <v>377</v>
      </c>
      <c r="B378" t="s">
        <v>11868</v>
      </c>
      <c r="C378" t="str" cm="1">
        <f t="array" ref="C378:D378">_xlfn.TEXTSPLIT(B378, "/")</f>
        <v>Command</v>
      </c>
      <c r="D378" t="str">
        <v>Worship</v>
      </c>
    </row>
    <row r="379" spans="1:4" x14ac:dyDescent="0.35">
      <c r="A379">
        <v>378</v>
      </c>
      <c r="B379" t="s">
        <v>11875</v>
      </c>
      <c r="C379" t="str" cm="1">
        <f t="array" ref="C379:D379">_xlfn.TEXTSPLIT(B379, "/")</f>
        <v>Law</v>
      </c>
      <c r="D379" t="str">
        <v>Slaughter</v>
      </c>
    </row>
    <row r="380" spans="1:4" x14ac:dyDescent="0.35">
      <c r="A380">
        <v>379</v>
      </c>
      <c r="B380" t="s">
        <v>11876</v>
      </c>
      <c r="C380" t="str" cm="1">
        <f t="array" ref="C380:D380">_xlfn.TEXTSPLIT(B380, "/")</f>
        <v>Law</v>
      </c>
      <c r="D380" t="str">
        <v>False Idols</v>
      </c>
    </row>
    <row r="381" spans="1:4" x14ac:dyDescent="0.35">
      <c r="A381">
        <v>380</v>
      </c>
      <c r="B381" t="s">
        <v>11874</v>
      </c>
      <c r="C381" t="str" cm="1">
        <f t="array" ref="C381:D381">_xlfn.TEXTSPLIT(B381, "/")</f>
        <v>Law</v>
      </c>
      <c r="D381" t="str">
        <v>Mourning</v>
      </c>
    </row>
    <row r="382" spans="1:4" x14ac:dyDescent="0.35">
      <c r="A382">
        <v>381</v>
      </c>
      <c r="B382" t="s">
        <v>11873</v>
      </c>
      <c r="C382" t="str" cm="1">
        <f t="array" ref="C382:D382">_xlfn.TEXTSPLIT(B382, "/")</f>
        <v>Law</v>
      </c>
      <c r="D382" t="str">
        <v>Purity</v>
      </c>
    </row>
    <row r="383" spans="1:4" x14ac:dyDescent="0.35">
      <c r="A383">
        <v>382</v>
      </c>
      <c r="B383" t="s">
        <v>11870</v>
      </c>
      <c r="C383" t="str" cm="1">
        <f t="array" ref="C383:D383">_xlfn.TEXTSPLIT(B383, "/")</f>
        <v>Law</v>
      </c>
      <c r="D383" t="str">
        <v>Tithe</v>
      </c>
    </row>
    <row r="384" spans="1:4" x14ac:dyDescent="0.35">
      <c r="A384">
        <v>383</v>
      </c>
      <c r="B384" t="s">
        <v>11871</v>
      </c>
      <c r="C384" t="str" cm="1">
        <f t="array" ref="C384:D384">_xlfn.TEXTSPLIT(B384, "/")</f>
        <v>Law</v>
      </c>
      <c r="D384" t="str">
        <v>Ownership</v>
      </c>
    </row>
    <row r="385" spans="1:4" x14ac:dyDescent="0.35">
      <c r="A385">
        <v>384</v>
      </c>
      <c r="B385" t="s">
        <v>11872</v>
      </c>
      <c r="C385" t="str" cm="1">
        <f t="array" ref="C385:D385">_xlfn.TEXTSPLIT(B385, "/")</f>
        <v>Law</v>
      </c>
      <c r="D385" t="str">
        <v>Consecration</v>
      </c>
    </row>
    <row r="386" spans="1:4" x14ac:dyDescent="0.35">
      <c r="A386">
        <v>385</v>
      </c>
      <c r="B386" t="s">
        <v>10071</v>
      </c>
      <c r="C386" t="str" cm="1">
        <f t="array" ref="C386:D386">_xlfn.TEXTSPLIT(B386, "/")</f>
        <v>Institution</v>
      </c>
      <c r="D386" t="str">
        <v>Worship</v>
      </c>
    </row>
    <row r="387" spans="1:4" x14ac:dyDescent="0.35">
      <c r="A387">
        <v>386</v>
      </c>
      <c r="B387" t="s">
        <v>11213</v>
      </c>
      <c r="C387" t="str" cm="1">
        <f t="array" ref="C387:D387">_xlfn.TEXTSPLIT(B387, "/")</f>
        <v>Justice</v>
      </c>
      <c r="D387" t="str">
        <v>Law</v>
      </c>
    </row>
    <row r="388" spans="1:4" x14ac:dyDescent="0.35">
      <c r="A388">
        <v>387</v>
      </c>
      <c r="B388" t="s">
        <v>11876</v>
      </c>
      <c r="C388" t="str" cm="1">
        <f t="array" ref="C388:D388">_xlfn.TEXTSPLIT(B388, "/")</f>
        <v>Law</v>
      </c>
      <c r="D388" t="str">
        <v>False Idols</v>
      </c>
    </row>
    <row r="389" spans="1:4" x14ac:dyDescent="0.35">
      <c r="A389">
        <v>388</v>
      </c>
      <c r="B389" t="s">
        <v>11213</v>
      </c>
      <c r="C389" t="str" cm="1">
        <f t="array" ref="C389:D389">_xlfn.TEXTSPLIT(B389, "/")</f>
        <v>Justice</v>
      </c>
      <c r="D389" t="str">
        <v>Law</v>
      </c>
    </row>
    <row r="390" spans="1:4" x14ac:dyDescent="0.35">
      <c r="A390">
        <v>389</v>
      </c>
      <c r="B390" t="s">
        <v>11214</v>
      </c>
      <c r="C390" t="str" cm="1">
        <f t="array" ref="C390:D390">_xlfn.TEXTSPLIT(B390, "/")</f>
        <v>Government</v>
      </c>
      <c r="D390" t="str">
        <v>Law</v>
      </c>
    </row>
    <row r="391" spans="1:4" x14ac:dyDescent="0.35">
      <c r="A391">
        <v>390</v>
      </c>
      <c r="B391" t="s">
        <v>10072</v>
      </c>
      <c r="C391" t="str" cm="1">
        <f t="array" ref="C391:D391">_xlfn.TEXTSPLIT(B391, "/")</f>
        <v>Appointment</v>
      </c>
      <c r="D391" t="str">
        <v>Priesthood</v>
      </c>
    </row>
    <row r="392" spans="1:4" x14ac:dyDescent="0.35">
      <c r="A392">
        <v>391</v>
      </c>
      <c r="B392" t="s">
        <v>11876</v>
      </c>
      <c r="C392" t="str" cm="1">
        <f t="array" ref="C392:D392">_xlfn.TEXTSPLIT(B392, "/")</f>
        <v>Law</v>
      </c>
      <c r="D392" t="str">
        <v>False Idols</v>
      </c>
    </row>
    <row r="393" spans="1:4" x14ac:dyDescent="0.35">
      <c r="A393">
        <v>392</v>
      </c>
      <c r="B393" t="s">
        <v>10068</v>
      </c>
      <c r="C393" t="str" cm="1">
        <f t="array" ref="C393:D393">_xlfn.TEXTSPLIT(B393, "/")</f>
        <v>Promise</v>
      </c>
      <c r="D393" t="str">
        <v>Prophecy</v>
      </c>
    </row>
    <row r="394" spans="1:4" x14ac:dyDescent="0.35">
      <c r="A394">
        <v>393</v>
      </c>
      <c r="B394" t="s">
        <v>11466</v>
      </c>
      <c r="C394" t="str" cm="1">
        <f t="array" ref="C394:D394">_xlfn.TEXTSPLIT(B394, "/")</f>
        <v>Command</v>
      </c>
      <c r="D394" t="str">
        <v>Protection</v>
      </c>
    </row>
    <row r="395" spans="1:4" x14ac:dyDescent="0.35">
      <c r="A395">
        <v>394</v>
      </c>
      <c r="B395" t="s">
        <v>11213</v>
      </c>
      <c r="C395" t="str" cm="1">
        <f t="array" ref="C395:D395">_xlfn.TEXTSPLIT(B395, "/")</f>
        <v>Justice</v>
      </c>
      <c r="D395" t="str">
        <v>Law</v>
      </c>
    </row>
    <row r="396" spans="1:4" x14ac:dyDescent="0.35">
      <c r="A396">
        <v>395</v>
      </c>
      <c r="B396" t="s">
        <v>12713</v>
      </c>
      <c r="C396" t="str" cm="1">
        <f t="array" ref="C396:D396">_xlfn.TEXTSPLIT(B396, "/")</f>
        <v>Law</v>
      </c>
      <c r="D396" t="str">
        <v>War</v>
      </c>
    </row>
    <row r="397" spans="1:4" x14ac:dyDescent="0.35">
      <c r="A397">
        <v>396</v>
      </c>
      <c r="B397" t="s">
        <v>12712</v>
      </c>
      <c r="C397" t="str" cm="1">
        <f t="array" ref="C397:D397">_xlfn.TEXTSPLIT(B397, "/")</f>
        <v>Promise</v>
      </c>
      <c r="D397" t="str">
        <v>War</v>
      </c>
    </row>
    <row r="398" spans="1:4" x14ac:dyDescent="0.35">
      <c r="A398">
        <v>397</v>
      </c>
      <c r="B398" t="s">
        <v>11886</v>
      </c>
      <c r="C398" t="str" cm="1">
        <f t="array" ref="C398:D398">_xlfn.TEXTSPLIT(B398, "/")</f>
        <v>Law</v>
      </c>
      <c r="D398" t="str">
        <v>Civil</v>
      </c>
    </row>
    <row r="399" spans="1:4" x14ac:dyDescent="0.35">
      <c r="A399">
        <v>398</v>
      </c>
      <c r="B399" t="s">
        <v>11870</v>
      </c>
      <c r="C399" t="str" cm="1">
        <f t="array" ref="C399:D399">_xlfn.TEXTSPLIT(B399, "/")</f>
        <v>Law</v>
      </c>
      <c r="D399" t="str">
        <v>Tithe</v>
      </c>
    </row>
    <row r="400" spans="1:4" x14ac:dyDescent="0.35">
      <c r="A400">
        <v>399</v>
      </c>
      <c r="B400" t="s">
        <v>11870</v>
      </c>
      <c r="C400" t="str" cm="1">
        <f t="array" ref="C400:D400">_xlfn.TEXTSPLIT(B400, "/")</f>
        <v>Law</v>
      </c>
      <c r="D400" t="str">
        <v>Tithe</v>
      </c>
    </row>
    <row r="401" spans="1:4" x14ac:dyDescent="0.35">
      <c r="A401">
        <v>400</v>
      </c>
      <c r="B401" t="s">
        <v>11869</v>
      </c>
      <c r="C401" t="str" cm="1">
        <f t="array" ref="C401">_xlfn.TEXTSPLIT(B401, "/")</f>
        <v>Covenant</v>
      </c>
    </row>
    <row r="402" spans="1:4" x14ac:dyDescent="0.35">
      <c r="A402">
        <v>401</v>
      </c>
      <c r="B402" t="s">
        <v>11891</v>
      </c>
      <c r="C402" t="str" cm="1">
        <f t="array" ref="C402:D402">_xlfn.TEXTSPLIT(B402, "/")</f>
        <v>Law</v>
      </c>
      <c r="D402" t="str">
        <v>Writing</v>
      </c>
    </row>
    <row r="403" spans="1:4" x14ac:dyDescent="0.35">
      <c r="A403">
        <v>402</v>
      </c>
      <c r="B403" t="s">
        <v>12714</v>
      </c>
      <c r="C403" t="str" cm="1">
        <f t="array" ref="C403:D403">_xlfn.TEXTSPLIT(B403, "/")</f>
        <v>Covenant</v>
      </c>
      <c r="D403" t="str">
        <v>Curse</v>
      </c>
    </row>
    <row r="404" spans="1:4" x14ac:dyDescent="0.35">
      <c r="A404">
        <v>403</v>
      </c>
      <c r="B404" t="s">
        <v>12715</v>
      </c>
      <c r="C404" t="str" cm="1">
        <f t="array" ref="C404:D404">_xlfn.TEXTSPLIT(B404, "/")</f>
        <v>Blessing</v>
      </c>
      <c r="D404" t="str">
        <v>Covenant</v>
      </c>
    </row>
    <row r="405" spans="1:4" x14ac:dyDescent="0.35">
      <c r="A405">
        <v>404</v>
      </c>
      <c r="B405" t="s">
        <v>12714</v>
      </c>
      <c r="C405" t="str" cm="1">
        <f t="array" ref="C405:D405">_xlfn.TEXTSPLIT(B405, "/")</f>
        <v>Covenant</v>
      </c>
      <c r="D405" t="str">
        <v>Curse</v>
      </c>
    </row>
    <row r="406" spans="1:4" x14ac:dyDescent="0.35">
      <c r="A406">
        <v>405</v>
      </c>
      <c r="B406" t="s">
        <v>10038</v>
      </c>
      <c r="C406" t="str" cm="1">
        <f t="array" ref="C406">_xlfn.TEXTSPLIT(B406, "/")</f>
        <v>Provision</v>
      </c>
    </row>
    <row r="407" spans="1:4" x14ac:dyDescent="0.35">
      <c r="A407">
        <v>406</v>
      </c>
      <c r="B407" t="s">
        <v>11869</v>
      </c>
      <c r="C407" t="str" cm="1">
        <f t="array" ref="C407">_xlfn.TEXTSPLIT(B407, "/")</f>
        <v>Covenant</v>
      </c>
    </row>
    <row r="408" spans="1:4" x14ac:dyDescent="0.35">
      <c r="A408">
        <v>407</v>
      </c>
      <c r="B408" t="s">
        <v>10073</v>
      </c>
      <c r="C408" t="str" cm="1">
        <f t="array" ref="C408:D408">_xlfn.TEXTSPLIT(B408, "/")</f>
        <v>Promise</v>
      </c>
      <c r="D408" t="str">
        <v>Restoration</v>
      </c>
    </row>
    <row r="409" spans="1:4" x14ac:dyDescent="0.35">
      <c r="A409">
        <v>408</v>
      </c>
      <c r="B409" t="s">
        <v>10070</v>
      </c>
      <c r="C409" t="str" cm="1">
        <f t="array" ref="C409:D409">_xlfn.TEXTSPLIT(B409, "/")</f>
        <v>Choice</v>
      </c>
      <c r="D409" t="str">
        <v>Covenant</v>
      </c>
    </row>
    <row r="410" spans="1:4" x14ac:dyDescent="0.35">
      <c r="A410">
        <v>409</v>
      </c>
      <c r="B410" t="s">
        <v>11889</v>
      </c>
      <c r="C410" t="str" cm="1">
        <f t="array" ref="C410:D410">_xlfn.TEXTSPLIT(B410, "/")</f>
        <v>Revelation</v>
      </c>
      <c r="D410" t="str">
        <v>Prophecy</v>
      </c>
    </row>
    <row r="411" spans="1:4" x14ac:dyDescent="0.35">
      <c r="A411">
        <v>410</v>
      </c>
      <c r="B411" t="s">
        <v>11893</v>
      </c>
      <c r="C411" t="str" cm="1">
        <f t="array" ref="C411:D411">_xlfn.TEXTSPLIT(B411, "/")</f>
        <v>Theophany</v>
      </c>
      <c r="D411" t="str">
        <v>Cloud</v>
      </c>
    </row>
    <row r="412" spans="1:4" x14ac:dyDescent="0.35">
      <c r="A412">
        <v>411</v>
      </c>
      <c r="B412" t="s">
        <v>9484</v>
      </c>
      <c r="C412" t="str" cm="1">
        <f t="array" ref="C412">_xlfn.TEXTSPLIT(B412, "/")</f>
        <v>Prophecy</v>
      </c>
    </row>
    <row r="413" spans="1:4" x14ac:dyDescent="0.35">
      <c r="A413">
        <v>412</v>
      </c>
      <c r="B413" t="s">
        <v>11894</v>
      </c>
      <c r="C413" t="str" cm="1">
        <f t="array" ref="C413:D413">_xlfn.TEXTSPLIT(B413, "/")</f>
        <v>Command</v>
      </c>
      <c r="D413" t="str">
        <v>Writing</v>
      </c>
    </row>
    <row r="414" spans="1:4" x14ac:dyDescent="0.35">
      <c r="A414">
        <v>413</v>
      </c>
      <c r="B414" t="s">
        <v>9708</v>
      </c>
      <c r="C414" t="str" cm="1">
        <f t="array" ref="C414">_xlfn.TEXTSPLIT(B414, "/")</f>
        <v>Commissioning</v>
      </c>
    </row>
    <row r="415" spans="1:4" x14ac:dyDescent="0.35">
      <c r="A415">
        <v>414</v>
      </c>
      <c r="B415" t="s">
        <v>10074</v>
      </c>
      <c r="C415" t="str" cm="1">
        <f t="array" ref="C415:D415">_xlfn.TEXTSPLIT(B415, "/")</f>
        <v>Prophecy</v>
      </c>
      <c r="D415" t="str">
        <v>Song</v>
      </c>
    </row>
    <row r="416" spans="1:4" x14ac:dyDescent="0.35">
      <c r="A416">
        <v>415</v>
      </c>
      <c r="B416" t="s">
        <v>10589</v>
      </c>
      <c r="C416" t="str" cm="1">
        <f t="array" ref="C416">_xlfn.TEXTSPLIT(B416, "/")</f>
        <v>Command</v>
      </c>
    </row>
    <row r="417" spans="1:5" x14ac:dyDescent="0.35">
      <c r="A417">
        <v>416</v>
      </c>
      <c r="B417" t="s">
        <v>10066</v>
      </c>
      <c r="C417" t="str" cm="1">
        <f t="array" ref="C417:D417">_xlfn.TEXTSPLIT(B417, "/")</f>
        <v>Blessing</v>
      </c>
      <c r="D417" t="str">
        <v>Prophecy</v>
      </c>
    </row>
    <row r="418" spans="1:5" x14ac:dyDescent="0.35">
      <c r="A418">
        <v>417</v>
      </c>
      <c r="B418" t="s">
        <v>11216</v>
      </c>
      <c r="C418" t="str" cm="1">
        <f t="array" ref="C418:D418">_xlfn.TEXTSPLIT(B418, "/")</f>
        <v>Fulfillment</v>
      </c>
      <c r="D418" t="str">
        <v>Vision</v>
      </c>
    </row>
    <row r="419" spans="1:5" x14ac:dyDescent="0.35">
      <c r="A419">
        <v>418</v>
      </c>
      <c r="B419" t="s">
        <v>9404</v>
      </c>
      <c r="C419" t="str" cm="1">
        <f t="array" ref="C419">_xlfn.TEXTSPLIT(B419, "/")</f>
        <v>Burial</v>
      </c>
    </row>
    <row r="420" spans="1:5" x14ac:dyDescent="0.35">
      <c r="A420">
        <v>419</v>
      </c>
      <c r="B420" t="s">
        <v>10667</v>
      </c>
      <c r="C420" t="str" cm="1">
        <f t="array" ref="C420">_xlfn.TEXTSPLIT(B420, "/")</f>
        <v>Preservation</v>
      </c>
    </row>
    <row r="421" spans="1:5" x14ac:dyDescent="0.35">
      <c r="A421">
        <v>420</v>
      </c>
      <c r="B421" t="s">
        <v>11215</v>
      </c>
      <c r="C421" t="str" cm="1">
        <f t="array" ref="C421:D421">_xlfn.TEXTSPLIT(B421, "/")</f>
        <v>Commissioning</v>
      </c>
      <c r="D421" t="str">
        <v>Speech</v>
      </c>
    </row>
    <row r="422" spans="1:5" x14ac:dyDescent="0.35">
      <c r="A422">
        <v>421</v>
      </c>
      <c r="B422" t="s">
        <v>11217</v>
      </c>
      <c r="C422" t="str" cm="1">
        <f t="array" ref="C422:D422">_xlfn.TEXTSPLIT(B422, "/")</f>
        <v>Encouragement</v>
      </c>
      <c r="D422" t="str">
        <v>Promise</v>
      </c>
    </row>
    <row r="423" spans="1:5" x14ac:dyDescent="0.35">
      <c r="A423">
        <v>422</v>
      </c>
      <c r="B423" t="s">
        <v>11218</v>
      </c>
      <c r="C423" t="str" cm="1">
        <f t="array" ref="C423:E423">_xlfn.TEXTSPLIT(B423, "/")</f>
        <v>Command</v>
      </c>
      <c r="D423" t="str">
        <v>Encouragement</v>
      </c>
      <c r="E423" t="str">
        <v>Speech</v>
      </c>
    </row>
    <row r="424" spans="1:5" x14ac:dyDescent="0.35">
      <c r="A424">
        <v>423</v>
      </c>
      <c r="B424" t="s">
        <v>11219</v>
      </c>
      <c r="C424" t="str" cm="1">
        <f t="array" ref="C424:D424">_xlfn.TEXTSPLIT(B424, "/")</f>
        <v>Instruction</v>
      </c>
      <c r="D424" t="str">
        <v>Promise</v>
      </c>
    </row>
    <row r="425" spans="1:5" x14ac:dyDescent="0.35">
      <c r="A425">
        <v>424</v>
      </c>
      <c r="B425" t="s">
        <v>10040</v>
      </c>
      <c r="C425" t="str" cm="1">
        <f t="array" ref="C425">_xlfn.TEXTSPLIT(B425, "/")</f>
        <v>Protection</v>
      </c>
    </row>
    <row r="426" spans="1:5" x14ac:dyDescent="0.35">
      <c r="A426">
        <v>425</v>
      </c>
      <c r="B426" t="s">
        <v>10075</v>
      </c>
      <c r="C426" t="str" cm="1">
        <f t="array" ref="C426:D426">_xlfn.TEXTSPLIT(B426, "/")</f>
        <v>Protection</v>
      </c>
      <c r="D426" t="str">
        <v>Providence</v>
      </c>
    </row>
    <row r="427" spans="1:5" x14ac:dyDescent="0.35">
      <c r="A427">
        <v>426</v>
      </c>
      <c r="B427" t="s">
        <v>10076</v>
      </c>
      <c r="C427" t="str" cm="1">
        <f t="array" ref="C427:D427">_xlfn.TEXTSPLIT(B427, "/")</f>
        <v>Deliverance</v>
      </c>
      <c r="D427" t="str">
        <v>Providence</v>
      </c>
    </row>
    <row r="428" spans="1:5" x14ac:dyDescent="0.35">
      <c r="A428">
        <v>427</v>
      </c>
      <c r="B428" t="s">
        <v>11176</v>
      </c>
      <c r="C428" t="str" cm="1">
        <f t="array" ref="C428:E428">_xlfn.TEXTSPLIT(B428, "/")</f>
        <v>Command</v>
      </c>
      <c r="D428" t="str">
        <v>Instruction</v>
      </c>
      <c r="E428" t="str">
        <v>Speech</v>
      </c>
    </row>
    <row r="429" spans="1:5" x14ac:dyDescent="0.35">
      <c r="A429">
        <v>428</v>
      </c>
      <c r="B429" t="s">
        <v>11220</v>
      </c>
      <c r="C429" t="str" cm="1">
        <f t="array" ref="C429:D429">_xlfn.TEXTSPLIT(B429, "/")</f>
        <v>Exaltation</v>
      </c>
      <c r="D429" t="str">
        <v>Promise</v>
      </c>
    </row>
    <row r="430" spans="1:5" x14ac:dyDescent="0.35">
      <c r="A430">
        <v>429</v>
      </c>
      <c r="B430" t="s">
        <v>11176</v>
      </c>
      <c r="C430" t="str" cm="1">
        <f t="array" ref="C430:E430">_xlfn.TEXTSPLIT(B430, "/")</f>
        <v>Command</v>
      </c>
      <c r="D430" t="str">
        <v>Instruction</v>
      </c>
      <c r="E430" t="str">
        <v>Speech</v>
      </c>
    </row>
    <row r="431" spans="1:5" x14ac:dyDescent="0.35">
      <c r="A431">
        <v>430</v>
      </c>
      <c r="B431" t="s">
        <v>10754</v>
      </c>
      <c r="C431" t="str" cm="1">
        <f t="array" ref="C431">_xlfn.TEXTSPLIT(B431, "/")</f>
        <v>Parting Waters</v>
      </c>
    </row>
    <row r="432" spans="1:5" x14ac:dyDescent="0.35">
      <c r="A432">
        <v>431</v>
      </c>
      <c r="B432" t="s">
        <v>10038</v>
      </c>
      <c r="C432" t="str" cm="1">
        <f t="array" ref="C432">_xlfn.TEXTSPLIT(B432, "/")</f>
        <v>Provision</v>
      </c>
    </row>
    <row r="433" spans="1:5" x14ac:dyDescent="0.35">
      <c r="A433">
        <v>432</v>
      </c>
      <c r="B433" t="s">
        <v>11194</v>
      </c>
      <c r="C433" t="str" cm="1">
        <f t="array" ref="C433:E433">_xlfn.TEXTSPLIT(B433, "/")</f>
        <v>Command</v>
      </c>
      <c r="D433" t="str">
        <v>Memorial</v>
      </c>
      <c r="E433" t="str">
        <v>Speech</v>
      </c>
    </row>
    <row r="434" spans="1:5" x14ac:dyDescent="0.35">
      <c r="A434">
        <v>433</v>
      </c>
      <c r="B434" t="s">
        <v>9358</v>
      </c>
      <c r="C434" t="str" cm="1">
        <f t="array" ref="C434">_xlfn.TEXTSPLIT(B434, "/")</f>
        <v>Restoration</v>
      </c>
    </row>
    <row r="435" spans="1:5" x14ac:dyDescent="0.35">
      <c r="A435">
        <v>434</v>
      </c>
      <c r="B435" t="s">
        <v>10077</v>
      </c>
      <c r="C435" t="str" cm="1">
        <f t="array" ref="C435:D435">_xlfn.TEXTSPLIT(B435, "/")</f>
        <v>Exaltation</v>
      </c>
      <c r="D435" t="str">
        <v>Recognition</v>
      </c>
    </row>
    <row r="436" spans="1:5" x14ac:dyDescent="0.35">
      <c r="A436">
        <v>435</v>
      </c>
      <c r="B436" t="s">
        <v>11221</v>
      </c>
      <c r="C436" t="str" cm="1">
        <f t="array" ref="C436:E436">_xlfn.TEXTSPLIT(B436, "/")</f>
        <v>Command</v>
      </c>
      <c r="D436" t="str">
        <v>Covenant</v>
      </c>
      <c r="E436" t="str">
        <v>Speech</v>
      </c>
    </row>
    <row r="437" spans="1:5" x14ac:dyDescent="0.35">
      <c r="A437">
        <v>436</v>
      </c>
      <c r="B437" t="s">
        <v>11222</v>
      </c>
      <c r="C437" t="str" cm="1">
        <f t="array" ref="C437:D437">_xlfn.TEXTSPLIT(B437, "/")</f>
        <v>Declaration</v>
      </c>
      <c r="D437" t="str">
        <v>Speech</v>
      </c>
    </row>
    <row r="438" spans="1:5" x14ac:dyDescent="0.35">
      <c r="A438">
        <v>437</v>
      </c>
      <c r="B438" t="s">
        <v>10078</v>
      </c>
      <c r="C438" t="str" cm="1">
        <f t="array" ref="C438:D438">_xlfn.TEXTSPLIT(B438, "/")</f>
        <v>Cessation</v>
      </c>
      <c r="D438" t="str">
        <v>Provision</v>
      </c>
    </row>
    <row r="439" spans="1:5" x14ac:dyDescent="0.35">
      <c r="A439">
        <v>438</v>
      </c>
      <c r="B439" t="s">
        <v>11187</v>
      </c>
      <c r="C439" t="str" cm="1">
        <f t="array" ref="C439:D439">_xlfn.TEXTSPLIT(B439, "/")</f>
        <v>Appearance</v>
      </c>
      <c r="D439" t="str">
        <v>Theophany</v>
      </c>
    </row>
    <row r="440" spans="1:5" x14ac:dyDescent="0.35">
      <c r="A440">
        <v>440</v>
      </c>
      <c r="B440" t="s">
        <v>10099</v>
      </c>
      <c r="C440" t="str" cm="1">
        <f t="array" ref="C440:D440">_xlfn.TEXTSPLIT(B440, "/")</f>
        <v>Instruction</v>
      </c>
      <c r="D440" t="str">
        <v>Strategy</v>
      </c>
    </row>
    <row r="441" spans="1:5" x14ac:dyDescent="0.35">
      <c r="A441">
        <v>441</v>
      </c>
      <c r="B441" t="s">
        <v>10755</v>
      </c>
      <c r="C441" t="str" cm="1">
        <f t="array" ref="C441">_xlfn.TEXTSPLIT(B441, "/")</f>
        <v>Destruction</v>
      </c>
    </row>
    <row r="442" spans="1:5" x14ac:dyDescent="0.35">
      <c r="A442">
        <v>442</v>
      </c>
      <c r="B442" t="s">
        <v>10079</v>
      </c>
      <c r="C442" t="str" cm="1">
        <f t="array" ref="C442:D442">_xlfn.TEXTSPLIT(B442, "/")</f>
        <v>Mercy</v>
      </c>
      <c r="D442" t="str">
        <v>Protection</v>
      </c>
    </row>
    <row r="443" spans="1:5" x14ac:dyDescent="0.35">
      <c r="A443">
        <v>443</v>
      </c>
      <c r="B443" t="s">
        <v>12716</v>
      </c>
      <c r="C443" t="str" cm="1">
        <f t="array" ref="C443:D443">_xlfn.TEXTSPLIT(B443, "/")</f>
        <v>Curse</v>
      </c>
      <c r="D443" t="str">
        <v>Speech</v>
      </c>
    </row>
    <row r="444" spans="1:5" x14ac:dyDescent="0.35">
      <c r="A444">
        <v>444</v>
      </c>
      <c r="B444" t="s">
        <v>10544</v>
      </c>
      <c r="C444" t="str" cm="1">
        <f t="array" ref="C444">_xlfn.TEXTSPLIT(B444, "/")</f>
        <v>Judgment</v>
      </c>
    </row>
    <row r="445" spans="1:5" x14ac:dyDescent="0.35">
      <c r="A445">
        <v>445</v>
      </c>
      <c r="B445" t="s">
        <v>11190</v>
      </c>
      <c r="C445" t="str" cm="1">
        <f t="array" ref="C445:D445">_xlfn.TEXTSPLIT(B445, "/")</f>
        <v>Defeat</v>
      </c>
      <c r="D445" t="str">
        <v>Judgment</v>
      </c>
    </row>
    <row r="446" spans="1:5" x14ac:dyDescent="0.35">
      <c r="A446">
        <v>447</v>
      </c>
      <c r="B446" t="s">
        <v>11125</v>
      </c>
      <c r="C446" t="str" cm="1">
        <f t="array" ref="C446:D446">_xlfn.TEXTSPLIT(B446, "/")</f>
        <v>Revelation</v>
      </c>
      <c r="D446" t="str">
        <v>Speech</v>
      </c>
    </row>
    <row r="447" spans="1:5" x14ac:dyDescent="0.35">
      <c r="A447">
        <v>448</v>
      </c>
      <c r="B447" t="s">
        <v>11223</v>
      </c>
      <c r="C447" t="str" cm="1">
        <f t="array" ref="C447:D447">_xlfn.TEXTSPLIT(B447, "/")</f>
        <v>Identification</v>
      </c>
      <c r="D447" t="str">
        <v>Revelation</v>
      </c>
    </row>
    <row r="448" spans="1:5" x14ac:dyDescent="0.35">
      <c r="A448">
        <v>450</v>
      </c>
      <c r="B448" t="s">
        <v>11224</v>
      </c>
      <c r="C448" t="str" cm="1">
        <f t="array" ref="C448:D448">_xlfn.TEXTSPLIT(B448, "/")</f>
        <v>Execution</v>
      </c>
      <c r="D448" t="str">
        <v>Judgment</v>
      </c>
    </row>
    <row r="449" spans="1:5" x14ac:dyDescent="0.35">
      <c r="A449">
        <v>451</v>
      </c>
      <c r="B449" t="s">
        <v>11225</v>
      </c>
      <c r="C449" t="str" cm="1">
        <f t="array" ref="C449:D449">_xlfn.TEXTSPLIT(B449, "/")</f>
        <v>Encouragement</v>
      </c>
      <c r="D449" t="str">
        <v>Speech</v>
      </c>
    </row>
    <row r="450" spans="1:5" x14ac:dyDescent="0.35">
      <c r="A450">
        <v>452</v>
      </c>
      <c r="B450" t="s">
        <v>10099</v>
      </c>
      <c r="C450" t="str" cm="1">
        <f t="array" ref="C450:D450">_xlfn.TEXTSPLIT(B450, "/")</f>
        <v>Instruction</v>
      </c>
      <c r="D450" t="str">
        <v>Strategy</v>
      </c>
    </row>
    <row r="451" spans="1:5" x14ac:dyDescent="0.35">
      <c r="A451">
        <v>453</v>
      </c>
      <c r="B451" t="s">
        <v>10091</v>
      </c>
      <c r="C451" t="str" cm="1">
        <f t="array" ref="C451:D451">_xlfn.TEXTSPLIT(B451, "/")</f>
        <v>Deliverance</v>
      </c>
      <c r="D451" t="str">
        <v>Victory</v>
      </c>
    </row>
    <row r="452" spans="1:5" x14ac:dyDescent="0.35">
      <c r="A452">
        <v>454</v>
      </c>
      <c r="B452" t="s">
        <v>12717</v>
      </c>
      <c r="C452" t="str" cm="1">
        <f t="array" ref="C452:D452">_xlfn.TEXTSPLIT(B452, "/")</f>
        <v>Command</v>
      </c>
      <c r="D452" t="str">
        <v>Sign</v>
      </c>
    </row>
    <row r="453" spans="1:5" x14ac:dyDescent="0.35">
      <c r="A453">
        <v>455</v>
      </c>
      <c r="B453" t="s">
        <v>11126</v>
      </c>
      <c r="C453" t="str" cm="1">
        <f t="array" ref="C453:D453">_xlfn.TEXTSPLIT(B453, "/")</f>
        <v>Destruction</v>
      </c>
      <c r="D453" t="str">
        <v>Judgment</v>
      </c>
    </row>
    <row r="454" spans="1:5" x14ac:dyDescent="0.35">
      <c r="A454">
        <v>459</v>
      </c>
      <c r="B454" t="s">
        <v>12681</v>
      </c>
      <c r="C454" t="str" cm="1">
        <f t="array" ref="C454">_xlfn.TEXTSPLIT(B454, "/")</f>
        <v>Cosmic</v>
      </c>
    </row>
    <row r="455" spans="1:5" x14ac:dyDescent="0.35">
      <c r="A455">
        <v>460</v>
      </c>
      <c r="B455" t="s">
        <v>12718</v>
      </c>
      <c r="C455" t="str" cm="1">
        <f t="array" ref="C455:D455">_xlfn.TEXTSPLIT(B455, "/")</f>
        <v>Intervention</v>
      </c>
      <c r="D455" t="str">
        <v>War</v>
      </c>
    </row>
    <row r="456" spans="1:5" x14ac:dyDescent="0.35">
      <c r="A456">
        <v>461</v>
      </c>
      <c r="B456" t="s">
        <v>12719</v>
      </c>
      <c r="C456" t="str" cm="1">
        <f t="array" ref="C456:D456">_xlfn.TEXTSPLIT(B456, "/")</f>
        <v>Hail</v>
      </c>
      <c r="D456" t="str">
        <v>War</v>
      </c>
    </row>
    <row r="457" spans="1:5" x14ac:dyDescent="0.35">
      <c r="A457">
        <v>462</v>
      </c>
      <c r="B457" t="s">
        <v>10755</v>
      </c>
      <c r="C457" t="str" cm="1">
        <f t="array" ref="C457">_xlfn.TEXTSPLIT(B457, "/")</f>
        <v>Destruction</v>
      </c>
    </row>
    <row r="458" spans="1:5" x14ac:dyDescent="0.35">
      <c r="A458">
        <v>465</v>
      </c>
      <c r="B458" t="s">
        <v>10091</v>
      </c>
      <c r="C458" t="str" cm="1">
        <f t="array" ref="C458:D458">_xlfn.TEXTSPLIT(B458, "/")</f>
        <v>Deliverance</v>
      </c>
      <c r="D458" t="str">
        <v>Victory</v>
      </c>
    </row>
    <row r="459" spans="1:5" x14ac:dyDescent="0.35">
      <c r="A459">
        <v>466</v>
      </c>
      <c r="B459" t="s">
        <v>11226</v>
      </c>
      <c r="C459" t="str" cm="1">
        <f t="array" ref="C459:D459">_xlfn.TEXTSPLIT(B459, "/")</f>
        <v>Conquest</v>
      </c>
      <c r="D459" t="str">
        <v>Victory</v>
      </c>
    </row>
    <row r="460" spans="1:5" x14ac:dyDescent="0.35">
      <c r="A460">
        <v>468</v>
      </c>
      <c r="B460" t="s">
        <v>11225</v>
      </c>
      <c r="C460" t="str" cm="1">
        <f t="array" ref="C460:D460">_xlfn.TEXTSPLIT(B460, "/")</f>
        <v>Encouragement</v>
      </c>
      <c r="D460" t="str">
        <v>Speech</v>
      </c>
    </row>
    <row r="461" spans="1:5" x14ac:dyDescent="0.35">
      <c r="A461">
        <v>469</v>
      </c>
      <c r="B461" t="s">
        <v>12712</v>
      </c>
      <c r="C461" t="str" cm="1">
        <f t="array" ref="C461:D461">_xlfn.TEXTSPLIT(B461, "/")</f>
        <v>Promise</v>
      </c>
      <c r="D461" t="str">
        <v>War</v>
      </c>
    </row>
    <row r="462" spans="1:5" x14ac:dyDescent="0.35">
      <c r="A462">
        <v>470</v>
      </c>
      <c r="B462" t="s">
        <v>10091</v>
      </c>
      <c r="C462" t="str" cm="1">
        <f t="array" ref="C462:D462">_xlfn.TEXTSPLIT(B462, "/")</f>
        <v>Deliverance</v>
      </c>
      <c r="D462" t="str">
        <v>Victory</v>
      </c>
    </row>
    <row r="463" spans="1:5" x14ac:dyDescent="0.35">
      <c r="A463">
        <v>471</v>
      </c>
      <c r="B463" t="s">
        <v>11227</v>
      </c>
      <c r="C463" t="str" cm="1">
        <f t="array" ref="C463:E463">_xlfn.TEXTSPLIT(B463, "/")</f>
        <v>Command</v>
      </c>
      <c r="D463" t="str">
        <v>Destruction</v>
      </c>
      <c r="E463" t="str">
        <v>Speech</v>
      </c>
    </row>
    <row r="464" spans="1:5" x14ac:dyDescent="0.35">
      <c r="A464">
        <v>472</v>
      </c>
      <c r="B464" t="s">
        <v>10047</v>
      </c>
      <c r="C464" t="str" cm="1">
        <f t="array" ref="C464:D464">_xlfn.TEXTSPLIT(B464, "/")</f>
        <v>Hardening</v>
      </c>
      <c r="D464" t="str">
        <v>Judgment</v>
      </c>
    </row>
    <row r="465" spans="1:5" x14ac:dyDescent="0.35">
      <c r="A465">
        <v>473</v>
      </c>
      <c r="B465" t="s">
        <v>11228</v>
      </c>
      <c r="C465" t="str" cm="1">
        <f t="array" ref="C465:D465">_xlfn.TEXTSPLIT(B465, "/")</f>
        <v>Fulfillment</v>
      </c>
      <c r="D465" t="str">
        <v>Peace</v>
      </c>
    </row>
    <row r="466" spans="1:5" x14ac:dyDescent="0.35">
      <c r="A466">
        <v>474</v>
      </c>
      <c r="B466" t="s">
        <v>11176</v>
      </c>
      <c r="C466" t="str" cm="1">
        <f t="array" ref="C466:E466">_xlfn.TEXTSPLIT(B466, "/")</f>
        <v>Command</v>
      </c>
      <c r="D466" t="str">
        <v>Instruction</v>
      </c>
      <c r="E466" t="str">
        <v>Speech</v>
      </c>
    </row>
    <row r="467" spans="1:5" x14ac:dyDescent="0.35">
      <c r="A467">
        <v>475</v>
      </c>
      <c r="B467" t="s">
        <v>11125</v>
      </c>
      <c r="C467" t="str" cm="1">
        <f t="array" ref="C467:D467">_xlfn.TEXTSPLIT(B467, "/")</f>
        <v>Revelation</v>
      </c>
      <c r="D467" t="str">
        <v>Speech</v>
      </c>
    </row>
    <row r="468" spans="1:5" x14ac:dyDescent="0.35">
      <c r="A468">
        <v>476</v>
      </c>
      <c r="B468" t="s">
        <v>11229</v>
      </c>
      <c r="C468" t="str" cm="1">
        <f t="array" ref="C468:D468">_xlfn.TEXTSPLIT(B468, "/")</f>
        <v>Promise</v>
      </c>
      <c r="D468" t="str">
        <v>Reward</v>
      </c>
    </row>
    <row r="469" spans="1:5" x14ac:dyDescent="0.35">
      <c r="A469">
        <v>477</v>
      </c>
      <c r="B469" t="s">
        <v>10667</v>
      </c>
      <c r="C469" t="str" cm="1">
        <f t="array" ref="C469">_xlfn.TEXTSPLIT(B469, "/")</f>
        <v>Preservation</v>
      </c>
    </row>
    <row r="470" spans="1:5" x14ac:dyDescent="0.35">
      <c r="A470">
        <v>478</v>
      </c>
      <c r="B470" t="s">
        <v>10081</v>
      </c>
      <c r="C470" t="str" cm="1">
        <f t="array" ref="C470:D470">_xlfn.TEXTSPLIT(B470, "/")</f>
        <v>Peace</v>
      </c>
      <c r="D470" t="str">
        <v>Rest</v>
      </c>
    </row>
    <row r="471" spans="1:5" x14ac:dyDescent="0.35">
      <c r="A471">
        <v>479</v>
      </c>
      <c r="B471" t="s">
        <v>10082</v>
      </c>
      <c r="C471" t="str" cm="1">
        <f t="array" ref="C471:D471">_xlfn.TEXTSPLIT(B471, "/")</f>
        <v>Institution</v>
      </c>
      <c r="D471" t="str">
        <v>Mercy</v>
      </c>
    </row>
    <row r="472" spans="1:5" x14ac:dyDescent="0.35">
      <c r="A472">
        <v>480</v>
      </c>
      <c r="B472" t="s">
        <v>11230</v>
      </c>
      <c r="C472" t="str" cm="1">
        <f t="array" ref="C472:D472">_xlfn.TEXTSPLIT(B472, "/")</f>
        <v>Fulfillment</v>
      </c>
      <c r="D472" t="str">
        <v>Provision</v>
      </c>
    </row>
    <row r="473" spans="1:5" x14ac:dyDescent="0.35">
      <c r="A473">
        <v>481</v>
      </c>
      <c r="B473" t="s">
        <v>10083</v>
      </c>
      <c r="C473" t="str" cm="1">
        <f t="array" ref="C473:D473">_xlfn.TEXTSPLIT(B473, "/")</f>
        <v>Fulfillment</v>
      </c>
      <c r="D473" t="str">
        <v>Promise</v>
      </c>
    </row>
    <row r="474" spans="1:5" x14ac:dyDescent="0.35">
      <c r="A474">
        <v>482</v>
      </c>
      <c r="B474" t="s">
        <v>11228</v>
      </c>
      <c r="C474" t="str" cm="1">
        <f t="array" ref="C474:D474">_xlfn.TEXTSPLIT(B474, "/")</f>
        <v>Fulfillment</v>
      </c>
      <c r="D474" t="str">
        <v>Peace</v>
      </c>
    </row>
    <row r="475" spans="1:5" x14ac:dyDescent="0.35">
      <c r="A475">
        <v>483</v>
      </c>
      <c r="B475" t="s">
        <v>10084</v>
      </c>
      <c r="C475" t="str" cm="1">
        <f t="array" ref="C475:D475">_xlfn.TEXTSPLIT(B475, "/")</f>
        <v>Faithfulness</v>
      </c>
      <c r="D475" t="str">
        <v>Fulfillment</v>
      </c>
    </row>
    <row r="476" spans="1:5" x14ac:dyDescent="0.35">
      <c r="A476">
        <v>487</v>
      </c>
      <c r="B476" t="s">
        <v>10085</v>
      </c>
      <c r="C476" t="str" cm="1">
        <f t="array" ref="C476:D476">_xlfn.TEXTSPLIT(B476, "/")</f>
        <v>Peace</v>
      </c>
      <c r="D476" t="str">
        <v>Providence</v>
      </c>
    </row>
    <row r="477" spans="1:5" x14ac:dyDescent="0.35">
      <c r="A477">
        <v>489</v>
      </c>
      <c r="B477" t="s">
        <v>10086</v>
      </c>
      <c r="C477" t="str" cm="1">
        <f t="array" ref="C477:D477">_xlfn.TEXTSPLIT(B477, "/")</f>
        <v>Faithfulness</v>
      </c>
      <c r="D477" t="str">
        <v>Testimony</v>
      </c>
    </row>
    <row r="478" spans="1:5" x14ac:dyDescent="0.35">
      <c r="A478">
        <v>490</v>
      </c>
      <c r="B478" t="s">
        <v>10253</v>
      </c>
      <c r="C478" t="str" cm="1">
        <f t="array" ref="C478:D478">_xlfn.TEXTSPLIT(B478, "/")</f>
        <v>Prophecy</v>
      </c>
      <c r="D478" t="str">
        <v>Warning</v>
      </c>
    </row>
    <row r="479" spans="1:5" x14ac:dyDescent="0.35">
      <c r="A479">
        <v>492</v>
      </c>
      <c r="B479" t="s">
        <v>12718</v>
      </c>
      <c r="C479" t="str" cm="1">
        <f t="array" ref="C479:D479">_xlfn.TEXTSPLIT(B479, "/")</f>
        <v>Intervention</v>
      </c>
      <c r="D479" t="str">
        <v>War</v>
      </c>
    </row>
    <row r="480" spans="1:5" x14ac:dyDescent="0.35">
      <c r="A480">
        <v>493</v>
      </c>
      <c r="B480" t="s">
        <v>10087</v>
      </c>
      <c r="C480" t="str" cm="1">
        <f t="array" ref="C480:D480">_xlfn.TEXTSPLIT(B480, "/")</f>
        <v>Covenant</v>
      </c>
      <c r="D480" t="str">
        <v>Renewal</v>
      </c>
    </row>
    <row r="481" spans="1:5" x14ac:dyDescent="0.35">
      <c r="A481">
        <v>494</v>
      </c>
      <c r="B481" t="s">
        <v>12201</v>
      </c>
      <c r="C481" t="str" cm="1">
        <f t="array" ref="C481:E481">_xlfn.TEXTSPLIT(B481, "/")</f>
        <v>Speech</v>
      </c>
      <c r="D481" t="str">
        <v>Guidance</v>
      </c>
      <c r="E481" t="str">
        <v>Answer</v>
      </c>
    </row>
    <row r="482" spans="1:5" x14ac:dyDescent="0.35">
      <c r="A482">
        <v>495</v>
      </c>
      <c r="B482" t="s">
        <v>10751</v>
      </c>
      <c r="C482" t="str" cm="1">
        <f t="array" ref="C482">_xlfn.TEXTSPLIT(B482, "/")</f>
        <v>Theophany</v>
      </c>
    </row>
    <row r="483" spans="1:5" x14ac:dyDescent="0.35">
      <c r="A483">
        <v>496</v>
      </c>
      <c r="B483" t="s">
        <v>12221</v>
      </c>
      <c r="C483" t="str" cm="1">
        <f t="array" ref="C483:E483">_xlfn.TEXTSPLIT(B483, "/")</f>
        <v>Judgment</v>
      </c>
      <c r="D483" t="str">
        <v>Rebuke</v>
      </c>
      <c r="E483" t="str">
        <v>Speech</v>
      </c>
    </row>
    <row r="484" spans="1:5" x14ac:dyDescent="0.35">
      <c r="A484">
        <v>497</v>
      </c>
      <c r="B484" t="s">
        <v>12224</v>
      </c>
      <c r="C484" t="str" cm="1">
        <f t="array" ref="C484:D484">_xlfn.TEXTSPLIT(B484, "/")</f>
        <v>Judgment</v>
      </c>
      <c r="D484" t="str">
        <v>Defeat</v>
      </c>
    </row>
    <row r="485" spans="1:5" x14ac:dyDescent="0.35">
      <c r="A485">
        <v>498</v>
      </c>
      <c r="B485" t="s">
        <v>11232</v>
      </c>
      <c r="C485" t="str" cm="1">
        <f t="array" ref="C485:D485">_xlfn.TEXTSPLIT(B485, "/")</f>
        <v>Appointment</v>
      </c>
      <c r="D485" t="str">
        <v>Deliverance</v>
      </c>
    </row>
    <row r="486" spans="1:5" x14ac:dyDescent="0.35">
      <c r="A486">
        <v>499</v>
      </c>
      <c r="B486" t="s">
        <v>11233</v>
      </c>
      <c r="C486" t="str" cm="1">
        <f t="array" ref="C486:D486">_xlfn.TEXTSPLIT(B486, "/")</f>
        <v>Deliverance</v>
      </c>
      <c r="D486" t="str">
        <v>Presence</v>
      </c>
    </row>
    <row r="487" spans="1:5" x14ac:dyDescent="0.35">
      <c r="A487">
        <v>500</v>
      </c>
      <c r="B487" t="s">
        <v>12226</v>
      </c>
      <c r="C487" t="str" cm="1">
        <f t="array" ref="C487:E487">_xlfn.TEXTSPLIT(B487, "/")</f>
        <v>Anger</v>
      </c>
      <c r="D487" t="str">
        <v>Judgment</v>
      </c>
      <c r="E487" t="str">
        <v>Speech</v>
      </c>
    </row>
    <row r="488" spans="1:5" x14ac:dyDescent="0.35">
      <c r="A488">
        <v>501</v>
      </c>
      <c r="B488" t="s">
        <v>12720</v>
      </c>
      <c r="C488" t="str" cm="1">
        <f t="array" ref="C488:E488">_xlfn.TEXTSPLIT(B488, "/")</f>
        <v>Judgment</v>
      </c>
      <c r="D488" t="str">
        <v>Discipline</v>
      </c>
      <c r="E488" t="str">
        <v>Test</v>
      </c>
    </row>
    <row r="489" spans="1:5" x14ac:dyDescent="0.35">
      <c r="A489">
        <v>502</v>
      </c>
      <c r="B489" t="s">
        <v>10088</v>
      </c>
      <c r="C489" t="str" cm="1">
        <f t="array" ref="C489:D489">_xlfn.TEXTSPLIT(B489, "/")</f>
        <v>Judgment</v>
      </c>
      <c r="D489" t="str">
        <v>Oppression</v>
      </c>
    </row>
    <row r="490" spans="1:5" x14ac:dyDescent="0.35">
      <c r="A490">
        <v>503</v>
      </c>
      <c r="B490" t="s">
        <v>10505</v>
      </c>
      <c r="C490" t="str" cm="1">
        <f t="array" ref="C490:D490">_xlfn.TEXTSPLIT(B490, "/")</f>
        <v>Deliverance</v>
      </c>
      <c r="D490" t="str">
        <v>Judgment</v>
      </c>
    </row>
    <row r="491" spans="1:5" x14ac:dyDescent="0.35">
      <c r="A491">
        <v>504</v>
      </c>
      <c r="B491" t="s">
        <v>10089</v>
      </c>
      <c r="C491" t="str" cm="1">
        <f t="array" ref="C491:D491">_xlfn.TEXTSPLIT(B491, "/")</f>
        <v>Empowerment</v>
      </c>
      <c r="D491" t="str">
        <v>Spirit</v>
      </c>
    </row>
    <row r="492" spans="1:5" x14ac:dyDescent="0.35">
      <c r="A492">
        <v>505</v>
      </c>
      <c r="B492" t="s">
        <v>12721</v>
      </c>
      <c r="C492" t="str" cm="1">
        <f t="array" ref="C492:E492">_xlfn.TEXTSPLIT(B492, "/")</f>
        <v>Judgment</v>
      </c>
      <c r="D492" t="str">
        <v>Victory</v>
      </c>
      <c r="E492" t="str">
        <v>War</v>
      </c>
    </row>
    <row r="493" spans="1:5" x14ac:dyDescent="0.35">
      <c r="A493">
        <v>506</v>
      </c>
      <c r="B493" t="s">
        <v>10091</v>
      </c>
      <c r="C493" t="str" cm="1">
        <f t="array" ref="C493:D493">_xlfn.TEXTSPLIT(B493, "/")</f>
        <v>Deliverance</v>
      </c>
      <c r="D493" t="str">
        <v>Victory</v>
      </c>
    </row>
    <row r="494" spans="1:5" x14ac:dyDescent="0.35">
      <c r="A494">
        <v>507</v>
      </c>
      <c r="B494" t="s">
        <v>11234</v>
      </c>
      <c r="C494" t="str" cm="1">
        <f t="array" ref="C494:D494">_xlfn.TEXTSPLIT(B494, "/")</f>
        <v>Blessing</v>
      </c>
      <c r="D494" t="str">
        <v>Peace</v>
      </c>
    </row>
    <row r="495" spans="1:5" x14ac:dyDescent="0.35">
      <c r="A495">
        <v>508</v>
      </c>
      <c r="B495" t="s">
        <v>10090</v>
      </c>
      <c r="C495" t="str" cm="1">
        <f t="array" ref="C495:D495">_xlfn.TEXTSPLIT(B495, "/")</f>
        <v>Judgment</v>
      </c>
      <c r="D495" t="str">
        <v>Strengthening Enemies</v>
      </c>
    </row>
    <row r="496" spans="1:5" x14ac:dyDescent="0.35">
      <c r="A496">
        <v>509</v>
      </c>
      <c r="B496" t="s">
        <v>10505</v>
      </c>
      <c r="C496" t="str" cm="1">
        <f t="array" ref="C496:D496">_xlfn.TEXTSPLIT(B496, "/")</f>
        <v>Deliverance</v>
      </c>
      <c r="D496" t="str">
        <v>Judgment</v>
      </c>
    </row>
    <row r="497" spans="1:5" x14ac:dyDescent="0.35">
      <c r="A497">
        <v>510</v>
      </c>
      <c r="B497" t="s">
        <v>11235</v>
      </c>
      <c r="C497" t="str" cm="1">
        <f t="array" ref="C497:D497">_xlfn.TEXTSPLIT(B497, "/")</f>
        <v>Assassination</v>
      </c>
      <c r="D497" t="str">
        <v>Deliverance</v>
      </c>
    </row>
    <row r="498" spans="1:5" x14ac:dyDescent="0.35">
      <c r="A498">
        <v>511</v>
      </c>
      <c r="B498" t="s">
        <v>12710</v>
      </c>
      <c r="C498" t="str" cm="1">
        <f t="array" ref="C498:D498">_xlfn.TEXTSPLIT(B498, "/")</f>
        <v>Victory</v>
      </c>
      <c r="D498" t="str">
        <v>War</v>
      </c>
    </row>
    <row r="499" spans="1:5" x14ac:dyDescent="0.35">
      <c r="A499">
        <v>512</v>
      </c>
      <c r="B499" t="s">
        <v>11234</v>
      </c>
      <c r="C499" t="str" cm="1">
        <f t="array" ref="C499:D499">_xlfn.TEXTSPLIT(B499, "/")</f>
        <v>Blessing</v>
      </c>
      <c r="D499" t="str">
        <v>Peace</v>
      </c>
    </row>
    <row r="500" spans="1:5" x14ac:dyDescent="0.35">
      <c r="A500">
        <v>513</v>
      </c>
      <c r="B500" t="s">
        <v>12233</v>
      </c>
      <c r="C500" t="str" cm="1">
        <f t="array" ref="C500:E500">_xlfn.TEXTSPLIT(B500, "/")</f>
        <v>Strength</v>
      </c>
      <c r="D500" t="str">
        <v>Deliverance</v>
      </c>
      <c r="E500" t="str">
        <v>Victory</v>
      </c>
    </row>
    <row r="501" spans="1:5" x14ac:dyDescent="0.35">
      <c r="A501">
        <v>514</v>
      </c>
      <c r="B501" t="s">
        <v>10088</v>
      </c>
      <c r="C501" t="str" cm="1">
        <f t="array" ref="C501:D501">_xlfn.TEXTSPLIT(B501, "/")</f>
        <v>Judgment</v>
      </c>
      <c r="D501" t="str">
        <v>Oppression</v>
      </c>
    </row>
    <row r="502" spans="1:5" x14ac:dyDescent="0.35">
      <c r="A502">
        <v>515</v>
      </c>
      <c r="B502" t="s">
        <v>12722</v>
      </c>
      <c r="C502" t="str" cm="1">
        <f t="array" ref="C502:D502">_xlfn.TEXTSPLIT(B502, "/")</f>
        <v>Appointment</v>
      </c>
      <c r="D502" t="str">
        <v>Judgment</v>
      </c>
    </row>
    <row r="503" spans="1:5" x14ac:dyDescent="0.35">
      <c r="A503">
        <v>516</v>
      </c>
      <c r="B503" t="s">
        <v>12711</v>
      </c>
      <c r="C503" t="str" cm="1">
        <f t="array" ref="C503:E503">_xlfn.TEXTSPLIT(B503, "/")</f>
        <v>Command</v>
      </c>
      <c r="D503" t="str">
        <v>Speech</v>
      </c>
      <c r="E503" t="str">
        <v>War</v>
      </c>
    </row>
    <row r="504" spans="1:5" x14ac:dyDescent="0.35">
      <c r="A504">
        <v>517</v>
      </c>
      <c r="B504" t="s">
        <v>10094</v>
      </c>
      <c r="C504" t="str" cm="1">
        <f t="array" ref="C504:D504">_xlfn.TEXTSPLIT(B504, "/")</f>
        <v>Promise</v>
      </c>
      <c r="D504" t="str">
        <v>Victory</v>
      </c>
    </row>
    <row r="505" spans="1:5" x14ac:dyDescent="0.35">
      <c r="A505">
        <v>518</v>
      </c>
      <c r="B505" t="s">
        <v>12723</v>
      </c>
      <c r="C505" t="str" cm="1">
        <f t="array" ref="C505:D505">_xlfn.TEXTSPLIT(B505, "/")</f>
        <v>Confusion</v>
      </c>
      <c r="D505" t="str">
        <v>War</v>
      </c>
    </row>
    <row r="506" spans="1:5" x14ac:dyDescent="0.35">
      <c r="A506">
        <v>519</v>
      </c>
      <c r="B506" t="s">
        <v>10091</v>
      </c>
      <c r="C506" t="str" cm="1">
        <f t="array" ref="C506:D506">_xlfn.TEXTSPLIT(B506, "/")</f>
        <v>Deliverance</v>
      </c>
      <c r="D506" t="str">
        <v>Victory</v>
      </c>
    </row>
    <row r="507" spans="1:5" x14ac:dyDescent="0.35">
      <c r="A507">
        <v>520</v>
      </c>
      <c r="B507" t="s">
        <v>10096</v>
      </c>
      <c r="C507" t="str" cm="1">
        <f t="array" ref="C507:D507">_xlfn.TEXTSPLIT(B507, "/")</f>
        <v>Fulfillment</v>
      </c>
      <c r="D507" t="str">
        <v>Victory</v>
      </c>
    </row>
    <row r="508" spans="1:5" x14ac:dyDescent="0.35">
      <c r="A508">
        <v>521</v>
      </c>
      <c r="B508" t="s">
        <v>12710</v>
      </c>
      <c r="C508" t="str" cm="1">
        <f t="array" ref="C508:D508">_xlfn.TEXTSPLIT(B508, "/")</f>
        <v>Victory</v>
      </c>
      <c r="D508" t="str">
        <v>War</v>
      </c>
    </row>
    <row r="509" spans="1:5" x14ac:dyDescent="0.35">
      <c r="A509">
        <v>522</v>
      </c>
      <c r="B509" t="s">
        <v>12724</v>
      </c>
      <c r="C509" t="str" cm="1">
        <f t="array" ref="C509:D509">_xlfn.TEXTSPLIT(B509, "/")</f>
        <v>Cosmic</v>
      </c>
      <c r="D509" t="str">
        <v>War</v>
      </c>
    </row>
    <row r="510" spans="1:5" x14ac:dyDescent="0.35">
      <c r="A510">
        <v>523</v>
      </c>
      <c r="B510" t="s">
        <v>12725</v>
      </c>
      <c r="C510" t="str" cm="1">
        <f t="array" ref="C510:E510">_xlfn.TEXTSPLIT(B510, "/")</f>
        <v>Water</v>
      </c>
      <c r="D510" t="str">
        <v>Victory</v>
      </c>
      <c r="E510" t="str">
        <v>War</v>
      </c>
    </row>
    <row r="511" spans="1:5" x14ac:dyDescent="0.35">
      <c r="A511">
        <v>524</v>
      </c>
      <c r="B511" t="s">
        <v>10097</v>
      </c>
      <c r="C511" t="str" cm="1">
        <f t="array" ref="C511:D511">_xlfn.TEXTSPLIT(B511, "/")</f>
        <v>Praise</v>
      </c>
      <c r="D511" t="str">
        <v>Thanksgiving</v>
      </c>
    </row>
    <row r="512" spans="1:5" x14ac:dyDescent="0.35">
      <c r="A512">
        <v>525</v>
      </c>
      <c r="B512" t="s">
        <v>11234</v>
      </c>
      <c r="C512" t="str" cm="1">
        <f t="array" ref="C512:D512">_xlfn.TEXTSPLIT(B512, "/")</f>
        <v>Blessing</v>
      </c>
      <c r="D512" t="str">
        <v>Peace</v>
      </c>
    </row>
    <row r="513" spans="1:5" x14ac:dyDescent="0.35">
      <c r="A513">
        <v>526</v>
      </c>
      <c r="B513" t="s">
        <v>10088</v>
      </c>
      <c r="C513" t="str" cm="1">
        <f t="array" ref="C513:D513">_xlfn.TEXTSPLIT(B513, "/")</f>
        <v>Judgment</v>
      </c>
      <c r="D513" t="str">
        <v>Oppression</v>
      </c>
    </row>
    <row r="514" spans="1:5" x14ac:dyDescent="0.35">
      <c r="A514">
        <v>527</v>
      </c>
      <c r="B514" t="s">
        <v>11236</v>
      </c>
      <c r="C514" t="str" cm="1">
        <f t="array" ref="C514:D514">_xlfn.TEXTSPLIT(B514, "/")</f>
        <v>Impoverishment</v>
      </c>
      <c r="D514" t="str">
        <v>Judgment</v>
      </c>
    </row>
    <row r="515" spans="1:5" x14ac:dyDescent="0.35">
      <c r="A515">
        <v>528</v>
      </c>
      <c r="B515" t="s">
        <v>12261</v>
      </c>
      <c r="C515" t="str" cm="1">
        <f t="array" ref="C515:D515">_xlfn.TEXTSPLIT(B515, "/")</f>
        <v>Speech</v>
      </c>
      <c r="D515" t="str">
        <v>Rebuke</v>
      </c>
    </row>
    <row r="516" spans="1:5" x14ac:dyDescent="0.35">
      <c r="A516">
        <v>529</v>
      </c>
      <c r="B516" t="s">
        <v>11237</v>
      </c>
      <c r="C516" t="str" cm="1">
        <f t="array" ref="C516:D516">_xlfn.TEXTSPLIT(B516, "/")</f>
        <v>History</v>
      </c>
      <c r="D516" t="str">
        <v>Reminder</v>
      </c>
    </row>
    <row r="517" spans="1:5" x14ac:dyDescent="0.35">
      <c r="A517">
        <v>530</v>
      </c>
      <c r="B517" t="s">
        <v>10751</v>
      </c>
      <c r="C517" t="str" cm="1">
        <f t="array" ref="C517">_xlfn.TEXTSPLIT(B517, "/")</f>
        <v>Theophany</v>
      </c>
    </row>
    <row r="518" spans="1:5" x14ac:dyDescent="0.35">
      <c r="A518">
        <v>531</v>
      </c>
      <c r="B518" t="s">
        <v>12263</v>
      </c>
      <c r="C518" t="str" cm="1">
        <f t="array" ref="C518:D518">_xlfn.TEXTSPLIT(B518, "/")</f>
        <v>Recognition</v>
      </c>
      <c r="D518" t="str">
        <v>Speech</v>
      </c>
    </row>
    <row r="519" spans="1:5" x14ac:dyDescent="0.35">
      <c r="A519">
        <v>532</v>
      </c>
      <c r="B519" t="s">
        <v>12264</v>
      </c>
      <c r="C519" t="str" cm="1">
        <f t="array" ref="C519:E519">_xlfn.TEXTSPLIT(B519, "/")</f>
        <v>Presence</v>
      </c>
      <c r="D519" t="str">
        <v>Promise</v>
      </c>
      <c r="E519" t="str">
        <v>Speech</v>
      </c>
    </row>
    <row r="520" spans="1:5" x14ac:dyDescent="0.35">
      <c r="A520">
        <v>533</v>
      </c>
      <c r="B520" t="s">
        <v>12265</v>
      </c>
      <c r="C520" t="str" cm="1">
        <f t="array" ref="C520:D520">_xlfn.TEXTSPLIT(B520, "/")</f>
        <v>Speech</v>
      </c>
      <c r="D520" t="str">
        <v>Instruction</v>
      </c>
    </row>
    <row r="521" spans="1:5" x14ac:dyDescent="0.35">
      <c r="A521">
        <v>534</v>
      </c>
      <c r="B521" t="s">
        <v>12266</v>
      </c>
      <c r="C521" t="str" cm="1">
        <f t="array" ref="C521:E521">_xlfn.TEXTSPLIT(B521, "/")</f>
        <v>Presence</v>
      </c>
      <c r="D521" t="str">
        <v>Assurance</v>
      </c>
      <c r="E521" t="str">
        <v>Promise</v>
      </c>
    </row>
    <row r="522" spans="1:5" x14ac:dyDescent="0.35">
      <c r="A522">
        <v>535</v>
      </c>
      <c r="B522" t="s">
        <v>12268</v>
      </c>
      <c r="C522" t="str" cm="1">
        <f t="array" ref="C522:D522">_xlfn.TEXTSPLIT(B522, "/")</f>
        <v>Speech</v>
      </c>
      <c r="D522" t="str">
        <v>Command</v>
      </c>
    </row>
    <row r="523" spans="1:5" x14ac:dyDescent="0.35">
      <c r="A523">
        <v>536</v>
      </c>
      <c r="B523" t="s">
        <v>12268</v>
      </c>
      <c r="C523" t="str" cm="1">
        <f t="array" ref="C523:D523">_xlfn.TEXTSPLIT(B523, "/")</f>
        <v>Speech</v>
      </c>
      <c r="D523" t="str">
        <v>Command</v>
      </c>
    </row>
    <row r="524" spans="1:5" x14ac:dyDescent="0.35">
      <c r="A524">
        <v>537</v>
      </c>
      <c r="B524" t="s">
        <v>11172</v>
      </c>
      <c r="C524" t="str" cm="1">
        <f t="array" ref="C524:D524">_xlfn.TEXTSPLIT(B524, "/")</f>
        <v>Fire</v>
      </c>
      <c r="D524" t="str">
        <v>Theophany</v>
      </c>
    </row>
    <row r="525" spans="1:5" x14ac:dyDescent="0.35">
      <c r="A525">
        <v>538</v>
      </c>
      <c r="B525" t="s">
        <v>10098</v>
      </c>
      <c r="C525" t="str" cm="1">
        <f t="array" ref="C525:D525">_xlfn.TEXTSPLIT(B525, "/")</f>
        <v>Departure</v>
      </c>
      <c r="D525" t="str">
        <v>Theophany</v>
      </c>
    </row>
    <row r="526" spans="1:5" x14ac:dyDescent="0.35">
      <c r="A526">
        <v>539</v>
      </c>
      <c r="B526" t="s">
        <v>12272</v>
      </c>
      <c r="C526" t="str" cm="1">
        <f t="array" ref="C526:E526">_xlfn.TEXTSPLIT(B526, "/")</f>
        <v>Peace</v>
      </c>
      <c r="D526" t="str">
        <v>Reassurance</v>
      </c>
      <c r="E526" t="str">
        <v>Speech</v>
      </c>
    </row>
    <row r="527" spans="1:5" x14ac:dyDescent="0.35">
      <c r="A527">
        <v>540</v>
      </c>
      <c r="B527" t="s">
        <v>11112</v>
      </c>
      <c r="C527" t="str" cm="1">
        <f t="array" ref="C527:D527">_xlfn.TEXTSPLIT(B527, "/")</f>
        <v>Instruction</v>
      </c>
      <c r="D527" t="str">
        <v>Speech</v>
      </c>
    </row>
    <row r="528" spans="1:5" x14ac:dyDescent="0.35">
      <c r="A528">
        <v>541</v>
      </c>
      <c r="B528" t="s">
        <v>10089</v>
      </c>
      <c r="C528" t="str" cm="1">
        <f t="array" ref="C528:D528">_xlfn.TEXTSPLIT(B528, "/")</f>
        <v>Empowerment</v>
      </c>
      <c r="D528" t="str">
        <v>Spirit</v>
      </c>
    </row>
    <row r="529" spans="1:5" x14ac:dyDescent="0.35">
      <c r="A529">
        <v>542</v>
      </c>
      <c r="B529" t="s">
        <v>12340</v>
      </c>
      <c r="C529" t="str" cm="1">
        <f t="array" ref="C529:E529">_xlfn.TEXTSPLIT(B529, "/")</f>
        <v>Empowerment</v>
      </c>
      <c r="D529" t="str">
        <v>Spirit</v>
      </c>
      <c r="E529" t="str">
        <v>Trumpet</v>
      </c>
    </row>
    <row r="530" spans="1:5" x14ac:dyDescent="0.35">
      <c r="A530">
        <v>543</v>
      </c>
      <c r="B530" t="s">
        <v>12726</v>
      </c>
      <c r="C530" t="str" cm="1">
        <f t="array" ref="C530:E530">_xlfn.TEXTSPLIT(B530, "/")</f>
        <v>Sign</v>
      </c>
      <c r="D530" t="str">
        <v>Prayer</v>
      </c>
      <c r="E530" t="str">
        <v>Water</v>
      </c>
    </row>
    <row r="531" spans="1:5" x14ac:dyDescent="0.35">
      <c r="A531">
        <v>544</v>
      </c>
      <c r="B531" t="s">
        <v>12726</v>
      </c>
      <c r="C531" t="str" cm="1">
        <f t="array" ref="C531:E531">_xlfn.TEXTSPLIT(B531, "/")</f>
        <v>Sign</v>
      </c>
      <c r="D531" t="str">
        <v>Prayer</v>
      </c>
      <c r="E531" t="str">
        <v>Water</v>
      </c>
    </row>
    <row r="532" spans="1:5" x14ac:dyDescent="0.35">
      <c r="A532">
        <v>545</v>
      </c>
      <c r="B532" t="s">
        <v>12274</v>
      </c>
      <c r="C532" t="str" cm="1">
        <f t="array" ref="C532:E532">_xlfn.TEXTSPLIT(B532, "/")</f>
        <v>Instruction</v>
      </c>
      <c r="D532" t="str">
        <v>Strategy</v>
      </c>
      <c r="E532" t="str">
        <v>Speech</v>
      </c>
    </row>
    <row r="533" spans="1:5" x14ac:dyDescent="0.35">
      <c r="A533">
        <v>546</v>
      </c>
      <c r="B533" t="s">
        <v>11239</v>
      </c>
      <c r="C533" t="str" cm="1">
        <f t="array" ref="C533:D533">_xlfn.TEXTSPLIT(B533, "/")</f>
        <v>Humility</v>
      </c>
      <c r="D533" t="str">
        <v>Strategy</v>
      </c>
    </row>
    <row r="534" spans="1:5" x14ac:dyDescent="0.35">
      <c r="A534">
        <v>547</v>
      </c>
      <c r="B534" t="s">
        <v>12274</v>
      </c>
      <c r="C534" t="str" cm="1">
        <f t="array" ref="C534:E534">_xlfn.TEXTSPLIT(B534, "/")</f>
        <v>Instruction</v>
      </c>
      <c r="D534" t="str">
        <v>Strategy</v>
      </c>
      <c r="E534" t="str">
        <v>Speech</v>
      </c>
    </row>
    <row r="535" spans="1:5" x14ac:dyDescent="0.35">
      <c r="A535">
        <v>548</v>
      </c>
      <c r="B535" t="s">
        <v>12278</v>
      </c>
      <c r="C535" t="str" cm="1">
        <f t="array" ref="C535:D535">_xlfn.TEXTSPLIT(B535, "/")</f>
        <v>Test</v>
      </c>
      <c r="D535" t="str">
        <v>Strategy</v>
      </c>
    </row>
    <row r="536" spans="1:5" x14ac:dyDescent="0.35">
      <c r="A536">
        <v>549</v>
      </c>
      <c r="B536" t="s">
        <v>10094</v>
      </c>
      <c r="C536" t="str" cm="1">
        <f t="array" ref="C536:D536">_xlfn.TEXTSPLIT(B536, "/")</f>
        <v>Promise</v>
      </c>
      <c r="D536" t="str">
        <v>Victory</v>
      </c>
    </row>
    <row r="537" spans="1:5" x14ac:dyDescent="0.35">
      <c r="A537">
        <v>550</v>
      </c>
      <c r="B537" t="s">
        <v>11112</v>
      </c>
      <c r="C537" t="str" cm="1">
        <f t="array" ref="C537:D537">_xlfn.TEXTSPLIT(B537, "/")</f>
        <v>Instruction</v>
      </c>
      <c r="D537" t="str">
        <v>Speech</v>
      </c>
    </row>
    <row r="538" spans="1:5" x14ac:dyDescent="0.35">
      <c r="A538">
        <v>551</v>
      </c>
      <c r="B538" t="s">
        <v>12280</v>
      </c>
      <c r="C538" t="str" cm="1">
        <f t="array" ref="C538:E538">_xlfn.TEXTSPLIT(B538, "/")</f>
        <v>Encouragement</v>
      </c>
      <c r="D538" t="str">
        <v>Sign</v>
      </c>
      <c r="E538" t="str">
        <v>Speech</v>
      </c>
    </row>
    <row r="539" spans="1:5" x14ac:dyDescent="0.35">
      <c r="A539">
        <v>552</v>
      </c>
      <c r="B539" t="s">
        <v>12283</v>
      </c>
      <c r="C539" t="str" cm="1">
        <f t="array" ref="C539:D539">_xlfn.TEXTSPLIT(B539, "/")</f>
        <v>Prophecy</v>
      </c>
      <c r="D539" t="str">
        <v>Dream</v>
      </c>
    </row>
    <row r="540" spans="1:5" x14ac:dyDescent="0.35">
      <c r="A540">
        <v>553</v>
      </c>
      <c r="B540" t="s">
        <v>12723</v>
      </c>
      <c r="C540" t="str" cm="1">
        <f t="array" ref="C540:D540">_xlfn.TEXTSPLIT(B540, "/")</f>
        <v>Confusion</v>
      </c>
      <c r="D540" t="str">
        <v>War</v>
      </c>
    </row>
    <row r="541" spans="1:5" x14ac:dyDescent="0.35">
      <c r="A541">
        <v>554</v>
      </c>
      <c r="B541" t="s">
        <v>12727</v>
      </c>
      <c r="C541" t="str" cm="1">
        <f t="array" ref="C541:E541">_xlfn.TEXTSPLIT(B541, "/")</f>
        <v>Pursuit</v>
      </c>
      <c r="D541" t="str">
        <v>Victory</v>
      </c>
      <c r="E541" t="str">
        <v>Fulfillment</v>
      </c>
    </row>
    <row r="542" spans="1:5" x14ac:dyDescent="0.35">
      <c r="A542">
        <v>555</v>
      </c>
      <c r="B542" t="s">
        <v>11234</v>
      </c>
      <c r="C542" t="str" cm="1">
        <f t="array" ref="C542:D542">_xlfn.TEXTSPLIT(B542, "/")</f>
        <v>Blessing</v>
      </c>
      <c r="D542" t="str">
        <v>Peace</v>
      </c>
    </row>
    <row r="543" spans="1:5" x14ac:dyDescent="0.35">
      <c r="A543">
        <v>556</v>
      </c>
      <c r="B543" t="s">
        <v>12284</v>
      </c>
      <c r="C543" t="str" cm="1">
        <f t="array" ref="C543:D543">_xlfn.TEXTSPLIT(B543, "/")</f>
        <v>Judgment</v>
      </c>
      <c r="D543" t="str">
        <v>Death</v>
      </c>
    </row>
    <row r="544" spans="1:5" x14ac:dyDescent="0.35">
      <c r="A544">
        <v>557</v>
      </c>
      <c r="B544" t="s">
        <v>11241</v>
      </c>
      <c r="C544" t="str" cm="1">
        <f t="array" ref="C544:D544">_xlfn.TEXTSPLIT(B544, "/")</f>
        <v>Discord</v>
      </c>
      <c r="D544" t="str">
        <v>Judgment</v>
      </c>
    </row>
    <row r="545" spans="1:5" x14ac:dyDescent="0.35">
      <c r="A545">
        <v>558</v>
      </c>
      <c r="B545" t="s">
        <v>11139</v>
      </c>
      <c r="C545" t="str" cm="1">
        <f t="array" ref="C545:D545">_xlfn.TEXTSPLIT(B545, "/")</f>
        <v>Death</v>
      </c>
      <c r="D545" t="str">
        <v>Judgment</v>
      </c>
    </row>
    <row r="546" spans="1:5" x14ac:dyDescent="0.35">
      <c r="A546">
        <v>559</v>
      </c>
      <c r="B546" t="s">
        <v>10505</v>
      </c>
      <c r="C546" t="str" cm="1">
        <f t="array" ref="C546:D546">_xlfn.TEXTSPLIT(B546, "/")</f>
        <v>Deliverance</v>
      </c>
      <c r="D546" t="str">
        <v>Judgment</v>
      </c>
    </row>
    <row r="547" spans="1:5" x14ac:dyDescent="0.35">
      <c r="A547">
        <v>560</v>
      </c>
      <c r="B547" t="s">
        <v>12722</v>
      </c>
      <c r="C547" t="str" cm="1">
        <f t="array" ref="C547:D547">_xlfn.TEXTSPLIT(B547, "/")</f>
        <v>Appointment</v>
      </c>
      <c r="D547" t="str">
        <v>Judgment</v>
      </c>
    </row>
    <row r="548" spans="1:5" x14ac:dyDescent="0.35">
      <c r="A548">
        <v>561</v>
      </c>
      <c r="B548" t="s">
        <v>10088</v>
      </c>
      <c r="C548" t="str" cm="1">
        <f t="array" ref="C548:D548">_xlfn.TEXTSPLIT(B548, "/")</f>
        <v>Judgment</v>
      </c>
      <c r="D548" t="str">
        <v>Oppression</v>
      </c>
    </row>
    <row r="549" spans="1:5" x14ac:dyDescent="0.35">
      <c r="A549">
        <v>562</v>
      </c>
      <c r="B549" t="s">
        <v>10088</v>
      </c>
      <c r="C549" t="str" cm="1">
        <f t="array" ref="C549:D549">_xlfn.TEXTSPLIT(B549, "/")</f>
        <v>Judgment</v>
      </c>
      <c r="D549" t="str">
        <v>Oppression</v>
      </c>
    </row>
    <row r="550" spans="1:5" x14ac:dyDescent="0.35">
      <c r="A550">
        <v>563</v>
      </c>
      <c r="B550" t="s">
        <v>12288</v>
      </c>
      <c r="C550" t="str" cm="1">
        <f t="array" ref="C550:E550">_xlfn.TEXTSPLIT(B550, "/")</f>
        <v>Rebuke</v>
      </c>
      <c r="D550" t="str">
        <v>Judgment</v>
      </c>
      <c r="E550" t="str">
        <v>Speech</v>
      </c>
    </row>
    <row r="551" spans="1:5" x14ac:dyDescent="0.35">
      <c r="A551">
        <v>564</v>
      </c>
      <c r="B551" t="s">
        <v>10102</v>
      </c>
      <c r="C551" t="str" cm="1">
        <f t="array" ref="C551:D551">_xlfn.TEXTSPLIT(B551, "/")</f>
        <v>Compassion</v>
      </c>
      <c r="D551" t="str">
        <v>Relenting</v>
      </c>
    </row>
    <row r="552" spans="1:5" x14ac:dyDescent="0.35">
      <c r="A552">
        <v>565</v>
      </c>
      <c r="B552" t="s">
        <v>10089</v>
      </c>
      <c r="C552" t="str" cm="1">
        <f t="array" ref="C552:D552">_xlfn.TEXTSPLIT(B552, "/")</f>
        <v>Empowerment</v>
      </c>
      <c r="D552" t="str">
        <v>Spirit</v>
      </c>
    </row>
    <row r="553" spans="1:5" x14ac:dyDescent="0.35">
      <c r="A553">
        <v>566</v>
      </c>
      <c r="B553" t="s">
        <v>12728</v>
      </c>
      <c r="C553" t="str" cm="1">
        <f t="array" ref="C553:E553">_xlfn.TEXTSPLIT(B553, "/")</f>
        <v>Deliverance</v>
      </c>
      <c r="D553" t="str">
        <v>Victory</v>
      </c>
      <c r="E553" t="str">
        <v>War</v>
      </c>
    </row>
    <row r="554" spans="1:5" x14ac:dyDescent="0.35">
      <c r="A554">
        <v>567</v>
      </c>
      <c r="B554" t="s">
        <v>10088</v>
      </c>
      <c r="C554" t="str" cm="1">
        <f t="array" ref="C554:D554">_xlfn.TEXTSPLIT(B554, "/")</f>
        <v>Judgment</v>
      </c>
      <c r="D554" t="str">
        <v>Oppression</v>
      </c>
    </row>
    <row r="555" spans="1:5" x14ac:dyDescent="0.35">
      <c r="A555">
        <v>568</v>
      </c>
      <c r="B555" t="s">
        <v>10751</v>
      </c>
      <c r="C555" t="str" cm="1">
        <f t="array" ref="C555">_xlfn.TEXTSPLIT(B555, "/")</f>
        <v>Theophany</v>
      </c>
    </row>
    <row r="556" spans="1:5" x14ac:dyDescent="0.35">
      <c r="A556">
        <v>569</v>
      </c>
      <c r="B556" t="s">
        <v>12294</v>
      </c>
      <c r="C556" t="str" cm="1">
        <f t="array" ref="C556:E556">_xlfn.TEXTSPLIT(B556, "/")</f>
        <v>Annunciation</v>
      </c>
      <c r="D556" t="str">
        <v>Prophecy</v>
      </c>
      <c r="E556" t="str">
        <v>Speech</v>
      </c>
    </row>
    <row r="557" spans="1:5" x14ac:dyDescent="0.35">
      <c r="A557">
        <v>570</v>
      </c>
      <c r="B557" t="s">
        <v>11162</v>
      </c>
      <c r="C557" t="str" cm="1">
        <f t="array" ref="C557:E557">_xlfn.TEXTSPLIT(B557, "/")</f>
        <v>Consecration</v>
      </c>
      <c r="D557" t="str">
        <v>Instruction</v>
      </c>
      <c r="E557" t="str">
        <v>Speech</v>
      </c>
    </row>
    <row r="558" spans="1:5" x14ac:dyDescent="0.35">
      <c r="A558">
        <v>571</v>
      </c>
      <c r="B558" t="s">
        <v>12297</v>
      </c>
      <c r="C558" t="str" cm="1">
        <f t="array" ref="C558:E558">_xlfn.TEXTSPLIT(B558, "/")</f>
        <v>Deliverance</v>
      </c>
      <c r="D558" t="str">
        <v>Promise</v>
      </c>
      <c r="E558" t="str">
        <v>Speech</v>
      </c>
    </row>
    <row r="559" spans="1:5" x14ac:dyDescent="0.35">
      <c r="A559">
        <v>572</v>
      </c>
      <c r="B559" t="s">
        <v>12296</v>
      </c>
      <c r="C559" t="str" cm="1">
        <f t="array" ref="C559:E559">_xlfn.TEXTSPLIT(B559, "/")</f>
        <v>Prayer</v>
      </c>
      <c r="D559" t="str">
        <v>Response</v>
      </c>
      <c r="E559" t="str">
        <v>Theophany</v>
      </c>
    </row>
    <row r="560" spans="1:5" x14ac:dyDescent="0.35">
      <c r="A560">
        <v>573</v>
      </c>
      <c r="B560" t="s">
        <v>12298</v>
      </c>
      <c r="C560" t="str" cm="1">
        <f t="array" ref="C560:E560">_xlfn.TEXTSPLIT(B560, "/")</f>
        <v>Confirmation</v>
      </c>
      <c r="D560" t="str">
        <v>Instruction</v>
      </c>
      <c r="E560" t="str">
        <v>Speech</v>
      </c>
    </row>
    <row r="561" spans="1:4" x14ac:dyDescent="0.35">
      <c r="A561">
        <v>574</v>
      </c>
      <c r="B561" t="s">
        <v>12300</v>
      </c>
      <c r="C561" t="str" cm="1">
        <f t="array" ref="C561:D561">_xlfn.TEXTSPLIT(B561, "/")</f>
        <v>Praise</v>
      </c>
      <c r="D561" t="str">
        <v>Speech</v>
      </c>
    </row>
    <row r="562" spans="1:4" x14ac:dyDescent="0.35">
      <c r="A562">
        <v>575</v>
      </c>
      <c r="B562" t="s">
        <v>12302</v>
      </c>
      <c r="C562" t="str" cm="1">
        <f t="array" ref="C562:D562">_xlfn.TEXTSPLIT(B562, "/")</f>
        <v>Departure</v>
      </c>
      <c r="D562" t="str">
        <v>Fire</v>
      </c>
    </row>
    <row r="563" spans="1:4" x14ac:dyDescent="0.35">
      <c r="A563">
        <v>576</v>
      </c>
      <c r="B563" t="s">
        <v>11243</v>
      </c>
      <c r="C563" t="str" cm="1">
        <f t="array" ref="C563:D563">_xlfn.TEXTSPLIT(B563, "/")</f>
        <v>Birth</v>
      </c>
      <c r="D563" t="str">
        <v>Fulfillment</v>
      </c>
    </row>
    <row r="564" spans="1:4" x14ac:dyDescent="0.35">
      <c r="A564">
        <v>577</v>
      </c>
      <c r="B564" t="s">
        <v>10103</v>
      </c>
      <c r="C564" t="str" cm="1">
        <f t="array" ref="C564:D564">_xlfn.TEXTSPLIT(B564, "/")</f>
        <v>Blessing</v>
      </c>
      <c r="D564" t="str">
        <v>Growth</v>
      </c>
    </row>
    <row r="565" spans="1:4" x14ac:dyDescent="0.35">
      <c r="A565">
        <v>578</v>
      </c>
      <c r="B565" t="s">
        <v>10089</v>
      </c>
      <c r="C565" t="str" cm="1">
        <f t="array" ref="C565:D565">_xlfn.TEXTSPLIT(B565, "/")</f>
        <v>Empowerment</v>
      </c>
      <c r="D565" t="str">
        <v>Spirit</v>
      </c>
    </row>
    <row r="566" spans="1:4" x14ac:dyDescent="0.35">
      <c r="A566">
        <v>579</v>
      </c>
      <c r="B566" t="s">
        <v>10645</v>
      </c>
      <c r="C566" t="str" cm="1">
        <f t="array" ref="C566">_xlfn.TEXTSPLIT(B566, "/")</f>
        <v>Guidance</v>
      </c>
    </row>
    <row r="567" spans="1:4" x14ac:dyDescent="0.35">
      <c r="A567">
        <v>580</v>
      </c>
      <c r="B567" t="s">
        <v>10104</v>
      </c>
      <c r="C567" t="str" cm="1">
        <f t="array" ref="C567:D567">_xlfn.TEXTSPLIT(B567, "/")</f>
        <v>Empowerment</v>
      </c>
      <c r="D567" t="str">
        <v>Strength</v>
      </c>
    </row>
    <row r="568" spans="1:4" x14ac:dyDescent="0.35">
      <c r="A568">
        <v>581</v>
      </c>
      <c r="B568" t="s">
        <v>10092</v>
      </c>
      <c r="C568" t="str" cm="1">
        <f t="array" ref="C568:D568">_xlfn.TEXTSPLIT(B568, "/")</f>
        <v>Strength</v>
      </c>
      <c r="D568" t="str">
        <v>Victory</v>
      </c>
    </row>
    <row r="569" spans="1:4" x14ac:dyDescent="0.35">
      <c r="A569">
        <v>582</v>
      </c>
      <c r="B569" t="s">
        <v>10038</v>
      </c>
      <c r="C569" t="str" cm="1">
        <f t="array" ref="C569">_xlfn.TEXTSPLIT(B569, "/")</f>
        <v>Provision</v>
      </c>
    </row>
    <row r="570" spans="1:4" x14ac:dyDescent="0.35">
      <c r="A570">
        <v>583</v>
      </c>
      <c r="B570" t="s">
        <v>10104</v>
      </c>
      <c r="C570" t="str" cm="1">
        <f t="array" ref="C570:D570">_xlfn.TEXTSPLIT(B570, "/")</f>
        <v>Empowerment</v>
      </c>
      <c r="D570" t="str">
        <v>Strength</v>
      </c>
    </row>
    <row r="571" spans="1:4" x14ac:dyDescent="0.35">
      <c r="A571">
        <v>584</v>
      </c>
      <c r="B571" t="s">
        <v>10092</v>
      </c>
      <c r="C571" t="str" cm="1">
        <f t="array" ref="C571:D571">_xlfn.TEXTSPLIT(B571, "/")</f>
        <v>Strength</v>
      </c>
      <c r="D571" t="str">
        <v>Victory</v>
      </c>
    </row>
    <row r="572" spans="1:4" x14ac:dyDescent="0.35">
      <c r="A572">
        <v>585</v>
      </c>
      <c r="B572" t="s">
        <v>10104</v>
      </c>
      <c r="C572" t="str" cm="1">
        <f t="array" ref="C572:D572">_xlfn.TEXTSPLIT(B572, "/")</f>
        <v>Empowerment</v>
      </c>
      <c r="D572" t="str">
        <v>Strength</v>
      </c>
    </row>
    <row r="573" spans="1:4" x14ac:dyDescent="0.35">
      <c r="A573">
        <v>586</v>
      </c>
      <c r="B573" t="s">
        <v>10042</v>
      </c>
      <c r="C573" t="str" cm="1">
        <f t="array" ref="C573">_xlfn.TEXTSPLIT(B573, "/")</f>
        <v>Deliverance</v>
      </c>
    </row>
    <row r="574" spans="1:4" x14ac:dyDescent="0.35">
      <c r="A574">
        <v>587</v>
      </c>
      <c r="B574" t="s">
        <v>10092</v>
      </c>
      <c r="C574" t="str" cm="1">
        <f t="array" ref="C574:D574">_xlfn.TEXTSPLIT(B574, "/")</f>
        <v>Strength</v>
      </c>
      <c r="D574" t="str">
        <v>Victory</v>
      </c>
    </row>
    <row r="575" spans="1:4" x14ac:dyDescent="0.35">
      <c r="A575">
        <v>588</v>
      </c>
      <c r="B575" t="s">
        <v>10986</v>
      </c>
      <c r="C575" t="str" cm="1">
        <f t="array" ref="C575:D575">_xlfn.TEXTSPLIT(B575, "/")</f>
        <v>Provision</v>
      </c>
      <c r="D575" t="str">
        <v>Water</v>
      </c>
    </row>
    <row r="576" spans="1:4" x14ac:dyDescent="0.35">
      <c r="A576">
        <v>589</v>
      </c>
      <c r="B576" t="s">
        <v>10756</v>
      </c>
      <c r="C576" t="str" cm="1">
        <f t="array" ref="C576">_xlfn.TEXTSPLIT(B576, "/")</f>
        <v>Strength</v>
      </c>
    </row>
    <row r="577" spans="1:5" x14ac:dyDescent="0.35">
      <c r="A577">
        <v>590</v>
      </c>
      <c r="B577" t="s">
        <v>11244</v>
      </c>
      <c r="C577" t="str" cm="1">
        <f t="array" ref="C577:D577">_xlfn.TEXTSPLIT(B577, "/")</f>
        <v>Consequence</v>
      </c>
      <c r="D577" t="str">
        <v>Withdrawal</v>
      </c>
    </row>
    <row r="578" spans="1:5" x14ac:dyDescent="0.35">
      <c r="A578">
        <v>591</v>
      </c>
      <c r="B578" t="s">
        <v>11245</v>
      </c>
      <c r="C578" t="str" cm="1">
        <f t="array" ref="C578:D578">_xlfn.TEXTSPLIT(B578, "/")</f>
        <v>Preparation</v>
      </c>
      <c r="D578" t="str">
        <v>Restoration</v>
      </c>
    </row>
    <row r="579" spans="1:5" x14ac:dyDescent="0.35">
      <c r="A579">
        <v>592</v>
      </c>
      <c r="B579" t="s">
        <v>10104</v>
      </c>
      <c r="C579" t="str" cm="1">
        <f t="array" ref="C579:D579">_xlfn.TEXTSPLIT(B579, "/")</f>
        <v>Empowerment</v>
      </c>
      <c r="D579" t="str">
        <v>Strength</v>
      </c>
    </row>
    <row r="580" spans="1:5" x14ac:dyDescent="0.35">
      <c r="A580">
        <v>593</v>
      </c>
      <c r="B580" t="s">
        <v>12315</v>
      </c>
      <c r="C580" t="str" cm="1">
        <f t="array" ref="C580:E580">_xlfn.TEXTSPLIT(B580, "/")</f>
        <v>Death</v>
      </c>
      <c r="D580" t="str">
        <v>Destruction</v>
      </c>
      <c r="E580" t="str">
        <v>Victory</v>
      </c>
    </row>
    <row r="581" spans="1:5" x14ac:dyDescent="0.35">
      <c r="A581">
        <v>594</v>
      </c>
      <c r="B581" t="s">
        <v>12274</v>
      </c>
      <c r="C581" t="str" cm="1">
        <f t="array" ref="C581:E581">_xlfn.TEXTSPLIT(B581, "/")</f>
        <v>Instruction</v>
      </c>
      <c r="D581" t="str">
        <v>Strategy</v>
      </c>
      <c r="E581" t="str">
        <v>Speech</v>
      </c>
    </row>
    <row r="582" spans="1:5" x14ac:dyDescent="0.35">
      <c r="A582">
        <v>595</v>
      </c>
      <c r="B582" t="s">
        <v>12729</v>
      </c>
      <c r="C582" t="str" cm="1">
        <f t="array" ref="C582:D582">_xlfn.TEXTSPLIT(B582, "/")</f>
        <v>Judgment</v>
      </c>
      <c r="D582" t="str">
        <v>Test</v>
      </c>
    </row>
    <row r="583" spans="1:5" x14ac:dyDescent="0.35">
      <c r="A583">
        <v>596</v>
      </c>
      <c r="B583" t="s">
        <v>12274</v>
      </c>
      <c r="C583" t="str" cm="1">
        <f t="array" ref="C583:E583">_xlfn.TEXTSPLIT(B583, "/")</f>
        <v>Instruction</v>
      </c>
      <c r="D583" t="str">
        <v>Strategy</v>
      </c>
      <c r="E583" t="str">
        <v>Speech</v>
      </c>
    </row>
    <row r="584" spans="1:5" x14ac:dyDescent="0.35">
      <c r="A584">
        <v>597</v>
      </c>
      <c r="B584" t="s">
        <v>12729</v>
      </c>
      <c r="C584" t="str" cm="1">
        <f t="array" ref="C584:D584">_xlfn.TEXTSPLIT(B584, "/")</f>
        <v>Judgment</v>
      </c>
      <c r="D584" t="str">
        <v>Test</v>
      </c>
    </row>
    <row r="585" spans="1:5" x14ac:dyDescent="0.35">
      <c r="A585">
        <v>598</v>
      </c>
      <c r="B585" t="s">
        <v>10094</v>
      </c>
      <c r="C585" t="str" cm="1">
        <f t="array" ref="C585:D585">_xlfn.TEXTSPLIT(B585, "/")</f>
        <v>Promise</v>
      </c>
      <c r="D585" t="str">
        <v>Victory</v>
      </c>
    </row>
    <row r="586" spans="1:5" x14ac:dyDescent="0.35">
      <c r="A586">
        <v>599</v>
      </c>
      <c r="B586" t="s">
        <v>11246</v>
      </c>
      <c r="C586" t="str" cm="1">
        <f t="array" ref="C586:D586">_xlfn.TEXTSPLIT(B586, "/")</f>
        <v>Judgment</v>
      </c>
      <c r="D586" t="str">
        <v>Victory</v>
      </c>
    </row>
    <row r="587" spans="1:5" x14ac:dyDescent="0.35">
      <c r="A587">
        <v>600</v>
      </c>
      <c r="B587" t="s">
        <v>11248</v>
      </c>
      <c r="C587" t="str" cm="1">
        <f t="array" ref="C587:D587">_xlfn.TEXTSPLIT(B587, "/")</f>
        <v>Famine</v>
      </c>
      <c r="D587" t="str">
        <v>Judgment</v>
      </c>
    </row>
    <row r="588" spans="1:5" x14ac:dyDescent="0.35">
      <c r="A588">
        <v>601</v>
      </c>
      <c r="B588" t="s">
        <v>11249</v>
      </c>
      <c r="C588" t="str" cm="1">
        <f t="array" ref="C588:D588">_xlfn.TEXTSPLIT(B588, "/")</f>
        <v>Death</v>
      </c>
      <c r="D588" t="str">
        <v>Providence</v>
      </c>
    </row>
    <row r="589" spans="1:5" x14ac:dyDescent="0.35">
      <c r="A589">
        <v>602</v>
      </c>
      <c r="B589" t="s">
        <v>10107</v>
      </c>
      <c r="C589" t="str" cm="1">
        <f t="array" ref="C589:D589">_xlfn.TEXTSPLIT(B589, "/")</f>
        <v>Provision</v>
      </c>
      <c r="D589" t="str">
        <v>Restoration</v>
      </c>
    </row>
    <row r="590" spans="1:5" x14ac:dyDescent="0.35">
      <c r="A590">
        <v>603</v>
      </c>
      <c r="B590" t="s">
        <v>10108</v>
      </c>
      <c r="C590" t="str" cm="1">
        <f t="array" ref="C590:D590">_xlfn.TEXTSPLIT(B590, "/")</f>
        <v>Mercy</v>
      </c>
      <c r="D590" t="str">
        <v>Provision</v>
      </c>
    </row>
    <row r="591" spans="1:5" x14ac:dyDescent="0.35">
      <c r="A591">
        <v>604</v>
      </c>
      <c r="B591" t="s">
        <v>10238</v>
      </c>
      <c r="C591" t="str" cm="1">
        <f t="array" ref="C591:D591">_xlfn.TEXTSPLIT(B591, "/")</f>
        <v>Providence</v>
      </c>
      <c r="D591" t="str">
        <v>Timing</v>
      </c>
    </row>
    <row r="592" spans="1:5" x14ac:dyDescent="0.35">
      <c r="A592">
        <v>605</v>
      </c>
      <c r="B592" t="s">
        <v>11250</v>
      </c>
      <c r="C592" t="str" cm="1">
        <f t="array" ref="C592:D592">_xlfn.TEXTSPLIT(B592, "/")</f>
        <v>Guidance</v>
      </c>
      <c r="D592" t="str">
        <v>Providence</v>
      </c>
    </row>
    <row r="593" spans="1:4" x14ac:dyDescent="0.35">
      <c r="A593">
        <v>606</v>
      </c>
      <c r="B593" t="s">
        <v>10109</v>
      </c>
      <c r="C593" t="str" cm="1">
        <f t="array" ref="C593:D593">_xlfn.TEXTSPLIT(B593, "/")</f>
        <v>Protection</v>
      </c>
      <c r="D593" t="str">
        <v>Safety</v>
      </c>
    </row>
    <row r="594" spans="1:4" x14ac:dyDescent="0.35">
      <c r="A594">
        <v>607</v>
      </c>
      <c r="B594" t="s">
        <v>11252</v>
      </c>
      <c r="C594" t="str" cm="1">
        <f t="array" ref="C594:D594">_xlfn.TEXTSPLIT(B594, "/")</f>
        <v>Abundance</v>
      </c>
      <c r="D594" t="str">
        <v>Provision</v>
      </c>
    </row>
    <row r="595" spans="1:4" x14ac:dyDescent="0.35">
      <c r="A595">
        <v>608</v>
      </c>
      <c r="B595" t="s">
        <v>11253</v>
      </c>
      <c r="C595" t="str" cm="1">
        <f t="array" ref="C595:D595">_xlfn.TEXTSPLIT(B595, "/")</f>
        <v>Providence</v>
      </c>
      <c r="D595" t="str">
        <v>Revelation</v>
      </c>
    </row>
    <row r="596" spans="1:4" x14ac:dyDescent="0.35">
      <c r="A596">
        <v>609</v>
      </c>
      <c r="B596" t="s">
        <v>11254</v>
      </c>
      <c r="C596" t="str" cm="1">
        <f t="array" ref="C596:D596">_xlfn.TEXTSPLIT(B596, "/")</f>
        <v>Opportunity</v>
      </c>
      <c r="D596" t="str">
        <v>Timing</v>
      </c>
    </row>
    <row r="597" spans="1:4" x14ac:dyDescent="0.35">
      <c r="A597">
        <v>610</v>
      </c>
      <c r="B597" t="s">
        <v>10111</v>
      </c>
      <c r="C597" t="str" cm="1">
        <f t="array" ref="C597:D597">_xlfn.TEXTSPLIT(B597, "/")</f>
        <v>Favor</v>
      </c>
      <c r="D597" t="str">
        <v>Kindness</v>
      </c>
    </row>
    <row r="598" spans="1:4" x14ac:dyDescent="0.35">
      <c r="A598">
        <v>611</v>
      </c>
      <c r="B598" t="s">
        <v>10112</v>
      </c>
      <c r="C598" t="str" cm="1">
        <f t="array" ref="C598:D598">_xlfn.TEXTSPLIT(B598, "/")</f>
        <v>Providence</v>
      </c>
      <c r="D598" t="str">
        <v>Redemption</v>
      </c>
    </row>
    <row r="599" spans="1:4" x14ac:dyDescent="0.35">
      <c r="A599">
        <v>612</v>
      </c>
      <c r="B599" t="s">
        <v>11255</v>
      </c>
      <c r="C599" t="str" cm="1">
        <f t="array" ref="C599:D599">_xlfn.TEXTSPLIT(B599, "/")</f>
        <v>Marriage</v>
      </c>
      <c r="D599" t="str">
        <v>Providence</v>
      </c>
    </row>
    <row r="600" spans="1:4" x14ac:dyDescent="0.35">
      <c r="A600">
        <v>613</v>
      </c>
      <c r="B600" t="s">
        <v>10757</v>
      </c>
      <c r="C600" t="str" cm="1">
        <f t="array" ref="C600">_xlfn.TEXTSPLIT(B600, "/")</f>
        <v>Fertility</v>
      </c>
    </row>
    <row r="601" spans="1:4" x14ac:dyDescent="0.35">
      <c r="A601">
        <v>614</v>
      </c>
      <c r="B601" t="s">
        <v>11256</v>
      </c>
      <c r="C601" t="str" cm="1">
        <f t="array" ref="C601:D601">_xlfn.TEXTSPLIT(B601, "/")</f>
        <v>Fame</v>
      </c>
      <c r="D601" t="str">
        <v>Prophecy</v>
      </c>
    </row>
    <row r="602" spans="1:4" x14ac:dyDescent="0.35">
      <c r="A602">
        <v>615</v>
      </c>
      <c r="B602" t="s">
        <v>10113</v>
      </c>
      <c r="C602" t="str" cm="1">
        <f t="array" ref="C602:D602">_xlfn.TEXTSPLIT(B602, "/")</f>
        <v>Recognition</v>
      </c>
      <c r="D602" t="str">
        <v>Restoration</v>
      </c>
    </row>
    <row r="603" spans="1:4" x14ac:dyDescent="0.35">
      <c r="A603">
        <v>616</v>
      </c>
      <c r="B603" t="s">
        <v>10114</v>
      </c>
      <c r="C603" t="str" cm="1">
        <f t="array" ref="C603:D603">_xlfn.TEXTSPLIT(B603, "/")</f>
        <v>Lineage</v>
      </c>
      <c r="D603" t="str">
        <v>Messianic Preparation</v>
      </c>
    </row>
    <row r="604" spans="1:4" x14ac:dyDescent="0.35">
      <c r="A604">
        <v>617</v>
      </c>
      <c r="B604" t="s">
        <v>11128</v>
      </c>
      <c r="C604" t="str" cm="1">
        <f t="array" ref="C604:D604">_xlfn.TEXTSPLIT(B604, "/")</f>
        <v>Fertility</v>
      </c>
      <c r="D604" t="str">
        <v>Judgment</v>
      </c>
    </row>
    <row r="605" spans="1:4" x14ac:dyDescent="0.35">
      <c r="A605">
        <v>618</v>
      </c>
      <c r="B605" t="s">
        <v>12730</v>
      </c>
      <c r="C605" t="str" cm="1">
        <f t="array" ref="C605:D605">_xlfn.TEXTSPLIT(B605, "/")</f>
        <v>Prayer</v>
      </c>
      <c r="D605" t="str">
        <v>Hearing</v>
      </c>
    </row>
    <row r="606" spans="1:4" x14ac:dyDescent="0.35">
      <c r="A606">
        <v>619</v>
      </c>
      <c r="B606" t="s">
        <v>10722</v>
      </c>
      <c r="C606" t="str" cm="1">
        <f t="array" ref="C606">_xlfn.TEXTSPLIT(B606, "/")</f>
        <v xml:space="preserve">Fertility </v>
      </c>
    </row>
    <row r="607" spans="1:4" x14ac:dyDescent="0.35">
      <c r="A607">
        <v>620</v>
      </c>
      <c r="B607" t="s">
        <v>10103</v>
      </c>
      <c r="C607" t="str" cm="1">
        <f t="array" ref="C607:D607">_xlfn.TEXTSPLIT(B607, "/")</f>
        <v>Blessing</v>
      </c>
      <c r="D607" t="str">
        <v>Growth</v>
      </c>
    </row>
    <row r="608" spans="1:4" x14ac:dyDescent="0.35">
      <c r="A608">
        <v>621</v>
      </c>
      <c r="B608" t="s">
        <v>10037</v>
      </c>
      <c r="C608" t="str" cm="1">
        <f t="array" ref="C608:D608">_xlfn.TEXTSPLIT(B608, "/")</f>
        <v>Judgment</v>
      </c>
      <c r="D608" t="str">
        <v>Prophecy</v>
      </c>
    </row>
    <row r="609" spans="1:5" x14ac:dyDescent="0.35">
      <c r="A609">
        <v>622</v>
      </c>
      <c r="B609" t="s">
        <v>11118</v>
      </c>
      <c r="C609" t="str" cm="1">
        <f t="array" ref="C609:D609">_xlfn.TEXTSPLIT(B609, "/")</f>
        <v>Calling</v>
      </c>
      <c r="D609" t="str">
        <v>Speech</v>
      </c>
    </row>
    <row r="610" spans="1:5" x14ac:dyDescent="0.35">
      <c r="A610">
        <v>623</v>
      </c>
      <c r="B610" t="s">
        <v>10093</v>
      </c>
      <c r="C610" t="str" cm="1">
        <f t="array" ref="C610:D610">_xlfn.TEXTSPLIT(B610, "/")</f>
        <v>Prophecy</v>
      </c>
      <c r="D610" t="str">
        <v>Revelation</v>
      </c>
    </row>
    <row r="611" spans="1:5" x14ac:dyDescent="0.35">
      <c r="A611">
        <v>624</v>
      </c>
      <c r="B611" t="s">
        <v>10115</v>
      </c>
      <c r="C611" t="str" cm="1">
        <f t="array" ref="C611:D611">_xlfn.TEXTSPLIT(B611, "/")</f>
        <v>Appointment</v>
      </c>
      <c r="D611" t="str">
        <v>Recognition</v>
      </c>
    </row>
    <row r="612" spans="1:5" x14ac:dyDescent="0.35">
      <c r="A612">
        <v>625</v>
      </c>
      <c r="B612" t="s">
        <v>10751</v>
      </c>
      <c r="C612" t="str" cm="1">
        <f t="array" ref="C612">_xlfn.TEXTSPLIT(B612, "/")</f>
        <v>Theophany</v>
      </c>
    </row>
    <row r="613" spans="1:5" x14ac:dyDescent="0.35">
      <c r="A613">
        <v>626</v>
      </c>
      <c r="B613" t="s">
        <v>11190</v>
      </c>
      <c r="C613" t="str" cm="1">
        <f t="array" ref="C613:D613">_xlfn.TEXTSPLIT(B613, "/")</f>
        <v>Defeat</v>
      </c>
      <c r="D613" t="str">
        <v>Judgment</v>
      </c>
    </row>
    <row r="614" spans="1:5" x14ac:dyDescent="0.35">
      <c r="A614">
        <v>627</v>
      </c>
      <c r="B614" t="s">
        <v>11257</v>
      </c>
      <c r="C614" t="str" cm="1">
        <f t="array" ref="C614:D614">_xlfn.TEXTSPLIT(B614, "/")</f>
        <v>Judgment</v>
      </c>
      <c r="D614" t="str">
        <v>Timing</v>
      </c>
    </row>
    <row r="615" spans="1:5" x14ac:dyDescent="0.35">
      <c r="A615">
        <v>628</v>
      </c>
      <c r="B615" t="s">
        <v>11257</v>
      </c>
      <c r="C615" t="str" cm="1">
        <f t="array" ref="C615:D615">_xlfn.TEXTSPLIT(B615, "/")</f>
        <v>Judgment</v>
      </c>
      <c r="D615" t="str">
        <v>Timing</v>
      </c>
    </row>
    <row r="616" spans="1:5" x14ac:dyDescent="0.35">
      <c r="A616">
        <v>629</v>
      </c>
      <c r="B616" t="s">
        <v>10116</v>
      </c>
      <c r="C616" t="str" cm="1">
        <f t="array" ref="C616:D616">_xlfn.TEXTSPLIT(B616, "/")</f>
        <v>Departure</v>
      </c>
      <c r="D616" t="str">
        <v>Judgment</v>
      </c>
    </row>
    <row r="617" spans="1:5" x14ac:dyDescent="0.35">
      <c r="A617">
        <v>630</v>
      </c>
      <c r="B617" t="s">
        <v>10758</v>
      </c>
      <c r="C617" t="str" cm="1">
        <f t="array" ref="C617">_xlfn.TEXTSPLIT(B617, "/")</f>
        <v>Supremacy</v>
      </c>
    </row>
    <row r="618" spans="1:5" x14ac:dyDescent="0.35">
      <c r="A618">
        <v>631</v>
      </c>
      <c r="B618" t="s">
        <v>12336</v>
      </c>
      <c r="C618" t="str" cm="1">
        <f t="array" ref="C618:E618">_xlfn.TEXTSPLIT(B618, "/")</f>
        <v>Judgment</v>
      </c>
      <c r="D618" t="str">
        <v>Plague</v>
      </c>
      <c r="E618" t="str">
        <v>Destruction</v>
      </c>
    </row>
    <row r="619" spans="1:5" x14ac:dyDescent="0.35">
      <c r="A619">
        <v>632</v>
      </c>
      <c r="B619" t="s">
        <v>10049</v>
      </c>
      <c r="C619" t="str" cm="1">
        <f t="array" ref="C619:D619">_xlfn.TEXTSPLIT(B619, "/")</f>
        <v>Judgment</v>
      </c>
      <c r="D619" t="str">
        <v>Plague</v>
      </c>
    </row>
    <row r="620" spans="1:5" x14ac:dyDescent="0.35">
      <c r="A620">
        <v>633</v>
      </c>
      <c r="B620" t="s">
        <v>10049</v>
      </c>
      <c r="C620" t="str" cm="1">
        <f t="array" ref="C620:D620">_xlfn.TEXTSPLIT(B620, "/")</f>
        <v>Judgment</v>
      </c>
      <c r="D620" t="str">
        <v>Plague</v>
      </c>
    </row>
    <row r="621" spans="1:5" x14ac:dyDescent="0.35">
      <c r="A621">
        <v>634</v>
      </c>
      <c r="B621" t="s">
        <v>11259</v>
      </c>
      <c r="C621" t="str" cm="1">
        <f t="array" ref="C621:D621">_xlfn.TEXTSPLIT(B621, "/")</f>
        <v>Holiness</v>
      </c>
      <c r="D621" t="str">
        <v>Judgment</v>
      </c>
    </row>
    <row r="622" spans="1:5" x14ac:dyDescent="0.35">
      <c r="A622">
        <v>635</v>
      </c>
      <c r="B622" t="s">
        <v>10117</v>
      </c>
      <c r="C622" t="str" cm="1">
        <f t="array" ref="C622:D622">_xlfn.TEXTSPLIT(B622, "/")</f>
        <v>Blessing</v>
      </c>
      <c r="D622" t="str">
        <v>Presence</v>
      </c>
    </row>
    <row r="623" spans="1:5" x14ac:dyDescent="0.35">
      <c r="A623">
        <v>636</v>
      </c>
      <c r="B623" t="s">
        <v>12337</v>
      </c>
      <c r="C623" t="str" cm="1">
        <f t="array" ref="C623:E623">_xlfn.TEXTSPLIT(B623, "/")</f>
        <v>Instruction</v>
      </c>
      <c r="D623" t="str">
        <v>Repentance</v>
      </c>
      <c r="E623" t="str">
        <v>Speech</v>
      </c>
    </row>
    <row r="624" spans="1:5" x14ac:dyDescent="0.35">
      <c r="A624">
        <v>637</v>
      </c>
      <c r="B624" t="s">
        <v>12731</v>
      </c>
      <c r="C624" t="str" cm="1">
        <f t="array" ref="C624:D624">_xlfn.TEXTSPLIT(B624, "/")</f>
        <v>Thunder</v>
      </c>
      <c r="D624" t="str">
        <v>War</v>
      </c>
    </row>
    <row r="625" spans="1:5" x14ac:dyDescent="0.35">
      <c r="A625">
        <v>638</v>
      </c>
      <c r="B625" t="s">
        <v>11260</v>
      </c>
      <c r="C625" t="str" cm="1">
        <f t="array" ref="C625:D625">_xlfn.TEXTSPLIT(B625, "/")</f>
        <v>Confusion</v>
      </c>
      <c r="D625" t="str">
        <v>Victory</v>
      </c>
    </row>
    <row r="626" spans="1:5" x14ac:dyDescent="0.35">
      <c r="A626">
        <v>639</v>
      </c>
      <c r="B626" t="s">
        <v>11261</v>
      </c>
      <c r="C626" t="str" cm="1">
        <f t="array" ref="C626:D626">_xlfn.TEXTSPLIT(B626, "/")</f>
        <v>Restoration</v>
      </c>
      <c r="D626" t="str">
        <v>Victory</v>
      </c>
    </row>
    <row r="627" spans="1:5" x14ac:dyDescent="0.35">
      <c r="A627">
        <v>640</v>
      </c>
      <c r="B627" t="s">
        <v>12349</v>
      </c>
      <c r="C627" t="str" cm="1">
        <f t="array" ref="C627:E627">_xlfn.TEXTSPLIT(B627, "/")</f>
        <v>Judgment</v>
      </c>
      <c r="D627" t="str">
        <v>Speech</v>
      </c>
      <c r="E627" t="str">
        <v/>
      </c>
    </row>
    <row r="628" spans="1:5" x14ac:dyDescent="0.35">
      <c r="A628">
        <v>641</v>
      </c>
      <c r="B628" t="s">
        <v>12342</v>
      </c>
      <c r="C628" t="str" cm="1">
        <f t="array" ref="C628:E628">_xlfn.TEXTSPLIT(B628, "/")</f>
        <v>Prophecy</v>
      </c>
      <c r="D628" t="str">
        <v>Revelation</v>
      </c>
      <c r="E628" t="str">
        <v>Speech</v>
      </c>
    </row>
    <row r="629" spans="1:5" x14ac:dyDescent="0.35">
      <c r="A629">
        <v>642</v>
      </c>
      <c r="B629" t="s">
        <v>12342</v>
      </c>
      <c r="C629" t="str" cm="1">
        <f t="array" ref="C629:E629">_xlfn.TEXTSPLIT(B629, "/")</f>
        <v>Prophecy</v>
      </c>
      <c r="D629" t="str">
        <v>Revelation</v>
      </c>
      <c r="E629" t="str">
        <v>Speech</v>
      </c>
    </row>
    <row r="630" spans="1:5" x14ac:dyDescent="0.35">
      <c r="A630">
        <v>643</v>
      </c>
      <c r="B630" t="s">
        <v>12342</v>
      </c>
      <c r="C630" t="str" cm="1">
        <f t="array" ref="C630:E630">_xlfn.TEXTSPLIT(B630, "/")</f>
        <v>Prophecy</v>
      </c>
      <c r="D630" t="str">
        <v>Revelation</v>
      </c>
      <c r="E630" t="str">
        <v>Speech</v>
      </c>
    </row>
    <row r="631" spans="1:5" x14ac:dyDescent="0.35">
      <c r="A631">
        <v>644</v>
      </c>
      <c r="B631" t="s">
        <v>12356</v>
      </c>
      <c r="C631" t="str" cm="1">
        <f t="array" ref="C631:E631">_xlfn.TEXTSPLIT(B631, "/")</f>
        <v>Guidance</v>
      </c>
      <c r="D631" t="str">
        <v>Meeting</v>
      </c>
      <c r="E631" t="str">
        <v>Speech</v>
      </c>
    </row>
    <row r="632" spans="1:5" x14ac:dyDescent="0.35">
      <c r="A632">
        <v>645</v>
      </c>
      <c r="B632" t="s">
        <v>10118</v>
      </c>
      <c r="C632" t="str" cm="1">
        <f t="array" ref="C632:D632">_xlfn.TEXTSPLIT(B632, "/")</f>
        <v>Anointing</v>
      </c>
      <c r="D632" t="str">
        <v>Appointment</v>
      </c>
    </row>
    <row r="633" spans="1:5" x14ac:dyDescent="0.35">
      <c r="A633">
        <v>646</v>
      </c>
      <c r="B633" t="s">
        <v>12708</v>
      </c>
      <c r="C633" t="str" cm="1">
        <f t="array" ref="C633:D633">_xlfn.TEXTSPLIT(B633, "/")</f>
        <v>Confirmation</v>
      </c>
      <c r="D633" t="str">
        <v>Sign</v>
      </c>
    </row>
    <row r="634" spans="1:5" x14ac:dyDescent="0.35">
      <c r="A634">
        <v>647</v>
      </c>
      <c r="B634" t="s">
        <v>11262</v>
      </c>
      <c r="C634" t="str" cm="1">
        <f t="array" ref="C634:D634">_xlfn.TEXTSPLIT(B634, "/")</f>
        <v>Heart Change</v>
      </c>
      <c r="D634" t="str">
        <v>Transformation</v>
      </c>
    </row>
    <row r="635" spans="1:5" x14ac:dyDescent="0.35">
      <c r="A635">
        <v>648</v>
      </c>
      <c r="B635" t="s">
        <v>10119</v>
      </c>
      <c r="C635" t="str" cm="1">
        <f t="array" ref="C635:D635">_xlfn.TEXTSPLIT(B635, "/")</f>
        <v>Empowerment</v>
      </c>
      <c r="D635" t="str">
        <v>Transformation</v>
      </c>
    </row>
    <row r="636" spans="1:5" x14ac:dyDescent="0.35">
      <c r="A636">
        <v>649</v>
      </c>
      <c r="B636" t="s">
        <v>10059</v>
      </c>
      <c r="C636" t="str" cm="1">
        <f t="array" ref="C636:D636">_xlfn.TEXTSPLIT(B636, "/")</f>
        <v>Empowerment</v>
      </c>
      <c r="D636" t="str">
        <v>Prophecy</v>
      </c>
    </row>
    <row r="637" spans="1:5" x14ac:dyDescent="0.35">
      <c r="A637">
        <v>650</v>
      </c>
      <c r="B637" t="s">
        <v>11110</v>
      </c>
      <c r="C637" t="str" cm="1">
        <f t="array" ref="C637:D637">_xlfn.TEXTSPLIT(B637, "/")</f>
        <v>Judgment</v>
      </c>
      <c r="D637" t="str">
        <v>Speech</v>
      </c>
    </row>
    <row r="638" spans="1:5" x14ac:dyDescent="0.35">
      <c r="A638">
        <v>651</v>
      </c>
      <c r="B638" t="s">
        <v>12732</v>
      </c>
      <c r="C638" t="str" cm="1">
        <f t="array" ref="C638:D638">_xlfn.TEXTSPLIT(B638, "/")</f>
        <v>Revelation</v>
      </c>
      <c r="D638" t="str">
        <v>Choice</v>
      </c>
    </row>
    <row r="639" spans="1:5" x14ac:dyDescent="0.35">
      <c r="A639">
        <v>652</v>
      </c>
      <c r="B639" t="s">
        <v>12360</v>
      </c>
      <c r="C639" t="str" cm="1">
        <f t="array" ref="C639:E639">_xlfn.TEXTSPLIT(B639, "/")</f>
        <v>Location</v>
      </c>
      <c r="D639" t="str">
        <v>Revelation</v>
      </c>
      <c r="E639" t="str">
        <v>Speech</v>
      </c>
    </row>
    <row r="640" spans="1:5" x14ac:dyDescent="0.35">
      <c r="A640">
        <v>653</v>
      </c>
      <c r="B640" t="s">
        <v>12362</v>
      </c>
      <c r="C640" t="str" cm="1">
        <f t="array" ref="C640:D640">_xlfn.TEXTSPLIT(B640, "/")</f>
        <v>Holy Spirit</v>
      </c>
      <c r="D640" t="str">
        <v>Anger</v>
      </c>
    </row>
    <row r="641" spans="1:6" x14ac:dyDescent="0.35">
      <c r="A641">
        <v>654</v>
      </c>
      <c r="B641" t="s">
        <v>12391</v>
      </c>
      <c r="C641" t="str" cm="1">
        <f t="array" ref="C641:E641">_xlfn.TEXTSPLIT(B641, "/")</f>
        <v>Witness</v>
      </c>
      <c r="D641" t="str">
        <v>Judgment</v>
      </c>
      <c r="E641" t="str">
        <v>Speech</v>
      </c>
    </row>
    <row r="642" spans="1:6" x14ac:dyDescent="0.35">
      <c r="A642">
        <v>655</v>
      </c>
      <c r="B642" t="s">
        <v>12365</v>
      </c>
      <c r="C642" t="str" cm="1">
        <f t="array" ref="C642:E642">_xlfn.TEXTSPLIT(B642, "/")</f>
        <v>Sign</v>
      </c>
      <c r="D642" t="str">
        <v>Thunder</v>
      </c>
      <c r="E642" t="str">
        <v>Rain</v>
      </c>
    </row>
    <row r="643" spans="1:6" x14ac:dyDescent="0.35">
      <c r="A643">
        <v>656</v>
      </c>
      <c r="B643" t="s">
        <v>12368</v>
      </c>
      <c r="C643" t="str" cm="1">
        <f t="array" ref="C643:D643">_xlfn.TEXTSPLIT(B643, "/")</f>
        <v>Judgment</v>
      </c>
      <c r="D643" t="str">
        <v>Anointing</v>
      </c>
    </row>
    <row r="644" spans="1:6" x14ac:dyDescent="0.35">
      <c r="A644">
        <v>657</v>
      </c>
      <c r="B644" t="s">
        <v>12370</v>
      </c>
      <c r="C644" t="str" cm="1">
        <f t="array" ref="C644:E644">_xlfn.TEXTSPLIT(B644, "/")</f>
        <v>Judgment</v>
      </c>
      <c r="D644" t="str">
        <v>Revelation</v>
      </c>
      <c r="E644" t="str">
        <v>Prayer</v>
      </c>
    </row>
    <row r="645" spans="1:6" x14ac:dyDescent="0.35">
      <c r="A645">
        <v>658</v>
      </c>
      <c r="B645" t="s">
        <v>12392</v>
      </c>
      <c r="C645" t="str" cm="1">
        <f t="array" ref="C645:F645">_xlfn.TEXTSPLIT(B645, "/")</f>
        <v>Judgment</v>
      </c>
      <c r="D645" t="str">
        <v>Destruction</v>
      </c>
      <c r="E645" t="str">
        <v>Death</v>
      </c>
      <c r="F645" t="str">
        <v>Speech</v>
      </c>
    </row>
    <row r="646" spans="1:6" x14ac:dyDescent="0.35">
      <c r="A646">
        <v>659</v>
      </c>
      <c r="B646" t="s">
        <v>12393</v>
      </c>
      <c r="C646" t="str" cm="1">
        <f t="array" ref="C646:E646">_xlfn.TEXTSPLIT(B646, "/")</f>
        <v>Judgment</v>
      </c>
      <c r="D646" t="str">
        <v>Sorrow</v>
      </c>
      <c r="E646" t="str">
        <v>Speech</v>
      </c>
    </row>
    <row r="647" spans="1:6" x14ac:dyDescent="0.35">
      <c r="A647">
        <v>660</v>
      </c>
      <c r="B647" t="s">
        <v>12376</v>
      </c>
      <c r="C647" t="str" cm="1">
        <f t="array" ref="C647:D647">_xlfn.TEXTSPLIT(B647, "/")</f>
        <v>Judgment</v>
      </c>
      <c r="D647" t="str">
        <v>Disobedience</v>
      </c>
    </row>
    <row r="648" spans="1:6" x14ac:dyDescent="0.35">
      <c r="A648">
        <v>661</v>
      </c>
      <c r="B648" t="s">
        <v>12381</v>
      </c>
      <c r="C648" t="str" cm="1">
        <f t="array" ref="C648:F648">_xlfn.TEXTSPLIT(B648, "/")</f>
        <v>Judgment</v>
      </c>
      <c r="D648" t="str">
        <v>Disobedience</v>
      </c>
      <c r="E648" t="str">
        <v>Rejection</v>
      </c>
      <c r="F648" t="str">
        <v>Disowning</v>
      </c>
    </row>
    <row r="649" spans="1:6" x14ac:dyDescent="0.35">
      <c r="A649">
        <v>662</v>
      </c>
      <c r="B649" t="s">
        <v>12380</v>
      </c>
      <c r="C649" t="str" cm="1">
        <f t="array" ref="C649:E649">_xlfn.TEXTSPLIT(B649, "/")</f>
        <v>Judgment</v>
      </c>
      <c r="D649" t="str">
        <v>Disempowerment</v>
      </c>
      <c r="E649" t="str">
        <v>Disowning</v>
      </c>
    </row>
    <row r="650" spans="1:6" x14ac:dyDescent="0.35">
      <c r="A650">
        <v>663</v>
      </c>
      <c r="B650" t="s">
        <v>10120</v>
      </c>
      <c r="C650" t="str" cm="1">
        <f t="array" ref="C650:D650">_xlfn.TEXTSPLIT(B650, "/")</f>
        <v>Judgment</v>
      </c>
      <c r="D650" t="str">
        <v>Spiritual Affliction</v>
      </c>
    </row>
    <row r="651" spans="1:6" x14ac:dyDescent="0.35">
      <c r="A651">
        <v>664</v>
      </c>
      <c r="B651" t="s">
        <v>12390</v>
      </c>
      <c r="C651" t="str" cm="1">
        <f t="array" ref="C651:E651">_xlfn.TEXTSPLIT(B651, "/")</f>
        <v>Guidance</v>
      </c>
      <c r="D651" t="str">
        <v>Instruction</v>
      </c>
      <c r="E651" t="str">
        <v>Speech</v>
      </c>
    </row>
    <row r="652" spans="1:6" x14ac:dyDescent="0.35">
      <c r="A652">
        <v>665</v>
      </c>
      <c r="B652" t="s">
        <v>11264</v>
      </c>
      <c r="C652" t="str" cm="1">
        <f t="array" ref="C652:D652">_xlfn.TEXTSPLIT(B652, "/")</f>
        <v>Discernment</v>
      </c>
      <c r="D652" t="str">
        <v>Rejection</v>
      </c>
    </row>
    <row r="653" spans="1:6" x14ac:dyDescent="0.35">
      <c r="A653">
        <v>666</v>
      </c>
      <c r="B653" t="s">
        <v>12733</v>
      </c>
      <c r="C653" t="str" cm="1">
        <f t="array" ref="C653:E653">_xlfn.TEXTSPLIT(B653, "/")</f>
        <v>Choice</v>
      </c>
      <c r="D653" t="str">
        <v>Choice</v>
      </c>
      <c r="E653" t="str">
        <v>Anointing</v>
      </c>
    </row>
    <row r="654" spans="1:6" x14ac:dyDescent="0.35">
      <c r="A654">
        <v>667</v>
      </c>
      <c r="B654" t="s">
        <v>10121</v>
      </c>
      <c r="C654" t="str" cm="1">
        <f t="array" ref="C654:D654">_xlfn.TEXTSPLIT(B654, "/")</f>
        <v>Anointing</v>
      </c>
      <c r="D654" t="str">
        <v>Empowerment</v>
      </c>
    </row>
    <row r="655" spans="1:6" x14ac:dyDescent="0.35">
      <c r="A655">
        <v>668</v>
      </c>
      <c r="B655" t="s">
        <v>12380</v>
      </c>
      <c r="C655" t="str" cm="1">
        <f t="array" ref="C655:E655">_xlfn.TEXTSPLIT(B655, "/")</f>
        <v>Judgment</v>
      </c>
      <c r="D655" t="str">
        <v>Disempowerment</v>
      </c>
      <c r="E655" t="str">
        <v>Disowning</v>
      </c>
    </row>
    <row r="656" spans="1:6" x14ac:dyDescent="0.35">
      <c r="A656">
        <v>669</v>
      </c>
      <c r="B656" t="s">
        <v>12396</v>
      </c>
      <c r="C656" t="str" cm="1">
        <f t="array" ref="C656:D656">_xlfn.TEXTSPLIT(B656, "/")</f>
        <v>Deliverance</v>
      </c>
      <c r="D656" t="str">
        <v>Music</v>
      </c>
    </row>
    <row r="657" spans="1:5" x14ac:dyDescent="0.35">
      <c r="A657">
        <v>670</v>
      </c>
      <c r="B657" t="s">
        <v>10091</v>
      </c>
      <c r="C657" t="str" cm="1">
        <f t="array" ref="C657:D657">_xlfn.TEXTSPLIT(B657, "/")</f>
        <v>Deliverance</v>
      </c>
      <c r="D657" t="str">
        <v>Victory</v>
      </c>
    </row>
    <row r="658" spans="1:5" x14ac:dyDescent="0.35">
      <c r="A658">
        <v>671</v>
      </c>
      <c r="B658" t="s">
        <v>12405</v>
      </c>
      <c r="C658" t="str" cm="1">
        <f t="array" ref="C658:E658">_xlfn.TEXTSPLIT(B658, "/")</f>
        <v>Victory</v>
      </c>
      <c r="D658" t="str">
        <v>Blessing</v>
      </c>
      <c r="E658" t="str">
        <v>Presence</v>
      </c>
    </row>
    <row r="659" spans="1:5" x14ac:dyDescent="0.35">
      <c r="A659">
        <v>672</v>
      </c>
      <c r="B659" t="s">
        <v>12399</v>
      </c>
      <c r="C659" t="str" cm="1">
        <f t="array" ref="C659:D659">_xlfn.TEXTSPLIT(B659, "/")</f>
        <v>Oppression</v>
      </c>
      <c r="D659" t="str">
        <v>Anger</v>
      </c>
    </row>
    <row r="660" spans="1:5" x14ac:dyDescent="0.35">
      <c r="A660">
        <v>673</v>
      </c>
      <c r="B660" t="s">
        <v>10166</v>
      </c>
      <c r="C660" t="str" cm="1">
        <f t="array" ref="C660:D660">_xlfn.TEXTSPLIT(B660, "/")</f>
        <v>Deliverance</v>
      </c>
      <c r="D660" t="str">
        <v>Protection</v>
      </c>
    </row>
    <row r="661" spans="1:5" x14ac:dyDescent="0.35">
      <c r="A661">
        <v>674</v>
      </c>
      <c r="B661" t="s">
        <v>12405</v>
      </c>
      <c r="C661" t="str" cm="1">
        <f t="array" ref="C661:E661">_xlfn.TEXTSPLIT(B661, "/")</f>
        <v>Victory</v>
      </c>
      <c r="D661" t="str">
        <v>Blessing</v>
      </c>
      <c r="E661" t="str">
        <v>Presence</v>
      </c>
    </row>
    <row r="662" spans="1:5" x14ac:dyDescent="0.35">
      <c r="A662">
        <v>675</v>
      </c>
      <c r="B662" t="s">
        <v>12399</v>
      </c>
      <c r="C662" t="str" cm="1">
        <f t="array" ref="C662:D662">_xlfn.TEXTSPLIT(B662, "/")</f>
        <v>Oppression</v>
      </c>
      <c r="D662" t="str">
        <v>Anger</v>
      </c>
    </row>
    <row r="663" spans="1:5" x14ac:dyDescent="0.35">
      <c r="A663">
        <v>676</v>
      </c>
      <c r="B663" t="s">
        <v>10166</v>
      </c>
      <c r="C663" t="str" cm="1">
        <f t="array" ref="C663:D663">_xlfn.TEXTSPLIT(B663, "/")</f>
        <v>Deliverance</v>
      </c>
      <c r="D663" t="str">
        <v>Protection</v>
      </c>
    </row>
    <row r="664" spans="1:5" x14ac:dyDescent="0.35">
      <c r="A664">
        <v>677</v>
      </c>
      <c r="B664" t="s">
        <v>12406</v>
      </c>
      <c r="C664" t="str" cm="1">
        <f t="array" ref="C664:D664">_xlfn.TEXTSPLIT(B664, "/")</f>
        <v>Prophecy</v>
      </c>
      <c r="D664" t="str">
        <v>Empowerment</v>
      </c>
    </row>
    <row r="665" spans="1:5" x14ac:dyDescent="0.35">
      <c r="A665">
        <v>678</v>
      </c>
      <c r="B665" t="s">
        <v>12410</v>
      </c>
      <c r="C665" t="str" cm="1">
        <f t="array" ref="C665:D665">_xlfn.TEXTSPLIT(B665, "/")</f>
        <v>Guidance</v>
      </c>
      <c r="D665" t="str">
        <v>Speech</v>
      </c>
    </row>
    <row r="666" spans="1:5" x14ac:dyDescent="0.35">
      <c r="A666">
        <v>679</v>
      </c>
      <c r="B666" t="s">
        <v>10504</v>
      </c>
      <c r="C666" t="str" cm="1">
        <f t="array" ref="C666:D666">_xlfn.TEXTSPLIT(B666, "/")</f>
        <v>Revelation</v>
      </c>
      <c r="D666" t="str">
        <v>Warning</v>
      </c>
    </row>
    <row r="667" spans="1:5" x14ac:dyDescent="0.35">
      <c r="A667">
        <v>680</v>
      </c>
      <c r="B667" t="s">
        <v>10350</v>
      </c>
      <c r="C667" t="str" cm="1">
        <f t="array" ref="C667:D667">_xlfn.TEXTSPLIT(B667, "/")</f>
        <v>Concealment</v>
      </c>
      <c r="D667" t="str">
        <v>Protection</v>
      </c>
    </row>
    <row r="668" spans="1:5" x14ac:dyDescent="0.35">
      <c r="A668">
        <v>681</v>
      </c>
      <c r="B668" t="s">
        <v>10042</v>
      </c>
      <c r="C668" t="str" cm="1">
        <f t="array" ref="C668">_xlfn.TEXTSPLIT(B668, "/")</f>
        <v>Deliverance</v>
      </c>
    </row>
    <row r="669" spans="1:5" x14ac:dyDescent="0.35">
      <c r="A669">
        <v>682</v>
      </c>
      <c r="B669" t="s">
        <v>10125</v>
      </c>
      <c r="C669" t="str" cm="1">
        <f t="array" ref="C669:D669">_xlfn.TEXTSPLIT(B669, "/")</f>
        <v>Mercy</v>
      </c>
      <c r="D669" t="str">
        <v>Restraint</v>
      </c>
    </row>
    <row r="670" spans="1:5" x14ac:dyDescent="0.35">
      <c r="A670">
        <v>683</v>
      </c>
      <c r="B670" t="s">
        <v>10123</v>
      </c>
      <c r="C670" t="str" cm="1">
        <f t="array" ref="C670:D670">_xlfn.TEXTSPLIT(B670, "/")</f>
        <v>Conviction</v>
      </c>
      <c r="D670" t="str">
        <v>Recognition</v>
      </c>
    </row>
    <row r="671" spans="1:5" x14ac:dyDescent="0.35">
      <c r="A671">
        <v>684</v>
      </c>
      <c r="B671" t="s">
        <v>11139</v>
      </c>
      <c r="C671" t="str" cm="1">
        <f t="array" ref="C671:D671">_xlfn.TEXTSPLIT(B671, "/")</f>
        <v>Death</v>
      </c>
      <c r="D671" t="str">
        <v>Judgment</v>
      </c>
    </row>
    <row r="672" spans="1:5" x14ac:dyDescent="0.35">
      <c r="A672">
        <v>685</v>
      </c>
      <c r="B672" t="s">
        <v>10124</v>
      </c>
      <c r="C672" t="str" cm="1">
        <f t="array" ref="C672:D672">_xlfn.TEXTSPLIT(B672, "/")</f>
        <v>Providence</v>
      </c>
      <c r="D672" t="str">
        <v>Provision</v>
      </c>
    </row>
    <row r="673" spans="1:5" x14ac:dyDescent="0.35">
      <c r="A673">
        <v>686</v>
      </c>
      <c r="B673" t="s">
        <v>10125</v>
      </c>
      <c r="C673" t="str" cm="1">
        <f t="array" ref="C673:D673">_xlfn.TEXTSPLIT(B673, "/")</f>
        <v>Mercy</v>
      </c>
      <c r="D673" t="str">
        <v>Restraint</v>
      </c>
    </row>
    <row r="674" spans="1:5" x14ac:dyDescent="0.35">
      <c r="A674">
        <v>687</v>
      </c>
      <c r="B674" t="s">
        <v>10126</v>
      </c>
      <c r="C674" t="str" cm="1">
        <f t="array" ref="C674:D674">_xlfn.TEXTSPLIT(B674, "/")</f>
        <v>Intervention</v>
      </c>
      <c r="D674" t="str">
        <v>Sleep</v>
      </c>
    </row>
    <row r="675" spans="1:5" x14ac:dyDescent="0.35">
      <c r="A675">
        <v>688</v>
      </c>
      <c r="B675" t="s">
        <v>12734</v>
      </c>
      <c r="C675" t="str" cm="1">
        <f t="array" ref="C675:E675">_xlfn.TEXTSPLIT(B675, "/")</f>
        <v>Appearance</v>
      </c>
      <c r="D675" t="str">
        <v>Prophecy</v>
      </c>
      <c r="E675" t="str">
        <v>Judgment</v>
      </c>
    </row>
    <row r="676" spans="1:5" x14ac:dyDescent="0.35">
      <c r="A676">
        <v>689</v>
      </c>
      <c r="B676" t="s">
        <v>12418</v>
      </c>
      <c r="C676" t="str" cm="1">
        <f t="array" ref="C676:E676">_xlfn.TEXTSPLIT(B676, "/")</f>
        <v>Judgment</v>
      </c>
      <c r="D676" t="str">
        <v>Prophecy</v>
      </c>
      <c r="E676" t="str">
        <v>Death</v>
      </c>
    </row>
    <row r="677" spans="1:5" x14ac:dyDescent="0.35">
      <c r="A677">
        <v>690</v>
      </c>
      <c r="B677" t="s">
        <v>11238</v>
      </c>
      <c r="C677" t="str" cm="1">
        <f t="array" ref="C677:D677">_xlfn.TEXTSPLIT(B677, "/")</f>
        <v>Assurance</v>
      </c>
      <c r="D677" t="str">
        <v>Promise</v>
      </c>
    </row>
    <row r="678" spans="1:5" x14ac:dyDescent="0.35">
      <c r="A678">
        <v>691</v>
      </c>
      <c r="B678" t="s">
        <v>12735</v>
      </c>
      <c r="C678" t="str" cm="1">
        <f t="array" ref="C678:E678">_xlfn.TEXTSPLIT(B678, "/")</f>
        <v>Recovery</v>
      </c>
      <c r="D678" t="str">
        <v>Victory</v>
      </c>
      <c r="E678" t="str">
        <v>Fulfillment</v>
      </c>
    </row>
    <row r="679" spans="1:5" x14ac:dyDescent="0.35">
      <c r="A679">
        <v>692</v>
      </c>
      <c r="B679" t="s">
        <v>10510</v>
      </c>
      <c r="C679" t="str" cm="1">
        <f t="array" ref="C679:D679">_xlfn.TEXTSPLIT(B679, "/")</f>
        <v>Fulfillment</v>
      </c>
      <c r="D679" t="str">
        <v>Judgment</v>
      </c>
    </row>
  </sheetData>
  <conditionalFormatting sqref="I2:I439">
    <cfRule type="expression" dxfId="2" priority="1">
      <formula>ISNA(_xlfn.XLOOKUP(I2, $H:$H, $H:$H))</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20F33-B22B-428D-9FDA-9AAEEC35E712}">
  <dimension ref="A1:M679"/>
  <sheetViews>
    <sheetView tabSelected="1" workbookViewId="0">
      <selection sqref="A1:L679"/>
    </sheetView>
  </sheetViews>
  <sheetFormatPr defaultRowHeight="14.5" x14ac:dyDescent="0.35"/>
  <cols>
    <col min="1" max="1" width="7.36328125" bestFit="1" customWidth="1"/>
    <col min="2" max="2" width="20.6328125" bestFit="1" customWidth="1"/>
    <col min="3" max="3" width="19.54296875" bestFit="1" customWidth="1"/>
    <col min="4" max="4" width="12.90625" bestFit="1" customWidth="1"/>
    <col min="5" max="5" width="10" bestFit="1" customWidth="1"/>
    <col min="6" max="7" width="9.81640625" bestFit="1" customWidth="1"/>
    <col min="8" max="8" width="10" bestFit="1" customWidth="1"/>
    <col min="9" max="10" width="9.81640625" bestFit="1" customWidth="1"/>
    <col min="11" max="11" width="10.81640625" bestFit="1" customWidth="1"/>
    <col min="12" max="12" width="7.81640625" customWidth="1"/>
    <col min="13" max="13" width="3.6328125" style="32" customWidth="1"/>
    <col min="14" max="14" width="17.36328125" bestFit="1" customWidth="1"/>
    <col min="15" max="15" width="13.81640625" bestFit="1" customWidth="1"/>
    <col min="16" max="16" width="12.90625" bestFit="1" customWidth="1"/>
    <col min="17" max="17" width="10" bestFit="1" customWidth="1"/>
    <col min="26" max="26" width="17.54296875" bestFit="1" customWidth="1"/>
  </cols>
  <sheetData>
    <row r="1" spans="1:12" x14ac:dyDescent="0.35">
      <c r="A1" t="s">
        <v>12662</v>
      </c>
      <c r="C1" t="s">
        <v>12664</v>
      </c>
      <c r="D1" t="s">
        <v>12665</v>
      </c>
      <c r="E1" t="s">
        <v>12666</v>
      </c>
      <c r="F1" t="s">
        <v>12667</v>
      </c>
      <c r="G1" t="s">
        <v>12668</v>
      </c>
      <c r="H1" t="s">
        <v>12669</v>
      </c>
      <c r="I1" t="s">
        <v>12670</v>
      </c>
      <c r="J1" t="s">
        <v>12671</v>
      </c>
      <c r="K1" t="s">
        <v>12672</v>
      </c>
      <c r="L1" t="s">
        <v>12673</v>
      </c>
    </row>
    <row r="2" spans="1:12" x14ac:dyDescent="0.35">
      <c r="A2">
        <v>1</v>
      </c>
      <c r="B2" t="s">
        <v>3653</v>
      </c>
      <c r="C2" t="str" cm="1">
        <f t="array" ref="C2">_xlfn.TEXTSPLIT(B2, "/")</f>
        <v>Creation</v>
      </c>
    </row>
    <row r="3" spans="1:12" x14ac:dyDescent="0.35">
      <c r="A3">
        <v>2</v>
      </c>
      <c r="B3" t="s">
        <v>11105</v>
      </c>
      <c r="C3" t="str" cm="1">
        <f t="array" ref="C3:D3">_xlfn.TEXTSPLIT(B3, "/")</f>
        <v>Creation</v>
      </c>
      <c r="D3" t="str">
        <v>Speech</v>
      </c>
    </row>
    <row r="4" spans="1:12" x14ac:dyDescent="0.35">
      <c r="A4">
        <v>3</v>
      </c>
      <c r="B4" t="s">
        <v>11105</v>
      </c>
      <c r="C4" t="str" cm="1">
        <f t="array" ref="C4:D4">_xlfn.TEXTSPLIT(B4, "/")</f>
        <v>Creation</v>
      </c>
      <c r="D4" t="str">
        <v>Speech</v>
      </c>
    </row>
    <row r="5" spans="1:12" x14ac:dyDescent="0.35">
      <c r="A5">
        <v>4</v>
      </c>
      <c r="B5" t="s">
        <v>11105</v>
      </c>
      <c r="C5" t="str" cm="1">
        <f t="array" ref="C5:D5">_xlfn.TEXTSPLIT(B5, "/")</f>
        <v>Creation</v>
      </c>
      <c r="D5" t="str">
        <v>Speech</v>
      </c>
    </row>
    <row r="6" spans="1:12" x14ac:dyDescent="0.35">
      <c r="A6">
        <v>5</v>
      </c>
      <c r="B6" t="s">
        <v>11105</v>
      </c>
      <c r="C6" t="str" cm="1">
        <f t="array" ref="C6:D6">_xlfn.TEXTSPLIT(B6, "/")</f>
        <v>Creation</v>
      </c>
      <c r="D6" t="str">
        <v>Speech</v>
      </c>
    </row>
    <row r="7" spans="1:12" x14ac:dyDescent="0.35">
      <c r="A7">
        <v>6</v>
      </c>
      <c r="B7" t="s">
        <v>11105</v>
      </c>
      <c r="C7" t="str" cm="1">
        <f t="array" ref="C7:D7">_xlfn.TEXTSPLIT(B7, "/")</f>
        <v>Creation</v>
      </c>
      <c r="D7" t="str">
        <v>Speech</v>
      </c>
    </row>
    <row r="8" spans="1:12" x14ac:dyDescent="0.35">
      <c r="A8">
        <v>7</v>
      </c>
      <c r="B8" t="s">
        <v>11105</v>
      </c>
      <c r="C8" t="str" cm="1">
        <f t="array" ref="C8:D8">_xlfn.TEXTSPLIT(B8, "/")</f>
        <v>Creation</v>
      </c>
      <c r="D8" t="str">
        <v>Speech</v>
      </c>
    </row>
    <row r="9" spans="1:12" x14ac:dyDescent="0.35">
      <c r="A9">
        <v>8</v>
      </c>
      <c r="B9" t="s">
        <v>11105</v>
      </c>
      <c r="C9" t="str" cm="1">
        <f t="array" ref="C9:D9">_xlfn.TEXTSPLIT(B9, "/")</f>
        <v>Creation</v>
      </c>
      <c r="D9" t="str">
        <v>Speech</v>
      </c>
    </row>
    <row r="10" spans="1:12" x14ac:dyDescent="0.35">
      <c r="A10">
        <v>9</v>
      </c>
      <c r="B10" t="s">
        <v>11105</v>
      </c>
      <c r="C10" t="str" cm="1">
        <f t="array" ref="C10:D10">_xlfn.TEXTSPLIT(B10, "/")</f>
        <v>Creation</v>
      </c>
      <c r="D10" t="str">
        <v>Speech</v>
      </c>
    </row>
    <row r="11" spans="1:12" x14ac:dyDescent="0.35">
      <c r="A11">
        <v>10</v>
      </c>
      <c r="B11" t="s">
        <v>11106</v>
      </c>
      <c r="C11" t="str" cm="1">
        <f t="array" ref="C11:D11">_xlfn.TEXTSPLIT(B11, "/")</f>
        <v>Blessing</v>
      </c>
      <c r="D11" t="str">
        <v>Speech</v>
      </c>
    </row>
    <row r="12" spans="1:12" x14ac:dyDescent="0.35">
      <c r="A12">
        <v>11</v>
      </c>
      <c r="B12" t="s">
        <v>3653</v>
      </c>
      <c r="C12" t="str" cm="1">
        <f t="array" ref="C12">_xlfn.TEXTSPLIT(B12, "/")</f>
        <v>Creation</v>
      </c>
    </row>
    <row r="13" spans="1:12" x14ac:dyDescent="0.35">
      <c r="A13">
        <v>12</v>
      </c>
      <c r="B13" t="s">
        <v>11107</v>
      </c>
      <c r="C13" t="str" cm="1">
        <f t="array" ref="C13:D13">_xlfn.TEXTSPLIT(B13, "/")</f>
        <v>Command</v>
      </c>
      <c r="D13" t="str">
        <v>Speech</v>
      </c>
    </row>
    <row r="14" spans="1:12" x14ac:dyDescent="0.35">
      <c r="A14">
        <v>13</v>
      </c>
      <c r="B14" t="s">
        <v>3653</v>
      </c>
      <c r="C14" t="str" cm="1">
        <f t="array" ref="C14">_xlfn.TEXTSPLIT(B14, "/")</f>
        <v>Creation</v>
      </c>
    </row>
    <row r="15" spans="1:12" x14ac:dyDescent="0.35">
      <c r="A15">
        <v>14</v>
      </c>
      <c r="B15" t="s">
        <v>11108</v>
      </c>
      <c r="C15" t="str" cm="1">
        <f t="array" ref="C15:D15">_xlfn.TEXTSPLIT(B15, "/")</f>
        <v>Interrogation</v>
      </c>
      <c r="D15" t="str">
        <v>Speech</v>
      </c>
    </row>
    <row r="16" spans="1:12" x14ac:dyDescent="0.35">
      <c r="A16">
        <v>15</v>
      </c>
      <c r="B16" t="s">
        <v>11108</v>
      </c>
      <c r="C16" t="str" cm="1">
        <f t="array" ref="C16:D16">_xlfn.TEXTSPLIT(B16, "/")</f>
        <v>Interrogation</v>
      </c>
      <c r="D16" t="str">
        <v>Speech</v>
      </c>
    </row>
    <row r="17" spans="1:5" x14ac:dyDescent="0.35">
      <c r="A17">
        <v>16</v>
      </c>
      <c r="B17" t="s">
        <v>11109</v>
      </c>
      <c r="C17" t="str" cm="1">
        <f t="array" ref="C17:E17">_xlfn.TEXTSPLIT(B17, "/")</f>
        <v>Judgment</v>
      </c>
      <c r="D17" t="str">
        <v>Prophecy</v>
      </c>
      <c r="E17" t="str">
        <v>Speech</v>
      </c>
    </row>
    <row r="18" spans="1:5" x14ac:dyDescent="0.35">
      <c r="A18">
        <v>17</v>
      </c>
      <c r="B18" t="s">
        <v>11110</v>
      </c>
      <c r="C18" t="str" cm="1">
        <f t="array" ref="C18:D18">_xlfn.TEXTSPLIT(B18, "/")</f>
        <v>Judgment</v>
      </c>
      <c r="D18" t="str">
        <v>Speech</v>
      </c>
    </row>
    <row r="19" spans="1:5" x14ac:dyDescent="0.35">
      <c r="A19">
        <v>18</v>
      </c>
      <c r="B19" t="s">
        <v>11110</v>
      </c>
      <c r="C19" t="str" cm="1">
        <f t="array" ref="C19:D19">_xlfn.TEXTSPLIT(B19, "/")</f>
        <v>Judgment</v>
      </c>
      <c r="D19" t="str">
        <v>Speech</v>
      </c>
    </row>
    <row r="20" spans="1:5" x14ac:dyDescent="0.35">
      <c r="A20">
        <v>19</v>
      </c>
      <c r="B20" t="s">
        <v>10038</v>
      </c>
      <c r="C20" t="str" cm="1">
        <f t="array" ref="C20">_xlfn.TEXTSPLIT(B20, "/")</f>
        <v>Provision</v>
      </c>
    </row>
    <row r="21" spans="1:5" x14ac:dyDescent="0.35">
      <c r="A21">
        <v>20</v>
      </c>
      <c r="B21" t="s">
        <v>11110</v>
      </c>
      <c r="C21" t="str" cm="1">
        <f t="array" ref="C21:D21">_xlfn.TEXTSPLIT(B21, "/")</f>
        <v>Judgment</v>
      </c>
      <c r="D21" t="str">
        <v>Speech</v>
      </c>
    </row>
    <row r="22" spans="1:5" x14ac:dyDescent="0.35">
      <c r="A22">
        <v>21</v>
      </c>
      <c r="B22" t="s">
        <v>10544</v>
      </c>
      <c r="C22" t="str" cm="1">
        <f t="array" ref="C22">_xlfn.TEXTSPLIT(B22, "/")</f>
        <v>Judgment</v>
      </c>
    </row>
    <row r="23" spans="1:5" x14ac:dyDescent="0.35">
      <c r="A23">
        <v>22</v>
      </c>
      <c r="B23" t="s">
        <v>11111</v>
      </c>
      <c r="C23" t="str" cm="1">
        <f t="array" ref="C23:D23">_xlfn.TEXTSPLIT(B23, "/")</f>
        <v>Judgment</v>
      </c>
      <c r="D23" t="str">
        <v>Protection</v>
      </c>
    </row>
    <row r="24" spans="1:5" x14ac:dyDescent="0.35">
      <c r="A24">
        <v>23</v>
      </c>
      <c r="B24" t="s">
        <v>11112</v>
      </c>
      <c r="C24" t="str" cm="1">
        <f t="array" ref="C24:D24">_xlfn.TEXTSPLIT(B24, "/")</f>
        <v>Instruction</v>
      </c>
      <c r="D24" t="str">
        <v>Speech</v>
      </c>
    </row>
    <row r="25" spans="1:5" x14ac:dyDescent="0.35">
      <c r="A25">
        <v>24</v>
      </c>
      <c r="B25" t="s">
        <v>11108</v>
      </c>
      <c r="C25" t="str" cm="1">
        <f t="array" ref="C25:D25">_xlfn.TEXTSPLIT(B25, "/")</f>
        <v>Interrogation</v>
      </c>
      <c r="D25" t="str">
        <v>Speech</v>
      </c>
    </row>
    <row r="26" spans="1:5" x14ac:dyDescent="0.35">
      <c r="A26">
        <v>25</v>
      </c>
      <c r="B26" t="s">
        <v>11113</v>
      </c>
      <c r="C26" t="str" cm="1">
        <f t="array" ref="C26:E26">_xlfn.TEXTSPLIT(B26, "/")</f>
        <v>Curse</v>
      </c>
      <c r="D26" t="str">
        <v>Judgment</v>
      </c>
      <c r="E26" t="str">
        <v>Speech</v>
      </c>
    </row>
    <row r="27" spans="1:5" x14ac:dyDescent="0.35">
      <c r="A27">
        <v>26</v>
      </c>
      <c r="B27" t="s">
        <v>11114</v>
      </c>
      <c r="C27" t="str" cm="1">
        <f t="array" ref="C27:E27">_xlfn.TEXTSPLIT(B27, "/")</f>
        <v>Protection</v>
      </c>
      <c r="D27" t="str">
        <v>Sign</v>
      </c>
      <c r="E27" t="str">
        <v>Speech</v>
      </c>
    </row>
    <row r="28" spans="1:5" x14ac:dyDescent="0.35">
      <c r="A28">
        <v>27</v>
      </c>
      <c r="B28" t="s">
        <v>10039</v>
      </c>
      <c r="C28" t="str" cm="1">
        <f t="array" ref="C28">_xlfn.TEXTSPLIT(B28, "/")</f>
        <v>Translation</v>
      </c>
    </row>
    <row r="29" spans="1:5" x14ac:dyDescent="0.35">
      <c r="A29">
        <v>28</v>
      </c>
      <c r="B29" t="s">
        <v>10498</v>
      </c>
      <c r="C29" t="str" cm="1">
        <f t="array" ref="C29:D29">_xlfn.TEXTSPLIT(B29, "/")</f>
        <v>Judgment</v>
      </c>
      <c r="D29" t="str">
        <v>Revelation</v>
      </c>
    </row>
    <row r="30" spans="1:5" x14ac:dyDescent="0.35">
      <c r="A30">
        <v>29</v>
      </c>
      <c r="B30" t="s">
        <v>11107</v>
      </c>
      <c r="C30" t="str" cm="1">
        <f t="array" ref="C30:D30">_xlfn.TEXTSPLIT(B30, "/")</f>
        <v>Command</v>
      </c>
      <c r="D30" t="str">
        <v>Speech</v>
      </c>
    </row>
    <row r="31" spans="1:5" x14ac:dyDescent="0.35">
      <c r="A31">
        <v>30</v>
      </c>
      <c r="B31" t="s">
        <v>10040</v>
      </c>
      <c r="C31" t="str" cm="1">
        <f t="array" ref="C31">_xlfn.TEXTSPLIT(B31, "/")</f>
        <v>Protection</v>
      </c>
    </row>
    <row r="32" spans="1:5" x14ac:dyDescent="0.35">
      <c r="A32">
        <v>31</v>
      </c>
      <c r="B32" t="s">
        <v>10505</v>
      </c>
      <c r="C32" t="str" cm="1">
        <f t="array" ref="C32:D32">_xlfn.TEXTSPLIT(B32, "/")</f>
        <v>Deliverance</v>
      </c>
      <c r="D32" t="str">
        <v>Judgment</v>
      </c>
    </row>
    <row r="33" spans="1:5" x14ac:dyDescent="0.35">
      <c r="A33">
        <v>32</v>
      </c>
      <c r="B33" t="s">
        <v>11115</v>
      </c>
      <c r="C33" t="str" cm="1">
        <f t="array" ref="C33:D33">_xlfn.TEXTSPLIT(B33, "/")</f>
        <v>Intervention</v>
      </c>
      <c r="D33" t="str">
        <v>Mercy</v>
      </c>
    </row>
    <row r="34" spans="1:5" x14ac:dyDescent="0.35">
      <c r="A34">
        <v>33</v>
      </c>
      <c r="B34" t="s">
        <v>11112</v>
      </c>
      <c r="C34" t="str" cm="1">
        <f t="array" ref="C34:D34">_xlfn.TEXTSPLIT(B34, "/")</f>
        <v>Instruction</v>
      </c>
      <c r="D34" t="str">
        <v>Speech</v>
      </c>
    </row>
    <row r="35" spans="1:5" x14ac:dyDescent="0.35">
      <c r="A35">
        <v>34</v>
      </c>
      <c r="B35" t="s">
        <v>11106</v>
      </c>
      <c r="C35" t="str" cm="1">
        <f t="array" ref="C35:D35">_xlfn.TEXTSPLIT(B35, "/")</f>
        <v>Blessing</v>
      </c>
      <c r="D35" t="str">
        <v>Speech</v>
      </c>
    </row>
    <row r="36" spans="1:5" x14ac:dyDescent="0.35">
      <c r="A36">
        <v>35</v>
      </c>
      <c r="B36" t="s">
        <v>11116</v>
      </c>
      <c r="C36" t="str" cm="1">
        <f t="array" ref="C36:E36">_xlfn.TEXTSPLIT(B36, "/")</f>
        <v>Covenant</v>
      </c>
      <c r="D36" t="str">
        <v>Sign</v>
      </c>
      <c r="E36" t="str">
        <v>Speech</v>
      </c>
    </row>
    <row r="37" spans="1:5" x14ac:dyDescent="0.35">
      <c r="A37">
        <v>36</v>
      </c>
      <c r="B37" t="s">
        <v>11117</v>
      </c>
      <c r="C37" t="str" cm="1">
        <f t="array" ref="C37:D37">_xlfn.TEXTSPLIT(B37, "/")</f>
        <v>Intervention</v>
      </c>
      <c r="D37" t="str">
        <v>Judgment</v>
      </c>
    </row>
    <row r="38" spans="1:5" x14ac:dyDescent="0.35">
      <c r="A38">
        <v>37</v>
      </c>
      <c r="B38" t="s">
        <v>11118</v>
      </c>
      <c r="C38" t="str" cm="1">
        <f t="array" ref="C38:D38">_xlfn.TEXTSPLIT(B38, "/")</f>
        <v>Calling</v>
      </c>
      <c r="D38" t="str">
        <v>Speech</v>
      </c>
    </row>
    <row r="39" spans="1:5" x14ac:dyDescent="0.35">
      <c r="A39">
        <v>38</v>
      </c>
      <c r="B39" t="s">
        <v>11119</v>
      </c>
      <c r="C39" t="str" cm="1">
        <f t="array" ref="C39:D39">_xlfn.TEXTSPLIT(B39, "/")</f>
        <v>Promise</v>
      </c>
      <c r="D39" t="str">
        <v>Theophany</v>
      </c>
    </row>
    <row r="40" spans="1:5" x14ac:dyDescent="0.35">
      <c r="A40">
        <v>39</v>
      </c>
      <c r="B40" t="s">
        <v>11111</v>
      </c>
      <c r="C40" t="str" cm="1">
        <f t="array" ref="C40:D40">_xlfn.TEXTSPLIT(B40, "/")</f>
        <v>Judgment</v>
      </c>
      <c r="D40" t="str">
        <v>Protection</v>
      </c>
    </row>
    <row r="41" spans="1:5" x14ac:dyDescent="0.35">
      <c r="A41">
        <v>40</v>
      </c>
      <c r="B41" t="s">
        <v>11120</v>
      </c>
      <c r="C41" t="str" cm="1">
        <f t="array" ref="C41:D41">_xlfn.TEXTSPLIT(B41, "/")</f>
        <v>Promise</v>
      </c>
      <c r="D41" t="str">
        <v>Speech</v>
      </c>
    </row>
    <row r="42" spans="1:5" x14ac:dyDescent="0.35">
      <c r="A42">
        <v>41</v>
      </c>
      <c r="B42" t="s">
        <v>11120</v>
      </c>
      <c r="C42" t="str" cm="1">
        <f t="array" ref="C42:D42">_xlfn.TEXTSPLIT(B42, "/")</f>
        <v>Promise</v>
      </c>
      <c r="D42" t="str">
        <v>Speech</v>
      </c>
    </row>
    <row r="43" spans="1:5" x14ac:dyDescent="0.35">
      <c r="A43">
        <v>42</v>
      </c>
      <c r="B43" t="s">
        <v>11121</v>
      </c>
      <c r="C43" t="str" cm="1">
        <f t="array" ref="C43:D43">_xlfn.TEXTSPLIT(B43, "/")</f>
        <v>Covenant</v>
      </c>
      <c r="D43" t="str">
        <v>Theophany</v>
      </c>
    </row>
    <row r="44" spans="1:5" x14ac:dyDescent="0.35">
      <c r="A44">
        <v>43</v>
      </c>
      <c r="B44" t="s">
        <v>10511</v>
      </c>
      <c r="C44" t="str" cm="1">
        <f t="array" ref="C44:D44">_xlfn.TEXTSPLIT(B44, "/")</f>
        <v>Speech</v>
      </c>
      <c r="D44" t="str">
        <v>Theophany</v>
      </c>
    </row>
    <row r="45" spans="1:5" x14ac:dyDescent="0.35">
      <c r="A45">
        <v>44</v>
      </c>
      <c r="B45" t="s">
        <v>10511</v>
      </c>
      <c r="C45" t="str" cm="1">
        <f t="array" ref="C45:D45">_xlfn.TEXTSPLIT(B45, "/")</f>
        <v>Speech</v>
      </c>
      <c r="D45" t="str">
        <v>Theophany</v>
      </c>
    </row>
    <row r="46" spans="1:5" x14ac:dyDescent="0.35">
      <c r="A46">
        <v>45</v>
      </c>
      <c r="B46" t="s">
        <v>11122</v>
      </c>
      <c r="C46" t="str" cm="1">
        <f t="array" ref="C46:D46">_xlfn.TEXTSPLIT(B46, "/")</f>
        <v>Covenant</v>
      </c>
      <c r="D46" t="str">
        <v>Speech</v>
      </c>
    </row>
    <row r="47" spans="1:5" x14ac:dyDescent="0.35">
      <c r="A47">
        <v>46</v>
      </c>
      <c r="B47" t="s">
        <v>11123</v>
      </c>
      <c r="C47" t="str" cm="1">
        <f t="array" ref="C47:D47">_xlfn.TEXTSPLIT(B47, "/")</f>
        <v>Naming</v>
      </c>
      <c r="D47" t="str">
        <v>Speech</v>
      </c>
    </row>
    <row r="48" spans="1:5" x14ac:dyDescent="0.35">
      <c r="A48">
        <v>47</v>
      </c>
      <c r="B48" t="s">
        <v>11123</v>
      </c>
      <c r="C48" t="str" cm="1">
        <f t="array" ref="C48:D48">_xlfn.TEXTSPLIT(B48, "/")</f>
        <v>Naming</v>
      </c>
      <c r="D48" t="str">
        <v>Speech</v>
      </c>
    </row>
    <row r="49" spans="1:5" x14ac:dyDescent="0.35">
      <c r="A49">
        <v>48</v>
      </c>
      <c r="B49" t="s">
        <v>11120</v>
      </c>
      <c r="C49" t="str" cm="1">
        <f t="array" ref="C49:D49">_xlfn.TEXTSPLIT(B49, "/")</f>
        <v>Promise</v>
      </c>
      <c r="D49" t="str">
        <v>Speech</v>
      </c>
    </row>
    <row r="50" spans="1:5" x14ac:dyDescent="0.35">
      <c r="A50">
        <v>49</v>
      </c>
      <c r="B50" t="s">
        <v>11124</v>
      </c>
      <c r="C50" t="str" cm="1">
        <f t="array" ref="C50:D50">_xlfn.TEXTSPLIT(B50, "/")</f>
        <v>Prophecy</v>
      </c>
      <c r="D50" t="str">
        <v>Speech</v>
      </c>
    </row>
    <row r="51" spans="1:5" x14ac:dyDescent="0.35">
      <c r="A51">
        <v>50</v>
      </c>
      <c r="B51" t="s">
        <v>11124</v>
      </c>
      <c r="C51" t="str" cm="1">
        <f t="array" ref="C51:D51">_xlfn.TEXTSPLIT(B51, "/")</f>
        <v>Prophecy</v>
      </c>
      <c r="D51" t="str">
        <v>Speech</v>
      </c>
    </row>
    <row r="52" spans="1:5" x14ac:dyDescent="0.35">
      <c r="A52">
        <v>51</v>
      </c>
      <c r="B52" t="s">
        <v>11124</v>
      </c>
      <c r="C52" t="str" cm="1">
        <f t="array" ref="C52:D52">_xlfn.TEXTSPLIT(B52, "/")</f>
        <v>Prophecy</v>
      </c>
      <c r="D52" t="str">
        <v>Speech</v>
      </c>
    </row>
    <row r="53" spans="1:5" x14ac:dyDescent="0.35">
      <c r="A53">
        <v>52</v>
      </c>
      <c r="B53" t="s">
        <v>10511</v>
      </c>
      <c r="C53" t="str" cm="1">
        <f t="array" ref="C53:D53">_xlfn.TEXTSPLIT(B53, "/")</f>
        <v>Speech</v>
      </c>
      <c r="D53" t="str">
        <v>Theophany</v>
      </c>
    </row>
    <row r="54" spans="1:5" x14ac:dyDescent="0.35">
      <c r="A54">
        <v>53</v>
      </c>
      <c r="B54" t="s">
        <v>11124</v>
      </c>
      <c r="C54" t="str" cm="1">
        <f t="array" ref="C54:D54">_xlfn.TEXTSPLIT(B54, "/")</f>
        <v>Prophecy</v>
      </c>
      <c r="D54" t="str">
        <v>Speech</v>
      </c>
    </row>
    <row r="55" spans="1:5" x14ac:dyDescent="0.35">
      <c r="A55">
        <v>54</v>
      </c>
      <c r="B55" t="s">
        <v>11125</v>
      </c>
      <c r="C55" t="str" cm="1">
        <f t="array" ref="C55:D55">_xlfn.TEXTSPLIT(B55, "/")</f>
        <v>Revelation</v>
      </c>
      <c r="D55" t="str">
        <v>Speech</v>
      </c>
    </row>
    <row r="56" spans="1:5" x14ac:dyDescent="0.35">
      <c r="A56">
        <v>55</v>
      </c>
      <c r="B56" t="s">
        <v>10042</v>
      </c>
      <c r="C56" t="str" cm="1">
        <f t="array" ref="C56">_xlfn.TEXTSPLIT(B56, "/")</f>
        <v>Deliverance</v>
      </c>
    </row>
    <row r="57" spans="1:5" x14ac:dyDescent="0.35">
      <c r="A57">
        <v>56</v>
      </c>
      <c r="B57" t="s">
        <v>10544</v>
      </c>
      <c r="C57" t="str" cm="1">
        <f t="array" ref="C57">_xlfn.TEXTSPLIT(B57, "/")</f>
        <v>Judgment</v>
      </c>
    </row>
    <row r="58" spans="1:5" x14ac:dyDescent="0.35">
      <c r="A58">
        <v>57</v>
      </c>
      <c r="B58" t="s">
        <v>10042</v>
      </c>
      <c r="C58" t="str" cm="1">
        <f t="array" ref="C58">_xlfn.TEXTSPLIT(B58, "/")</f>
        <v>Deliverance</v>
      </c>
    </row>
    <row r="59" spans="1:5" x14ac:dyDescent="0.35">
      <c r="A59">
        <v>58</v>
      </c>
      <c r="B59" t="s">
        <v>11126</v>
      </c>
      <c r="C59" t="str" cm="1">
        <f t="array" ref="C59:D59">_xlfn.TEXTSPLIT(B59, "/")</f>
        <v>Destruction</v>
      </c>
      <c r="D59" t="str">
        <v>Judgment</v>
      </c>
    </row>
    <row r="60" spans="1:5" x14ac:dyDescent="0.35">
      <c r="A60">
        <v>59</v>
      </c>
      <c r="B60" t="s">
        <v>10043</v>
      </c>
      <c r="C60" t="str" cm="1">
        <f t="array" ref="C60:D60">_xlfn.TEXTSPLIT(B60, "/")</f>
        <v>Judgment</v>
      </c>
      <c r="D60" t="str">
        <v>Transformation</v>
      </c>
    </row>
    <row r="61" spans="1:5" x14ac:dyDescent="0.35">
      <c r="A61">
        <v>60</v>
      </c>
      <c r="B61" t="s">
        <v>11127</v>
      </c>
      <c r="C61" t="str" cm="1">
        <f t="array" ref="C61:E61">_xlfn.TEXTSPLIT(B61, "/")</f>
        <v>Dream</v>
      </c>
      <c r="D61" t="str">
        <v>Speech</v>
      </c>
      <c r="E61" t="str">
        <v>Warning</v>
      </c>
    </row>
    <row r="62" spans="1:5" x14ac:dyDescent="0.35">
      <c r="A62">
        <v>61</v>
      </c>
      <c r="B62" t="s">
        <v>11128</v>
      </c>
      <c r="C62" t="str" cm="1">
        <f t="array" ref="C62:D62">_xlfn.TEXTSPLIT(B62, "/")</f>
        <v>Fertility</v>
      </c>
      <c r="D62" t="str">
        <v>Judgment</v>
      </c>
    </row>
    <row r="63" spans="1:5" x14ac:dyDescent="0.35">
      <c r="A63">
        <v>62</v>
      </c>
      <c r="B63" t="s">
        <v>11129</v>
      </c>
      <c r="C63" t="str" cm="1">
        <f t="array" ref="C63:D63">_xlfn.TEXTSPLIT(B63, "/")</f>
        <v>Fertility</v>
      </c>
      <c r="D63" t="str">
        <v>Healing</v>
      </c>
    </row>
    <row r="64" spans="1:5" x14ac:dyDescent="0.35">
      <c r="A64">
        <v>63</v>
      </c>
      <c r="B64" t="s">
        <v>10722</v>
      </c>
      <c r="C64" t="str" cm="1">
        <f t="array" ref="C64">_xlfn.TEXTSPLIT(B64, "/")</f>
        <v xml:space="preserve">Fertility </v>
      </c>
    </row>
    <row r="65" spans="1:5" x14ac:dyDescent="0.35">
      <c r="A65">
        <v>64</v>
      </c>
      <c r="B65" t="s">
        <v>11112</v>
      </c>
      <c r="C65" t="str" cm="1">
        <f t="array" ref="C65:D65">_xlfn.TEXTSPLIT(B65, "/")</f>
        <v>Instruction</v>
      </c>
      <c r="D65" t="str">
        <v>Speech</v>
      </c>
    </row>
    <row r="66" spans="1:5" x14ac:dyDescent="0.35">
      <c r="A66">
        <v>65</v>
      </c>
      <c r="B66" t="s">
        <v>11130</v>
      </c>
      <c r="C66" t="str" cm="1">
        <f t="array" ref="C66:D66">_xlfn.TEXTSPLIT(B66, "/")</f>
        <v>Provision</v>
      </c>
      <c r="D66" t="str">
        <v>Speech</v>
      </c>
    </row>
    <row r="67" spans="1:5" x14ac:dyDescent="0.35">
      <c r="A67">
        <v>66</v>
      </c>
      <c r="B67" t="s">
        <v>10038</v>
      </c>
      <c r="C67" t="str" cm="1">
        <f t="array" ref="C67">_xlfn.TEXTSPLIT(B67, "/")</f>
        <v>Provision</v>
      </c>
    </row>
    <row r="68" spans="1:5" x14ac:dyDescent="0.35">
      <c r="A68">
        <v>67</v>
      </c>
      <c r="B68" t="s">
        <v>11131</v>
      </c>
      <c r="C68" t="str" cm="1">
        <f t="array" ref="C68:E68">_xlfn.TEXTSPLIT(B68, "/")</f>
        <v>Instruction</v>
      </c>
      <c r="D68" t="str">
        <v>Speech</v>
      </c>
      <c r="E68" t="str">
        <v>Test</v>
      </c>
    </row>
    <row r="69" spans="1:5" x14ac:dyDescent="0.35">
      <c r="A69">
        <v>68</v>
      </c>
      <c r="B69" t="s">
        <v>11132</v>
      </c>
      <c r="C69" t="str" cm="1">
        <f t="array" ref="C69:D69">_xlfn.TEXTSPLIT(B69, "/")</f>
        <v>Intervention</v>
      </c>
      <c r="D69" t="str">
        <v>Speech</v>
      </c>
    </row>
    <row r="70" spans="1:5" x14ac:dyDescent="0.35">
      <c r="A70">
        <v>69</v>
      </c>
      <c r="B70" t="s">
        <v>10038</v>
      </c>
      <c r="C70" t="str" cm="1">
        <f t="array" ref="C70">_xlfn.TEXTSPLIT(B70, "/")</f>
        <v>Provision</v>
      </c>
    </row>
    <row r="71" spans="1:5" x14ac:dyDescent="0.35">
      <c r="A71">
        <v>70</v>
      </c>
      <c r="B71" t="s">
        <v>11122</v>
      </c>
      <c r="C71" t="str" cm="1">
        <f t="array" ref="C71:D71">_xlfn.TEXTSPLIT(B71, "/")</f>
        <v>Covenant</v>
      </c>
      <c r="D71" t="str">
        <v>Speech</v>
      </c>
    </row>
    <row r="72" spans="1:5" x14ac:dyDescent="0.35">
      <c r="A72">
        <v>71</v>
      </c>
      <c r="B72" t="s">
        <v>11133</v>
      </c>
      <c r="C72" t="str" cm="1">
        <f t="array" ref="C72:D72">_xlfn.TEXTSPLIT(B72, "/")</f>
        <v>Marriage</v>
      </c>
      <c r="D72" t="str">
        <v>Prayer</v>
      </c>
    </row>
    <row r="73" spans="1:5" x14ac:dyDescent="0.35">
      <c r="A73">
        <v>72</v>
      </c>
      <c r="B73" t="s">
        <v>11134</v>
      </c>
      <c r="C73" t="str" cm="1">
        <f t="array" ref="C73:D73">_xlfn.TEXTSPLIT(B73, "/")</f>
        <v xml:space="preserve">Fertility </v>
      </c>
      <c r="D73" t="str">
        <v>Prayer</v>
      </c>
    </row>
    <row r="74" spans="1:5" x14ac:dyDescent="0.35">
      <c r="A74">
        <v>73</v>
      </c>
      <c r="B74" t="s">
        <v>11124</v>
      </c>
      <c r="C74" t="str" cm="1">
        <f t="array" ref="C74:D74">_xlfn.TEXTSPLIT(B74, "/")</f>
        <v>Prophecy</v>
      </c>
      <c r="D74" t="str">
        <v>Speech</v>
      </c>
    </row>
    <row r="75" spans="1:5" x14ac:dyDescent="0.35">
      <c r="A75">
        <v>74</v>
      </c>
      <c r="B75" t="s">
        <v>10511</v>
      </c>
      <c r="C75" t="str" cm="1">
        <f t="array" ref="C75:D75">_xlfn.TEXTSPLIT(B75, "/")</f>
        <v>Speech</v>
      </c>
      <c r="D75" t="str">
        <v>Theophany</v>
      </c>
    </row>
    <row r="76" spans="1:5" x14ac:dyDescent="0.35">
      <c r="A76">
        <v>75</v>
      </c>
      <c r="B76" t="s">
        <v>11135</v>
      </c>
      <c r="C76" t="str" cm="1">
        <f t="array" ref="C76:E76">_xlfn.TEXTSPLIT(B76, "/")</f>
        <v>Blessing</v>
      </c>
      <c r="D76" t="str">
        <v>Speech</v>
      </c>
      <c r="E76" t="str">
        <v>Theophany</v>
      </c>
    </row>
    <row r="77" spans="1:5" x14ac:dyDescent="0.35">
      <c r="A77">
        <v>76</v>
      </c>
      <c r="B77" t="s">
        <v>10718</v>
      </c>
      <c r="C77" t="str" cm="1">
        <f t="array" ref="C77:D77">_xlfn.TEXTSPLIT(B77, "/")</f>
        <v>Speech</v>
      </c>
      <c r="D77" t="str">
        <v>Vision</v>
      </c>
    </row>
    <row r="78" spans="1:5" x14ac:dyDescent="0.35">
      <c r="A78">
        <v>77</v>
      </c>
      <c r="B78" t="s">
        <v>10722</v>
      </c>
      <c r="C78" t="str" cm="1">
        <f t="array" ref="C78">_xlfn.TEXTSPLIT(B78, "/")</f>
        <v xml:space="preserve">Fertility </v>
      </c>
    </row>
    <row r="79" spans="1:5" x14ac:dyDescent="0.35">
      <c r="A79">
        <v>78</v>
      </c>
      <c r="B79" t="s">
        <v>10722</v>
      </c>
      <c r="C79" t="str" cm="1">
        <f t="array" ref="C79">_xlfn.TEXTSPLIT(B79, "/")</f>
        <v xml:space="preserve">Fertility </v>
      </c>
    </row>
    <row r="80" spans="1:5" x14ac:dyDescent="0.35">
      <c r="A80">
        <v>79</v>
      </c>
      <c r="B80" t="s">
        <v>10722</v>
      </c>
      <c r="C80" t="str" cm="1">
        <f t="array" ref="C80">_xlfn.TEXTSPLIT(B80, "/")</f>
        <v xml:space="preserve">Fertility </v>
      </c>
    </row>
    <row r="81" spans="1:5" x14ac:dyDescent="0.35">
      <c r="A81">
        <v>80</v>
      </c>
      <c r="B81" t="s">
        <v>10722</v>
      </c>
      <c r="C81" t="str" cm="1">
        <f t="array" ref="C81">_xlfn.TEXTSPLIT(B81, "/")</f>
        <v xml:space="preserve">Fertility </v>
      </c>
    </row>
    <row r="82" spans="1:5" x14ac:dyDescent="0.35">
      <c r="A82">
        <v>81</v>
      </c>
      <c r="B82" t="s">
        <v>10722</v>
      </c>
      <c r="C82" t="str" cm="1">
        <f t="array" ref="C82">_xlfn.TEXTSPLIT(B82, "/")</f>
        <v xml:space="preserve">Fertility </v>
      </c>
    </row>
    <row r="83" spans="1:5" x14ac:dyDescent="0.35">
      <c r="A83">
        <v>82</v>
      </c>
      <c r="B83" t="s">
        <v>10722</v>
      </c>
      <c r="C83" t="str" cm="1">
        <f t="array" ref="C83">_xlfn.TEXTSPLIT(B83, "/")</f>
        <v xml:space="preserve">Fertility </v>
      </c>
    </row>
    <row r="84" spans="1:5" x14ac:dyDescent="0.35">
      <c r="A84">
        <v>83</v>
      </c>
      <c r="B84" t="s">
        <v>10722</v>
      </c>
      <c r="C84" t="str" cm="1">
        <f t="array" ref="C84">_xlfn.TEXTSPLIT(B84, "/")</f>
        <v xml:space="preserve">Fertility </v>
      </c>
    </row>
    <row r="85" spans="1:5" x14ac:dyDescent="0.35">
      <c r="A85">
        <v>84</v>
      </c>
      <c r="B85" t="s">
        <v>10722</v>
      </c>
      <c r="C85" t="str" cm="1">
        <f t="array" ref="C85">_xlfn.TEXTSPLIT(B85, "/")</f>
        <v xml:space="preserve">Fertility </v>
      </c>
    </row>
    <row r="86" spans="1:5" x14ac:dyDescent="0.35">
      <c r="A86">
        <v>85</v>
      </c>
      <c r="B86" t="s">
        <v>11136</v>
      </c>
      <c r="C86" t="str" cm="1">
        <f t="array" ref="C86:E86">_xlfn.TEXTSPLIT(B86, "/")</f>
        <v>Dream</v>
      </c>
      <c r="D86" t="str">
        <v>Revelation</v>
      </c>
      <c r="E86" t="str">
        <v>Speech</v>
      </c>
    </row>
    <row r="87" spans="1:5" x14ac:dyDescent="0.35">
      <c r="A87">
        <v>86</v>
      </c>
      <c r="B87" t="s">
        <v>11107</v>
      </c>
      <c r="C87" t="str" cm="1">
        <f t="array" ref="C87:D87">_xlfn.TEXTSPLIT(B87, "/")</f>
        <v>Command</v>
      </c>
      <c r="D87" t="str">
        <v>Speech</v>
      </c>
    </row>
    <row r="88" spans="1:5" x14ac:dyDescent="0.35">
      <c r="A88">
        <v>87</v>
      </c>
      <c r="B88" t="s">
        <v>11137</v>
      </c>
      <c r="C88" t="str" cm="1">
        <f t="array" ref="C88:E88">_xlfn.TEXTSPLIT(B88, "/")</f>
        <v>Dream</v>
      </c>
      <c r="D88" t="str">
        <v>Instruction</v>
      </c>
      <c r="E88" t="str">
        <v>Speech</v>
      </c>
    </row>
    <row r="89" spans="1:5" x14ac:dyDescent="0.35">
      <c r="A89">
        <v>88</v>
      </c>
      <c r="B89" t="s">
        <v>10751</v>
      </c>
      <c r="C89" t="str" cm="1">
        <f t="array" ref="C89">_xlfn.TEXTSPLIT(B89, "/")</f>
        <v>Theophany</v>
      </c>
    </row>
    <row r="90" spans="1:5" x14ac:dyDescent="0.35">
      <c r="A90">
        <v>89</v>
      </c>
      <c r="B90" t="s">
        <v>11103</v>
      </c>
      <c r="C90" t="str" cm="1">
        <f t="array" ref="C90:D90">_xlfn.TEXTSPLIT(B90, "/")</f>
        <v>Theophany</v>
      </c>
      <c r="D90" t="str">
        <v>Wrestling</v>
      </c>
    </row>
    <row r="91" spans="1:5" x14ac:dyDescent="0.35">
      <c r="A91">
        <v>90</v>
      </c>
      <c r="B91" t="s">
        <v>11123</v>
      </c>
      <c r="C91" t="str" cm="1">
        <f t="array" ref="C91:D91">_xlfn.TEXTSPLIT(B91, "/")</f>
        <v>Naming</v>
      </c>
      <c r="D91" t="str">
        <v>Speech</v>
      </c>
    </row>
    <row r="92" spans="1:5" x14ac:dyDescent="0.35">
      <c r="A92">
        <v>91</v>
      </c>
      <c r="B92" t="s">
        <v>11112</v>
      </c>
      <c r="C92" t="str" cm="1">
        <f t="array" ref="C92:D92">_xlfn.TEXTSPLIT(B92, "/")</f>
        <v>Instruction</v>
      </c>
      <c r="D92" t="str">
        <v>Speech</v>
      </c>
    </row>
    <row r="93" spans="1:5" x14ac:dyDescent="0.35">
      <c r="A93">
        <v>92</v>
      </c>
      <c r="B93" t="s">
        <v>11138</v>
      </c>
      <c r="C93" t="str" cm="1">
        <f t="array" ref="C93:E93">_xlfn.TEXTSPLIT(B93, "/")</f>
        <v>Appearance</v>
      </c>
      <c r="D93" t="str">
        <v>Blessing</v>
      </c>
      <c r="E93" t="str">
        <v>Speech</v>
      </c>
    </row>
    <row r="94" spans="1:5" x14ac:dyDescent="0.35">
      <c r="A94">
        <v>93</v>
      </c>
      <c r="B94" t="s">
        <v>11122</v>
      </c>
      <c r="C94" t="str" cm="1">
        <f t="array" ref="C94:D94">_xlfn.TEXTSPLIT(B94, "/")</f>
        <v>Covenant</v>
      </c>
      <c r="D94" t="str">
        <v>Speech</v>
      </c>
    </row>
    <row r="95" spans="1:5" x14ac:dyDescent="0.35">
      <c r="A95">
        <v>94</v>
      </c>
      <c r="B95" t="s">
        <v>12705</v>
      </c>
      <c r="C95" t="str" cm="1">
        <f t="array" ref="C95:D95">_xlfn.TEXTSPLIT(B95, "/")</f>
        <v>Dream</v>
      </c>
      <c r="D95" t="str">
        <v>Revelation</v>
      </c>
    </row>
    <row r="96" spans="1:5" x14ac:dyDescent="0.35">
      <c r="A96">
        <v>95</v>
      </c>
      <c r="B96" t="s">
        <v>11139</v>
      </c>
      <c r="C96" t="str" cm="1">
        <f t="array" ref="C96:D96">_xlfn.TEXTSPLIT(B96, "/")</f>
        <v>Death</v>
      </c>
      <c r="D96" t="str">
        <v>Judgment</v>
      </c>
    </row>
    <row r="97" spans="1:5" x14ac:dyDescent="0.35">
      <c r="A97">
        <v>96</v>
      </c>
      <c r="B97" t="s">
        <v>11139</v>
      </c>
      <c r="C97" t="str" cm="1">
        <f t="array" ref="C97:D97">_xlfn.TEXTSPLIT(B97, "/")</f>
        <v>Death</v>
      </c>
      <c r="D97" t="str">
        <v>Judgment</v>
      </c>
    </row>
    <row r="98" spans="1:5" x14ac:dyDescent="0.35">
      <c r="A98">
        <v>97</v>
      </c>
      <c r="B98" t="s">
        <v>12705</v>
      </c>
      <c r="C98" t="str" cm="1">
        <f t="array" ref="C98:D98">_xlfn.TEXTSPLIT(B98, "/")</f>
        <v>Dream</v>
      </c>
      <c r="D98" t="str">
        <v>Revelation</v>
      </c>
    </row>
    <row r="99" spans="1:5" x14ac:dyDescent="0.35">
      <c r="A99">
        <v>98</v>
      </c>
      <c r="B99" t="s">
        <v>11140</v>
      </c>
      <c r="C99" t="str" cm="1">
        <f t="array" ref="C99:D99">_xlfn.TEXTSPLIT(B99, "/")</f>
        <v>Interpretation</v>
      </c>
      <c r="D99" t="str">
        <v>Revelation</v>
      </c>
    </row>
    <row r="100" spans="1:5" x14ac:dyDescent="0.35">
      <c r="A100">
        <v>99</v>
      </c>
      <c r="B100" t="s">
        <v>12705</v>
      </c>
      <c r="C100" t="str" cm="1">
        <f t="array" ref="C100:D100">_xlfn.TEXTSPLIT(B100, "/")</f>
        <v>Dream</v>
      </c>
      <c r="D100" t="str">
        <v>Revelation</v>
      </c>
    </row>
    <row r="101" spans="1:5" x14ac:dyDescent="0.35">
      <c r="A101">
        <v>100</v>
      </c>
      <c r="B101" t="s">
        <v>11140</v>
      </c>
      <c r="C101" t="str" cm="1">
        <f t="array" ref="C101:D101">_xlfn.TEXTSPLIT(B101, "/")</f>
        <v>Interpretation</v>
      </c>
      <c r="D101" t="str">
        <v>Revelation</v>
      </c>
    </row>
    <row r="102" spans="1:5" x14ac:dyDescent="0.35">
      <c r="A102">
        <v>101</v>
      </c>
      <c r="B102" t="s">
        <v>12706</v>
      </c>
      <c r="C102" t="str" cm="1">
        <f t="array" ref="C102:D102">_xlfn.TEXTSPLIT(B102, "/")</f>
        <v>Fulfillment</v>
      </c>
      <c r="D102" t="str">
        <v>Providence</v>
      </c>
    </row>
    <row r="103" spans="1:5" x14ac:dyDescent="0.35">
      <c r="A103">
        <v>102</v>
      </c>
      <c r="B103" t="s">
        <v>12706</v>
      </c>
      <c r="C103" t="str" cm="1">
        <f t="array" ref="C103:D103">_xlfn.TEXTSPLIT(B103, "/")</f>
        <v>Fulfillment</v>
      </c>
      <c r="D103" t="str">
        <v>Providence</v>
      </c>
    </row>
    <row r="104" spans="1:5" x14ac:dyDescent="0.35">
      <c r="A104">
        <v>103</v>
      </c>
      <c r="B104" t="s">
        <v>12707</v>
      </c>
      <c r="C104" t="str" cm="1">
        <f t="array" ref="C104:E104">_xlfn.TEXTSPLIT(B104, "/")</f>
        <v>Comfort</v>
      </c>
      <c r="D104" t="str">
        <v>Dream</v>
      </c>
      <c r="E104" t="str">
        <v>Speech</v>
      </c>
    </row>
    <row r="105" spans="1:5" x14ac:dyDescent="0.35">
      <c r="A105">
        <v>104</v>
      </c>
      <c r="B105" t="s">
        <v>10066</v>
      </c>
      <c r="C105" t="str" cm="1">
        <f t="array" ref="C105:D105">_xlfn.TEXTSPLIT(B105, "/")</f>
        <v>Blessing</v>
      </c>
      <c r="D105" t="str">
        <v>Prophecy</v>
      </c>
    </row>
    <row r="106" spans="1:5" x14ac:dyDescent="0.35">
      <c r="A106">
        <v>105</v>
      </c>
      <c r="B106" t="s">
        <v>9678</v>
      </c>
      <c r="C106" t="str" cm="1">
        <f t="array" ref="C106">_xlfn.TEXTSPLIT(B106, "/")</f>
        <v>Blessing</v>
      </c>
    </row>
    <row r="107" spans="1:5" x14ac:dyDescent="0.35">
      <c r="A107">
        <v>106</v>
      </c>
      <c r="B107" t="s">
        <v>11141</v>
      </c>
      <c r="C107" t="str" cm="1">
        <f t="array" ref="C107:D107">_xlfn.TEXTSPLIT(B107, "/")</f>
        <v>Compassion</v>
      </c>
      <c r="D107" t="str">
        <v>Remembrance</v>
      </c>
    </row>
    <row r="108" spans="1:5" x14ac:dyDescent="0.35">
      <c r="A108">
        <v>107</v>
      </c>
      <c r="B108" t="s">
        <v>10751</v>
      </c>
      <c r="C108" t="str" cm="1">
        <f t="array" ref="C108">_xlfn.TEXTSPLIT(B108, "/")</f>
        <v>Theophany</v>
      </c>
    </row>
    <row r="109" spans="1:5" x14ac:dyDescent="0.35">
      <c r="A109">
        <v>108</v>
      </c>
      <c r="B109" t="s">
        <v>11112</v>
      </c>
      <c r="C109" t="str" cm="1">
        <f t="array" ref="C109:D109">_xlfn.TEXTSPLIT(B109, "/")</f>
        <v>Instruction</v>
      </c>
      <c r="D109" t="str">
        <v>Speech</v>
      </c>
    </row>
    <row r="110" spans="1:5" x14ac:dyDescent="0.35">
      <c r="A110">
        <v>109</v>
      </c>
      <c r="B110" t="s">
        <v>10896</v>
      </c>
      <c r="C110" t="str" cm="1">
        <f t="array" ref="C110:D110">_xlfn.TEXTSPLIT(B110, "/")</f>
        <v>Sign</v>
      </c>
      <c r="D110" t="str">
        <v>Transmutation</v>
      </c>
    </row>
    <row r="111" spans="1:5" x14ac:dyDescent="0.35">
      <c r="A111">
        <v>110</v>
      </c>
      <c r="B111" t="s">
        <v>10896</v>
      </c>
      <c r="C111" t="str" cm="1">
        <f t="array" ref="C111:D111">_xlfn.TEXTSPLIT(B111, "/")</f>
        <v>Sign</v>
      </c>
      <c r="D111" t="str">
        <v>Transmutation</v>
      </c>
    </row>
    <row r="112" spans="1:5" x14ac:dyDescent="0.35">
      <c r="A112">
        <v>111</v>
      </c>
      <c r="B112" t="s">
        <v>11142</v>
      </c>
      <c r="C112" t="str" cm="1">
        <f t="array" ref="C112:D112">_xlfn.TEXTSPLIT(B112, "/")</f>
        <v>Disease</v>
      </c>
      <c r="D112" t="str">
        <v>Sign</v>
      </c>
    </row>
    <row r="113" spans="1:4" x14ac:dyDescent="0.35">
      <c r="A113">
        <v>112</v>
      </c>
      <c r="B113" t="s">
        <v>11143</v>
      </c>
      <c r="C113" t="str" cm="1">
        <f t="array" ref="C113:D113">_xlfn.TEXTSPLIT(B113, "/")</f>
        <v>Healing</v>
      </c>
      <c r="D113" t="str">
        <v>Sign</v>
      </c>
    </row>
    <row r="114" spans="1:4" x14ac:dyDescent="0.35">
      <c r="A114">
        <v>113</v>
      </c>
      <c r="B114" t="s">
        <v>10896</v>
      </c>
      <c r="C114" t="str" cm="1">
        <f t="array" ref="C114:D114">_xlfn.TEXTSPLIT(B114, "/")</f>
        <v>Sign</v>
      </c>
      <c r="D114" t="str">
        <v>Transmutation</v>
      </c>
    </row>
    <row r="115" spans="1:4" x14ac:dyDescent="0.35">
      <c r="A115">
        <v>114</v>
      </c>
      <c r="B115" t="s">
        <v>11144</v>
      </c>
      <c r="C115" t="str" cm="1">
        <f t="array" ref="C115:D115">_xlfn.TEXTSPLIT(B115, "/")</f>
        <v>Empowerment</v>
      </c>
      <c r="D115" t="str">
        <v>Speech</v>
      </c>
    </row>
    <row r="116" spans="1:4" x14ac:dyDescent="0.35">
      <c r="A116">
        <v>115</v>
      </c>
      <c r="B116" t="s">
        <v>11145</v>
      </c>
      <c r="C116" t="str" cm="1">
        <f t="array" ref="C116:D116">_xlfn.TEXTSPLIT(B116, "/")</f>
        <v>Appointment</v>
      </c>
      <c r="D116" t="str">
        <v>Speech</v>
      </c>
    </row>
    <row r="117" spans="1:4" x14ac:dyDescent="0.35">
      <c r="A117">
        <v>116</v>
      </c>
      <c r="B117" t="s">
        <v>11107</v>
      </c>
      <c r="C117" t="str" cm="1">
        <f t="array" ref="C117:D117">_xlfn.TEXTSPLIT(B117, "/")</f>
        <v>Command</v>
      </c>
      <c r="D117" t="str">
        <v>Speech</v>
      </c>
    </row>
    <row r="118" spans="1:4" x14ac:dyDescent="0.35">
      <c r="A118">
        <v>117</v>
      </c>
      <c r="B118" t="s">
        <v>11117</v>
      </c>
      <c r="C118" t="str" cm="1">
        <f t="array" ref="C118:D118">_xlfn.TEXTSPLIT(B118, "/")</f>
        <v>Intervention</v>
      </c>
      <c r="D118" t="str">
        <v>Judgment</v>
      </c>
    </row>
    <row r="119" spans="1:4" x14ac:dyDescent="0.35">
      <c r="A119">
        <v>118</v>
      </c>
      <c r="B119" t="s">
        <v>11112</v>
      </c>
      <c r="C119" t="str" cm="1">
        <f t="array" ref="C119:D119">_xlfn.TEXTSPLIT(B119, "/")</f>
        <v>Instruction</v>
      </c>
      <c r="D119" t="str">
        <v>Speech</v>
      </c>
    </row>
    <row r="120" spans="1:4" x14ac:dyDescent="0.35">
      <c r="A120">
        <v>119</v>
      </c>
      <c r="B120" t="s">
        <v>12708</v>
      </c>
      <c r="C120" t="str" cm="1">
        <f t="array" ref="C120:D120">_xlfn.TEXTSPLIT(B120, "/")</f>
        <v>Confirmation</v>
      </c>
      <c r="D120" t="str">
        <v>Sign</v>
      </c>
    </row>
    <row r="121" spans="1:4" x14ac:dyDescent="0.35">
      <c r="A121">
        <v>120</v>
      </c>
      <c r="B121" t="s">
        <v>12708</v>
      </c>
      <c r="C121" t="str" cm="1">
        <f t="array" ref="C121:D121">_xlfn.TEXTSPLIT(B121, "/")</f>
        <v>Confirmation</v>
      </c>
      <c r="D121" t="str">
        <v>Sign</v>
      </c>
    </row>
    <row r="122" spans="1:4" x14ac:dyDescent="0.35">
      <c r="A122">
        <v>121</v>
      </c>
      <c r="B122" t="s">
        <v>10047</v>
      </c>
      <c r="C122" t="str" cm="1">
        <f t="array" ref="C122:D122">_xlfn.TEXTSPLIT(B122, "/")</f>
        <v>Hardening</v>
      </c>
      <c r="D122" t="str">
        <v>Judgment</v>
      </c>
    </row>
    <row r="123" spans="1:4" x14ac:dyDescent="0.35">
      <c r="A123">
        <v>122</v>
      </c>
      <c r="B123" t="s">
        <v>11120</v>
      </c>
      <c r="C123" t="str" cm="1">
        <f t="array" ref="C123:D123">_xlfn.TEXTSPLIT(B123, "/")</f>
        <v>Promise</v>
      </c>
      <c r="D123" t="str">
        <v>Speech</v>
      </c>
    </row>
    <row r="124" spans="1:4" x14ac:dyDescent="0.35">
      <c r="A124">
        <v>123</v>
      </c>
      <c r="B124" t="s">
        <v>11112</v>
      </c>
      <c r="C124" t="str" cm="1">
        <f t="array" ref="C124:D124">_xlfn.TEXTSPLIT(B124, "/")</f>
        <v>Instruction</v>
      </c>
      <c r="D124" t="str">
        <v>Speech</v>
      </c>
    </row>
    <row r="125" spans="1:4" x14ac:dyDescent="0.35">
      <c r="A125">
        <v>124</v>
      </c>
      <c r="B125" t="s">
        <v>11125</v>
      </c>
      <c r="C125" t="str" cm="1">
        <f t="array" ref="C125:D125">_xlfn.TEXTSPLIT(B125, "/")</f>
        <v>Revelation</v>
      </c>
      <c r="D125" t="str">
        <v>Speech</v>
      </c>
    </row>
    <row r="126" spans="1:4" x14ac:dyDescent="0.35">
      <c r="A126">
        <v>125</v>
      </c>
      <c r="B126" t="s">
        <v>11112</v>
      </c>
      <c r="C126" t="str" cm="1">
        <f t="array" ref="C126:D126">_xlfn.TEXTSPLIT(B126, "/")</f>
        <v>Instruction</v>
      </c>
      <c r="D126" t="str">
        <v>Speech</v>
      </c>
    </row>
    <row r="127" spans="1:4" x14ac:dyDescent="0.35">
      <c r="A127">
        <v>126</v>
      </c>
      <c r="B127" t="s">
        <v>10896</v>
      </c>
      <c r="C127" t="str" cm="1">
        <f t="array" ref="C127:D127">_xlfn.TEXTSPLIT(B127, "/")</f>
        <v>Sign</v>
      </c>
      <c r="D127" t="str">
        <v>Transmutation</v>
      </c>
    </row>
    <row r="128" spans="1:4" x14ac:dyDescent="0.35">
      <c r="A128">
        <v>127</v>
      </c>
      <c r="B128" t="s">
        <v>10719</v>
      </c>
      <c r="C128" t="str" cm="1">
        <f t="array" ref="C128:D128">_xlfn.TEXTSPLIT(B128, "/")</f>
        <v>Speech</v>
      </c>
      <c r="D128" t="str">
        <v>Warning</v>
      </c>
    </row>
    <row r="129" spans="1:5" x14ac:dyDescent="0.35">
      <c r="A129">
        <v>128</v>
      </c>
      <c r="B129" t="s">
        <v>11112</v>
      </c>
      <c r="C129" t="str" cm="1">
        <f t="array" ref="C129:D129">_xlfn.TEXTSPLIT(B129, "/")</f>
        <v>Instruction</v>
      </c>
      <c r="D129" t="str">
        <v>Speech</v>
      </c>
    </row>
    <row r="130" spans="1:5" x14ac:dyDescent="0.35">
      <c r="A130">
        <v>129</v>
      </c>
      <c r="B130" t="s">
        <v>10924</v>
      </c>
      <c r="C130" t="str" cm="1">
        <f t="array" ref="C130:E130">_xlfn.TEXTSPLIT(B130, "/")</f>
        <v>Judgment</v>
      </c>
      <c r="D130" t="str">
        <v>Plague</v>
      </c>
      <c r="E130" t="str">
        <v>Transmutation</v>
      </c>
    </row>
    <row r="131" spans="1:5" x14ac:dyDescent="0.35">
      <c r="A131">
        <v>130</v>
      </c>
      <c r="B131" t="s">
        <v>10719</v>
      </c>
      <c r="C131" t="str" cm="1">
        <f t="array" ref="C131:D131">_xlfn.TEXTSPLIT(B131, "/")</f>
        <v>Speech</v>
      </c>
      <c r="D131" t="str">
        <v>Warning</v>
      </c>
    </row>
    <row r="132" spans="1:5" x14ac:dyDescent="0.35">
      <c r="A132">
        <v>131</v>
      </c>
      <c r="B132" t="s">
        <v>11112</v>
      </c>
      <c r="C132" t="str" cm="1">
        <f t="array" ref="C132:D132">_xlfn.TEXTSPLIT(B132, "/")</f>
        <v>Instruction</v>
      </c>
      <c r="D132" t="str">
        <v>Speech</v>
      </c>
    </row>
    <row r="133" spans="1:5" x14ac:dyDescent="0.35">
      <c r="A133">
        <v>132</v>
      </c>
      <c r="B133" t="s">
        <v>11146</v>
      </c>
      <c r="C133" t="str" cm="1">
        <f t="array" ref="C133:E133">_xlfn.TEXTSPLIT(B133, "/")</f>
        <v>Frogs</v>
      </c>
      <c r="D133" t="str">
        <v>Judgment</v>
      </c>
      <c r="E133" t="str">
        <v>Plague</v>
      </c>
    </row>
    <row r="134" spans="1:5" x14ac:dyDescent="0.35">
      <c r="A134">
        <v>133</v>
      </c>
      <c r="B134" t="s">
        <v>11104</v>
      </c>
      <c r="C134" t="str" cm="1">
        <f t="array" ref="C134:D134">_xlfn.TEXTSPLIT(B134, "/")</f>
        <v>Intercession</v>
      </c>
      <c r="D134" t="str">
        <v>Prayer</v>
      </c>
    </row>
    <row r="135" spans="1:5" x14ac:dyDescent="0.35">
      <c r="A135">
        <v>134</v>
      </c>
      <c r="B135" t="s">
        <v>11112</v>
      </c>
      <c r="C135" t="str" cm="1">
        <f t="array" ref="C135:D135">_xlfn.TEXTSPLIT(B135, "/")</f>
        <v>Instruction</v>
      </c>
      <c r="D135" t="str">
        <v>Speech</v>
      </c>
    </row>
    <row r="136" spans="1:5" x14ac:dyDescent="0.35">
      <c r="A136">
        <v>135</v>
      </c>
      <c r="B136" t="s">
        <v>11147</v>
      </c>
      <c r="C136" t="str" cm="1">
        <f t="array" ref="C136:E136">_xlfn.TEXTSPLIT(B136, "/")</f>
        <v>Gnats</v>
      </c>
      <c r="D136" t="str">
        <v>Judgment</v>
      </c>
      <c r="E136" t="str">
        <v>Plague</v>
      </c>
    </row>
    <row r="137" spans="1:5" x14ac:dyDescent="0.35">
      <c r="A137">
        <v>136</v>
      </c>
      <c r="B137" t="s">
        <v>10719</v>
      </c>
      <c r="C137" t="str" cm="1">
        <f t="array" ref="C137:D137">_xlfn.TEXTSPLIT(B137, "/")</f>
        <v>Speech</v>
      </c>
      <c r="D137" t="str">
        <v>Warning</v>
      </c>
    </row>
    <row r="138" spans="1:5" x14ac:dyDescent="0.35">
      <c r="A138">
        <v>137</v>
      </c>
      <c r="B138" t="s">
        <v>11148</v>
      </c>
      <c r="C138" t="str" cm="1">
        <f t="array" ref="C138:E138">_xlfn.TEXTSPLIT(B138, "/")</f>
        <v>Flies</v>
      </c>
      <c r="D138" t="str">
        <v>Judgment</v>
      </c>
      <c r="E138" t="str">
        <v>Plague</v>
      </c>
    </row>
    <row r="139" spans="1:5" x14ac:dyDescent="0.35">
      <c r="A139">
        <v>138</v>
      </c>
      <c r="B139" t="s">
        <v>12709</v>
      </c>
      <c r="C139" t="str" cm="1">
        <f t="array" ref="C139:D139">_xlfn.TEXTSPLIT(B139, "/")</f>
        <v>Prayer</v>
      </c>
      <c r="D139" t="str">
        <v>Intercession</v>
      </c>
    </row>
    <row r="140" spans="1:5" x14ac:dyDescent="0.35">
      <c r="A140">
        <v>139</v>
      </c>
      <c r="B140" t="s">
        <v>10719</v>
      </c>
      <c r="C140" t="str" cm="1">
        <f t="array" ref="C140:D140">_xlfn.TEXTSPLIT(B140, "/")</f>
        <v>Speech</v>
      </c>
      <c r="D140" t="str">
        <v>Warning</v>
      </c>
    </row>
    <row r="141" spans="1:5" x14ac:dyDescent="0.35">
      <c r="A141">
        <v>140</v>
      </c>
      <c r="B141" t="s">
        <v>11149</v>
      </c>
      <c r="C141" t="str" cm="1">
        <f t="array" ref="C141:E141">_xlfn.TEXTSPLIT(B141, "/")</f>
        <v>Death</v>
      </c>
      <c r="D141" t="str">
        <v>Judgment</v>
      </c>
      <c r="E141" t="str">
        <v>Plague</v>
      </c>
    </row>
    <row r="142" spans="1:5" x14ac:dyDescent="0.35">
      <c r="A142">
        <v>141</v>
      </c>
      <c r="B142" t="s">
        <v>11112</v>
      </c>
      <c r="C142" t="str" cm="1">
        <f t="array" ref="C142:D142">_xlfn.TEXTSPLIT(B142, "/")</f>
        <v>Instruction</v>
      </c>
      <c r="D142" t="str">
        <v>Speech</v>
      </c>
    </row>
    <row r="143" spans="1:5" x14ac:dyDescent="0.35">
      <c r="A143">
        <v>142</v>
      </c>
      <c r="B143" t="s">
        <v>11150</v>
      </c>
      <c r="C143" t="str" cm="1">
        <f t="array" ref="C143:E143">_xlfn.TEXTSPLIT(B143, "/")</f>
        <v>Boils</v>
      </c>
      <c r="D143" t="str">
        <v>Judgment</v>
      </c>
      <c r="E143" t="str">
        <v>Plague</v>
      </c>
    </row>
    <row r="144" spans="1:5" x14ac:dyDescent="0.35">
      <c r="A144">
        <v>143</v>
      </c>
      <c r="B144" t="s">
        <v>10719</v>
      </c>
      <c r="C144" t="str" cm="1">
        <f t="array" ref="C144:D144">_xlfn.TEXTSPLIT(B144, "/")</f>
        <v>Speech</v>
      </c>
      <c r="D144" t="str">
        <v>Warning</v>
      </c>
    </row>
    <row r="145" spans="1:5" x14ac:dyDescent="0.35">
      <c r="A145">
        <v>144</v>
      </c>
      <c r="B145" t="s">
        <v>11112</v>
      </c>
      <c r="C145" t="str" cm="1">
        <f t="array" ref="C145:D145">_xlfn.TEXTSPLIT(B145, "/")</f>
        <v>Instruction</v>
      </c>
      <c r="D145" t="str">
        <v>Speech</v>
      </c>
    </row>
    <row r="146" spans="1:5" x14ac:dyDescent="0.35">
      <c r="A146">
        <v>145</v>
      </c>
      <c r="B146" t="s">
        <v>11151</v>
      </c>
      <c r="C146" t="str" cm="1">
        <f t="array" ref="C146:E146">_xlfn.TEXTSPLIT(B146, "/")</f>
        <v>Hail</v>
      </c>
      <c r="D146" t="str">
        <v>Judgment</v>
      </c>
      <c r="E146" t="str">
        <v>Plague</v>
      </c>
    </row>
    <row r="147" spans="1:5" x14ac:dyDescent="0.35">
      <c r="A147">
        <v>146</v>
      </c>
      <c r="B147" t="s">
        <v>12709</v>
      </c>
      <c r="C147" t="str" cm="1">
        <f t="array" ref="C147:D147">_xlfn.TEXTSPLIT(B147, "/")</f>
        <v>Prayer</v>
      </c>
      <c r="D147" t="str">
        <v>Intercession</v>
      </c>
    </row>
    <row r="148" spans="1:5" x14ac:dyDescent="0.35">
      <c r="A148">
        <v>147</v>
      </c>
      <c r="B148" t="s">
        <v>10719</v>
      </c>
      <c r="C148" t="str" cm="1">
        <f t="array" ref="C148:D148">_xlfn.TEXTSPLIT(B148, "/")</f>
        <v>Speech</v>
      </c>
      <c r="D148" t="str">
        <v>Warning</v>
      </c>
    </row>
    <row r="149" spans="1:5" x14ac:dyDescent="0.35">
      <c r="A149">
        <v>148</v>
      </c>
      <c r="B149" t="s">
        <v>11112</v>
      </c>
      <c r="C149" t="str" cm="1">
        <f t="array" ref="C149:D149">_xlfn.TEXTSPLIT(B149, "/")</f>
        <v>Instruction</v>
      </c>
      <c r="D149" t="str">
        <v>Speech</v>
      </c>
    </row>
    <row r="150" spans="1:5" x14ac:dyDescent="0.35">
      <c r="A150">
        <v>149</v>
      </c>
      <c r="B150" t="s">
        <v>11152</v>
      </c>
      <c r="C150" t="str" cm="1">
        <f t="array" ref="C150:E150">_xlfn.TEXTSPLIT(B150, "/")</f>
        <v>Judgment</v>
      </c>
      <c r="D150" t="str">
        <v>Locusts</v>
      </c>
      <c r="E150" t="str">
        <v>Plague</v>
      </c>
    </row>
    <row r="151" spans="1:5" x14ac:dyDescent="0.35">
      <c r="A151">
        <v>150</v>
      </c>
      <c r="B151" t="s">
        <v>12709</v>
      </c>
      <c r="C151" t="str" cm="1">
        <f t="array" ref="C151:D151">_xlfn.TEXTSPLIT(B151, "/")</f>
        <v>Prayer</v>
      </c>
      <c r="D151" t="str">
        <v>Intercession</v>
      </c>
    </row>
    <row r="152" spans="1:5" x14ac:dyDescent="0.35">
      <c r="A152">
        <v>151</v>
      </c>
      <c r="B152" t="s">
        <v>11112</v>
      </c>
      <c r="C152" t="str" cm="1">
        <f t="array" ref="C152:D152">_xlfn.TEXTSPLIT(B152, "/")</f>
        <v>Instruction</v>
      </c>
      <c r="D152" t="str">
        <v>Speech</v>
      </c>
    </row>
    <row r="153" spans="1:5" x14ac:dyDescent="0.35">
      <c r="A153">
        <v>152</v>
      </c>
      <c r="B153" t="s">
        <v>11153</v>
      </c>
      <c r="C153" t="str" cm="1">
        <f t="array" ref="C153:E153">_xlfn.TEXTSPLIT(B153, "/")</f>
        <v>Darkness</v>
      </c>
      <c r="D153" t="str">
        <v>Judgment</v>
      </c>
      <c r="E153" t="str">
        <v>Plague</v>
      </c>
    </row>
    <row r="154" spans="1:5" x14ac:dyDescent="0.35">
      <c r="A154">
        <v>153</v>
      </c>
      <c r="B154" t="s">
        <v>10719</v>
      </c>
      <c r="C154" t="str" cm="1">
        <f t="array" ref="C154:D154">_xlfn.TEXTSPLIT(B154, "/")</f>
        <v>Speech</v>
      </c>
      <c r="D154" t="str">
        <v>Warning</v>
      </c>
    </row>
    <row r="155" spans="1:5" x14ac:dyDescent="0.35">
      <c r="A155">
        <v>154</v>
      </c>
      <c r="B155" t="s">
        <v>11112</v>
      </c>
      <c r="C155" t="str" cm="1">
        <f t="array" ref="C155:D155">_xlfn.TEXTSPLIT(B155, "/")</f>
        <v>Instruction</v>
      </c>
      <c r="D155" t="str">
        <v>Speech</v>
      </c>
    </row>
    <row r="156" spans="1:5" x14ac:dyDescent="0.35">
      <c r="A156">
        <v>155</v>
      </c>
      <c r="B156" t="s">
        <v>11149</v>
      </c>
      <c r="C156" t="str" cm="1">
        <f t="array" ref="C156:E156">_xlfn.TEXTSPLIT(B156, "/")</f>
        <v>Death</v>
      </c>
      <c r="D156" t="str">
        <v>Judgment</v>
      </c>
      <c r="E156" t="str">
        <v>Plague</v>
      </c>
    </row>
    <row r="157" spans="1:5" x14ac:dyDescent="0.35">
      <c r="A157">
        <v>156</v>
      </c>
      <c r="B157" t="s">
        <v>10050</v>
      </c>
      <c r="C157" t="str" cm="1">
        <f t="array" ref="C157:D157">_xlfn.TEXTSPLIT(B157, "/")</f>
        <v>Favor</v>
      </c>
      <c r="D157" t="str">
        <v>Fulfillment</v>
      </c>
    </row>
    <row r="158" spans="1:5" x14ac:dyDescent="0.35">
      <c r="A158">
        <v>157</v>
      </c>
      <c r="B158" t="s">
        <v>10050</v>
      </c>
      <c r="C158" t="str" cm="1">
        <f t="array" ref="C158:D158">_xlfn.TEXTSPLIT(B158, "/")</f>
        <v>Favor</v>
      </c>
      <c r="D158" t="str">
        <v>Fulfillment</v>
      </c>
    </row>
    <row r="159" spans="1:5" x14ac:dyDescent="0.35">
      <c r="A159">
        <v>158</v>
      </c>
      <c r="B159" t="s">
        <v>11112</v>
      </c>
      <c r="C159" t="str" cm="1">
        <f t="array" ref="C159:D159">_xlfn.TEXTSPLIT(B159, "/")</f>
        <v>Instruction</v>
      </c>
      <c r="D159" t="str">
        <v>Speech</v>
      </c>
    </row>
    <row r="160" spans="1:5" x14ac:dyDescent="0.35">
      <c r="A160">
        <v>159</v>
      </c>
      <c r="B160" t="s">
        <v>10966</v>
      </c>
      <c r="C160" t="str" cm="1">
        <f t="array" ref="C160:D160">_xlfn.TEXTSPLIT(B160, "/")</f>
        <v>Guidance</v>
      </c>
      <c r="D160" t="str">
        <v>Strategy</v>
      </c>
    </row>
    <row r="161" spans="1:6" x14ac:dyDescent="0.35">
      <c r="A161">
        <v>160</v>
      </c>
      <c r="B161" t="s">
        <v>11154</v>
      </c>
      <c r="C161" t="str" cm="1">
        <f t="array" ref="C161:F161">_xlfn.TEXTSPLIT(B161, "/")</f>
        <v>Appearance</v>
      </c>
      <c r="D161" t="str">
        <v>Cloud</v>
      </c>
      <c r="E161" t="str">
        <v>Fire</v>
      </c>
      <c r="F161" t="str">
        <v>Guidance</v>
      </c>
    </row>
    <row r="162" spans="1:6" x14ac:dyDescent="0.35">
      <c r="A162">
        <v>161</v>
      </c>
      <c r="B162" t="s">
        <v>11112</v>
      </c>
      <c r="C162" t="str" cm="1">
        <f t="array" ref="C162:D162">_xlfn.TEXTSPLIT(B162, "/")</f>
        <v>Instruction</v>
      </c>
      <c r="D162" t="str">
        <v>Speech</v>
      </c>
    </row>
    <row r="163" spans="1:6" x14ac:dyDescent="0.35">
      <c r="A163">
        <v>162</v>
      </c>
      <c r="B163" t="s">
        <v>11112</v>
      </c>
      <c r="C163" t="str" cm="1">
        <f t="array" ref="C163:D163">_xlfn.TEXTSPLIT(B163, "/")</f>
        <v>Instruction</v>
      </c>
      <c r="D163" t="str">
        <v>Speech</v>
      </c>
    </row>
    <row r="164" spans="1:6" x14ac:dyDescent="0.35">
      <c r="A164">
        <v>163</v>
      </c>
      <c r="B164" t="s">
        <v>11155</v>
      </c>
      <c r="C164" t="str" cm="1">
        <f t="array" ref="C164:E164">_xlfn.TEXTSPLIT(B164, "/")</f>
        <v>Appearance</v>
      </c>
      <c r="D164" t="str">
        <v>Cloud</v>
      </c>
      <c r="E164" t="str">
        <v>Protection</v>
      </c>
    </row>
    <row r="165" spans="1:6" x14ac:dyDescent="0.35">
      <c r="A165">
        <v>164</v>
      </c>
      <c r="B165" t="s">
        <v>11156</v>
      </c>
      <c r="C165" t="str" cm="1">
        <f t="array" ref="C165:F165">_xlfn.TEXTSPLIT(B165, "/")</f>
        <v>Creation</v>
      </c>
      <c r="D165" t="str">
        <v>Deliverance</v>
      </c>
      <c r="E165" t="str">
        <v>Water</v>
      </c>
      <c r="F165" t="str">
        <v>Wind</v>
      </c>
    </row>
    <row r="166" spans="1:6" x14ac:dyDescent="0.35">
      <c r="A166">
        <v>165</v>
      </c>
      <c r="B166" t="s">
        <v>10505</v>
      </c>
      <c r="C166" t="str" cm="1">
        <f t="array" ref="C166:D166">_xlfn.TEXTSPLIT(B166, "/")</f>
        <v>Deliverance</v>
      </c>
      <c r="D166" t="str">
        <v>Judgment</v>
      </c>
    </row>
    <row r="167" spans="1:6" x14ac:dyDescent="0.35">
      <c r="A167">
        <v>166</v>
      </c>
      <c r="B167" t="s">
        <v>11112</v>
      </c>
      <c r="C167" t="str" cm="1">
        <f t="array" ref="C167:D167">_xlfn.TEXTSPLIT(B167, "/")</f>
        <v>Instruction</v>
      </c>
      <c r="D167" t="str">
        <v>Speech</v>
      </c>
    </row>
    <row r="168" spans="1:6" x14ac:dyDescent="0.35">
      <c r="A168">
        <v>167</v>
      </c>
      <c r="B168" t="s">
        <v>10505</v>
      </c>
      <c r="C168" t="str" cm="1">
        <f t="array" ref="C168:D168">_xlfn.TEXTSPLIT(B168, "/")</f>
        <v>Deliverance</v>
      </c>
      <c r="D168" t="str">
        <v>Judgment</v>
      </c>
    </row>
    <row r="169" spans="1:6" x14ac:dyDescent="0.35">
      <c r="A169">
        <v>168</v>
      </c>
      <c r="B169" t="s">
        <v>11157</v>
      </c>
      <c r="C169" t="str" cm="1">
        <f t="array" ref="C169:D169">_xlfn.TEXTSPLIT(B169, "/")</f>
        <v>Cleansing</v>
      </c>
      <c r="D169" t="str">
        <v>Provision</v>
      </c>
    </row>
    <row r="170" spans="1:6" x14ac:dyDescent="0.35">
      <c r="A170">
        <v>169</v>
      </c>
      <c r="B170" t="s">
        <v>11158</v>
      </c>
      <c r="C170" t="str" cm="1">
        <f t="array" ref="C170:E170">_xlfn.TEXTSPLIT(B170, "/")</f>
        <v>Health</v>
      </c>
      <c r="D170" t="str">
        <v>Promise</v>
      </c>
      <c r="E170" t="str">
        <v>Speech</v>
      </c>
    </row>
    <row r="171" spans="1:6" x14ac:dyDescent="0.35">
      <c r="A171">
        <v>170</v>
      </c>
      <c r="B171" t="s">
        <v>11159</v>
      </c>
      <c r="C171" t="str" cm="1">
        <f t="array" ref="C171:F171">_xlfn.TEXTSPLIT(B171, "/")</f>
        <v>Food</v>
      </c>
      <c r="D171" t="str">
        <v>Promise</v>
      </c>
      <c r="E171" t="str">
        <v>Provision</v>
      </c>
      <c r="F171" t="str">
        <v>Speech</v>
      </c>
    </row>
    <row r="172" spans="1:6" x14ac:dyDescent="0.35">
      <c r="A172">
        <v>171</v>
      </c>
      <c r="B172" t="s">
        <v>11160</v>
      </c>
      <c r="C172" t="str" cm="1">
        <f t="array" ref="C172:D172">_xlfn.TEXTSPLIT(B172, "/")</f>
        <v>Glory</v>
      </c>
      <c r="D172" t="str">
        <v>Theophany</v>
      </c>
    </row>
    <row r="173" spans="1:6" x14ac:dyDescent="0.35">
      <c r="A173">
        <v>172</v>
      </c>
      <c r="B173" t="s">
        <v>11159</v>
      </c>
      <c r="C173" t="str" cm="1">
        <f t="array" ref="C173:F173">_xlfn.TEXTSPLIT(B173, "/")</f>
        <v>Food</v>
      </c>
      <c r="D173" t="str">
        <v>Promise</v>
      </c>
      <c r="E173" t="str">
        <v>Provision</v>
      </c>
      <c r="F173" t="str">
        <v>Speech</v>
      </c>
    </row>
    <row r="174" spans="1:6" x14ac:dyDescent="0.35">
      <c r="A174">
        <v>173</v>
      </c>
      <c r="B174" t="s">
        <v>11495</v>
      </c>
      <c r="C174" t="str" cm="1">
        <f t="array" ref="C174:D174">_xlfn.TEXTSPLIT(B174, "/")</f>
        <v>Food</v>
      </c>
      <c r="D174" t="str">
        <v>Provision</v>
      </c>
    </row>
    <row r="175" spans="1:6" x14ac:dyDescent="0.35">
      <c r="A175">
        <v>174</v>
      </c>
      <c r="B175" t="s">
        <v>11112</v>
      </c>
      <c r="C175" t="str" cm="1">
        <f t="array" ref="C175:D175">_xlfn.TEXTSPLIT(B175, "/")</f>
        <v>Instruction</v>
      </c>
      <c r="D175" t="str">
        <v>Speech</v>
      </c>
    </row>
    <row r="176" spans="1:6" x14ac:dyDescent="0.35">
      <c r="A176">
        <v>175</v>
      </c>
      <c r="B176" t="s">
        <v>11112</v>
      </c>
      <c r="C176" t="str" cm="1">
        <f t="array" ref="C176:D176">_xlfn.TEXTSPLIT(B176, "/")</f>
        <v>Instruction</v>
      </c>
      <c r="D176" t="str">
        <v>Speech</v>
      </c>
    </row>
    <row r="177" spans="1:12" x14ac:dyDescent="0.35">
      <c r="A177">
        <v>176</v>
      </c>
      <c r="B177" t="s">
        <v>11112</v>
      </c>
      <c r="C177" t="str" cm="1">
        <f t="array" ref="C177:D177">_xlfn.TEXTSPLIT(B177, "/")</f>
        <v>Instruction</v>
      </c>
      <c r="D177" t="str">
        <v>Speech</v>
      </c>
    </row>
    <row r="178" spans="1:12" x14ac:dyDescent="0.35">
      <c r="A178">
        <v>177</v>
      </c>
      <c r="B178" t="s">
        <v>10986</v>
      </c>
      <c r="C178" t="str" cm="1">
        <f t="array" ref="C178:D178">_xlfn.TEXTSPLIT(B178, "/")</f>
        <v>Provision</v>
      </c>
      <c r="D178" t="str">
        <v>Water</v>
      </c>
    </row>
    <row r="179" spans="1:12" x14ac:dyDescent="0.35">
      <c r="A179">
        <v>178</v>
      </c>
      <c r="B179" t="s">
        <v>11161</v>
      </c>
      <c r="C179" t="str" cm="1">
        <f t="array" ref="C179:D179">_xlfn.TEXTSPLIT(B179, "/")</f>
        <v>Intervention</v>
      </c>
      <c r="D179" t="str">
        <v>Victory</v>
      </c>
    </row>
    <row r="180" spans="1:12" x14ac:dyDescent="0.35">
      <c r="A180">
        <v>179</v>
      </c>
      <c r="B180" t="s">
        <v>11112</v>
      </c>
      <c r="C180" t="str" cm="1">
        <f t="array" ref="C180:D180">_xlfn.TEXTSPLIT(B180, "/")</f>
        <v>Instruction</v>
      </c>
      <c r="D180" t="str">
        <v>Speech</v>
      </c>
    </row>
    <row r="181" spans="1:12" x14ac:dyDescent="0.35">
      <c r="A181">
        <v>180</v>
      </c>
      <c r="B181" t="s">
        <v>11122</v>
      </c>
      <c r="C181" t="str" cm="1">
        <f t="array" ref="C181:D181">_xlfn.TEXTSPLIT(B181, "/")</f>
        <v>Covenant</v>
      </c>
      <c r="D181" t="str">
        <v>Speech</v>
      </c>
    </row>
    <row r="182" spans="1:12" x14ac:dyDescent="0.35">
      <c r="A182">
        <v>181</v>
      </c>
      <c r="B182" t="s">
        <v>11162</v>
      </c>
      <c r="C182" t="str" cm="1">
        <f t="array" ref="C182:E182">_xlfn.TEXTSPLIT(B182, "/")</f>
        <v>Consecration</v>
      </c>
      <c r="D182" t="str">
        <v>Instruction</v>
      </c>
      <c r="E182" t="str">
        <v>Speech</v>
      </c>
    </row>
    <row r="183" spans="1:12" x14ac:dyDescent="0.35">
      <c r="A183">
        <v>182</v>
      </c>
      <c r="B183" t="s">
        <v>11163</v>
      </c>
      <c r="C183" t="str" cm="1">
        <f t="array" ref="C183:L183">_xlfn.TEXTSPLIT(B183, "/")</f>
        <v>Cloud</v>
      </c>
      <c r="D183" t="str">
        <v>Fire</v>
      </c>
      <c r="E183" t="str">
        <v>Lightning</v>
      </c>
      <c r="F183" t="str">
        <v>Presence</v>
      </c>
      <c r="G183" t="str">
        <v>Smoke</v>
      </c>
      <c r="H183" t="str">
        <v>Speech</v>
      </c>
      <c r="I183" t="str">
        <v>Theophany</v>
      </c>
      <c r="J183" t="str">
        <v>Thunder</v>
      </c>
      <c r="K183" t="str">
        <v>Trumpet</v>
      </c>
      <c r="L183" t="str">
        <v>Warning</v>
      </c>
    </row>
    <row r="184" spans="1:12" x14ac:dyDescent="0.35">
      <c r="A184">
        <v>183</v>
      </c>
      <c r="B184" t="s">
        <v>11164</v>
      </c>
      <c r="C184" t="str" cm="1">
        <f t="array" ref="C184:E184">_xlfn.TEXTSPLIT(B184, "/")</f>
        <v>Instruction</v>
      </c>
      <c r="D184" t="str">
        <v>Law</v>
      </c>
      <c r="E184" t="str">
        <v>Speech</v>
      </c>
    </row>
    <row r="185" spans="1:12" x14ac:dyDescent="0.35">
      <c r="A185">
        <v>184</v>
      </c>
      <c r="B185" t="s">
        <v>11164</v>
      </c>
      <c r="C185" t="str" cm="1">
        <f t="array" ref="C185:E185">_xlfn.TEXTSPLIT(B185, "/")</f>
        <v>Instruction</v>
      </c>
      <c r="D185" t="str">
        <v>Law</v>
      </c>
      <c r="E185" t="str">
        <v>Speech</v>
      </c>
    </row>
    <row r="186" spans="1:12" x14ac:dyDescent="0.35">
      <c r="A186">
        <v>185</v>
      </c>
      <c r="B186" t="s">
        <v>11164</v>
      </c>
      <c r="C186" t="str" cm="1">
        <f t="array" ref="C186:E186">_xlfn.TEXTSPLIT(B186, "/")</f>
        <v>Instruction</v>
      </c>
      <c r="D186" t="str">
        <v>Law</v>
      </c>
      <c r="E186" t="str">
        <v>Speech</v>
      </c>
    </row>
    <row r="187" spans="1:12" x14ac:dyDescent="0.35">
      <c r="A187">
        <v>186</v>
      </c>
      <c r="B187" t="s">
        <v>11120</v>
      </c>
      <c r="C187" t="str" cm="1">
        <f t="array" ref="C187:D187">_xlfn.TEXTSPLIT(B187, "/")</f>
        <v>Promise</v>
      </c>
      <c r="D187" t="str">
        <v>Speech</v>
      </c>
    </row>
    <row r="188" spans="1:12" x14ac:dyDescent="0.35">
      <c r="A188">
        <v>187</v>
      </c>
      <c r="B188" t="s">
        <v>10052</v>
      </c>
      <c r="C188" t="str" cm="1">
        <f t="array" ref="C188:D188">_xlfn.TEXTSPLIT(B188, "/")</f>
        <v>Theophany</v>
      </c>
      <c r="D188" t="str">
        <v>Vision</v>
      </c>
    </row>
    <row r="189" spans="1:12" x14ac:dyDescent="0.35">
      <c r="A189">
        <v>188</v>
      </c>
      <c r="B189" t="s">
        <v>10511</v>
      </c>
      <c r="C189" t="str" cm="1">
        <f t="array" ref="C189:D189">_xlfn.TEXTSPLIT(B189, "/")</f>
        <v>Speech</v>
      </c>
      <c r="D189" t="str">
        <v>Theophany</v>
      </c>
    </row>
    <row r="190" spans="1:12" x14ac:dyDescent="0.35">
      <c r="A190">
        <v>189</v>
      </c>
      <c r="B190" t="s">
        <v>11112</v>
      </c>
      <c r="C190" t="str" cm="1">
        <f t="array" ref="C190:D190">_xlfn.TEXTSPLIT(B190, "/")</f>
        <v>Instruction</v>
      </c>
      <c r="D190" t="str">
        <v>Speech</v>
      </c>
    </row>
    <row r="191" spans="1:12" x14ac:dyDescent="0.35">
      <c r="A191">
        <v>190</v>
      </c>
      <c r="B191" t="s">
        <v>10752</v>
      </c>
      <c r="C191" t="str" cm="1">
        <f t="array" ref="C191">_xlfn.TEXTSPLIT(B191, "/")</f>
        <v>Inscription</v>
      </c>
    </row>
    <row r="192" spans="1:12" x14ac:dyDescent="0.35">
      <c r="A192">
        <v>191</v>
      </c>
      <c r="B192" t="s">
        <v>10048</v>
      </c>
      <c r="C192" t="str" cm="1">
        <f t="array" ref="C192">_xlfn.TEXTSPLIT(B192, "/")</f>
        <v>Revelation</v>
      </c>
    </row>
    <row r="193" spans="1:6" x14ac:dyDescent="0.35">
      <c r="A193">
        <v>192</v>
      </c>
      <c r="B193" t="s">
        <v>10053</v>
      </c>
      <c r="C193" t="str" cm="1">
        <f t="array" ref="C193:D193">_xlfn.TEXTSPLIT(B193, "/")</f>
        <v>Mercy</v>
      </c>
      <c r="D193" t="str">
        <v>Relenting</v>
      </c>
    </row>
    <row r="194" spans="1:6" x14ac:dyDescent="0.35">
      <c r="A194">
        <v>193</v>
      </c>
      <c r="B194" t="s">
        <v>11002</v>
      </c>
      <c r="C194" t="str" cm="1">
        <f t="array" ref="C194:D194">_xlfn.TEXTSPLIT(B194, "/")</f>
        <v>Judgment</v>
      </c>
      <c r="D194" t="str">
        <v>Separation</v>
      </c>
    </row>
    <row r="195" spans="1:6" x14ac:dyDescent="0.35">
      <c r="A195">
        <v>194</v>
      </c>
      <c r="B195" t="s">
        <v>10049</v>
      </c>
      <c r="C195" t="str" cm="1">
        <f t="array" ref="C195:D195">_xlfn.TEXTSPLIT(B195, "/")</f>
        <v>Judgment</v>
      </c>
      <c r="D195" t="str">
        <v>Plague</v>
      </c>
    </row>
    <row r="196" spans="1:6" x14ac:dyDescent="0.35">
      <c r="A196">
        <v>195</v>
      </c>
      <c r="B196" t="s">
        <v>11112</v>
      </c>
      <c r="C196" t="str" cm="1">
        <f t="array" ref="C196:D196">_xlfn.TEXTSPLIT(B196, "/")</f>
        <v>Instruction</v>
      </c>
      <c r="D196" t="str">
        <v>Speech</v>
      </c>
    </row>
    <row r="197" spans="1:6" x14ac:dyDescent="0.35">
      <c r="A197">
        <v>196</v>
      </c>
      <c r="B197" t="s">
        <v>11165</v>
      </c>
      <c r="C197" t="str" cm="1">
        <f t="array" ref="C197:E197">_xlfn.TEXTSPLIT(B197, "/")</f>
        <v>Cloud</v>
      </c>
      <c r="D197" t="str">
        <v>Presence</v>
      </c>
      <c r="E197" t="str">
        <v>Theophany</v>
      </c>
    </row>
    <row r="198" spans="1:6" x14ac:dyDescent="0.35">
      <c r="A198">
        <v>197</v>
      </c>
      <c r="B198" t="s">
        <v>11166</v>
      </c>
      <c r="C198" t="str" cm="1">
        <f t="array" ref="C198:F198">_xlfn.TEXTSPLIT(B198, "/")</f>
        <v>Comfort</v>
      </c>
      <c r="D198" t="str">
        <v>Instruction</v>
      </c>
      <c r="E198" t="str">
        <v>Speech</v>
      </c>
      <c r="F198" t="str">
        <v>Theophany</v>
      </c>
    </row>
    <row r="199" spans="1:6" x14ac:dyDescent="0.35">
      <c r="A199">
        <v>198</v>
      </c>
      <c r="B199" t="s">
        <v>11167</v>
      </c>
      <c r="C199" t="str" cm="1">
        <f t="array" ref="C199:D199">_xlfn.TEXTSPLIT(B199, "/")</f>
        <v>Inscription</v>
      </c>
      <c r="D199" t="str">
        <v>Speech</v>
      </c>
    </row>
    <row r="200" spans="1:6" x14ac:dyDescent="0.35">
      <c r="A200">
        <v>199</v>
      </c>
      <c r="B200" t="s">
        <v>11168</v>
      </c>
      <c r="C200" t="str" cm="1">
        <f t="array" ref="C200:D200">_xlfn.TEXTSPLIT(B200, "/")</f>
        <v>Cloud</v>
      </c>
      <c r="D200" t="str">
        <v>Theophany</v>
      </c>
    </row>
    <row r="201" spans="1:6" x14ac:dyDescent="0.35">
      <c r="A201">
        <v>200</v>
      </c>
      <c r="B201" t="s">
        <v>11125</v>
      </c>
      <c r="C201" t="str" cm="1">
        <f t="array" ref="C201:D201">_xlfn.TEXTSPLIT(B201, "/")</f>
        <v>Revelation</v>
      </c>
      <c r="D201" t="str">
        <v>Speech</v>
      </c>
    </row>
    <row r="202" spans="1:6" x14ac:dyDescent="0.35">
      <c r="A202">
        <v>201</v>
      </c>
      <c r="B202" t="s">
        <v>11122</v>
      </c>
      <c r="C202" t="str" cm="1">
        <f t="array" ref="C202:D202">_xlfn.TEXTSPLIT(B202, "/")</f>
        <v>Covenant</v>
      </c>
      <c r="D202" t="str">
        <v>Speech</v>
      </c>
    </row>
    <row r="203" spans="1:6" x14ac:dyDescent="0.35">
      <c r="A203">
        <v>202</v>
      </c>
      <c r="B203" t="s">
        <v>11169</v>
      </c>
      <c r="C203" t="str" cm="1">
        <f t="array" ref="C203:D203">_xlfn.TEXTSPLIT(B203, "/")</f>
        <v>Glory</v>
      </c>
      <c r="D203" t="str">
        <v>Transformation</v>
      </c>
    </row>
    <row r="204" spans="1:6" x14ac:dyDescent="0.35">
      <c r="A204">
        <v>203</v>
      </c>
      <c r="B204" t="s">
        <v>10055</v>
      </c>
      <c r="C204" t="str" cm="1">
        <f t="array" ref="C204:D204">_xlfn.TEXTSPLIT(B204, "/")</f>
        <v>Empowerment</v>
      </c>
      <c r="D204" t="str">
        <v>Skill</v>
      </c>
    </row>
    <row r="205" spans="1:6" x14ac:dyDescent="0.35">
      <c r="A205">
        <v>204</v>
      </c>
      <c r="B205" t="s">
        <v>11112</v>
      </c>
      <c r="C205" t="str" cm="1">
        <f t="array" ref="C205:D205">_xlfn.TEXTSPLIT(B205, "/")</f>
        <v>Instruction</v>
      </c>
      <c r="D205" t="str">
        <v>Speech</v>
      </c>
    </row>
    <row r="206" spans="1:6" x14ac:dyDescent="0.35">
      <c r="A206">
        <v>205</v>
      </c>
      <c r="B206" t="s">
        <v>11170</v>
      </c>
      <c r="C206" t="str" cm="1">
        <f t="array" ref="C206:D206">_xlfn.TEXTSPLIT(B206, "/")</f>
        <v>Manifestation</v>
      </c>
      <c r="D206" t="str">
        <v>Presence</v>
      </c>
    </row>
    <row r="207" spans="1:6" x14ac:dyDescent="0.35">
      <c r="A207">
        <v>206</v>
      </c>
      <c r="B207" t="s">
        <v>11171</v>
      </c>
      <c r="C207" t="str" cm="1">
        <f t="array" ref="C207:F207">_xlfn.TEXTSPLIT(B207, "/")</f>
        <v>Cloud</v>
      </c>
      <c r="D207" t="str">
        <v>Fire</v>
      </c>
      <c r="E207" t="str">
        <v>Guidance</v>
      </c>
      <c r="F207" t="str">
        <v>Presence</v>
      </c>
    </row>
    <row r="208" spans="1:6" x14ac:dyDescent="0.35">
      <c r="A208">
        <v>207</v>
      </c>
      <c r="B208" t="s">
        <v>11164</v>
      </c>
      <c r="C208" t="str" cm="1">
        <f t="array" ref="C208:E208">_xlfn.TEXTSPLIT(B208, "/")</f>
        <v>Instruction</v>
      </c>
      <c r="D208" t="str">
        <v>Law</v>
      </c>
      <c r="E208" t="str">
        <v>Speech</v>
      </c>
    </row>
    <row r="209" spans="1:5" x14ac:dyDescent="0.35">
      <c r="A209">
        <v>208</v>
      </c>
      <c r="B209" t="s">
        <v>11164</v>
      </c>
      <c r="C209" t="str" cm="1">
        <f t="array" ref="C209:E209">_xlfn.TEXTSPLIT(B209, "/")</f>
        <v>Instruction</v>
      </c>
      <c r="D209" t="str">
        <v>Law</v>
      </c>
      <c r="E209" t="str">
        <v>Speech</v>
      </c>
    </row>
    <row r="210" spans="1:5" x14ac:dyDescent="0.35">
      <c r="A210">
        <v>209</v>
      </c>
      <c r="B210" t="s">
        <v>11164</v>
      </c>
      <c r="C210" t="str" cm="1">
        <f t="array" ref="C210:E210">_xlfn.TEXTSPLIT(B210, "/")</f>
        <v>Instruction</v>
      </c>
      <c r="D210" t="str">
        <v>Law</v>
      </c>
      <c r="E210" t="str">
        <v>Speech</v>
      </c>
    </row>
    <row r="211" spans="1:5" x14ac:dyDescent="0.35">
      <c r="A211">
        <v>210</v>
      </c>
      <c r="B211" t="s">
        <v>11164</v>
      </c>
      <c r="C211" t="str" cm="1">
        <f t="array" ref="C211:E211">_xlfn.TEXTSPLIT(B211, "/")</f>
        <v>Instruction</v>
      </c>
      <c r="D211" t="str">
        <v>Law</v>
      </c>
      <c r="E211" t="str">
        <v>Speech</v>
      </c>
    </row>
    <row r="212" spans="1:5" x14ac:dyDescent="0.35">
      <c r="A212">
        <v>211</v>
      </c>
      <c r="B212" t="s">
        <v>11164</v>
      </c>
      <c r="C212" t="str" cm="1">
        <f t="array" ref="C212:E212">_xlfn.TEXTSPLIT(B212, "/")</f>
        <v>Instruction</v>
      </c>
      <c r="D212" t="str">
        <v>Law</v>
      </c>
      <c r="E212" t="str">
        <v>Speech</v>
      </c>
    </row>
    <row r="213" spans="1:5" x14ac:dyDescent="0.35">
      <c r="A213">
        <v>212</v>
      </c>
      <c r="B213" t="s">
        <v>11164</v>
      </c>
      <c r="C213" t="str" cm="1">
        <f t="array" ref="C213:E213">_xlfn.TEXTSPLIT(B213, "/")</f>
        <v>Instruction</v>
      </c>
      <c r="D213" t="str">
        <v>Law</v>
      </c>
      <c r="E213" t="str">
        <v>Speech</v>
      </c>
    </row>
    <row r="214" spans="1:5" x14ac:dyDescent="0.35">
      <c r="A214">
        <v>213</v>
      </c>
      <c r="B214" t="s">
        <v>11164</v>
      </c>
      <c r="C214" t="str" cm="1">
        <f t="array" ref="C214:E214">_xlfn.TEXTSPLIT(B214, "/")</f>
        <v>Instruction</v>
      </c>
      <c r="D214" t="str">
        <v>Law</v>
      </c>
      <c r="E214" t="str">
        <v>Speech</v>
      </c>
    </row>
    <row r="215" spans="1:5" x14ac:dyDescent="0.35">
      <c r="A215">
        <v>214</v>
      </c>
      <c r="B215" t="s">
        <v>11172</v>
      </c>
      <c r="C215" t="str" cm="1">
        <f t="array" ref="C215:D215">_xlfn.TEXTSPLIT(B215, "/")</f>
        <v>Fire</v>
      </c>
      <c r="D215" t="str">
        <v>Theophany</v>
      </c>
    </row>
    <row r="216" spans="1:5" x14ac:dyDescent="0.35">
      <c r="A216">
        <v>215</v>
      </c>
      <c r="B216" t="s">
        <v>11139</v>
      </c>
      <c r="C216" t="str" cm="1">
        <f t="array" ref="C216:D216">_xlfn.TEXTSPLIT(B216, "/")</f>
        <v>Death</v>
      </c>
      <c r="D216" t="str">
        <v>Judgment</v>
      </c>
    </row>
    <row r="217" spans="1:5" x14ac:dyDescent="0.35">
      <c r="A217">
        <v>216</v>
      </c>
      <c r="B217" t="s">
        <v>11164</v>
      </c>
      <c r="C217" t="str" cm="1">
        <f t="array" ref="C217:E217">_xlfn.TEXTSPLIT(B217, "/")</f>
        <v>Instruction</v>
      </c>
      <c r="D217" t="str">
        <v>Law</v>
      </c>
      <c r="E217" t="str">
        <v>Speech</v>
      </c>
    </row>
    <row r="218" spans="1:5" x14ac:dyDescent="0.35">
      <c r="A218">
        <v>217</v>
      </c>
      <c r="B218" t="s">
        <v>11164</v>
      </c>
      <c r="C218" t="str" cm="1">
        <f t="array" ref="C218:E218">_xlfn.TEXTSPLIT(B218, "/")</f>
        <v>Instruction</v>
      </c>
      <c r="D218" t="str">
        <v>Law</v>
      </c>
      <c r="E218" t="str">
        <v>Speech</v>
      </c>
    </row>
    <row r="219" spans="1:5" x14ac:dyDescent="0.35">
      <c r="A219">
        <v>218</v>
      </c>
      <c r="B219" t="s">
        <v>11164</v>
      </c>
      <c r="C219" t="str" cm="1">
        <f t="array" ref="C219:E219">_xlfn.TEXTSPLIT(B219, "/")</f>
        <v>Instruction</v>
      </c>
      <c r="D219" t="str">
        <v>Law</v>
      </c>
      <c r="E219" t="str">
        <v>Speech</v>
      </c>
    </row>
    <row r="220" spans="1:5" x14ac:dyDescent="0.35">
      <c r="A220">
        <v>219</v>
      </c>
      <c r="B220" t="s">
        <v>11164</v>
      </c>
      <c r="C220" t="str" cm="1">
        <f t="array" ref="C220:E220">_xlfn.TEXTSPLIT(B220, "/")</f>
        <v>Instruction</v>
      </c>
      <c r="D220" t="str">
        <v>Law</v>
      </c>
      <c r="E220" t="str">
        <v>Speech</v>
      </c>
    </row>
    <row r="221" spans="1:5" x14ac:dyDescent="0.35">
      <c r="A221">
        <v>220</v>
      </c>
      <c r="B221" t="s">
        <v>11164</v>
      </c>
      <c r="C221" t="str" cm="1">
        <f t="array" ref="C221:E221">_xlfn.TEXTSPLIT(B221, "/")</f>
        <v>Instruction</v>
      </c>
      <c r="D221" t="str">
        <v>Law</v>
      </c>
      <c r="E221" t="str">
        <v>Speech</v>
      </c>
    </row>
    <row r="222" spans="1:5" x14ac:dyDescent="0.35">
      <c r="A222">
        <v>221</v>
      </c>
      <c r="B222" t="s">
        <v>11164</v>
      </c>
      <c r="C222" t="str" cm="1">
        <f t="array" ref="C222:E222">_xlfn.TEXTSPLIT(B222, "/")</f>
        <v>Instruction</v>
      </c>
      <c r="D222" t="str">
        <v>Law</v>
      </c>
      <c r="E222" t="str">
        <v>Speech</v>
      </c>
    </row>
    <row r="223" spans="1:5" x14ac:dyDescent="0.35">
      <c r="A223">
        <v>222</v>
      </c>
      <c r="B223" t="s">
        <v>11164</v>
      </c>
      <c r="C223" t="str" cm="1">
        <f t="array" ref="C223:E223">_xlfn.TEXTSPLIT(B223, "/")</f>
        <v>Instruction</v>
      </c>
      <c r="D223" t="str">
        <v>Law</v>
      </c>
      <c r="E223" t="str">
        <v>Speech</v>
      </c>
    </row>
    <row r="224" spans="1:5" x14ac:dyDescent="0.35">
      <c r="A224">
        <v>223</v>
      </c>
      <c r="B224" t="s">
        <v>11164</v>
      </c>
      <c r="C224" t="str" cm="1">
        <f t="array" ref="C224:E224">_xlfn.TEXTSPLIT(B224, "/")</f>
        <v>Instruction</v>
      </c>
      <c r="D224" t="str">
        <v>Law</v>
      </c>
      <c r="E224" t="str">
        <v>Speech</v>
      </c>
    </row>
    <row r="225" spans="1:5" x14ac:dyDescent="0.35">
      <c r="A225">
        <v>224</v>
      </c>
      <c r="B225" t="s">
        <v>11164</v>
      </c>
      <c r="C225" t="str" cm="1">
        <f t="array" ref="C225:E225">_xlfn.TEXTSPLIT(B225, "/")</f>
        <v>Instruction</v>
      </c>
      <c r="D225" t="str">
        <v>Law</v>
      </c>
      <c r="E225" t="str">
        <v>Speech</v>
      </c>
    </row>
    <row r="226" spans="1:5" x14ac:dyDescent="0.35">
      <c r="A226">
        <v>225</v>
      </c>
      <c r="B226" t="s">
        <v>11164</v>
      </c>
      <c r="C226" t="str" cm="1">
        <f t="array" ref="C226:E226">_xlfn.TEXTSPLIT(B226, "/")</f>
        <v>Instruction</v>
      </c>
      <c r="D226" t="str">
        <v>Law</v>
      </c>
      <c r="E226" t="str">
        <v>Speech</v>
      </c>
    </row>
    <row r="227" spans="1:5" x14ac:dyDescent="0.35">
      <c r="A227">
        <v>226</v>
      </c>
      <c r="B227" t="s">
        <v>11164</v>
      </c>
      <c r="C227" t="str" cm="1">
        <f t="array" ref="C227:E227">_xlfn.TEXTSPLIT(B227, "/")</f>
        <v>Instruction</v>
      </c>
      <c r="D227" t="str">
        <v>Law</v>
      </c>
      <c r="E227" t="str">
        <v>Speech</v>
      </c>
    </row>
    <row r="228" spans="1:5" x14ac:dyDescent="0.35">
      <c r="A228">
        <v>227</v>
      </c>
      <c r="B228" t="s">
        <v>11164</v>
      </c>
      <c r="C228" t="str" cm="1">
        <f t="array" ref="C228:E228">_xlfn.TEXTSPLIT(B228, "/")</f>
        <v>Instruction</v>
      </c>
      <c r="D228" t="str">
        <v>Law</v>
      </c>
      <c r="E228" t="str">
        <v>Speech</v>
      </c>
    </row>
    <row r="229" spans="1:5" x14ac:dyDescent="0.35">
      <c r="A229">
        <v>228</v>
      </c>
      <c r="B229" t="s">
        <v>11164</v>
      </c>
      <c r="C229" t="str" cm="1">
        <f t="array" ref="C229:E229">_xlfn.TEXTSPLIT(B229, "/")</f>
        <v>Instruction</v>
      </c>
      <c r="D229" t="str">
        <v>Law</v>
      </c>
      <c r="E229" t="str">
        <v>Speech</v>
      </c>
    </row>
    <row r="230" spans="1:5" x14ac:dyDescent="0.35">
      <c r="A230">
        <v>229</v>
      </c>
      <c r="B230" t="s">
        <v>11164</v>
      </c>
      <c r="C230" t="str" cm="1">
        <f t="array" ref="C230:E230">_xlfn.TEXTSPLIT(B230, "/")</f>
        <v>Instruction</v>
      </c>
      <c r="D230" t="str">
        <v>Law</v>
      </c>
      <c r="E230" t="str">
        <v>Speech</v>
      </c>
    </row>
    <row r="231" spans="1:5" x14ac:dyDescent="0.35">
      <c r="A231">
        <v>230</v>
      </c>
      <c r="B231" t="s">
        <v>11164</v>
      </c>
      <c r="C231" t="str" cm="1">
        <f t="array" ref="C231:E231">_xlfn.TEXTSPLIT(B231, "/")</f>
        <v>Instruction</v>
      </c>
      <c r="D231" t="str">
        <v>Law</v>
      </c>
      <c r="E231" t="str">
        <v>Speech</v>
      </c>
    </row>
    <row r="232" spans="1:5" x14ac:dyDescent="0.35">
      <c r="A232">
        <v>231</v>
      </c>
      <c r="B232" t="s">
        <v>11164</v>
      </c>
      <c r="C232" t="str" cm="1">
        <f t="array" ref="C232:E232">_xlfn.TEXTSPLIT(B232, "/")</f>
        <v>Instruction</v>
      </c>
      <c r="D232" t="str">
        <v>Law</v>
      </c>
      <c r="E232" t="str">
        <v>Speech</v>
      </c>
    </row>
    <row r="233" spans="1:5" x14ac:dyDescent="0.35">
      <c r="A233">
        <v>232</v>
      </c>
      <c r="B233" t="s">
        <v>11164</v>
      </c>
      <c r="C233" t="str" cm="1">
        <f t="array" ref="C233:E233">_xlfn.TEXTSPLIT(B233, "/")</f>
        <v>Instruction</v>
      </c>
      <c r="D233" t="str">
        <v>Law</v>
      </c>
      <c r="E233" t="str">
        <v>Speech</v>
      </c>
    </row>
    <row r="234" spans="1:5" x14ac:dyDescent="0.35">
      <c r="A234">
        <v>233</v>
      </c>
      <c r="B234" t="s">
        <v>11164</v>
      </c>
      <c r="C234" t="str" cm="1">
        <f t="array" ref="C234:E234">_xlfn.TEXTSPLIT(B234, "/")</f>
        <v>Instruction</v>
      </c>
      <c r="D234" t="str">
        <v>Law</v>
      </c>
      <c r="E234" t="str">
        <v>Speech</v>
      </c>
    </row>
    <row r="235" spans="1:5" x14ac:dyDescent="0.35">
      <c r="A235">
        <v>234</v>
      </c>
      <c r="B235" t="s">
        <v>11164</v>
      </c>
      <c r="C235" t="str" cm="1">
        <f t="array" ref="C235:E235">_xlfn.TEXTSPLIT(B235, "/")</f>
        <v>Instruction</v>
      </c>
      <c r="D235" t="str">
        <v>Law</v>
      </c>
      <c r="E235" t="str">
        <v>Speech</v>
      </c>
    </row>
    <row r="236" spans="1:5" x14ac:dyDescent="0.35">
      <c r="A236">
        <v>235</v>
      </c>
      <c r="B236" t="s">
        <v>11164</v>
      </c>
      <c r="C236" t="str" cm="1">
        <f t="array" ref="C236:E236">_xlfn.TEXTSPLIT(B236, "/")</f>
        <v>Instruction</v>
      </c>
      <c r="D236" t="str">
        <v>Law</v>
      </c>
      <c r="E236" t="str">
        <v>Speech</v>
      </c>
    </row>
    <row r="237" spans="1:5" x14ac:dyDescent="0.35">
      <c r="A237">
        <v>236</v>
      </c>
      <c r="B237" t="s">
        <v>10139</v>
      </c>
      <c r="C237" t="str" cm="1">
        <f t="array" ref="C237:D237">_xlfn.TEXTSPLIT(B237, "/")</f>
        <v>Covenant</v>
      </c>
      <c r="D237" t="str">
        <v>Promise</v>
      </c>
    </row>
    <row r="238" spans="1:5" x14ac:dyDescent="0.35">
      <c r="A238">
        <v>237</v>
      </c>
      <c r="B238" t="s">
        <v>11173</v>
      </c>
      <c r="C238" t="str" cm="1">
        <f t="array" ref="C238:D238">_xlfn.TEXTSPLIT(B238, "/")</f>
        <v>Presence</v>
      </c>
      <c r="D238" t="str">
        <v>Promise</v>
      </c>
    </row>
    <row r="239" spans="1:5" x14ac:dyDescent="0.35">
      <c r="A239">
        <v>238</v>
      </c>
      <c r="B239" t="s">
        <v>11174</v>
      </c>
      <c r="C239" t="str" cm="1">
        <f t="array" ref="C239:D239">_xlfn.TEXTSPLIT(B239, "/")</f>
        <v>Judgment</v>
      </c>
      <c r="D239" t="str">
        <v>Warning</v>
      </c>
    </row>
    <row r="240" spans="1:5" x14ac:dyDescent="0.35">
      <c r="A240">
        <v>239</v>
      </c>
      <c r="B240" t="s">
        <v>10256</v>
      </c>
      <c r="C240" t="str" cm="1">
        <f t="array" ref="C240:D240">_xlfn.TEXTSPLIT(B240, "/")</f>
        <v>Mercy</v>
      </c>
      <c r="D240" t="str">
        <v>Promise</v>
      </c>
    </row>
    <row r="241" spans="1:5" x14ac:dyDescent="0.35">
      <c r="A241">
        <v>240</v>
      </c>
      <c r="B241" t="s">
        <v>11175</v>
      </c>
      <c r="C241" t="str" cm="1">
        <f t="array" ref="C241:D241">_xlfn.TEXTSPLIT(B241, "/")</f>
        <v>Instruction</v>
      </c>
      <c r="D241" t="str">
        <v>Law</v>
      </c>
    </row>
    <row r="242" spans="1:5" x14ac:dyDescent="0.35">
      <c r="A242">
        <v>241</v>
      </c>
      <c r="B242" t="s">
        <v>11176</v>
      </c>
      <c r="C242" t="str" cm="1">
        <f t="array" ref="C242:E242">_xlfn.TEXTSPLIT(B242, "/")</f>
        <v>Command</v>
      </c>
      <c r="D242" t="str">
        <v>Instruction</v>
      </c>
      <c r="E242" t="str">
        <v>Speech</v>
      </c>
    </row>
    <row r="243" spans="1:5" x14ac:dyDescent="0.35">
      <c r="A243">
        <v>242</v>
      </c>
      <c r="B243" t="s">
        <v>11177</v>
      </c>
      <c r="C243" t="str" cm="1">
        <f t="array" ref="C243:E243">_xlfn.TEXTSPLIT(B243, "/")</f>
        <v>Instruction</v>
      </c>
      <c r="D243" t="str">
        <v>Organization</v>
      </c>
      <c r="E243" t="str">
        <v>Speech</v>
      </c>
    </row>
    <row r="244" spans="1:5" x14ac:dyDescent="0.35">
      <c r="A244">
        <v>243</v>
      </c>
      <c r="B244" t="s">
        <v>11145</v>
      </c>
      <c r="C244" t="str" cm="1">
        <f t="array" ref="C244:D244">_xlfn.TEXTSPLIT(B244, "/")</f>
        <v>Appointment</v>
      </c>
      <c r="D244" t="str">
        <v>Speech</v>
      </c>
    </row>
    <row r="245" spans="1:5" x14ac:dyDescent="0.35">
      <c r="A245">
        <v>244</v>
      </c>
      <c r="B245" t="s">
        <v>11112</v>
      </c>
      <c r="C245" t="str" cm="1">
        <f t="array" ref="C245:D245">_xlfn.TEXTSPLIT(B245, "/")</f>
        <v>Instruction</v>
      </c>
      <c r="D245" t="str">
        <v>Speech</v>
      </c>
    </row>
    <row r="246" spans="1:5" x14ac:dyDescent="0.35">
      <c r="A246">
        <v>245</v>
      </c>
      <c r="B246" t="s">
        <v>11164</v>
      </c>
      <c r="C246" t="str" cm="1">
        <f t="array" ref="C246:E246">_xlfn.TEXTSPLIT(B246, "/")</f>
        <v>Instruction</v>
      </c>
      <c r="D246" t="str">
        <v>Law</v>
      </c>
      <c r="E246" t="str">
        <v>Speech</v>
      </c>
    </row>
    <row r="247" spans="1:5" x14ac:dyDescent="0.35">
      <c r="A247">
        <v>246</v>
      </c>
      <c r="B247" t="s">
        <v>11164</v>
      </c>
      <c r="C247" t="str" cm="1">
        <f t="array" ref="C247:E247">_xlfn.TEXTSPLIT(B247, "/")</f>
        <v>Instruction</v>
      </c>
      <c r="D247" t="str">
        <v>Law</v>
      </c>
      <c r="E247" t="str">
        <v>Speech</v>
      </c>
    </row>
    <row r="248" spans="1:5" x14ac:dyDescent="0.35">
      <c r="A248">
        <v>247</v>
      </c>
      <c r="B248" t="s">
        <v>11178</v>
      </c>
      <c r="C248" t="str" cm="1">
        <f t="array" ref="C248:E248">_xlfn.TEXTSPLIT(B248, "/")</f>
        <v>Judgment</v>
      </c>
      <c r="D248" t="str">
        <v>Law</v>
      </c>
      <c r="E248" t="str">
        <v>Speech</v>
      </c>
    </row>
    <row r="249" spans="1:5" x14ac:dyDescent="0.35">
      <c r="A249">
        <v>248</v>
      </c>
      <c r="B249" t="s">
        <v>11164</v>
      </c>
      <c r="C249" t="str" cm="1">
        <f t="array" ref="C249:E249">_xlfn.TEXTSPLIT(B249, "/")</f>
        <v>Instruction</v>
      </c>
      <c r="D249" t="str">
        <v>Law</v>
      </c>
      <c r="E249" t="str">
        <v>Speech</v>
      </c>
    </row>
    <row r="250" spans="1:5" x14ac:dyDescent="0.35">
      <c r="A250">
        <v>249</v>
      </c>
      <c r="B250" t="s">
        <v>11179</v>
      </c>
      <c r="C250" t="str" cm="1">
        <f t="array" ref="C250:E250">_xlfn.TEXTSPLIT(B250, "/")</f>
        <v>Blessing</v>
      </c>
      <c r="D250" t="str">
        <v>Instruction</v>
      </c>
      <c r="E250" t="str">
        <v>Speech</v>
      </c>
    </row>
    <row r="251" spans="1:5" x14ac:dyDescent="0.35">
      <c r="A251">
        <v>250</v>
      </c>
      <c r="B251" t="s">
        <v>11180</v>
      </c>
      <c r="C251" t="str" cm="1">
        <f t="array" ref="C251:E251">_xlfn.TEXTSPLIT(B251, "/")</f>
        <v>Assignment</v>
      </c>
      <c r="D251" t="str">
        <v>Provision</v>
      </c>
      <c r="E251" t="str">
        <v>Speech</v>
      </c>
    </row>
    <row r="252" spans="1:5" x14ac:dyDescent="0.35">
      <c r="A252">
        <v>251</v>
      </c>
      <c r="B252" t="s">
        <v>11181</v>
      </c>
      <c r="C252" t="str" cm="1">
        <f t="array" ref="C252:D252">_xlfn.TEXTSPLIT(B252, "/")</f>
        <v>Communication</v>
      </c>
      <c r="D252" t="str">
        <v>Speech</v>
      </c>
    </row>
    <row r="253" spans="1:5" x14ac:dyDescent="0.35">
      <c r="A253">
        <v>252</v>
      </c>
      <c r="B253" t="s">
        <v>11112</v>
      </c>
      <c r="C253" t="str" cm="1">
        <f t="array" ref="C253:D253">_xlfn.TEXTSPLIT(B253, "/")</f>
        <v>Instruction</v>
      </c>
      <c r="D253" t="str">
        <v>Speech</v>
      </c>
    </row>
    <row r="254" spans="1:5" x14ac:dyDescent="0.35">
      <c r="A254">
        <v>253</v>
      </c>
      <c r="B254" t="s">
        <v>11182</v>
      </c>
      <c r="C254" t="str" cm="1">
        <f t="array" ref="C254:E254">_xlfn.TEXTSPLIT(B254, "/")</f>
        <v>Command</v>
      </c>
      <c r="D254" t="str">
        <v>Consecration</v>
      </c>
      <c r="E254" t="str">
        <v>Speech</v>
      </c>
    </row>
    <row r="255" spans="1:5" x14ac:dyDescent="0.35">
      <c r="A255">
        <v>254</v>
      </c>
      <c r="B255" t="s">
        <v>11183</v>
      </c>
      <c r="C255" t="str" cm="1">
        <f t="array" ref="C255:D255">_xlfn.TEXTSPLIT(B255, "/")</f>
        <v>Institution</v>
      </c>
      <c r="D255" t="str">
        <v>Speech</v>
      </c>
    </row>
    <row r="256" spans="1:5" x14ac:dyDescent="0.35">
      <c r="A256">
        <v>255</v>
      </c>
      <c r="B256" t="s">
        <v>10051</v>
      </c>
      <c r="C256" t="str" cm="1">
        <f t="array" ref="C256:D256">_xlfn.TEXTSPLIT(B256, "/")</f>
        <v>Guidance</v>
      </c>
      <c r="D256" t="str">
        <v>Presence</v>
      </c>
    </row>
    <row r="257" spans="1:6" x14ac:dyDescent="0.35">
      <c r="A257">
        <v>256</v>
      </c>
      <c r="B257" t="s">
        <v>11112</v>
      </c>
      <c r="C257" t="str" cm="1">
        <f t="array" ref="C257:D257">_xlfn.TEXTSPLIT(B257, "/")</f>
        <v>Instruction</v>
      </c>
      <c r="D257" t="str">
        <v>Speech</v>
      </c>
    </row>
    <row r="258" spans="1:6" x14ac:dyDescent="0.35">
      <c r="A258">
        <v>257</v>
      </c>
      <c r="B258" t="s">
        <v>10058</v>
      </c>
      <c r="C258" t="str" cm="1">
        <f t="array" ref="C258:D258">_xlfn.TEXTSPLIT(B258, "/")</f>
        <v>Guidance</v>
      </c>
      <c r="D258" t="str">
        <v>Movement</v>
      </c>
    </row>
    <row r="259" spans="1:6" x14ac:dyDescent="0.35">
      <c r="A259">
        <v>258</v>
      </c>
      <c r="B259" t="s">
        <v>10220</v>
      </c>
      <c r="C259" t="str" cm="1">
        <f t="array" ref="C259:D259">_xlfn.TEXTSPLIT(B259, "/")</f>
        <v>Fire</v>
      </c>
      <c r="D259" t="str">
        <v>Judgment</v>
      </c>
    </row>
    <row r="260" spans="1:6" x14ac:dyDescent="0.35">
      <c r="A260">
        <v>259</v>
      </c>
      <c r="B260" t="s">
        <v>11104</v>
      </c>
      <c r="C260" t="str" cm="1">
        <f t="array" ref="C260:D260">_xlfn.TEXTSPLIT(B260, "/")</f>
        <v>Intercession</v>
      </c>
      <c r="D260" t="str">
        <v>Prayer</v>
      </c>
    </row>
    <row r="261" spans="1:6" x14ac:dyDescent="0.35">
      <c r="A261">
        <v>260</v>
      </c>
      <c r="B261" t="s">
        <v>11184</v>
      </c>
      <c r="C261" t="str" cm="1">
        <f t="array" ref="C261:E261">_xlfn.TEXTSPLIT(B261, "/")</f>
        <v>Appointment</v>
      </c>
      <c r="D261" t="str">
        <v>Promise</v>
      </c>
      <c r="E261" t="str">
        <v>Speech</v>
      </c>
    </row>
    <row r="262" spans="1:6" x14ac:dyDescent="0.35">
      <c r="A262">
        <v>261</v>
      </c>
      <c r="B262" t="s">
        <v>11185</v>
      </c>
      <c r="C262" t="str" cm="1">
        <f t="array" ref="C262:F262">_xlfn.TEXTSPLIT(B262, "/")</f>
        <v>Cloud</v>
      </c>
      <c r="D262" t="str">
        <v>Empowerment</v>
      </c>
      <c r="E262" t="str">
        <v>Presence</v>
      </c>
      <c r="F262" t="str">
        <v>Prophecy</v>
      </c>
    </row>
    <row r="263" spans="1:6" x14ac:dyDescent="0.35">
      <c r="A263">
        <v>262</v>
      </c>
      <c r="B263" t="s">
        <v>10059</v>
      </c>
      <c r="C263" t="str" cm="1">
        <f t="array" ref="C263:D263">_xlfn.TEXTSPLIT(B263, "/")</f>
        <v>Empowerment</v>
      </c>
      <c r="D263" t="str">
        <v>Prophecy</v>
      </c>
    </row>
    <row r="264" spans="1:6" x14ac:dyDescent="0.35">
      <c r="A264">
        <v>263</v>
      </c>
      <c r="B264" t="s">
        <v>11186</v>
      </c>
      <c r="C264" t="str" cm="1">
        <f t="array" ref="C264:D264">_xlfn.TEXTSPLIT(B264, "/")</f>
        <v>Provision</v>
      </c>
      <c r="D264" t="str">
        <v>Wind</v>
      </c>
    </row>
    <row r="265" spans="1:6" x14ac:dyDescent="0.35">
      <c r="A265">
        <v>264</v>
      </c>
      <c r="B265" t="s">
        <v>10049</v>
      </c>
      <c r="C265" t="str" cm="1">
        <f t="array" ref="C265:D265">_xlfn.TEXTSPLIT(B265, "/")</f>
        <v>Judgment</v>
      </c>
      <c r="D265" t="str">
        <v>Plague</v>
      </c>
    </row>
    <row r="266" spans="1:6" x14ac:dyDescent="0.35">
      <c r="A266">
        <v>265</v>
      </c>
      <c r="B266" t="s">
        <v>11118</v>
      </c>
      <c r="C266" t="str" cm="1">
        <f t="array" ref="C266:D266">_xlfn.TEXTSPLIT(B266, "/")</f>
        <v>Calling</v>
      </c>
      <c r="D266" t="str">
        <v>Speech</v>
      </c>
    </row>
    <row r="267" spans="1:6" x14ac:dyDescent="0.35">
      <c r="A267">
        <v>266</v>
      </c>
      <c r="B267" t="s">
        <v>11187</v>
      </c>
      <c r="C267" t="str" cm="1">
        <f t="array" ref="C267:D267">_xlfn.TEXTSPLIT(B267, "/")</f>
        <v>Appearance</v>
      </c>
      <c r="D267" t="str">
        <v>Theophany</v>
      </c>
    </row>
    <row r="268" spans="1:6" x14ac:dyDescent="0.35">
      <c r="A268">
        <v>267</v>
      </c>
      <c r="B268" t="s">
        <v>11188</v>
      </c>
      <c r="C268" t="str" cm="1">
        <f t="array" ref="C268:D268">_xlfn.TEXTSPLIT(B268, "/")</f>
        <v>Defense</v>
      </c>
      <c r="D268" t="str">
        <v>Speech</v>
      </c>
    </row>
    <row r="269" spans="1:6" x14ac:dyDescent="0.35">
      <c r="A269">
        <v>268</v>
      </c>
      <c r="B269" t="s">
        <v>10060</v>
      </c>
      <c r="C269" t="str" cm="1">
        <f t="array" ref="C269:D269">_xlfn.TEXTSPLIT(B269, "/")</f>
        <v>Judgment</v>
      </c>
      <c r="D269" t="str">
        <v>Leprosy</v>
      </c>
    </row>
    <row r="270" spans="1:6" x14ac:dyDescent="0.35">
      <c r="A270">
        <v>269</v>
      </c>
      <c r="B270" t="s">
        <v>12663</v>
      </c>
      <c r="C270" t="str" cm="1">
        <f t="array" ref="C270:E270">_xlfn.TEXTSPLIT(B270, "/")</f>
        <v>Intercession</v>
      </c>
      <c r="D270" t="str">
        <v>Prayer</v>
      </c>
      <c r="E270" t="str">
        <v>Speech</v>
      </c>
    </row>
    <row r="271" spans="1:6" x14ac:dyDescent="0.35">
      <c r="A271">
        <v>270</v>
      </c>
      <c r="B271" t="s">
        <v>10061</v>
      </c>
      <c r="C271" t="str" cm="1">
        <f t="array" ref="C271:D271">_xlfn.TEXTSPLIT(B271, "/")</f>
        <v>Healing</v>
      </c>
      <c r="D271" t="str">
        <v>Restoration</v>
      </c>
    </row>
    <row r="272" spans="1:6" x14ac:dyDescent="0.35">
      <c r="A272">
        <v>271</v>
      </c>
      <c r="B272" t="s">
        <v>11176</v>
      </c>
      <c r="C272" t="str" cm="1">
        <f t="array" ref="C272:E272">_xlfn.TEXTSPLIT(B272, "/")</f>
        <v>Command</v>
      </c>
      <c r="D272" t="str">
        <v>Instruction</v>
      </c>
      <c r="E272" t="str">
        <v>Speech</v>
      </c>
    </row>
    <row r="273" spans="1:5" x14ac:dyDescent="0.35">
      <c r="A273">
        <v>272</v>
      </c>
      <c r="B273" t="s">
        <v>11160</v>
      </c>
      <c r="C273" t="str" cm="1">
        <f t="array" ref="C273:D273">_xlfn.TEXTSPLIT(B273, "/")</f>
        <v>Glory</v>
      </c>
      <c r="D273" t="str">
        <v>Theophany</v>
      </c>
    </row>
    <row r="274" spans="1:5" x14ac:dyDescent="0.35">
      <c r="A274">
        <v>273</v>
      </c>
      <c r="B274" t="s">
        <v>10719</v>
      </c>
      <c r="C274" t="str" cm="1">
        <f t="array" ref="C274:D274">_xlfn.TEXTSPLIT(B274, "/")</f>
        <v>Speech</v>
      </c>
      <c r="D274" t="str">
        <v>Warning</v>
      </c>
    </row>
    <row r="275" spans="1:5" x14ac:dyDescent="0.35">
      <c r="A275">
        <v>274</v>
      </c>
      <c r="B275" t="s">
        <v>11189</v>
      </c>
      <c r="C275" t="str" cm="1">
        <f t="array" ref="C275:E275">_xlfn.TEXTSPLIT(B275, "/")</f>
        <v>Judgment</v>
      </c>
      <c r="D275" t="str">
        <v>Mercy</v>
      </c>
      <c r="E275" t="str">
        <v>Speech</v>
      </c>
    </row>
    <row r="276" spans="1:5" x14ac:dyDescent="0.35">
      <c r="A276">
        <v>275</v>
      </c>
      <c r="B276" t="s">
        <v>10049</v>
      </c>
      <c r="C276" t="str" cm="1">
        <f t="array" ref="C276:D276">_xlfn.TEXTSPLIT(B276, "/")</f>
        <v>Judgment</v>
      </c>
      <c r="D276" t="str">
        <v>Plague</v>
      </c>
    </row>
    <row r="277" spans="1:5" x14ac:dyDescent="0.35">
      <c r="A277">
        <v>276</v>
      </c>
      <c r="B277" t="s">
        <v>11190</v>
      </c>
      <c r="C277" t="str" cm="1">
        <f t="array" ref="C277:D277">_xlfn.TEXTSPLIT(B277, "/")</f>
        <v>Defeat</v>
      </c>
      <c r="D277" t="str">
        <v>Judgment</v>
      </c>
    </row>
    <row r="278" spans="1:5" x14ac:dyDescent="0.35">
      <c r="A278">
        <v>277</v>
      </c>
      <c r="B278" t="s">
        <v>11175</v>
      </c>
      <c r="C278" t="str" cm="1">
        <f t="array" ref="C278:D278">_xlfn.TEXTSPLIT(B278, "/")</f>
        <v>Instruction</v>
      </c>
      <c r="D278" t="str">
        <v>Law</v>
      </c>
    </row>
    <row r="279" spans="1:5" x14ac:dyDescent="0.35">
      <c r="A279">
        <v>278</v>
      </c>
      <c r="B279" t="s">
        <v>11191</v>
      </c>
      <c r="C279" t="str" cm="1">
        <f t="array" ref="C279:E279">_xlfn.TEXTSPLIT(B279, "/")</f>
        <v>Execution</v>
      </c>
      <c r="D279" t="str">
        <v>Judgment</v>
      </c>
      <c r="E279" t="str">
        <v>Speech</v>
      </c>
    </row>
    <row r="280" spans="1:5" x14ac:dyDescent="0.35">
      <c r="A280">
        <v>279</v>
      </c>
      <c r="B280" t="s">
        <v>11176</v>
      </c>
      <c r="C280" t="str" cm="1">
        <f t="array" ref="C280:E280">_xlfn.TEXTSPLIT(B280, "/")</f>
        <v>Command</v>
      </c>
      <c r="D280" t="str">
        <v>Instruction</v>
      </c>
      <c r="E280" t="str">
        <v>Speech</v>
      </c>
    </row>
    <row r="281" spans="1:5" x14ac:dyDescent="0.35">
      <c r="A281">
        <v>280</v>
      </c>
      <c r="B281" t="s">
        <v>10719</v>
      </c>
      <c r="C281" t="str" cm="1">
        <f t="array" ref="C281:D281">_xlfn.TEXTSPLIT(B281, "/")</f>
        <v>Speech</v>
      </c>
      <c r="D281" t="str">
        <v>Warning</v>
      </c>
    </row>
    <row r="282" spans="1:5" x14ac:dyDescent="0.35">
      <c r="A282">
        <v>281</v>
      </c>
      <c r="B282" t="s">
        <v>11192</v>
      </c>
      <c r="C282" t="str" cm="1">
        <f t="array" ref="C282:E282">_xlfn.TEXTSPLIT(B282, "/")</f>
        <v>Mercy</v>
      </c>
      <c r="D282" t="str">
        <v>Speech</v>
      </c>
      <c r="E282" t="str">
        <v>Warning</v>
      </c>
    </row>
    <row r="283" spans="1:5" x14ac:dyDescent="0.35">
      <c r="A283">
        <v>282</v>
      </c>
      <c r="B283" t="s">
        <v>11193</v>
      </c>
      <c r="C283" t="str" cm="1">
        <f t="array" ref="C283:D283">_xlfn.TEXTSPLIT(B283, "/")</f>
        <v>Earthquake</v>
      </c>
      <c r="D283" t="str">
        <v>Judgment</v>
      </c>
    </row>
    <row r="284" spans="1:5" x14ac:dyDescent="0.35">
      <c r="A284">
        <v>283</v>
      </c>
      <c r="B284" t="s">
        <v>10220</v>
      </c>
      <c r="C284" t="str" cm="1">
        <f t="array" ref="C284:D284">_xlfn.TEXTSPLIT(B284, "/")</f>
        <v>Fire</v>
      </c>
      <c r="D284" t="str">
        <v>Judgment</v>
      </c>
    </row>
    <row r="285" spans="1:5" x14ac:dyDescent="0.35">
      <c r="A285">
        <v>284</v>
      </c>
      <c r="B285" t="s">
        <v>11194</v>
      </c>
      <c r="C285" t="str" cm="1">
        <f t="array" ref="C285:E285">_xlfn.TEXTSPLIT(B285, "/")</f>
        <v>Command</v>
      </c>
      <c r="D285" t="str">
        <v>Memorial</v>
      </c>
      <c r="E285" t="str">
        <v>Speech</v>
      </c>
    </row>
    <row r="286" spans="1:5" x14ac:dyDescent="0.35">
      <c r="A286">
        <v>285</v>
      </c>
      <c r="B286" t="s">
        <v>11160</v>
      </c>
      <c r="C286" t="str" cm="1">
        <f t="array" ref="C286:D286">_xlfn.TEXTSPLIT(B286, "/")</f>
        <v>Glory</v>
      </c>
      <c r="D286" t="str">
        <v>Theophany</v>
      </c>
    </row>
    <row r="287" spans="1:5" x14ac:dyDescent="0.35">
      <c r="A287">
        <v>286</v>
      </c>
      <c r="B287" t="s">
        <v>10546</v>
      </c>
      <c r="C287" t="str" cm="1">
        <f t="array" ref="C287">_xlfn.TEXTSPLIT(B287, "/")</f>
        <v>Warning</v>
      </c>
    </row>
    <row r="288" spans="1:5" x14ac:dyDescent="0.35">
      <c r="A288">
        <v>287</v>
      </c>
      <c r="B288" t="s">
        <v>10049</v>
      </c>
      <c r="C288" t="str" cm="1">
        <f t="array" ref="C288:D288">_xlfn.TEXTSPLIT(B288, "/")</f>
        <v>Judgment</v>
      </c>
      <c r="D288" t="str">
        <v>Plague</v>
      </c>
    </row>
    <row r="289" spans="1:5" x14ac:dyDescent="0.35">
      <c r="A289">
        <v>288</v>
      </c>
      <c r="B289" t="s">
        <v>11195</v>
      </c>
      <c r="C289" t="str" cm="1">
        <f t="array" ref="C289:D289">_xlfn.TEXTSPLIT(B289, "/")</f>
        <v>Atonement</v>
      </c>
      <c r="D289" t="str">
        <v>Mercy</v>
      </c>
    </row>
    <row r="290" spans="1:5" x14ac:dyDescent="0.35">
      <c r="A290">
        <v>289</v>
      </c>
      <c r="B290" t="s">
        <v>11139</v>
      </c>
      <c r="C290" t="str" cm="1">
        <f t="array" ref="C290:D290">_xlfn.TEXTSPLIT(B290, "/")</f>
        <v>Death</v>
      </c>
      <c r="D290" t="str">
        <v>Judgment</v>
      </c>
    </row>
    <row r="291" spans="1:5" x14ac:dyDescent="0.35">
      <c r="A291">
        <v>290</v>
      </c>
      <c r="B291" t="s">
        <v>11196</v>
      </c>
      <c r="C291" t="str" cm="1">
        <f t="array" ref="C291:E291">_xlfn.TEXTSPLIT(B291, "/")</f>
        <v>Command</v>
      </c>
      <c r="D291" t="str">
        <v>Speech</v>
      </c>
      <c r="E291" t="str">
        <v>Test</v>
      </c>
    </row>
    <row r="292" spans="1:5" x14ac:dyDescent="0.35">
      <c r="A292">
        <v>291</v>
      </c>
      <c r="B292" t="s">
        <v>10604</v>
      </c>
      <c r="C292" t="str" cm="1">
        <f t="array" ref="C292">_xlfn.TEXTSPLIT(B292, "/")</f>
        <v>Sign</v>
      </c>
    </row>
    <row r="293" spans="1:5" x14ac:dyDescent="0.35">
      <c r="A293">
        <v>292</v>
      </c>
      <c r="B293" t="s">
        <v>11194</v>
      </c>
      <c r="C293" t="str" cm="1">
        <f t="array" ref="C293:E293">_xlfn.TEXTSPLIT(B293, "/")</f>
        <v>Command</v>
      </c>
      <c r="D293" t="str">
        <v>Memorial</v>
      </c>
      <c r="E293" t="str">
        <v>Speech</v>
      </c>
    </row>
    <row r="294" spans="1:5" x14ac:dyDescent="0.35">
      <c r="A294">
        <v>293</v>
      </c>
      <c r="B294" t="s">
        <v>11175</v>
      </c>
      <c r="C294" t="str" cm="1">
        <f t="array" ref="C294:D294">_xlfn.TEXTSPLIT(B294, "/")</f>
        <v>Instruction</v>
      </c>
      <c r="D294" t="str">
        <v>Law</v>
      </c>
    </row>
    <row r="295" spans="1:5" x14ac:dyDescent="0.35">
      <c r="A295">
        <v>294</v>
      </c>
      <c r="B295" t="s">
        <v>11175</v>
      </c>
      <c r="C295" t="str" cm="1">
        <f t="array" ref="C295:D295">_xlfn.TEXTSPLIT(B295, "/")</f>
        <v>Instruction</v>
      </c>
      <c r="D295" t="str">
        <v>Law</v>
      </c>
    </row>
    <row r="296" spans="1:5" x14ac:dyDescent="0.35">
      <c r="A296">
        <v>295</v>
      </c>
      <c r="B296" t="s">
        <v>11197</v>
      </c>
      <c r="C296" t="str" cm="1">
        <f t="array" ref="C296:D296">_xlfn.TEXTSPLIT(B296, "/")</f>
        <v>Command</v>
      </c>
      <c r="D296" t="str">
        <v>Instruction</v>
      </c>
    </row>
    <row r="297" spans="1:5" x14ac:dyDescent="0.35">
      <c r="A297">
        <v>296</v>
      </c>
      <c r="B297" t="s">
        <v>10038</v>
      </c>
      <c r="C297" t="str" cm="1">
        <f t="array" ref="C297">_xlfn.TEXTSPLIT(B297, "/")</f>
        <v>Provision</v>
      </c>
    </row>
    <row r="298" spans="1:5" x14ac:dyDescent="0.35">
      <c r="A298">
        <v>297</v>
      </c>
      <c r="B298" t="s">
        <v>10062</v>
      </c>
      <c r="C298" t="str" cm="1">
        <f t="array" ref="C298:D298">_xlfn.TEXTSPLIT(B298, "/")</f>
        <v>Judgment</v>
      </c>
      <c r="D298" t="str">
        <v>Prohibition</v>
      </c>
    </row>
    <row r="299" spans="1:5" x14ac:dyDescent="0.35">
      <c r="A299">
        <v>298</v>
      </c>
      <c r="B299" t="s">
        <v>11198</v>
      </c>
      <c r="C299" t="str" cm="1">
        <f t="array" ref="C299:D299">_xlfn.TEXTSPLIT(B299, "/")</f>
        <v>Death</v>
      </c>
      <c r="D299" t="str">
        <v>Timing</v>
      </c>
    </row>
    <row r="300" spans="1:5" x14ac:dyDescent="0.35">
      <c r="A300">
        <v>299</v>
      </c>
      <c r="B300" t="s">
        <v>11199</v>
      </c>
      <c r="C300" t="str" cm="1">
        <f t="array" ref="C300:E300">_xlfn.TEXTSPLIT(B300, "/")</f>
        <v>Deliverance</v>
      </c>
      <c r="D300" t="str">
        <v>Prayer</v>
      </c>
      <c r="E300" t="str">
        <v>Victory</v>
      </c>
    </row>
    <row r="301" spans="1:5" x14ac:dyDescent="0.35">
      <c r="A301">
        <v>300</v>
      </c>
      <c r="B301" t="s">
        <v>11139</v>
      </c>
      <c r="C301" t="str" cm="1">
        <f t="array" ref="C301:D301">_xlfn.TEXTSPLIT(B301, "/")</f>
        <v>Death</v>
      </c>
      <c r="D301" t="str">
        <v>Judgment</v>
      </c>
    </row>
    <row r="302" spans="1:5" x14ac:dyDescent="0.35">
      <c r="A302">
        <v>301</v>
      </c>
      <c r="B302" t="s">
        <v>11200</v>
      </c>
      <c r="C302" t="str" cm="1">
        <f t="array" ref="C302:E302">_xlfn.TEXTSPLIT(B302, "/")</f>
        <v>Command</v>
      </c>
      <c r="D302" t="str">
        <v>Remedy</v>
      </c>
      <c r="E302" t="str">
        <v>Speech</v>
      </c>
    </row>
    <row r="303" spans="1:5" x14ac:dyDescent="0.35">
      <c r="A303">
        <v>302</v>
      </c>
      <c r="B303" t="s">
        <v>10063</v>
      </c>
      <c r="C303" t="str" cm="1">
        <f t="array" ref="C303:D303">_xlfn.TEXTSPLIT(B303, "/")</f>
        <v>Healing</v>
      </c>
      <c r="D303" t="str">
        <v>Salvation</v>
      </c>
    </row>
    <row r="304" spans="1:5" x14ac:dyDescent="0.35">
      <c r="A304">
        <v>303</v>
      </c>
      <c r="B304" t="s">
        <v>12710</v>
      </c>
      <c r="C304" t="str" cm="1">
        <f t="array" ref="C304:D304">_xlfn.TEXTSPLIT(B304, "/")</f>
        <v>Victory</v>
      </c>
      <c r="D304" t="str">
        <v>War</v>
      </c>
    </row>
    <row r="305" spans="1:5" x14ac:dyDescent="0.35">
      <c r="A305">
        <v>304</v>
      </c>
      <c r="B305" t="s">
        <v>12710</v>
      </c>
      <c r="C305" t="str" cm="1">
        <f t="array" ref="C305:D305">_xlfn.TEXTSPLIT(B305, "/")</f>
        <v>Victory</v>
      </c>
      <c r="D305" t="str">
        <v>War</v>
      </c>
    </row>
    <row r="306" spans="1:5" x14ac:dyDescent="0.35">
      <c r="A306">
        <v>305</v>
      </c>
      <c r="B306" t="s">
        <v>11201</v>
      </c>
      <c r="C306" t="str" cm="1">
        <f t="array" ref="C306:D306">_xlfn.TEXTSPLIT(B306, "/")</f>
        <v>Prohibition</v>
      </c>
      <c r="D306" t="str">
        <v>Speech</v>
      </c>
    </row>
    <row r="307" spans="1:5" x14ac:dyDescent="0.35">
      <c r="A307">
        <v>306</v>
      </c>
      <c r="B307" t="s">
        <v>11202</v>
      </c>
      <c r="C307" t="str" cm="1">
        <f t="array" ref="C307:D307">_xlfn.TEXTSPLIT(B307, "/")</f>
        <v>Permission</v>
      </c>
      <c r="D307" t="str">
        <v>Speech</v>
      </c>
    </row>
    <row r="308" spans="1:5" x14ac:dyDescent="0.35">
      <c r="A308">
        <v>307</v>
      </c>
      <c r="B308" t="s">
        <v>10065</v>
      </c>
      <c r="C308" t="str" cm="1">
        <f t="array" ref="C308:D308">_xlfn.TEXTSPLIT(B308, "/")</f>
        <v>Intervention</v>
      </c>
      <c r="D308" t="str">
        <v>Opposition</v>
      </c>
    </row>
    <row r="309" spans="1:5" x14ac:dyDescent="0.35">
      <c r="A309">
        <v>308</v>
      </c>
      <c r="B309" t="s">
        <v>10753</v>
      </c>
      <c r="C309" t="str" cm="1">
        <f t="array" ref="C309">_xlfn.TEXTSPLIT(B309, "/")</f>
        <v>Speech</v>
      </c>
    </row>
    <row r="310" spans="1:5" x14ac:dyDescent="0.35">
      <c r="A310">
        <v>309</v>
      </c>
      <c r="B310" t="s">
        <v>10524</v>
      </c>
      <c r="C310" t="str" cm="1">
        <f t="array" ref="C310:D310">_xlfn.TEXTSPLIT(B310, "/")</f>
        <v>Revelation</v>
      </c>
      <c r="D310" t="str">
        <v>Vision</v>
      </c>
    </row>
    <row r="311" spans="1:5" x14ac:dyDescent="0.35">
      <c r="A311">
        <v>310</v>
      </c>
      <c r="B311" t="s">
        <v>11203</v>
      </c>
      <c r="C311" t="str" cm="1">
        <f t="array" ref="C311:D311">_xlfn.TEXTSPLIT(B311, "/")</f>
        <v>Rebuke</v>
      </c>
      <c r="D311" t="str">
        <v>Speech</v>
      </c>
    </row>
    <row r="312" spans="1:5" x14ac:dyDescent="0.35">
      <c r="A312">
        <v>311</v>
      </c>
      <c r="B312" t="s">
        <v>10606</v>
      </c>
      <c r="C312" t="str" cm="1">
        <f t="array" ref="C312">_xlfn.TEXTSPLIT(B312, "/")</f>
        <v>Appearance</v>
      </c>
    </row>
    <row r="313" spans="1:5" x14ac:dyDescent="0.35">
      <c r="A313">
        <v>312</v>
      </c>
      <c r="B313" t="s">
        <v>11204</v>
      </c>
      <c r="C313" t="str" cm="1">
        <f t="array" ref="C313:D313">_xlfn.TEXTSPLIT(B313, "/")</f>
        <v>Control</v>
      </c>
      <c r="D313" t="str">
        <v>Speech</v>
      </c>
    </row>
    <row r="314" spans="1:5" x14ac:dyDescent="0.35">
      <c r="A314">
        <v>313</v>
      </c>
      <c r="B314" t="s">
        <v>10066</v>
      </c>
      <c r="C314" t="str" cm="1">
        <f t="array" ref="C314:D314">_xlfn.TEXTSPLIT(B314, "/")</f>
        <v>Blessing</v>
      </c>
      <c r="D314" t="str">
        <v>Prophecy</v>
      </c>
    </row>
    <row r="315" spans="1:5" x14ac:dyDescent="0.35">
      <c r="A315">
        <v>314</v>
      </c>
      <c r="B315" t="s">
        <v>10059</v>
      </c>
      <c r="C315" t="str" cm="1">
        <f t="array" ref="C315:D315">_xlfn.TEXTSPLIT(B315, "/")</f>
        <v>Empowerment</v>
      </c>
      <c r="D315" t="str">
        <v>Prophecy</v>
      </c>
    </row>
    <row r="316" spans="1:5" x14ac:dyDescent="0.35">
      <c r="A316">
        <v>315</v>
      </c>
      <c r="B316" t="s">
        <v>10544</v>
      </c>
      <c r="C316" t="str" cm="1">
        <f t="array" ref="C316">_xlfn.TEXTSPLIT(B316, "/")</f>
        <v>Judgment</v>
      </c>
    </row>
    <row r="317" spans="1:5" x14ac:dyDescent="0.35">
      <c r="A317">
        <v>316</v>
      </c>
      <c r="B317" t="s">
        <v>10049</v>
      </c>
      <c r="C317" t="str" cm="1">
        <f t="array" ref="C317:D317">_xlfn.TEXTSPLIT(B317, "/")</f>
        <v>Judgment</v>
      </c>
      <c r="D317" t="str">
        <v>Plague</v>
      </c>
    </row>
    <row r="318" spans="1:5" x14ac:dyDescent="0.35">
      <c r="A318">
        <v>317</v>
      </c>
      <c r="B318" t="s">
        <v>11205</v>
      </c>
      <c r="C318" t="str" cm="1">
        <f t="array" ref="C318:D318">_xlfn.TEXTSPLIT(B318, "/")</f>
        <v>Cessation</v>
      </c>
      <c r="D318" t="str">
        <v>Mercy</v>
      </c>
    </row>
    <row r="319" spans="1:5" x14ac:dyDescent="0.35">
      <c r="A319">
        <v>318</v>
      </c>
      <c r="B319" t="s">
        <v>11139</v>
      </c>
      <c r="C319" t="str" cm="1">
        <f t="array" ref="C319:D319">_xlfn.TEXTSPLIT(B319, "/")</f>
        <v>Death</v>
      </c>
      <c r="D319" t="str">
        <v>Judgment</v>
      </c>
    </row>
    <row r="320" spans="1:5" x14ac:dyDescent="0.35">
      <c r="A320">
        <v>319</v>
      </c>
      <c r="B320" t="s">
        <v>11206</v>
      </c>
      <c r="C320" t="str" cm="1">
        <f t="array" ref="C320:E320">_xlfn.TEXTSPLIT(B320, "/")</f>
        <v>Blessing</v>
      </c>
      <c r="D320" t="str">
        <v>Covenant</v>
      </c>
      <c r="E320" t="str">
        <v>Speech</v>
      </c>
    </row>
    <row r="321" spans="1:5" x14ac:dyDescent="0.35">
      <c r="A321">
        <v>320</v>
      </c>
      <c r="B321" t="s">
        <v>11207</v>
      </c>
      <c r="C321" t="str" cm="1">
        <f t="array" ref="C321:E321">_xlfn.TEXTSPLIT(B321, "/")</f>
        <v>Harassment</v>
      </c>
      <c r="D321" t="str">
        <v>Judgment</v>
      </c>
      <c r="E321" t="str">
        <v>Speech</v>
      </c>
    </row>
    <row r="322" spans="1:5" x14ac:dyDescent="0.35">
      <c r="A322">
        <v>321</v>
      </c>
      <c r="B322" t="s">
        <v>11176</v>
      </c>
      <c r="C322" t="str" cm="1">
        <f t="array" ref="C322:E322">_xlfn.TEXTSPLIT(B322, "/")</f>
        <v>Command</v>
      </c>
      <c r="D322" t="str">
        <v>Instruction</v>
      </c>
      <c r="E322" t="str">
        <v>Speech</v>
      </c>
    </row>
    <row r="323" spans="1:5" x14ac:dyDescent="0.35">
      <c r="A323">
        <v>322</v>
      </c>
      <c r="B323" t="s">
        <v>11178</v>
      </c>
      <c r="C323" t="str" cm="1">
        <f t="array" ref="C323:E323">_xlfn.TEXTSPLIT(B323, "/")</f>
        <v>Judgment</v>
      </c>
      <c r="D323" t="str">
        <v>Law</v>
      </c>
      <c r="E323" t="str">
        <v>Speech</v>
      </c>
    </row>
    <row r="324" spans="1:5" x14ac:dyDescent="0.35">
      <c r="A324">
        <v>323</v>
      </c>
      <c r="B324" t="s">
        <v>11107</v>
      </c>
      <c r="C324" t="str" cm="1">
        <f t="array" ref="C324:D324">_xlfn.TEXTSPLIT(B324, "/")</f>
        <v>Command</v>
      </c>
      <c r="D324" t="str">
        <v>Speech</v>
      </c>
    </row>
    <row r="325" spans="1:5" x14ac:dyDescent="0.35">
      <c r="A325">
        <v>324</v>
      </c>
      <c r="B325" t="s">
        <v>11145</v>
      </c>
      <c r="C325" t="str" cm="1">
        <f t="array" ref="C325:D325">_xlfn.TEXTSPLIT(B325, "/")</f>
        <v>Appointment</v>
      </c>
      <c r="D325" t="str">
        <v>Speech</v>
      </c>
    </row>
    <row r="326" spans="1:5" x14ac:dyDescent="0.35">
      <c r="A326">
        <v>325</v>
      </c>
      <c r="B326" t="s">
        <v>11164</v>
      </c>
      <c r="C326" t="str" cm="1">
        <f t="array" ref="C326:E326">_xlfn.TEXTSPLIT(B326, "/")</f>
        <v>Instruction</v>
      </c>
      <c r="D326" t="str">
        <v>Law</v>
      </c>
      <c r="E326" t="str">
        <v>Speech</v>
      </c>
    </row>
    <row r="327" spans="1:5" x14ac:dyDescent="0.35">
      <c r="A327">
        <v>326</v>
      </c>
      <c r="B327" t="s">
        <v>12711</v>
      </c>
      <c r="C327" t="str" cm="1">
        <f t="array" ref="C327:E327">_xlfn.TEXTSPLIT(B327, "/")</f>
        <v>Command</v>
      </c>
      <c r="D327" t="str">
        <v>Speech</v>
      </c>
      <c r="E327" t="str">
        <v>War</v>
      </c>
    </row>
    <row r="328" spans="1:5" x14ac:dyDescent="0.35">
      <c r="A328">
        <v>327</v>
      </c>
      <c r="B328" t="s">
        <v>12710</v>
      </c>
      <c r="C328" t="str" cm="1">
        <f t="array" ref="C328:D328">_xlfn.TEXTSPLIT(B328, "/")</f>
        <v>Victory</v>
      </c>
      <c r="D328" t="str">
        <v>War</v>
      </c>
    </row>
    <row r="329" spans="1:5" x14ac:dyDescent="0.35">
      <c r="A329">
        <v>328</v>
      </c>
      <c r="B329" t="s">
        <v>11164</v>
      </c>
      <c r="C329" t="str" cm="1">
        <f t="array" ref="C329:E329">_xlfn.TEXTSPLIT(B329, "/")</f>
        <v>Instruction</v>
      </c>
      <c r="D329" t="str">
        <v>Law</v>
      </c>
      <c r="E329" t="str">
        <v>Speech</v>
      </c>
    </row>
    <row r="330" spans="1:5" x14ac:dyDescent="0.35">
      <c r="A330">
        <v>329</v>
      </c>
      <c r="B330" t="s">
        <v>11208</v>
      </c>
      <c r="C330" t="str" cm="1">
        <f t="array" ref="C330:E330">_xlfn.TEXTSPLIT(B330, "/")</f>
        <v>Instruction</v>
      </c>
      <c r="D330" t="str">
        <v>Recording</v>
      </c>
      <c r="E330" t="str">
        <v>Speech</v>
      </c>
    </row>
    <row r="331" spans="1:5" x14ac:dyDescent="0.35">
      <c r="A331">
        <v>330</v>
      </c>
      <c r="B331" t="s">
        <v>12711</v>
      </c>
      <c r="C331" t="str" cm="1">
        <f t="array" ref="C331:E331">_xlfn.TEXTSPLIT(B331, "/")</f>
        <v>Command</v>
      </c>
      <c r="D331" t="str">
        <v>Speech</v>
      </c>
      <c r="E331" t="str">
        <v>War</v>
      </c>
    </row>
    <row r="332" spans="1:5" x14ac:dyDescent="0.35">
      <c r="A332">
        <v>331</v>
      </c>
      <c r="B332" t="s">
        <v>11209</v>
      </c>
      <c r="C332" t="str" cm="1">
        <f t="array" ref="C332:E332">_xlfn.TEXTSPLIT(B332, "/")</f>
        <v>Geography</v>
      </c>
      <c r="D332" t="str">
        <v>Instruction</v>
      </c>
      <c r="E332" t="str">
        <v>Speech</v>
      </c>
    </row>
    <row r="333" spans="1:5" x14ac:dyDescent="0.35">
      <c r="A333">
        <v>332</v>
      </c>
      <c r="B333" t="s">
        <v>11176</v>
      </c>
      <c r="C333" t="str" cm="1">
        <f t="array" ref="C333:E333">_xlfn.TEXTSPLIT(B333, "/")</f>
        <v>Command</v>
      </c>
      <c r="D333" t="str">
        <v>Instruction</v>
      </c>
      <c r="E333" t="str">
        <v>Speech</v>
      </c>
    </row>
    <row r="334" spans="1:5" x14ac:dyDescent="0.35">
      <c r="A334">
        <v>333</v>
      </c>
      <c r="B334" t="s">
        <v>11210</v>
      </c>
      <c r="C334" t="str" cm="1">
        <f t="array" ref="C334:E334">_xlfn.TEXTSPLIT(B334, "/")</f>
        <v>Justice</v>
      </c>
      <c r="D334" t="str">
        <v>Law</v>
      </c>
      <c r="E334" t="str">
        <v>Speech</v>
      </c>
    </row>
    <row r="335" spans="1:5" x14ac:dyDescent="0.35">
      <c r="A335">
        <v>334</v>
      </c>
      <c r="B335" t="s">
        <v>11164</v>
      </c>
      <c r="C335" t="str" cm="1">
        <f t="array" ref="C335:E335">_xlfn.TEXTSPLIT(B335, "/")</f>
        <v>Instruction</v>
      </c>
      <c r="D335" t="str">
        <v>Law</v>
      </c>
      <c r="E335" t="str">
        <v>Speech</v>
      </c>
    </row>
    <row r="336" spans="1:5" x14ac:dyDescent="0.35">
      <c r="A336">
        <v>335</v>
      </c>
      <c r="B336" t="s">
        <v>10645</v>
      </c>
      <c r="C336" t="str" cm="1">
        <f t="array" ref="C336">_xlfn.TEXTSPLIT(B336, "/")</f>
        <v>Guidance</v>
      </c>
    </row>
    <row r="337" spans="1:4" x14ac:dyDescent="0.35">
      <c r="A337">
        <v>336</v>
      </c>
      <c r="B337" t="s">
        <v>9456</v>
      </c>
      <c r="C337" t="str" cm="1">
        <f t="array" ref="C337">_xlfn.TEXTSPLIT(B337, "/")</f>
        <v>Promise</v>
      </c>
    </row>
    <row r="338" spans="1:4" x14ac:dyDescent="0.35">
      <c r="A338">
        <v>337</v>
      </c>
      <c r="B338" t="s">
        <v>10664</v>
      </c>
      <c r="C338" t="str" cm="1">
        <f t="array" ref="C338">_xlfn.TEXTSPLIT(B338, "/")</f>
        <v>Instruction</v>
      </c>
    </row>
    <row r="339" spans="1:4" x14ac:dyDescent="0.35">
      <c r="A339">
        <v>338</v>
      </c>
      <c r="B339" t="s">
        <v>10664</v>
      </c>
      <c r="C339" t="str" cm="1">
        <f t="array" ref="C339">_xlfn.TEXTSPLIT(B339, "/")</f>
        <v>Instruction</v>
      </c>
    </row>
    <row r="340" spans="1:4" x14ac:dyDescent="0.35">
      <c r="A340">
        <v>339</v>
      </c>
      <c r="B340" t="s">
        <v>9456</v>
      </c>
      <c r="C340" t="str" cm="1">
        <f t="array" ref="C340">_xlfn.TEXTSPLIT(B340, "/")</f>
        <v>Promise</v>
      </c>
    </row>
    <row r="341" spans="1:4" x14ac:dyDescent="0.35">
      <c r="A341">
        <v>340</v>
      </c>
      <c r="B341" t="s">
        <v>11190</v>
      </c>
      <c r="C341" t="str" cm="1">
        <f t="array" ref="C341:D341">_xlfn.TEXTSPLIT(B341, "/")</f>
        <v>Defeat</v>
      </c>
      <c r="D341" t="str">
        <v>Judgment</v>
      </c>
    </row>
    <row r="342" spans="1:4" x14ac:dyDescent="0.35">
      <c r="A342">
        <v>341</v>
      </c>
      <c r="B342" t="s">
        <v>10040</v>
      </c>
      <c r="C342" t="str" cm="1">
        <f t="array" ref="C342">_xlfn.TEXTSPLIT(B342, "/")</f>
        <v>Protection</v>
      </c>
    </row>
    <row r="343" spans="1:4" x14ac:dyDescent="0.35">
      <c r="A343">
        <v>342</v>
      </c>
      <c r="B343" t="s">
        <v>10040</v>
      </c>
      <c r="C343" t="str" cm="1">
        <f t="array" ref="C343">_xlfn.TEXTSPLIT(B343, "/")</f>
        <v>Protection</v>
      </c>
    </row>
    <row r="344" spans="1:4" x14ac:dyDescent="0.35">
      <c r="A344">
        <v>343</v>
      </c>
      <c r="B344" t="s">
        <v>10635</v>
      </c>
      <c r="C344" t="str" cm="1">
        <f t="array" ref="C344">_xlfn.TEXTSPLIT(B344, "/")</f>
        <v>Victory</v>
      </c>
    </row>
    <row r="345" spans="1:4" x14ac:dyDescent="0.35">
      <c r="A345">
        <v>344</v>
      </c>
      <c r="B345" t="s">
        <v>10664</v>
      </c>
      <c r="C345" t="str" cm="1">
        <f t="array" ref="C345">_xlfn.TEXTSPLIT(B345, "/")</f>
        <v>Instruction</v>
      </c>
    </row>
    <row r="346" spans="1:4" x14ac:dyDescent="0.35">
      <c r="A346">
        <v>345</v>
      </c>
      <c r="B346" t="s">
        <v>10635</v>
      </c>
      <c r="C346" t="str" cm="1">
        <f t="array" ref="C346">_xlfn.TEXTSPLIT(B346, "/")</f>
        <v>Victory</v>
      </c>
    </row>
    <row r="347" spans="1:4" x14ac:dyDescent="0.35">
      <c r="A347">
        <v>346</v>
      </c>
      <c r="B347" t="s">
        <v>11834</v>
      </c>
      <c r="C347" t="str" cm="1">
        <f t="array" ref="C347">_xlfn.TEXTSPLIT(B347, "/")</f>
        <v>Hardening</v>
      </c>
    </row>
    <row r="348" spans="1:4" x14ac:dyDescent="0.35">
      <c r="A348">
        <v>347</v>
      </c>
      <c r="B348" t="s">
        <v>10635</v>
      </c>
      <c r="C348" t="str" cm="1">
        <f t="array" ref="C348">_xlfn.TEXTSPLIT(B348, "/")</f>
        <v>Victory</v>
      </c>
    </row>
    <row r="349" spans="1:4" x14ac:dyDescent="0.35">
      <c r="A349">
        <v>348</v>
      </c>
      <c r="B349" t="s">
        <v>11835</v>
      </c>
      <c r="C349" t="str" cm="1">
        <f t="array" ref="C349">_xlfn.TEXTSPLIT(B349, "/")</f>
        <v>Encouragement</v>
      </c>
    </row>
    <row r="350" spans="1:4" x14ac:dyDescent="0.35">
      <c r="A350">
        <v>349</v>
      </c>
      <c r="B350" t="s">
        <v>10544</v>
      </c>
      <c r="C350" t="str" cm="1">
        <f t="array" ref="C350">_xlfn.TEXTSPLIT(B350, "/")</f>
        <v>Judgment</v>
      </c>
    </row>
    <row r="351" spans="1:4" x14ac:dyDescent="0.35">
      <c r="A351">
        <v>350</v>
      </c>
      <c r="B351" t="s">
        <v>11139</v>
      </c>
      <c r="C351" t="str" cm="1">
        <f t="array" ref="C351:D351">_xlfn.TEXTSPLIT(B351, "/")</f>
        <v>Death</v>
      </c>
      <c r="D351" t="str">
        <v>Judgment</v>
      </c>
    </row>
    <row r="352" spans="1:4" x14ac:dyDescent="0.35">
      <c r="A352">
        <v>351</v>
      </c>
      <c r="B352" t="s">
        <v>10751</v>
      </c>
      <c r="C352" t="str" cm="1">
        <f t="array" ref="C352">_xlfn.TEXTSPLIT(B352, "/")</f>
        <v>Theophany</v>
      </c>
    </row>
    <row r="353" spans="1:5" x14ac:dyDescent="0.35">
      <c r="A353">
        <v>352</v>
      </c>
      <c r="B353" t="s">
        <v>10253</v>
      </c>
      <c r="C353" t="str" cm="1">
        <f t="array" ref="C353:D353">_xlfn.TEXTSPLIT(B353, "/")</f>
        <v>Prophecy</v>
      </c>
      <c r="D353" t="str">
        <v>Warning</v>
      </c>
    </row>
    <row r="354" spans="1:5" x14ac:dyDescent="0.35">
      <c r="A354">
        <v>353</v>
      </c>
      <c r="B354" t="s">
        <v>10068</v>
      </c>
      <c r="C354" t="str" cm="1">
        <f t="array" ref="C354:D354">_xlfn.TEXTSPLIT(B354, "/")</f>
        <v>Promise</v>
      </c>
      <c r="D354" t="str">
        <v>Prophecy</v>
      </c>
    </row>
    <row r="355" spans="1:5" x14ac:dyDescent="0.35">
      <c r="A355">
        <v>354</v>
      </c>
      <c r="B355" t="s">
        <v>10662</v>
      </c>
      <c r="C355" t="str" cm="1">
        <f t="array" ref="C355">_xlfn.TEXTSPLIT(B355, "/")</f>
        <v>Election</v>
      </c>
    </row>
    <row r="356" spans="1:5" x14ac:dyDescent="0.35">
      <c r="A356">
        <v>355</v>
      </c>
      <c r="B356" t="s">
        <v>11866</v>
      </c>
      <c r="C356" t="str" cm="1">
        <f t="array" ref="C356">_xlfn.TEXTSPLIT(B356, "/")</f>
        <v>Law</v>
      </c>
    </row>
    <row r="357" spans="1:5" x14ac:dyDescent="0.35">
      <c r="A357">
        <v>356</v>
      </c>
      <c r="B357" t="s">
        <v>11865</v>
      </c>
      <c r="C357" t="str" cm="1">
        <f t="array" ref="C357:E357">_xlfn.TEXTSPLIT(B357, "/")</f>
        <v>Theophany</v>
      </c>
      <c r="D357" t="str">
        <v>Fire</v>
      </c>
      <c r="E357" t="str">
        <v>Cloud</v>
      </c>
    </row>
    <row r="358" spans="1:5" x14ac:dyDescent="0.35">
      <c r="A358">
        <v>357</v>
      </c>
      <c r="B358" t="s">
        <v>10752</v>
      </c>
      <c r="C358" t="str" cm="1">
        <f t="array" ref="C358">_xlfn.TEXTSPLIT(B358, "/")</f>
        <v>Inscription</v>
      </c>
    </row>
    <row r="359" spans="1:5" x14ac:dyDescent="0.35">
      <c r="A359">
        <v>358</v>
      </c>
      <c r="B359" t="s">
        <v>10589</v>
      </c>
      <c r="C359" t="str" cm="1">
        <f t="array" ref="C359">_xlfn.TEXTSPLIT(B359, "/")</f>
        <v>Command</v>
      </c>
    </row>
    <row r="360" spans="1:5" x14ac:dyDescent="0.35">
      <c r="A360">
        <v>359</v>
      </c>
      <c r="B360" t="s">
        <v>10546</v>
      </c>
      <c r="C360" t="str" cm="1">
        <f t="array" ref="C360">_xlfn.TEXTSPLIT(B360, "/")</f>
        <v>Warning</v>
      </c>
    </row>
    <row r="361" spans="1:5" x14ac:dyDescent="0.35">
      <c r="A361">
        <v>360</v>
      </c>
      <c r="B361" t="s">
        <v>10546</v>
      </c>
      <c r="C361" t="str" cm="1">
        <f t="array" ref="C361">_xlfn.TEXTSPLIT(B361, "/")</f>
        <v>Warning</v>
      </c>
    </row>
    <row r="362" spans="1:5" x14ac:dyDescent="0.35">
      <c r="A362">
        <v>361</v>
      </c>
      <c r="B362" t="s">
        <v>9456</v>
      </c>
      <c r="C362" t="str" cm="1">
        <f t="array" ref="C362">_xlfn.TEXTSPLIT(B362, "/")</f>
        <v>Promise</v>
      </c>
    </row>
    <row r="363" spans="1:5" x14ac:dyDescent="0.35">
      <c r="A363">
        <v>362</v>
      </c>
      <c r="B363" t="s">
        <v>10662</v>
      </c>
      <c r="C363" t="str" cm="1">
        <f t="array" ref="C363">_xlfn.TEXTSPLIT(B363, "/")</f>
        <v>Election</v>
      </c>
    </row>
    <row r="364" spans="1:5" x14ac:dyDescent="0.35">
      <c r="A364">
        <v>363</v>
      </c>
      <c r="B364" t="s">
        <v>10139</v>
      </c>
      <c r="C364" t="str" cm="1">
        <f t="array" ref="C364:D364">_xlfn.TEXTSPLIT(B364, "/")</f>
        <v>Covenant</v>
      </c>
      <c r="D364" t="str">
        <v>Promise</v>
      </c>
    </row>
    <row r="365" spans="1:5" x14ac:dyDescent="0.35">
      <c r="A365">
        <v>364</v>
      </c>
      <c r="B365" t="s">
        <v>12712</v>
      </c>
      <c r="C365" t="str" cm="1">
        <f t="array" ref="C365:D365">_xlfn.TEXTSPLIT(B365, "/")</f>
        <v>Promise</v>
      </c>
      <c r="D365" t="str">
        <v>War</v>
      </c>
    </row>
    <row r="366" spans="1:5" x14ac:dyDescent="0.35">
      <c r="A366">
        <v>365</v>
      </c>
      <c r="B366" t="s">
        <v>10038</v>
      </c>
      <c r="C366" t="str" cm="1">
        <f t="array" ref="C366">_xlfn.TEXTSPLIT(B366, "/")</f>
        <v>Provision</v>
      </c>
    </row>
    <row r="367" spans="1:5" x14ac:dyDescent="0.35">
      <c r="A367">
        <v>366</v>
      </c>
      <c r="B367" t="s">
        <v>9456</v>
      </c>
      <c r="C367" t="str" cm="1">
        <f t="array" ref="C367">_xlfn.TEXTSPLIT(B367, "/")</f>
        <v>Promise</v>
      </c>
    </row>
    <row r="368" spans="1:5" x14ac:dyDescent="0.35">
      <c r="A368">
        <v>367</v>
      </c>
      <c r="B368" t="s">
        <v>10546</v>
      </c>
      <c r="C368" t="str" cm="1">
        <f t="array" ref="C368">_xlfn.TEXTSPLIT(B368, "/")</f>
        <v>Warning</v>
      </c>
    </row>
    <row r="369" spans="1:4" x14ac:dyDescent="0.35">
      <c r="A369">
        <v>368</v>
      </c>
      <c r="B369" t="s">
        <v>12712</v>
      </c>
      <c r="C369" t="str" cm="1">
        <f t="array" ref="C369:D369">_xlfn.TEXTSPLIT(B369, "/")</f>
        <v>Promise</v>
      </c>
      <c r="D369" t="str">
        <v>War</v>
      </c>
    </row>
    <row r="370" spans="1:4" x14ac:dyDescent="0.35">
      <c r="A370">
        <v>369</v>
      </c>
      <c r="B370" t="s">
        <v>11863</v>
      </c>
      <c r="C370" t="str" cm="1">
        <f t="array" ref="C370:D370">_xlfn.TEXTSPLIT(B370, "/")</f>
        <v>Wrath</v>
      </c>
      <c r="D370" t="str">
        <v>Judgment</v>
      </c>
    </row>
    <row r="371" spans="1:4" x14ac:dyDescent="0.35">
      <c r="A371">
        <v>370</v>
      </c>
      <c r="B371" t="s">
        <v>11864</v>
      </c>
      <c r="C371" t="str" cm="1">
        <f t="array" ref="C371:D371">_xlfn.TEXTSPLIT(B371, "/")</f>
        <v>Command</v>
      </c>
      <c r="D371" t="str">
        <v>Inscription</v>
      </c>
    </row>
    <row r="372" spans="1:4" x14ac:dyDescent="0.35">
      <c r="A372">
        <v>371</v>
      </c>
      <c r="B372" t="s">
        <v>10634</v>
      </c>
      <c r="C372" t="str" cm="1">
        <f t="array" ref="C372">_xlfn.TEXTSPLIT(B372, "/")</f>
        <v>Appointment</v>
      </c>
    </row>
    <row r="373" spans="1:4" x14ac:dyDescent="0.35">
      <c r="A373">
        <v>372</v>
      </c>
      <c r="B373" t="s">
        <v>11867</v>
      </c>
      <c r="C373" t="str" cm="1">
        <f t="array" ref="C373">_xlfn.TEXTSPLIT(B373, "/")</f>
        <v>Requirement</v>
      </c>
    </row>
    <row r="374" spans="1:4" x14ac:dyDescent="0.35">
      <c r="A374">
        <v>373</v>
      </c>
      <c r="B374" t="s">
        <v>10139</v>
      </c>
      <c r="C374" t="str" cm="1">
        <f t="array" ref="C374:D374">_xlfn.TEXTSPLIT(B374, "/")</f>
        <v>Covenant</v>
      </c>
      <c r="D374" t="str">
        <v>Promise</v>
      </c>
    </row>
    <row r="375" spans="1:4" x14ac:dyDescent="0.35">
      <c r="A375">
        <v>374</v>
      </c>
      <c r="B375" t="s">
        <v>11174</v>
      </c>
      <c r="C375" t="str" cm="1">
        <f t="array" ref="C375:D375">_xlfn.TEXTSPLIT(B375, "/")</f>
        <v>Judgment</v>
      </c>
      <c r="D375" t="str">
        <v>Warning</v>
      </c>
    </row>
    <row r="376" spans="1:4" x14ac:dyDescent="0.35">
      <c r="A376">
        <v>375</v>
      </c>
      <c r="B376" t="s">
        <v>11211</v>
      </c>
      <c r="C376" t="str" cm="1">
        <f t="array" ref="C376:D376">_xlfn.TEXTSPLIT(B376, "/")</f>
        <v>Expansion</v>
      </c>
      <c r="D376" t="str">
        <v>Promise</v>
      </c>
    </row>
    <row r="377" spans="1:4" x14ac:dyDescent="0.35">
      <c r="A377">
        <v>376</v>
      </c>
      <c r="B377" t="s">
        <v>11869</v>
      </c>
      <c r="C377" t="str" cm="1">
        <f t="array" ref="C377">_xlfn.TEXTSPLIT(B377, "/")</f>
        <v>Covenant</v>
      </c>
    </row>
    <row r="378" spans="1:4" x14ac:dyDescent="0.35">
      <c r="A378">
        <v>377</v>
      </c>
      <c r="B378" t="s">
        <v>11868</v>
      </c>
      <c r="C378" t="str" cm="1">
        <f t="array" ref="C378:D378">_xlfn.TEXTSPLIT(B378, "/")</f>
        <v>Command</v>
      </c>
      <c r="D378" t="str">
        <v>Worship</v>
      </c>
    </row>
    <row r="379" spans="1:4" x14ac:dyDescent="0.35">
      <c r="A379">
        <v>378</v>
      </c>
      <c r="B379" t="s">
        <v>11875</v>
      </c>
      <c r="C379" t="str" cm="1">
        <f t="array" ref="C379:D379">_xlfn.TEXTSPLIT(B379, "/")</f>
        <v>Law</v>
      </c>
      <c r="D379" t="str">
        <v>Slaughter</v>
      </c>
    </row>
    <row r="380" spans="1:4" x14ac:dyDescent="0.35">
      <c r="A380">
        <v>379</v>
      </c>
      <c r="B380" t="s">
        <v>11876</v>
      </c>
      <c r="C380" t="str" cm="1">
        <f t="array" ref="C380:D380">_xlfn.TEXTSPLIT(B380, "/")</f>
        <v>Law</v>
      </c>
      <c r="D380" t="str">
        <v>False Idols</v>
      </c>
    </row>
    <row r="381" spans="1:4" x14ac:dyDescent="0.35">
      <c r="A381">
        <v>380</v>
      </c>
      <c r="B381" t="s">
        <v>11874</v>
      </c>
      <c r="C381" t="str" cm="1">
        <f t="array" ref="C381:D381">_xlfn.TEXTSPLIT(B381, "/")</f>
        <v>Law</v>
      </c>
      <c r="D381" t="str">
        <v>Mourning</v>
      </c>
    </row>
    <row r="382" spans="1:4" x14ac:dyDescent="0.35">
      <c r="A382">
        <v>381</v>
      </c>
      <c r="B382" t="s">
        <v>11873</v>
      </c>
      <c r="C382" t="str" cm="1">
        <f t="array" ref="C382:D382">_xlfn.TEXTSPLIT(B382, "/")</f>
        <v>Law</v>
      </c>
      <c r="D382" t="str">
        <v>Purity</v>
      </c>
    </row>
    <row r="383" spans="1:4" x14ac:dyDescent="0.35">
      <c r="A383">
        <v>382</v>
      </c>
      <c r="B383" t="s">
        <v>11870</v>
      </c>
      <c r="C383" t="str" cm="1">
        <f t="array" ref="C383:D383">_xlfn.TEXTSPLIT(B383, "/")</f>
        <v>Law</v>
      </c>
      <c r="D383" t="str">
        <v>Tithe</v>
      </c>
    </row>
    <row r="384" spans="1:4" x14ac:dyDescent="0.35">
      <c r="A384">
        <v>383</v>
      </c>
      <c r="B384" t="s">
        <v>11871</v>
      </c>
      <c r="C384" t="str" cm="1">
        <f t="array" ref="C384:D384">_xlfn.TEXTSPLIT(B384, "/")</f>
        <v>Law</v>
      </c>
      <c r="D384" t="str">
        <v>Ownership</v>
      </c>
    </row>
    <row r="385" spans="1:4" x14ac:dyDescent="0.35">
      <c r="A385">
        <v>384</v>
      </c>
      <c r="B385" t="s">
        <v>11872</v>
      </c>
      <c r="C385" t="str" cm="1">
        <f t="array" ref="C385:D385">_xlfn.TEXTSPLIT(B385, "/")</f>
        <v>Law</v>
      </c>
      <c r="D385" t="str">
        <v>Consecration</v>
      </c>
    </row>
    <row r="386" spans="1:4" x14ac:dyDescent="0.35">
      <c r="A386">
        <v>385</v>
      </c>
      <c r="B386" t="s">
        <v>10071</v>
      </c>
      <c r="C386" t="str" cm="1">
        <f t="array" ref="C386:D386">_xlfn.TEXTSPLIT(B386, "/")</f>
        <v>Institution</v>
      </c>
      <c r="D386" t="str">
        <v>Worship</v>
      </c>
    </row>
    <row r="387" spans="1:4" x14ac:dyDescent="0.35">
      <c r="A387">
        <v>386</v>
      </c>
      <c r="B387" t="s">
        <v>11213</v>
      </c>
      <c r="C387" t="str" cm="1">
        <f t="array" ref="C387:D387">_xlfn.TEXTSPLIT(B387, "/")</f>
        <v>Justice</v>
      </c>
      <c r="D387" t="str">
        <v>Law</v>
      </c>
    </row>
    <row r="388" spans="1:4" x14ac:dyDescent="0.35">
      <c r="A388">
        <v>387</v>
      </c>
      <c r="B388" t="s">
        <v>11876</v>
      </c>
      <c r="C388" t="str" cm="1">
        <f t="array" ref="C388:D388">_xlfn.TEXTSPLIT(B388, "/")</f>
        <v>Law</v>
      </c>
      <c r="D388" t="str">
        <v>False Idols</v>
      </c>
    </row>
    <row r="389" spans="1:4" x14ac:dyDescent="0.35">
      <c r="A389">
        <v>388</v>
      </c>
      <c r="B389" t="s">
        <v>11213</v>
      </c>
      <c r="C389" t="str" cm="1">
        <f t="array" ref="C389:D389">_xlfn.TEXTSPLIT(B389, "/")</f>
        <v>Justice</v>
      </c>
      <c r="D389" t="str">
        <v>Law</v>
      </c>
    </row>
    <row r="390" spans="1:4" x14ac:dyDescent="0.35">
      <c r="A390">
        <v>389</v>
      </c>
      <c r="B390" t="s">
        <v>11214</v>
      </c>
      <c r="C390" t="str" cm="1">
        <f t="array" ref="C390:D390">_xlfn.TEXTSPLIT(B390, "/")</f>
        <v>Government</v>
      </c>
      <c r="D390" t="str">
        <v>Law</v>
      </c>
    </row>
    <row r="391" spans="1:4" x14ac:dyDescent="0.35">
      <c r="A391">
        <v>390</v>
      </c>
      <c r="B391" t="s">
        <v>10072</v>
      </c>
      <c r="C391" t="str" cm="1">
        <f t="array" ref="C391:D391">_xlfn.TEXTSPLIT(B391, "/")</f>
        <v>Appointment</v>
      </c>
      <c r="D391" t="str">
        <v>Priesthood</v>
      </c>
    </row>
    <row r="392" spans="1:4" x14ac:dyDescent="0.35">
      <c r="A392">
        <v>391</v>
      </c>
      <c r="B392" t="s">
        <v>11876</v>
      </c>
      <c r="C392" t="str" cm="1">
        <f t="array" ref="C392:D392">_xlfn.TEXTSPLIT(B392, "/")</f>
        <v>Law</v>
      </c>
      <c r="D392" t="str">
        <v>False Idols</v>
      </c>
    </row>
    <row r="393" spans="1:4" x14ac:dyDescent="0.35">
      <c r="A393">
        <v>392</v>
      </c>
      <c r="B393" t="s">
        <v>10068</v>
      </c>
      <c r="C393" t="str" cm="1">
        <f t="array" ref="C393:D393">_xlfn.TEXTSPLIT(B393, "/")</f>
        <v>Promise</v>
      </c>
      <c r="D393" t="str">
        <v>Prophecy</v>
      </c>
    </row>
    <row r="394" spans="1:4" x14ac:dyDescent="0.35">
      <c r="A394">
        <v>393</v>
      </c>
      <c r="B394" t="s">
        <v>11466</v>
      </c>
      <c r="C394" t="str" cm="1">
        <f t="array" ref="C394:D394">_xlfn.TEXTSPLIT(B394, "/")</f>
        <v>Command</v>
      </c>
      <c r="D394" t="str">
        <v>Protection</v>
      </c>
    </row>
    <row r="395" spans="1:4" x14ac:dyDescent="0.35">
      <c r="A395">
        <v>394</v>
      </c>
      <c r="B395" t="s">
        <v>11213</v>
      </c>
      <c r="C395" t="str" cm="1">
        <f t="array" ref="C395:D395">_xlfn.TEXTSPLIT(B395, "/")</f>
        <v>Justice</v>
      </c>
      <c r="D395" t="str">
        <v>Law</v>
      </c>
    </row>
    <row r="396" spans="1:4" x14ac:dyDescent="0.35">
      <c r="A396">
        <v>395</v>
      </c>
      <c r="B396" t="s">
        <v>12713</v>
      </c>
      <c r="C396" t="str" cm="1">
        <f t="array" ref="C396:D396">_xlfn.TEXTSPLIT(B396, "/")</f>
        <v>Law</v>
      </c>
      <c r="D396" t="str">
        <v>War</v>
      </c>
    </row>
    <row r="397" spans="1:4" x14ac:dyDescent="0.35">
      <c r="A397">
        <v>396</v>
      </c>
      <c r="B397" t="s">
        <v>12712</v>
      </c>
      <c r="C397" t="str" cm="1">
        <f t="array" ref="C397:D397">_xlfn.TEXTSPLIT(B397, "/")</f>
        <v>Promise</v>
      </c>
      <c r="D397" t="str">
        <v>War</v>
      </c>
    </row>
    <row r="398" spans="1:4" x14ac:dyDescent="0.35">
      <c r="A398">
        <v>397</v>
      </c>
      <c r="B398" t="s">
        <v>11886</v>
      </c>
      <c r="C398" t="str" cm="1">
        <f t="array" ref="C398:D398">_xlfn.TEXTSPLIT(B398, "/")</f>
        <v>Law</v>
      </c>
      <c r="D398" t="str">
        <v>Civil</v>
      </c>
    </row>
    <row r="399" spans="1:4" x14ac:dyDescent="0.35">
      <c r="A399">
        <v>398</v>
      </c>
      <c r="B399" t="s">
        <v>11870</v>
      </c>
      <c r="C399" t="str" cm="1">
        <f t="array" ref="C399:D399">_xlfn.TEXTSPLIT(B399, "/")</f>
        <v>Law</v>
      </c>
      <c r="D399" t="str">
        <v>Tithe</v>
      </c>
    </row>
    <row r="400" spans="1:4" x14ac:dyDescent="0.35">
      <c r="A400">
        <v>399</v>
      </c>
      <c r="B400" t="s">
        <v>11870</v>
      </c>
      <c r="C400" t="str" cm="1">
        <f t="array" ref="C400:D400">_xlfn.TEXTSPLIT(B400, "/")</f>
        <v>Law</v>
      </c>
      <c r="D400" t="str">
        <v>Tithe</v>
      </c>
    </row>
    <row r="401" spans="1:4" x14ac:dyDescent="0.35">
      <c r="A401">
        <v>400</v>
      </c>
      <c r="B401" t="s">
        <v>11869</v>
      </c>
      <c r="C401" t="str" cm="1">
        <f t="array" ref="C401">_xlfn.TEXTSPLIT(B401, "/")</f>
        <v>Covenant</v>
      </c>
    </row>
    <row r="402" spans="1:4" x14ac:dyDescent="0.35">
      <c r="A402">
        <v>401</v>
      </c>
      <c r="B402" t="s">
        <v>11891</v>
      </c>
      <c r="C402" t="str" cm="1">
        <f t="array" ref="C402:D402">_xlfn.TEXTSPLIT(B402, "/")</f>
        <v>Law</v>
      </c>
      <c r="D402" t="str">
        <v>Writing</v>
      </c>
    </row>
    <row r="403" spans="1:4" x14ac:dyDescent="0.35">
      <c r="A403">
        <v>402</v>
      </c>
      <c r="B403" t="s">
        <v>12714</v>
      </c>
      <c r="C403" t="str" cm="1">
        <f t="array" ref="C403:D403">_xlfn.TEXTSPLIT(B403, "/")</f>
        <v>Covenant</v>
      </c>
      <c r="D403" t="str">
        <v>Curse</v>
      </c>
    </row>
    <row r="404" spans="1:4" x14ac:dyDescent="0.35">
      <c r="A404">
        <v>403</v>
      </c>
      <c r="B404" t="s">
        <v>12715</v>
      </c>
      <c r="C404" t="str" cm="1">
        <f t="array" ref="C404:D404">_xlfn.TEXTSPLIT(B404, "/")</f>
        <v>Blessing</v>
      </c>
      <c r="D404" t="str">
        <v>Covenant</v>
      </c>
    </row>
    <row r="405" spans="1:4" x14ac:dyDescent="0.35">
      <c r="A405">
        <v>404</v>
      </c>
      <c r="B405" t="s">
        <v>12714</v>
      </c>
      <c r="C405" t="str" cm="1">
        <f t="array" ref="C405:D405">_xlfn.TEXTSPLIT(B405, "/")</f>
        <v>Covenant</v>
      </c>
      <c r="D405" t="str">
        <v>Curse</v>
      </c>
    </row>
    <row r="406" spans="1:4" x14ac:dyDescent="0.35">
      <c r="A406">
        <v>405</v>
      </c>
      <c r="B406" t="s">
        <v>10038</v>
      </c>
      <c r="C406" t="str" cm="1">
        <f t="array" ref="C406">_xlfn.TEXTSPLIT(B406, "/")</f>
        <v>Provision</v>
      </c>
    </row>
    <row r="407" spans="1:4" x14ac:dyDescent="0.35">
      <c r="A407">
        <v>406</v>
      </c>
      <c r="B407" t="s">
        <v>11869</v>
      </c>
      <c r="C407" t="str" cm="1">
        <f t="array" ref="C407">_xlfn.TEXTSPLIT(B407, "/")</f>
        <v>Covenant</v>
      </c>
    </row>
    <row r="408" spans="1:4" x14ac:dyDescent="0.35">
      <c r="A408">
        <v>407</v>
      </c>
      <c r="B408" t="s">
        <v>10073</v>
      </c>
      <c r="C408" t="str" cm="1">
        <f t="array" ref="C408:D408">_xlfn.TEXTSPLIT(B408, "/")</f>
        <v>Promise</v>
      </c>
      <c r="D408" t="str">
        <v>Restoration</v>
      </c>
    </row>
    <row r="409" spans="1:4" x14ac:dyDescent="0.35">
      <c r="A409">
        <v>408</v>
      </c>
      <c r="B409" t="s">
        <v>10070</v>
      </c>
      <c r="C409" t="str" cm="1">
        <f t="array" ref="C409:D409">_xlfn.TEXTSPLIT(B409, "/")</f>
        <v>Choice</v>
      </c>
      <c r="D409" t="str">
        <v>Covenant</v>
      </c>
    </row>
    <row r="410" spans="1:4" x14ac:dyDescent="0.35">
      <c r="A410">
        <v>409</v>
      </c>
      <c r="B410" t="s">
        <v>11889</v>
      </c>
      <c r="C410" t="str" cm="1">
        <f t="array" ref="C410:D410">_xlfn.TEXTSPLIT(B410, "/")</f>
        <v>Revelation</v>
      </c>
      <c r="D410" t="str">
        <v>Prophecy</v>
      </c>
    </row>
    <row r="411" spans="1:4" x14ac:dyDescent="0.35">
      <c r="A411">
        <v>410</v>
      </c>
      <c r="B411" t="s">
        <v>11893</v>
      </c>
      <c r="C411" t="str" cm="1">
        <f t="array" ref="C411:D411">_xlfn.TEXTSPLIT(B411, "/")</f>
        <v>Theophany</v>
      </c>
      <c r="D411" t="str">
        <v>Cloud</v>
      </c>
    </row>
    <row r="412" spans="1:4" x14ac:dyDescent="0.35">
      <c r="A412">
        <v>411</v>
      </c>
      <c r="B412" t="s">
        <v>9484</v>
      </c>
      <c r="C412" t="str" cm="1">
        <f t="array" ref="C412">_xlfn.TEXTSPLIT(B412, "/")</f>
        <v>Prophecy</v>
      </c>
    </row>
    <row r="413" spans="1:4" x14ac:dyDescent="0.35">
      <c r="A413">
        <v>412</v>
      </c>
      <c r="B413" t="s">
        <v>11894</v>
      </c>
      <c r="C413" t="str" cm="1">
        <f t="array" ref="C413:D413">_xlfn.TEXTSPLIT(B413, "/")</f>
        <v>Command</v>
      </c>
      <c r="D413" t="str">
        <v>Writing</v>
      </c>
    </row>
    <row r="414" spans="1:4" x14ac:dyDescent="0.35">
      <c r="A414">
        <v>413</v>
      </c>
      <c r="B414" t="s">
        <v>9708</v>
      </c>
      <c r="C414" t="str" cm="1">
        <f t="array" ref="C414">_xlfn.TEXTSPLIT(B414, "/")</f>
        <v>Commissioning</v>
      </c>
    </row>
    <row r="415" spans="1:4" x14ac:dyDescent="0.35">
      <c r="A415">
        <v>414</v>
      </c>
      <c r="B415" t="s">
        <v>10074</v>
      </c>
      <c r="C415" t="str" cm="1">
        <f t="array" ref="C415:D415">_xlfn.TEXTSPLIT(B415, "/")</f>
        <v>Prophecy</v>
      </c>
      <c r="D415" t="str">
        <v>Song</v>
      </c>
    </row>
    <row r="416" spans="1:4" x14ac:dyDescent="0.35">
      <c r="A416">
        <v>415</v>
      </c>
      <c r="B416" t="s">
        <v>10589</v>
      </c>
      <c r="C416" t="str" cm="1">
        <f t="array" ref="C416">_xlfn.TEXTSPLIT(B416, "/")</f>
        <v>Command</v>
      </c>
    </row>
    <row r="417" spans="1:5" x14ac:dyDescent="0.35">
      <c r="A417">
        <v>416</v>
      </c>
      <c r="B417" t="s">
        <v>10066</v>
      </c>
      <c r="C417" t="str" cm="1">
        <f t="array" ref="C417:D417">_xlfn.TEXTSPLIT(B417, "/")</f>
        <v>Blessing</v>
      </c>
      <c r="D417" t="str">
        <v>Prophecy</v>
      </c>
    </row>
    <row r="418" spans="1:5" x14ac:dyDescent="0.35">
      <c r="A418">
        <v>417</v>
      </c>
      <c r="B418" t="s">
        <v>11216</v>
      </c>
      <c r="C418" t="str" cm="1">
        <f t="array" ref="C418:D418">_xlfn.TEXTSPLIT(B418, "/")</f>
        <v>Fulfillment</v>
      </c>
      <c r="D418" t="str">
        <v>Vision</v>
      </c>
    </row>
    <row r="419" spans="1:5" x14ac:dyDescent="0.35">
      <c r="A419">
        <v>418</v>
      </c>
      <c r="B419" t="s">
        <v>9404</v>
      </c>
      <c r="C419" t="str" cm="1">
        <f t="array" ref="C419">_xlfn.TEXTSPLIT(B419, "/")</f>
        <v>Burial</v>
      </c>
    </row>
    <row r="420" spans="1:5" x14ac:dyDescent="0.35">
      <c r="A420">
        <v>419</v>
      </c>
      <c r="B420" t="s">
        <v>10667</v>
      </c>
      <c r="C420" t="str" cm="1">
        <f t="array" ref="C420">_xlfn.TEXTSPLIT(B420, "/")</f>
        <v>Preservation</v>
      </c>
    </row>
    <row r="421" spans="1:5" x14ac:dyDescent="0.35">
      <c r="A421">
        <v>420</v>
      </c>
      <c r="B421" t="s">
        <v>11215</v>
      </c>
      <c r="C421" t="str" cm="1">
        <f t="array" ref="C421:D421">_xlfn.TEXTSPLIT(B421, "/")</f>
        <v>Commissioning</v>
      </c>
      <c r="D421" t="str">
        <v>Speech</v>
      </c>
    </row>
    <row r="422" spans="1:5" x14ac:dyDescent="0.35">
      <c r="A422">
        <v>421</v>
      </c>
      <c r="B422" t="s">
        <v>11217</v>
      </c>
      <c r="C422" t="str" cm="1">
        <f t="array" ref="C422:D422">_xlfn.TEXTSPLIT(B422, "/")</f>
        <v>Encouragement</v>
      </c>
      <c r="D422" t="str">
        <v>Promise</v>
      </c>
    </row>
    <row r="423" spans="1:5" x14ac:dyDescent="0.35">
      <c r="A423">
        <v>422</v>
      </c>
      <c r="B423" t="s">
        <v>11218</v>
      </c>
      <c r="C423" t="str" cm="1">
        <f t="array" ref="C423:E423">_xlfn.TEXTSPLIT(B423, "/")</f>
        <v>Command</v>
      </c>
      <c r="D423" t="str">
        <v>Encouragement</v>
      </c>
      <c r="E423" t="str">
        <v>Speech</v>
      </c>
    </row>
    <row r="424" spans="1:5" x14ac:dyDescent="0.35">
      <c r="A424">
        <v>423</v>
      </c>
      <c r="B424" t="s">
        <v>11219</v>
      </c>
      <c r="C424" t="str" cm="1">
        <f t="array" ref="C424:D424">_xlfn.TEXTSPLIT(B424, "/")</f>
        <v>Instruction</v>
      </c>
      <c r="D424" t="str">
        <v>Promise</v>
      </c>
    </row>
    <row r="425" spans="1:5" x14ac:dyDescent="0.35">
      <c r="A425">
        <v>424</v>
      </c>
      <c r="B425" t="s">
        <v>10040</v>
      </c>
      <c r="C425" t="str" cm="1">
        <f t="array" ref="C425">_xlfn.TEXTSPLIT(B425, "/")</f>
        <v>Protection</v>
      </c>
    </row>
    <row r="426" spans="1:5" x14ac:dyDescent="0.35">
      <c r="A426">
        <v>425</v>
      </c>
      <c r="B426" t="s">
        <v>10075</v>
      </c>
      <c r="C426" t="str" cm="1">
        <f t="array" ref="C426:D426">_xlfn.TEXTSPLIT(B426, "/")</f>
        <v>Protection</v>
      </c>
      <c r="D426" t="str">
        <v>Providence</v>
      </c>
    </row>
    <row r="427" spans="1:5" x14ac:dyDescent="0.35">
      <c r="A427">
        <v>426</v>
      </c>
      <c r="B427" t="s">
        <v>10076</v>
      </c>
      <c r="C427" t="str" cm="1">
        <f t="array" ref="C427:D427">_xlfn.TEXTSPLIT(B427, "/")</f>
        <v>Deliverance</v>
      </c>
      <c r="D427" t="str">
        <v>Providence</v>
      </c>
    </row>
    <row r="428" spans="1:5" x14ac:dyDescent="0.35">
      <c r="A428">
        <v>427</v>
      </c>
      <c r="B428" t="s">
        <v>11176</v>
      </c>
      <c r="C428" t="str" cm="1">
        <f t="array" ref="C428:E428">_xlfn.TEXTSPLIT(B428, "/")</f>
        <v>Command</v>
      </c>
      <c r="D428" t="str">
        <v>Instruction</v>
      </c>
      <c r="E428" t="str">
        <v>Speech</v>
      </c>
    </row>
    <row r="429" spans="1:5" x14ac:dyDescent="0.35">
      <c r="A429">
        <v>428</v>
      </c>
      <c r="B429" t="s">
        <v>11220</v>
      </c>
      <c r="C429" t="str" cm="1">
        <f t="array" ref="C429:D429">_xlfn.TEXTSPLIT(B429, "/")</f>
        <v>Exaltation</v>
      </c>
      <c r="D429" t="str">
        <v>Promise</v>
      </c>
    </row>
    <row r="430" spans="1:5" x14ac:dyDescent="0.35">
      <c r="A430">
        <v>429</v>
      </c>
      <c r="B430" t="s">
        <v>11176</v>
      </c>
      <c r="C430" t="str" cm="1">
        <f t="array" ref="C430:E430">_xlfn.TEXTSPLIT(B430, "/")</f>
        <v>Command</v>
      </c>
      <c r="D430" t="str">
        <v>Instruction</v>
      </c>
      <c r="E430" t="str">
        <v>Speech</v>
      </c>
    </row>
    <row r="431" spans="1:5" x14ac:dyDescent="0.35">
      <c r="A431">
        <v>430</v>
      </c>
      <c r="B431" t="s">
        <v>10754</v>
      </c>
      <c r="C431" t="str" cm="1">
        <f t="array" ref="C431">_xlfn.TEXTSPLIT(B431, "/")</f>
        <v>Parting Waters</v>
      </c>
    </row>
    <row r="432" spans="1:5" x14ac:dyDescent="0.35">
      <c r="A432">
        <v>431</v>
      </c>
      <c r="B432" t="s">
        <v>10038</v>
      </c>
      <c r="C432" t="str" cm="1">
        <f t="array" ref="C432">_xlfn.TEXTSPLIT(B432, "/")</f>
        <v>Provision</v>
      </c>
    </row>
    <row r="433" spans="1:5" x14ac:dyDescent="0.35">
      <c r="A433">
        <v>432</v>
      </c>
      <c r="B433" t="s">
        <v>11194</v>
      </c>
      <c r="C433" t="str" cm="1">
        <f t="array" ref="C433:E433">_xlfn.TEXTSPLIT(B433, "/")</f>
        <v>Command</v>
      </c>
      <c r="D433" t="str">
        <v>Memorial</v>
      </c>
      <c r="E433" t="str">
        <v>Speech</v>
      </c>
    </row>
    <row r="434" spans="1:5" x14ac:dyDescent="0.35">
      <c r="A434">
        <v>433</v>
      </c>
      <c r="B434" t="s">
        <v>9358</v>
      </c>
      <c r="C434" t="str" cm="1">
        <f t="array" ref="C434">_xlfn.TEXTSPLIT(B434, "/")</f>
        <v>Restoration</v>
      </c>
    </row>
    <row r="435" spans="1:5" x14ac:dyDescent="0.35">
      <c r="A435">
        <v>434</v>
      </c>
      <c r="B435" t="s">
        <v>10077</v>
      </c>
      <c r="C435" t="str" cm="1">
        <f t="array" ref="C435:D435">_xlfn.TEXTSPLIT(B435, "/")</f>
        <v>Exaltation</v>
      </c>
      <c r="D435" t="str">
        <v>Recognition</v>
      </c>
    </row>
    <row r="436" spans="1:5" x14ac:dyDescent="0.35">
      <c r="A436">
        <v>435</v>
      </c>
      <c r="B436" t="s">
        <v>11221</v>
      </c>
      <c r="C436" t="str" cm="1">
        <f t="array" ref="C436:E436">_xlfn.TEXTSPLIT(B436, "/")</f>
        <v>Command</v>
      </c>
      <c r="D436" t="str">
        <v>Covenant</v>
      </c>
      <c r="E436" t="str">
        <v>Speech</v>
      </c>
    </row>
    <row r="437" spans="1:5" x14ac:dyDescent="0.35">
      <c r="A437">
        <v>436</v>
      </c>
      <c r="B437" t="s">
        <v>11222</v>
      </c>
      <c r="C437" t="str" cm="1">
        <f t="array" ref="C437:D437">_xlfn.TEXTSPLIT(B437, "/")</f>
        <v>Declaration</v>
      </c>
      <c r="D437" t="str">
        <v>Speech</v>
      </c>
    </row>
    <row r="438" spans="1:5" x14ac:dyDescent="0.35">
      <c r="A438">
        <v>437</v>
      </c>
      <c r="B438" t="s">
        <v>10078</v>
      </c>
      <c r="C438" t="str" cm="1">
        <f t="array" ref="C438:D438">_xlfn.TEXTSPLIT(B438, "/")</f>
        <v>Cessation</v>
      </c>
      <c r="D438" t="str">
        <v>Provision</v>
      </c>
    </row>
    <row r="439" spans="1:5" x14ac:dyDescent="0.35">
      <c r="A439">
        <v>438</v>
      </c>
      <c r="B439" t="s">
        <v>11187</v>
      </c>
      <c r="C439" t="str" cm="1">
        <f t="array" ref="C439:D439">_xlfn.TEXTSPLIT(B439, "/")</f>
        <v>Appearance</v>
      </c>
      <c r="D439" t="str">
        <v>Theophany</v>
      </c>
    </row>
    <row r="440" spans="1:5" x14ac:dyDescent="0.35">
      <c r="A440">
        <v>440</v>
      </c>
      <c r="B440" t="s">
        <v>10099</v>
      </c>
      <c r="C440" t="str" cm="1">
        <f t="array" ref="C440:D440">_xlfn.TEXTSPLIT(B440, "/")</f>
        <v>Instruction</v>
      </c>
      <c r="D440" t="str">
        <v>Strategy</v>
      </c>
    </row>
    <row r="441" spans="1:5" x14ac:dyDescent="0.35">
      <c r="A441">
        <v>441</v>
      </c>
      <c r="B441" t="s">
        <v>10755</v>
      </c>
      <c r="C441" t="str" cm="1">
        <f t="array" ref="C441">_xlfn.TEXTSPLIT(B441, "/")</f>
        <v>Destruction</v>
      </c>
    </row>
    <row r="442" spans="1:5" x14ac:dyDescent="0.35">
      <c r="A442">
        <v>442</v>
      </c>
      <c r="B442" t="s">
        <v>10079</v>
      </c>
      <c r="C442" t="str" cm="1">
        <f t="array" ref="C442:D442">_xlfn.TEXTSPLIT(B442, "/")</f>
        <v>Mercy</v>
      </c>
      <c r="D442" t="str">
        <v>Protection</v>
      </c>
    </row>
    <row r="443" spans="1:5" x14ac:dyDescent="0.35">
      <c r="A443">
        <v>443</v>
      </c>
      <c r="B443" t="s">
        <v>12716</v>
      </c>
      <c r="C443" t="str" cm="1">
        <f t="array" ref="C443:D443">_xlfn.TEXTSPLIT(B443, "/")</f>
        <v>Curse</v>
      </c>
      <c r="D443" t="str">
        <v>Speech</v>
      </c>
    </row>
    <row r="444" spans="1:5" x14ac:dyDescent="0.35">
      <c r="A444">
        <v>444</v>
      </c>
      <c r="B444" t="s">
        <v>10544</v>
      </c>
      <c r="C444" t="str" cm="1">
        <f t="array" ref="C444">_xlfn.TEXTSPLIT(B444, "/")</f>
        <v>Judgment</v>
      </c>
    </row>
    <row r="445" spans="1:5" x14ac:dyDescent="0.35">
      <c r="A445">
        <v>445</v>
      </c>
      <c r="B445" t="s">
        <v>11190</v>
      </c>
      <c r="C445" t="str" cm="1">
        <f t="array" ref="C445:D445">_xlfn.TEXTSPLIT(B445, "/")</f>
        <v>Defeat</v>
      </c>
      <c r="D445" t="str">
        <v>Judgment</v>
      </c>
    </row>
    <row r="446" spans="1:5" x14ac:dyDescent="0.35">
      <c r="A446">
        <v>447</v>
      </c>
      <c r="B446" t="s">
        <v>11125</v>
      </c>
      <c r="C446" t="str" cm="1">
        <f t="array" ref="C446:D446">_xlfn.TEXTSPLIT(B446, "/")</f>
        <v>Revelation</v>
      </c>
      <c r="D446" t="str">
        <v>Speech</v>
      </c>
    </row>
    <row r="447" spans="1:5" x14ac:dyDescent="0.35">
      <c r="A447">
        <v>448</v>
      </c>
      <c r="B447" t="s">
        <v>11223</v>
      </c>
      <c r="C447" t="str" cm="1">
        <f t="array" ref="C447:D447">_xlfn.TEXTSPLIT(B447, "/")</f>
        <v>Identification</v>
      </c>
      <c r="D447" t="str">
        <v>Revelation</v>
      </c>
    </row>
    <row r="448" spans="1:5" x14ac:dyDescent="0.35">
      <c r="A448">
        <v>450</v>
      </c>
      <c r="B448" t="s">
        <v>11224</v>
      </c>
      <c r="C448" t="str" cm="1">
        <f t="array" ref="C448:D448">_xlfn.TEXTSPLIT(B448, "/")</f>
        <v>Execution</v>
      </c>
      <c r="D448" t="str">
        <v>Judgment</v>
      </c>
    </row>
    <row r="449" spans="1:5" x14ac:dyDescent="0.35">
      <c r="A449">
        <v>451</v>
      </c>
      <c r="B449" t="s">
        <v>11225</v>
      </c>
      <c r="C449" t="str" cm="1">
        <f t="array" ref="C449:D449">_xlfn.TEXTSPLIT(B449, "/")</f>
        <v>Encouragement</v>
      </c>
      <c r="D449" t="str">
        <v>Speech</v>
      </c>
    </row>
    <row r="450" spans="1:5" x14ac:dyDescent="0.35">
      <c r="A450">
        <v>452</v>
      </c>
      <c r="B450" t="s">
        <v>10099</v>
      </c>
      <c r="C450" t="str" cm="1">
        <f t="array" ref="C450:D450">_xlfn.TEXTSPLIT(B450, "/")</f>
        <v>Instruction</v>
      </c>
      <c r="D450" t="str">
        <v>Strategy</v>
      </c>
    </row>
    <row r="451" spans="1:5" x14ac:dyDescent="0.35">
      <c r="A451">
        <v>453</v>
      </c>
      <c r="B451" t="s">
        <v>10091</v>
      </c>
      <c r="C451" t="str" cm="1">
        <f t="array" ref="C451:D451">_xlfn.TEXTSPLIT(B451, "/")</f>
        <v>Deliverance</v>
      </c>
      <c r="D451" t="str">
        <v>Victory</v>
      </c>
    </row>
    <row r="452" spans="1:5" x14ac:dyDescent="0.35">
      <c r="A452">
        <v>454</v>
      </c>
      <c r="B452" t="s">
        <v>12717</v>
      </c>
      <c r="C452" t="str" cm="1">
        <f t="array" ref="C452:D452">_xlfn.TEXTSPLIT(B452, "/")</f>
        <v>Command</v>
      </c>
      <c r="D452" t="str">
        <v>Sign</v>
      </c>
    </row>
    <row r="453" spans="1:5" x14ac:dyDescent="0.35">
      <c r="A453">
        <v>455</v>
      </c>
      <c r="B453" t="s">
        <v>11126</v>
      </c>
      <c r="C453" t="str" cm="1">
        <f t="array" ref="C453:D453">_xlfn.TEXTSPLIT(B453, "/")</f>
        <v>Destruction</v>
      </c>
      <c r="D453" t="str">
        <v>Judgment</v>
      </c>
    </row>
    <row r="454" spans="1:5" x14ac:dyDescent="0.35">
      <c r="A454">
        <v>459</v>
      </c>
      <c r="B454" t="s">
        <v>12681</v>
      </c>
      <c r="C454" t="str" cm="1">
        <f t="array" ref="C454">_xlfn.TEXTSPLIT(B454, "/")</f>
        <v>Cosmic</v>
      </c>
    </row>
    <row r="455" spans="1:5" x14ac:dyDescent="0.35">
      <c r="A455">
        <v>460</v>
      </c>
      <c r="B455" t="s">
        <v>12718</v>
      </c>
      <c r="C455" t="str" cm="1">
        <f t="array" ref="C455:D455">_xlfn.TEXTSPLIT(B455, "/")</f>
        <v>Intervention</v>
      </c>
      <c r="D455" t="str">
        <v>War</v>
      </c>
    </row>
    <row r="456" spans="1:5" x14ac:dyDescent="0.35">
      <c r="A456">
        <v>461</v>
      </c>
      <c r="B456" t="s">
        <v>12719</v>
      </c>
      <c r="C456" t="str" cm="1">
        <f t="array" ref="C456:D456">_xlfn.TEXTSPLIT(B456, "/")</f>
        <v>Hail</v>
      </c>
      <c r="D456" t="str">
        <v>War</v>
      </c>
    </row>
    <row r="457" spans="1:5" x14ac:dyDescent="0.35">
      <c r="A457">
        <v>462</v>
      </c>
      <c r="B457" t="s">
        <v>10755</v>
      </c>
      <c r="C457" t="str" cm="1">
        <f t="array" ref="C457">_xlfn.TEXTSPLIT(B457, "/")</f>
        <v>Destruction</v>
      </c>
    </row>
    <row r="458" spans="1:5" x14ac:dyDescent="0.35">
      <c r="A458">
        <v>465</v>
      </c>
      <c r="B458" t="s">
        <v>10091</v>
      </c>
      <c r="C458" t="str" cm="1">
        <f t="array" ref="C458:D458">_xlfn.TEXTSPLIT(B458, "/")</f>
        <v>Deliverance</v>
      </c>
      <c r="D458" t="str">
        <v>Victory</v>
      </c>
    </row>
    <row r="459" spans="1:5" x14ac:dyDescent="0.35">
      <c r="A459">
        <v>466</v>
      </c>
      <c r="B459" t="s">
        <v>11226</v>
      </c>
      <c r="C459" t="str" cm="1">
        <f t="array" ref="C459:D459">_xlfn.TEXTSPLIT(B459, "/")</f>
        <v>Conquest</v>
      </c>
      <c r="D459" t="str">
        <v>Victory</v>
      </c>
    </row>
    <row r="460" spans="1:5" x14ac:dyDescent="0.35">
      <c r="A460">
        <v>468</v>
      </c>
      <c r="B460" t="s">
        <v>11225</v>
      </c>
      <c r="C460" t="str" cm="1">
        <f t="array" ref="C460:D460">_xlfn.TEXTSPLIT(B460, "/")</f>
        <v>Encouragement</v>
      </c>
      <c r="D460" t="str">
        <v>Speech</v>
      </c>
    </row>
    <row r="461" spans="1:5" x14ac:dyDescent="0.35">
      <c r="A461">
        <v>469</v>
      </c>
      <c r="B461" t="s">
        <v>12712</v>
      </c>
      <c r="C461" t="str" cm="1">
        <f t="array" ref="C461:D461">_xlfn.TEXTSPLIT(B461, "/")</f>
        <v>Promise</v>
      </c>
      <c r="D461" t="str">
        <v>War</v>
      </c>
    </row>
    <row r="462" spans="1:5" x14ac:dyDescent="0.35">
      <c r="A462">
        <v>470</v>
      </c>
      <c r="B462" t="s">
        <v>10091</v>
      </c>
      <c r="C462" t="str" cm="1">
        <f t="array" ref="C462:D462">_xlfn.TEXTSPLIT(B462, "/")</f>
        <v>Deliverance</v>
      </c>
      <c r="D462" t="str">
        <v>Victory</v>
      </c>
    </row>
    <row r="463" spans="1:5" x14ac:dyDescent="0.35">
      <c r="A463">
        <v>471</v>
      </c>
      <c r="B463" t="s">
        <v>11227</v>
      </c>
      <c r="C463" t="str" cm="1">
        <f t="array" ref="C463:E463">_xlfn.TEXTSPLIT(B463, "/")</f>
        <v>Command</v>
      </c>
      <c r="D463" t="str">
        <v>Destruction</v>
      </c>
      <c r="E463" t="str">
        <v>Speech</v>
      </c>
    </row>
    <row r="464" spans="1:5" x14ac:dyDescent="0.35">
      <c r="A464">
        <v>472</v>
      </c>
      <c r="B464" t="s">
        <v>10047</v>
      </c>
      <c r="C464" t="str" cm="1">
        <f t="array" ref="C464:D464">_xlfn.TEXTSPLIT(B464, "/")</f>
        <v>Hardening</v>
      </c>
      <c r="D464" t="str">
        <v>Judgment</v>
      </c>
    </row>
    <row r="465" spans="1:5" x14ac:dyDescent="0.35">
      <c r="A465">
        <v>473</v>
      </c>
      <c r="B465" t="s">
        <v>11228</v>
      </c>
      <c r="C465" t="str" cm="1">
        <f t="array" ref="C465:D465">_xlfn.TEXTSPLIT(B465, "/")</f>
        <v>Fulfillment</v>
      </c>
      <c r="D465" t="str">
        <v>Peace</v>
      </c>
    </row>
    <row r="466" spans="1:5" x14ac:dyDescent="0.35">
      <c r="A466">
        <v>474</v>
      </c>
      <c r="B466" t="s">
        <v>11176</v>
      </c>
      <c r="C466" t="str" cm="1">
        <f t="array" ref="C466:E466">_xlfn.TEXTSPLIT(B466, "/")</f>
        <v>Command</v>
      </c>
      <c r="D466" t="str">
        <v>Instruction</v>
      </c>
      <c r="E466" t="str">
        <v>Speech</v>
      </c>
    </row>
    <row r="467" spans="1:5" x14ac:dyDescent="0.35">
      <c r="A467">
        <v>475</v>
      </c>
      <c r="B467" t="s">
        <v>11125</v>
      </c>
      <c r="C467" t="str" cm="1">
        <f t="array" ref="C467:D467">_xlfn.TEXTSPLIT(B467, "/")</f>
        <v>Revelation</v>
      </c>
      <c r="D467" t="str">
        <v>Speech</v>
      </c>
    </row>
    <row r="468" spans="1:5" x14ac:dyDescent="0.35">
      <c r="A468">
        <v>476</v>
      </c>
      <c r="B468" t="s">
        <v>11229</v>
      </c>
      <c r="C468" t="str" cm="1">
        <f t="array" ref="C468:D468">_xlfn.TEXTSPLIT(B468, "/")</f>
        <v>Promise</v>
      </c>
      <c r="D468" t="str">
        <v>Reward</v>
      </c>
    </row>
    <row r="469" spans="1:5" x14ac:dyDescent="0.35">
      <c r="A469">
        <v>477</v>
      </c>
      <c r="B469" t="s">
        <v>10667</v>
      </c>
      <c r="C469" t="str" cm="1">
        <f t="array" ref="C469">_xlfn.TEXTSPLIT(B469, "/")</f>
        <v>Preservation</v>
      </c>
    </row>
    <row r="470" spans="1:5" x14ac:dyDescent="0.35">
      <c r="A470">
        <v>478</v>
      </c>
      <c r="B470" t="s">
        <v>10081</v>
      </c>
      <c r="C470" t="str" cm="1">
        <f t="array" ref="C470:D470">_xlfn.TEXTSPLIT(B470, "/")</f>
        <v>Peace</v>
      </c>
      <c r="D470" t="str">
        <v>Rest</v>
      </c>
    </row>
    <row r="471" spans="1:5" x14ac:dyDescent="0.35">
      <c r="A471">
        <v>479</v>
      </c>
      <c r="B471" t="s">
        <v>10082</v>
      </c>
      <c r="C471" t="str" cm="1">
        <f t="array" ref="C471:D471">_xlfn.TEXTSPLIT(B471, "/")</f>
        <v>Institution</v>
      </c>
      <c r="D471" t="str">
        <v>Mercy</v>
      </c>
    </row>
    <row r="472" spans="1:5" x14ac:dyDescent="0.35">
      <c r="A472">
        <v>480</v>
      </c>
      <c r="B472" t="s">
        <v>11230</v>
      </c>
      <c r="C472" t="str" cm="1">
        <f t="array" ref="C472:D472">_xlfn.TEXTSPLIT(B472, "/")</f>
        <v>Fulfillment</v>
      </c>
      <c r="D472" t="str">
        <v>Provision</v>
      </c>
    </row>
    <row r="473" spans="1:5" x14ac:dyDescent="0.35">
      <c r="A473">
        <v>481</v>
      </c>
      <c r="B473" t="s">
        <v>10083</v>
      </c>
      <c r="C473" t="str" cm="1">
        <f t="array" ref="C473:D473">_xlfn.TEXTSPLIT(B473, "/")</f>
        <v>Fulfillment</v>
      </c>
      <c r="D473" t="str">
        <v>Promise</v>
      </c>
    </row>
    <row r="474" spans="1:5" x14ac:dyDescent="0.35">
      <c r="A474">
        <v>482</v>
      </c>
      <c r="B474" t="s">
        <v>11228</v>
      </c>
      <c r="C474" t="str" cm="1">
        <f t="array" ref="C474:D474">_xlfn.TEXTSPLIT(B474, "/")</f>
        <v>Fulfillment</v>
      </c>
      <c r="D474" t="str">
        <v>Peace</v>
      </c>
    </row>
    <row r="475" spans="1:5" x14ac:dyDescent="0.35">
      <c r="A475">
        <v>483</v>
      </c>
      <c r="B475" t="s">
        <v>10084</v>
      </c>
      <c r="C475" t="str" cm="1">
        <f t="array" ref="C475:D475">_xlfn.TEXTSPLIT(B475, "/")</f>
        <v>Faithfulness</v>
      </c>
      <c r="D475" t="str">
        <v>Fulfillment</v>
      </c>
    </row>
    <row r="476" spans="1:5" x14ac:dyDescent="0.35">
      <c r="A476">
        <v>487</v>
      </c>
      <c r="B476" t="s">
        <v>10085</v>
      </c>
      <c r="C476" t="str" cm="1">
        <f t="array" ref="C476:D476">_xlfn.TEXTSPLIT(B476, "/")</f>
        <v>Peace</v>
      </c>
      <c r="D476" t="str">
        <v>Providence</v>
      </c>
    </row>
    <row r="477" spans="1:5" x14ac:dyDescent="0.35">
      <c r="A477">
        <v>489</v>
      </c>
      <c r="B477" t="s">
        <v>10086</v>
      </c>
      <c r="C477" t="str" cm="1">
        <f t="array" ref="C477:D477">_xlfn.TEXTSPLIT(B477, "/")</f>
        <v>Faithfulness</v>
      </c>
      <c r="D477" t="str">
        <v>Testimony</v>
      </c>
    </row>
    <row r="478" spans="1:5" x14ac:dyDescent="0.35">
      <c r="A478">
        <v>490</v>
      </c>
      <c r="B478" t="s">
        <v>10253</v>
      </c>
      <c r="C478" t="str" cm="1">
        <f t="array" ref="C478:D478">_xlfn.TEXTSPLIT(B478, "/")</f>
        <v>Prophecy</v>
      </c>
      <c r="D478" t="str">
        <v>Warning</v>
      </c>
    </row>
    <row r="479" spans="1:5" x14ac:dyDescent="0.35">
      <c r="A479">
        <v>492</v>
      </c>
      <c r="B479" t="s">
        <v>12718</v>
      </c>
      <c r="C479" t="str" cm="1">
        <f t="array" ref="C479:D479">_xlfn.TEXTSPLIT(B479, "/")</f>
        <v>Intervention</v>
      </c>
      <c r="D479" t="str">
        <v>War</v>
      </c>
    </row>
    <row r="480" spans="1:5" x14ac:dyDescent="0.35">
      <c r="A480">
        <v>493</v>
      </c>
      <c r="B480" t="s">
        <v>10087</v>
      </c>
      <c r="C480" t="str" cm="1">
        <f t="array" ref="C480:D480">_xlfn.TEXTSPLIT(B480, "/")</f>
        <v>Covenant</v>
      </c>
      <c r="D480" t="str">
        <v>Renewal</v>
      </c>
    </row>
    <row r="481" spans="1:5" x14ac:dyDescent="0.35">
      <c r="A481">
        <v>494</v>
      </c>
      <c r="B481" t="s">
        <v>12201</v>
      </c>
      <c r="C481" t="str" cm="1">
        <f t="array" ref="C481:E481">_xlfn.TEXTSPLIT(B481, "/")</f>
        <v>Speech</v>
      </c>
      <c r="D481" t="str">
        <v>Guidance</v>
      </c>
      <c r="E481" t="str">
        <v>Answer</v>
      </c>
    </row>
    <row r="482" spans="1:5" x14ac:dyDescent="0.35">
      <c r="A482">
        <v>495</v>
      </c>
      <c r="B482" t="s">
        <v>10751</v>
      </c>
      <c r="C482" t="str" cm="1">
        <f t="array" ref="C482">_xlfn.TEXTSPLIT(B482, "/")</f>
        <v>Theophany</v>
      </c>
    </row>
    <row r="483" spans="1:5" x14ac:dyDescent="0.35">
      <c r="A483">
        <v>496</v>
      </c>
      <c r="B483" t="s">
        <v>12221</v>
      </c>
      <c r="C483" t="str" cm="1">
        <f t="array" ref="C483:E483">_xlfn.TEXTSPLIT(B483, "/")</f>
        <v>Judgment</v>
      </c>
      <c r="D483" t="str">
        <v>Rebuke</v>
      </c>
      <c r="E483" t="str">
        <v>Speech</v>
      </c>
    </row>
    <row r="484" spans="1:5" x14ac:dyDescent="0.35">
      <c r="A484">
        <v>497</v>
      </c>
      <c r="B484" t="s">
        <v>12224</v>
      </c>
      <c r="C484" t="str" cm="1">
        <f t="array" ref="C484:D484">_xlfn.TEXTSPLIT(B484, "/")</f>
        <v>Judgment</v>
      </c>
      <c r="D484" t="str">
        <v>Defeat</v>
      </c>
    </row>
    <row r="485" spans="1:5" x14ac:dyDescent="0.35">
      <c r="A485">
        <v>498</v>
      </c>
      <c r="B485" t="s">
        <v>11232</v>
      </c>
      <c r="C485" t="str" cm="1">
        <f t="array" ref="C485:D485">_xlfn.TEXTSPLIT(B485, "/")</f>
        <v>Appointment</v>
      </c>
      <c r="D485" t="str">
        <v>Deliverance</v>
      </c>
    </row>
    <row r="486" spans="1:5" x14ac:dyDescent="0.35">
      <c r="A486">
        <v>499</v>
      </c>
      <c r="B486" t="s">
        <v>11233</v>
      </c>
      <c r="C486" t="str" cm="1">
        <f t="array" ref="C486:D486">_xlfn.TEXTSPLIT(B486, "/")</f>
        <v>Deliverance</v>
      </c>
      <c r="D486" t="str">
        <v>Presence</v>
      </c>
    </row>
    <row r="487" spans="1:5" x14ac:dyDescent="0.35">
      <c r="A487">
        <v>500</v>
      </c>
      <c r="B487" t="s">
        <v>12226</v>
      </c>
      <c r="C487" t="str" cm="1">
        <f t="array" ref="C487:E487">_xlfn.TEXTSPLIT(B487, "/")</f>
        <v>Anger</v>
      </c>
      <c r="D487" t="str">
        <v>Judgment</v>
      </c>
      <c r="E487" t="str">
        <v>Speech</v>
      </c>
    </row>
    <row r="488" spans="1:5" x14ac:dyDescent="0.35">
      <c r="A488">
        <v>501</v>
      </c>
      <c r="B488" t="s">
        <v>12720</v>
      </c>
      <c r="C488" t="str" cm="1">
        <f t="array" ref="C488:E488">_xlfn.TEXTSPLIT(B488, "/")</f>
        <v>Judgment</v>
      </c>
      <c r="D488" t="str">
        <v>Discipline</v>
      </c>
      <c r="E488" t="str">
        <v>Test</v>
      </c>
    </row>
    <row r="489" spans="1:5" x14ac:dyDescent="0.35">
      <c r="A489">
        <v>502</v>
      </c>
      <c r="B489" t="s">
        <v>10088</v>
      </c>
      <c r="C489" t="str" cm="1">
        <f t="array" ref="C489:D489">_xlfn.TEXTSPLIT(B489, "/")</f>
        <v>Judgment</v>
      </c>
      <c r="D489" t="str">
        <v>Oppression</v>
      </c>
    </row>
    <row r="490" spans="1:5" x14ac:dyDescent="0.35">
      <c r="A490">
        <v>503</v>
      </c>
      <c r="B490" t="s">
        <v>10505</v>
      </c>
      <c r="C490" t="str" cm="1">
        <f t="array" ref="C490:D490">_xlfn.TEXTSPLIT(B490, "/")</f>
        <v>Deliverance</v>
      </c>
      <c r="D490" t="str">
        <v>Judgment</v>
      </c>
    </row>
    <row r="491" spans="1:5" x14ac:dyDescent="0.35">
      <c r="A491">
        <v>504</v>
      </c>
      <c r="B491" t="s">
        <v>10089</v>
      </c>
      <c r="C491" t="str" cm="1">
        <f t="array" ref="C491:D491">_xlfn.TEXTSPLIT(B491, "/")</f>
        <v>Empowerment</v>
      </c>
      <c r="D491" t="str">
        <v>Spirit</v>
      </c>
    </row>
    <row r="492" spans="1:5" x14ac:dyDescent="0.35">
      <c r="A492">
        <v>505</v>
      </c>
      <c r="B492" t="s">
        <v>12721</v>
      </c>
      <c r="C492" t="str" cm="1">
        <f t="array" ref="C492:E492">_xlfn.TEXTSPLIT(B492, "/")</f>
        <v>Judgment</v>
      </c>
      <c r="D492" t="str">
        <v>Victory</v>
      </c>
      <c r="E492" t="str">
        <v>War</v>
      </c>
    </row>
    <row r="493" spans="1:5" x14ac:dyDescent="0.35">
      <c r="A493">
        <v>506</v>
      </c>
      <c r="B493" t="s">
        <v>10091</v>
      </c>
      <c r="C493" t="str" cm="1">
        <f t="array" ref="C493:D493">_xlfn.TEXTSPLIT(B493, "/")</f>
        <v>Deliverance</v>
      </c>
      <c r="D493" t="str">
        <v>Victory</v>
      </c>
    </row>
    <row r="494" spans="1:5" x14ac:dyDescent="0.35">
      <c r="A494">
        <v>507</v>
      </c>
      <c r="B494" t="s">
        <v>11234</v>
      </c>
      <c r="C494" t="str" cm="1">
        <f t="array" ref="C494:D494">_xlfn.TEXTSPLIT(B494, "/")</f>
        <v>Blessing</v>
      </c>
      <c r="D494" t="str">
        <v>Peace</v>
      </c>
    </row>
    <row r="495" spans="1:5" x14ac:dyDescent="0.35">
      <c r="A495">
        <v>508</v>
      </c>
      <c r="B495" t="s">
        <v>10090</v>
      </c>
      <c r="C495" t="str" cm="1">
        <f t="array" ref="C495:D495">_xlfn.TEXTSPLIT(B495, "/")</f>
        <v>Judgment</v>
      </c>
      <c r="D495" t="str">
        <v>Strengthening Enemies</v>
      </c>
    </row>
    <row r="496" spans="1:5" x14ac:dyDescent="0.35">
      <c r="A496">
        <v>509</v>
      </c>
      <c r="B496" t="s">
        <v>10505</v>
      </c>
      <c r="C496" t="str" cm="1">
        <f t="array" ref="C496:D496">_xlfn.TEXTSPLIT(B496, "/")</f>
        <v>Deliverance</v>
      </c>
      <c r="D496" t="str">
        <v>Judgment</v>
      </c>
    </row>
    <row r="497" spans="1:5" x14ac:dyDescent="0.35">
      <c r="A497">
        <v>510</v>
      </c>
      <c r="B497" t="s">
        <v>11235</v>
      </c>
      <c r="C497" t="str" cm="1">
        <f t="array" ref="C497:D497">_xlfn.TEXTSPLIT(B497, "/")</f>
        <v>Assassination</v>
      </c>
      <c r="D497" t="str">
        <v>Deliverance</v>
      </c>
    </row>
    <row r="498" spans="1:5" x14ac:dyDescent="0.35">
      <c r="A498">
        <v>511</v>
      </c>
      <c r="B498" t="s">
        <v>12710</v>
      </c>
      <c r="C498" t="str" cm="1">
        <f t="array" ref="C498:D498">_xlfn.TEXTSPLIT(B498, "/")</f>
        <v>Victory</v>
      </c>
      <c r="D498" t="str">
        <v>War</v>
      </c>
    </row>
    <row r="499" spans="1:5" x14ac:dyDescent="0.35">
      <c r="A499">
        <v>512</v>
      </c>
      <c r="B499" t="s">
        <v>11234</v>
      </c>
      <c r="C499" t="str" cm="1">
        <f t="array" ref="C499:D499">_xlfn.TEXTSPLIT(B499, "/")</f>
        <v>Blessing</v>
      </c>
      <c r="D499" t="str">
        <v>Peace</v>
      </c>
    </row>
    <row r="500" spans="1:5" x14ac:dyDescent="0.35">
      <c r="A500">
        <v>513</v>
      </c>
      <c r="B500" t="s">
        <v>12233</v>
      </c>
      <c r="C500" t="str" cm="1">
        <f t="array" ref="C500:E500">_xlfn.TEXTSPLIT(B500, "/")</f>
        <v>Strength</v>
      </c>
      <c r="D500" t="str">
        <v>Deliverance</v>
      </c>
      <c r="E500" t="str">
        <v>Victory</v>
      </c>
    </row>
    <row r="501" spans="1:5" x14ac:dyDescent="0.35">
      <c r="A501">
        <v>514</v>
      </c>
      <c r="B501" t="s">
        <v>10088</v>
      </c>
      <c r="C501" t="str" cm="1">
        <f t="array" ref="C501:D501">_xlfn.TEXTSPLIT(B501, "/")</f>
        <v>Judgment</v>
      </c>
      <c r="D501" t="str">
        <v>Oppression</v>
      </c>
    </row>
    <row r="502" spans="1:5" x14ac:dyDescent="0.35">
      <c r="A502">
        <v>515</v>
      </c>
      <c r="B502" t="s">
        <v>12722</v>
      </c>
      <c r="C502" t="str" cm="1">
        <f t="array" ref="C502:D502">_xlfn.TEXTSPLIT(B502, "/")</f>
        <v>Appointment</v>
      </c>
      <c r="D502" t="str">
        <v>Judgment</v>
      </c>
    </row>
    <row r="503" spans="1:5" x14ac:dyDescent="0.35">
      <c r="A503">
        <v>516</v>
      </c>
      <c r="B503" t="s">
        <v>12711</v>
      </c>
      <c r="C503" t="str" cm="1">
        <f t="array" ref="C503:E503">_xlfn.TEXTSPLIT(B503, "/")</f>
        <v>Command</v>
      </c>
      <c r="D503" t="str">
        <v>Speech</v>
      </c>
      <c r="E503" t="str">
        <v>War</v>
      </c>
    </row>
    <row r="504" spans="1:5" x14ac:dyDescent="0.35">
      <c r="A504">
        <v>517</v>
      </c>
      <c r="B504" t="s">
        <v>10094</v>
      </c>
      <c r="C504" t="str" cm="1">
        <f t="array" ref="C504:D504">_xlfn.TEXTSPLIT(B504, "/")</f>
        <v>Promise</v>
      </c>
      <c r="D504" t="str">
        <v>Victory</v>
      </c>
    </row>
    <row r="505" spans="1:5" x14ac:dyDescent="0.35">
      <c r="A505">
        <v>518</v>
      </c>
      <c r="B505" t="s">
        <v>12723</v>
      </c>
      <c r="C505" t="str" cm="1">
        <f t="array" ref="C505:D505">_xlfn.TEXTSPLIT(B505, "/")</f>
        <v>Confusion</v>
      </c>
      <c r="D505" t="str">
        <v>War</v>
      </c>
    </row>
    <row r="506" spans="1:5" x14ac:dyDescent="0.35">
      <c r="A506">
        <v>519</v>
      </c>
      <c r="B506" t="s">
        <v>10091</v>
      </c>
      <c r="C506" t="str" cm="1">
        <f t="array" ref="C506:D506">_xlfn.TEXTSPLIT(B506, "/")</f>
        <v>Deliverance</v>
      </c>
      <c r="D506" t="str">
        <v>Victory</v>
      </c>
    </row>
    <row r="507" spans="1:5" x14ac:dyDescent="0.35">
      <c r="A507">
        <v>520</v>
      </c>
      <c r="B507" t="s">
        <v>10096</v>
      </c>
      <c r="C507" t="str" cm="1">
        <f t="array" ref="C507:D507">_xlfn.TEXTSPLIT(B507, "/")</f>
        <v>Fulfillment</v>
      </c>
      <c r="D507" t="str">
        <v>Victory</v>
      </c>
    </row>
    <row r="508" spans="1:5" x14ac:dyDescent="0.35">
      <c r="A508">
        <v>521</v>
      </c>
      <c r="B508" t="s">
        <v>12710</v>
      </c>
      <c r="C508" t="str" cm="1">
        <f t="array" ref="C508:D508">_xlfn.TEXTSPLIT(B508, "/")</f>
        <v>Victory</v>
      </c>
      <c r="D508" t="str">
        <v>War</v>
      </c>
    </row>
    <row r="509" spans="1:5" x14ac:dyDescent="0.35">
      <c r="A509">
        <v>522</v>
      </c>
      <c r="B509" t="s">
        <v>12724</v>
      </c>
      <c r="C509" t="str" cm="1">
        <f t="array" ref="C509:D509">_xlfn.TEXTSPLIT(B509, "/")</f>
        <v>Cosmic</v>
      </c>
      <c r="D509" t="str">
        <v>War</v>
      </c>
    </row>
    <row r="510" spans="1:5" x14ac:dyDescent="0.35">
      <c r="A510">
        <v>523</v>
      </c>
      <c r="B510" t="s">
        <v>12725</v>
      </c>
      <c r="C510" t="str" cm="1">
        <f t="array" ref="C510:E510">_xlfn.TEXTSPLIT(B510, "/")</f>
        <v>Water</v>
      </c>
      <c r="D510" t="str">
        <v>Victory</v>
      </c>
      <c r="E510" t="str">
        <v>War</v>
      </c>
    </row>
    <row r="511" spans="1:5" x14ac:dyDescent="0.35">
      <c r="A511">
        <v>524</v>
      </c>
      <c r="B511" t="s">
        <v>10097</v>
      </c>
      <c r="C511" t="str" cm="1">
        <f t="array" ref="C511:D511">_xlfn.TEXTSPLIT(B511, "/")</f>
        <v>Praise</v>
      </c>
      <c r="D511" t="str">
        <v>Thanksgiving</v>
      </c>
    </row>
    <row r="512" spans="1:5" x14ac:dyDescent="0.35">
      <c r="A512">
        <v>525</v>
      </c>
      <c r="B512" t="s">
        <v>11234</v>
      </c>
      <c r="C512" t="str" cm="1">
        <f t="array" ref="C512:D512">_xlfn.TEXTSPLIT(B512, "/")</f>
        <v>Blessing</v>
      </c>
      <c r="D512" t="str">
        <v>Peace</v>
      </c>
    </row>
    <row r="513" spans="1:5" x14ac:dyDescent="0.35">
      <c r="A513">
        <v>526</v>
      </c>
      <c r="B513" t="s">
        <v>10088</v>
      </c>
      <c r="C513" t="str" cm="1">
        <f t="array" ref="C513:D513">_xlfn.TEXTSPLIT(B513, "/")</f>
        <v>Judgment</v>
      </c>
      <c r="D513" t="str">
        <v>Oppression</v>
      </c>
    </row>
    <row r="514" spans="1:5" x14ac:dyDescent="0.35">
      <c r="A514">
        <v>527</v>
      </c>
      <c r="B514" t="s">
        <v>11236</v>
      </c>
      <c r="C514" t="str" cm="1">
        <f t="array" ref="C514:D514">_xlfn.TEXTSPLIT(B514, "/")</f>
        <v>Impoverishment</v>
      </c>
      <c r="D514" t="str">
        <v>Judgment</v>
      </c>
    </row>
    <row r="515" spans="1:5" x14ac:dyDescent="0.35">
      <c r="A515">
        <v>528</v>
      </c>
      <c r="B515" t="s">
        <v>12261</v>
      </c>
      <c r="C515" t="str" cm="1">
        <f t="array" ref="C515:D515">_xlfn.TEXTSPLIT(B515, "/")</f>
        <v>Speech</v>
      </c>
      <c r="D515" t="str">
        <v>Rebuke</v>
      </c>
    </row>
    <row r="516" spans="1:5" x14ac:dyDescent="0.35">
      <c r="A516">
        <v>529</v>
      </c>
      <c r="B516" t="s">
        <v>11237</v>
      </c>
      <c r="C516" t="str" cm="1">
        <f t="array" ref="C516:D516">_xlfn.TEXTSPLIT(B516, "/")</f>
        <v>History</v>
      </c>
      <c r="D516" t="str">
        <v>Reminder</v>
      </c>
    </row>
    <row r="517" spans="1:5" x14ac:dyDescent="0.35">
      <c r="A517">
        <v>530</v>
      </c>
      <c r="B517" t="s">
        <v>10751</v>
      </c>
      <c r="C517" t="str" cm="1">
        <f t="array" ref="C517">_xlfn.TEXTSPLIT(B517, "/")</f>
        <v>Theophany</v>
      </c>
    </row>
    <row r="518" spans="1:5" x14ac:dyDescent="0.35">
      <c r="A518">
        <v>531</v>
      </c>
      <c r="B518" t="s">
        <v>12263</v>
      </c>
      <c r="C518" t="str" cm="1">
        <f t="array" ref="C518:D518">_xlfn.TEXTSPLIT(B518, "/")</f>
        <v>Recognition</v>
      </c>
      <c r="D518" t="str">
        <v>Speech</v>
      </c>
    </row>
    <row r="519" spans="1:5" x14ac:dyDescent="0.35">
      <c r="A519">
        <v>532</v>
      </c>
      <c r="B519" t="s">
        <v>12264</v>
      </c>
      <c r="C519" t="str" cm="1">
        <f t="array" ref="C519:E519">_xlfn.TEXTSPLIT(B519, "/")</f>
        <v>Presence</v>
      </c>
      <c r="D519" t="str">
        <v>Promise</v>
      </c>
      <c r="E519" t="str">
        <v>Speech</v>
      </c>
    </row>
    <row r="520" spans="1:5" x14ac:dyDescent="0.35">
      <c r="A520">
        <v>533</v>
      </c>
      <c r="B520" t="s">
        <v>12265</v>
      </c>
      <c r="C520" t="str" cm="1">
        <f t="array" ref="C520:D520">_xlfn.TEXTSPLIT(B520, "/")</f>
        <v>Speech</v>
      </c>
      <c r="D520" t="str">
        <v>Instruction</v>
      </c>
    </row>
    <row r="521" spans="1:5" x14ac:dyDescent="0.35">
      <c r="A521">
        <v>534</v>
      </c>
      <c r="B521" t="s">
        <v>12266</v>
      </c>
      <c r="C521" t="str" cm="1">
        <f t="array" ref="C521:E521">_xlfn.TEXTSPLIT(B521, "/")</f>
        <v>Presence</v>
      </c>
      <c r="D521" t="str">
        <v>Assurance</v>
      </c>
      <c r="E521" t="str">
        <v>Promise</v>
      </c>
    </row>
    <row r="522" spans="1:5" x14ac:dyDescent="0.35">
      <c r="A522">
        <v>535</v>
      </c>
      <c r="B522" t="s">
        <v>12268</v>
      </c>
      <c r="C522" t="str" cm="1">
        <f t="array" ref="C522:D522">_xlfn.TEXTSPLIT(B522, "/")</f>
        <v>Speech</v>
      </c>
      <c r="D522" t="str">
        <v>Command</v>
      </c>
    </row>
    <row r="523" spans="1:5" x14ac:dyDescent="0.35">
      <c r="A523">
        <v>536</v>
      </c>
      <c r="B523" t="s">
        <v>12268</v>
      </c>
      <c r="C523" t="str" cm="1">
        <f t="array" ref="C523:D523">_xlfn.TEXTSPLIT(B523, "/")</f>
        <v>Speech</v>
      </c>
      <c r="D523" t="str">
        <v>Command</v>
      </c>
    </row>
    <row r="524" spans="1:5" x14ac:dyDescent="0.35">
      <c r="A524">
        <v>537</v>
      </c>
      <c r="B524" t="s">
        <v>11172</v>
      </c>
      <c r="C524" t="str" cm="1">
        <f t="array" ref="C524:D524">_xlfn.TEXTSPLIT(B524, "/")</f>
        <v>Fire</v>
      </c>
      <c r="D524" t="str">
        <v>Theophany</v>
      </c>
    </row>
    <row r="525" spans="1:5" x14ac:dyDescent="0.35">
      <c r="A525">
        <v>538</v>
      </c>
      <c r="B525" t="s">
        <v>10098</v>
      </c>
      <c r="C525" t="str" cm="1">
        <f t="array" ref="C525:D525">_xlfn.TEXTSPLIT(B525, "/")</f>
        <v>Departure</v>
      </c>
      <c r="D525" t="str">
        <v>Theophany</v>
      </c>
    </row>
    <row r="526" spans="1:5" x14ac:dyDescent="0.35">
      <c r="A526">
        <v>539</v>
      </c>
      <c r="B526" t="s">
        <v>12272</v>
      </c>
      <c r="C526" t="str" cm="1">
        <f t="array" ref="C526:E526">_xlfn.TEXTSPLIT(B526, "/")</f>
        <v>Peace</v>
      </c>
      <c r="D526" t="str">
        <v>Reassurance</v>
      </c>
      <c r="E526" t="str">
        <v>Speech</v>
      </c>
    </row>
    <row r="527" spans="1:5" x14ac:dyDescent="0.35">
      <c r="A527">
        <v>540</v>
      </c>
      <c r="B527" t="s">
        <v>11112</v>
      </c>
      <c r="C527" t="str" cm="1">
        <f t="array" ref="C527:D527">_xlfn.TEXTSPLIT(B527, "/")</f>
        <v>Instruction</v>
      </c>
      <c r="D527" t="str">
        <v>Speech</v>
      </c>
    </row>
    <row r="528" spans="1:5" x14ac:dyDescent="0.35">
      <c r="A528">
        <v>541</v>
      </c>
      <c r="B528" t="s">
        <v>10089</v>
      </c>
      <c r="C528" t="str" cm="1">
        <f t="array" ref="C528:D528">_xlfn.TEXTSPLIT(B528, "/")</f>
        <v>Empowerment</v>
      </c>
      <c r="D528" t="str">
        <v>Spirit</v>
      </c>
    </row>
    <row r="529" spans="1:5" x14ac:dyDescent="0.35">
      <c r="A529">
        <v>542</v>
      </c>
      <c r="B529" t="s">
        <v>12340</v>
      </c>
      <c r="C529" t="str" cm="1">
        <f t="array" ref="C529:E529">_xlfn.TEXTSPLIT(B529, "/")</f>
        <v>Empowerment</v>
      </c>
      <c r="D529" t="str">
        <v>Spirit</v>
      </c>
      <c r="E529" t="str">
        <v>Trumpet</v>
      </c>
    </row>
    <row r="530" spans="1:5" x14ac:dyDescent="0.35">
      <c r="A530">
        <v>543</v>
      </c>
      <c r="B530" t="s">
        <v>12726</v>
      </c>
      <c r="C530" t="str" cm="1">
        <f t="array" ref="C530:E530">_xlfn.TEXTSPLIT(B530, "/")</f>
        <v>Sign</v>
      </c>
      <c r="D530" t="str">
        <v>Prayer</v>
      </c>
      <c r="E530" t="str">
        <v>Water</v>
      </c>
    </row>
    <row r="531" spans="1:5" x14ac:dyDescent="0.35">
      <c r="A531">
        <v>544</v>
      </c>
      <c r="B531" t="s">
        <v>12726</v>
      </c>
      <c r="C531" t="str" cm="1">
        <f t="array" ref="C531:E531">_xlfn.TEXTSPLIT(B531, "/")</f>
        <v>Sign</v>
      </c>
      <c r="D531" t="str">
        <v>Prayer</v>
      </c>
      <c r="E531" t="str">
        <v>Water</v>
      </c>
    </row>
    <row r="532" spans="1:5" x14ac:dyDescent="0.35">
      <c r="A532">
        <v>545</v>
      </c>
      <c r="B532" t="s">
        <v>12274</v>
      </c>
      <c r="C532" t="str" cm="1">
        <f t="array" ref="C532:E532">_xlfn.TEXTSPLIT(B532, "/")</f>
        <v>Instruction</v>
      </c>
      <c r="D532" t="str">
        <v>Strategy</v>
      </c>
      <c r="E532" t="str">
        <v>Speech</v>
      </c>
    </row>
    <row r="533" spans="1:5" x14ac:dyDescent="0.35">
      <c r="A533">
        <v>546</v>
      </c>
      <c r="B533" t="s">
        <v>11239</v>
      </c>
      <c r="C533" t="str" cm="1">
        <f t="array" ref="C533:D533">_xlfn.TEXTSPLIT(B533, "/")</f>
        <v>Humility</v>
      </c>
      <c r="D533" t="str">
        <v>Strategy</v>
      </c>
    </row>
    <row r="534" spans="1:5" x14ac:dyDescent="0.35">
      <c r="A534">
        <v>547</v>
      </c>
      <c r="B534" t="s">
        <v>12274</v>
      </c>
      <c r="C534" t="str" cm="1">
        <f t="array" ref="C534:E534">_xlfn.TEXTSPLIT(B534, "/")</f>
        <v>Instruction</v>
      </c>
      <c r="D534" t="str">
        <v>Strategy</v>
      </c>
      <c r="E534" t="str">
        <v>Speech</v>
      </c>
    </row>
    <row r="535" spans="1:5" x14ac:dyDescent="0.35">
      <c r="A535">
        <v>548</v>
      </c>
      <c r="B535" t="s">
        <v>12278</v>
      </c>
      <c r="C535" t="str" cm="1">
        <f t="array" ref="C535:D535">_xlfn.TEXTSPLIT(B535, "/")</f>
        <v>Test</v>
      </c>
      <c r="D535" t="str">
        <v>Strategy</v>
      </c>
    </row>
    <row r="536" spans="1:5" x14ac:dyDescent="0.35">
      <c r="A536">
        <v>549</v>
      </c>
      <c r="B536" t="s">
        <v>10094</v>
      </c>
      <c r="C536" t="str" cm="1">
        <f t="array" ref="C536:D536">_xlfn.TEXTSPLIT(B536, "/")</f>
        <v>Promise</v>
      </c>
      <c r="D536" t="str">
        <v>Victory</v>
      </c>
    </row>
    <row r="537" spans="1:5" x14ac:dyDescent="0.35">
      <c r="A537">
        <v>550</v>
      </c>
      <c r="B537" t="s">
        <v>11112</v>
      </c>
      <c r="C537" t="str" cm="1">
        <f t="array" ref="C537:D537">_xlfn.TEXTSPLIT(B537, "/")</f>
        <v>Instruction</v>
      </c>
      <c r="D537" t="str">
        <v>Speech</v>
      </c>
    </row>
    <row r="538" spans="1:5" x14ac:dyDescent="0.35">
      <c r="A538">
        <v>551</v>
      </c>
      <c r="B538" t="s">
        <v>12280</v>
      </c>
      <c r="C538" t="str" cm="1">
        <f t="array" ref="C538:E538">_xlfn.TEXTSPLIT(B538, "/")</f>
        <v>Encouragement</v>
      </c>
      <c r="D538" t="str">
        <v>Sign</v>
      </c>
      <c r="E538" t="str">
        <v>Speech</v>
      </c>
    </row>
    <row r="539" spans="1:5" x14ac:dyDescent="0.35">
      <c r="A539">
        <v>552</v>
      </c>
      <c r="B539" t="s">
        <v>12283</v>
      </c>
      <c r="C539" t="str" cm="1">
        <f t="array" ref="C539:D539">_xlfn.TEXTSPLIT(B539, "/")</f>
        <v>Prophecy</v>
      </c>
      <c r="D539" t="str">
        <v>Dream</v>
      </c>
    </row>
    <row r="540" spans="1:5" x14ac:dyDescent="0.35">
      <c r="A540">
        <v>553</v>
      </c>
      <c r="B540" t="s">
        <v>12723</v>
      </c>
      <c r="C540" t="str" cm="1">
        <f t="array" ref="C540:D540">_xlfn.TEXTSPLIT(B540, "/")</f>
        <v>Confusion</v>
      </c>
      <c r="D540" t="str">
        <v>War</v>
      </c>
    </row>
    <row r="541" spans="1:5" x14ac:dyDescent="0.35">
      <c r="A541">
        <v>554</v>
      </c>
      <c r="B541" t="s">
        <v>12727</v>
      </c>
      <c r="C541" t="str" cm="1">
        <f t="array" ref="C541:E541">_xlfn.TEXTSPLIT(B541, "/")</f>
        <v>Pursuit</v>
      </c>
      <c r="D541" t="str">
        <v>Victory</v>
      </c>
      <c r="E541" t="str">
        <v>Fulfillment</v>
      </c>
    </row>
    <row r="542" spans="1:5" x14ac:dyDescent="0.35">
      <c r="A542">
        <v>555</v>
      </c>
      <c r="B542" t="s">
        <v>11234</v>
      </c>
      <c r="C542" t="str" cm="1">
        <f t="array" ref="C542:D542">_xlfn.TEXTSPLIT(B542, "/")</f>
        <v>Blessing</v>
      </c>
      <c r="D542" t="str">
        <v>Peace</v>
      </c>
    </row>
    <row r="543" spans="1:5" x14ac:dyDescent="0.35">
      <c r="A543">
        <v>556</v>
      </c>
      <c r="B543" t="s">
        <v>12284</v>
      </c>
      <c r="C543" t="str" cm="1">
        <f t="array" ref="C543:D543">_xlfn.TEXTSPLIT(B543, "/")</f>
        <v>Judgment</v>
      </c>
      <c r="D543" t="str">
        <v>Death</v>
      </c>
    </row>
    <row r="544" spans="1:5" x14ac:dyDescent="0.35">
      <c r="A544">
        <v>557</v>
      </c>
      <c r="B544" t="s">
        <v>11241</v>
      </c>
      <c r="C544" t="str" cm="1">
        <f t="array" ref="C544:D544">_xlfn.TEXTSPLIT(B544, "/")</f>
        <v>Discord</v>
      </c>
      <c r="D544" t="str">
        <v>Judgment</v>
      </c>
    </row>
    <row r="545" spans="1:5" x14ac:dyDescent="0.35">
      <c r="A545">
        <v>558</v>
      </c>
      <c r="B545" t="s">
        <v>11139</v>
      </c>
      <c r="C545" t="str" cm="1">
        <f t="array" ref="C545:D545">_xlfn.TEXTSPLIT(B545, "/")</f>
        <v>Death</v>
      </c>
      <c r="D545" t="str">
        <v>Judgment</v>
      </c>
    </row>
    <row r="546" spans="1:5" x14ac:dyDescent="0.35">
      <c r="A546">
        <v>559</v>
      </c>
      <c r="B546" t="s">
        <v>10505</v>
      </c>
      <c r="C546" t="str" cm="1">
        <f t="array" ref="C546:D546">_xlfn.TEXTSPLIT(B546, "/")</f>
        <v>Deliverance</v>
      </c>
      <c r="D546" t="str">
        <v>Judgment</v>
      </c>
    </row>
    <row r="547" spans="1:5" x14ac:dyDescent="0.35">
      <c r="A547">
        <v>560</v>
      </c>
      <c r="B547" t="s">
        <v>12722</v>
      </c>
      <c r="C547" t="str" cm="1">
        <f t="array" ref="C547:D547">_xlfn.TEXTSPLIT(B547, "/")</f>
        <v>Appointment</v>
      </c>
      <c r="D547" t="str">
        <v>Judgment</v>
      </c>
    </row>
    <row r="548" spans="1:5" x14ac:dyDescent="0.35">
      <c r="A548">
        <v>561</v>
      </c>
      <c r="B548" t="s">
        <v>10088</v>
      </c>
      <c r="C548" t="str" cm="1">
        <f t="array" ref="C548:D548">_xlfn.TEXTSPLIT(B548, "/")</f>
        <v>Judgment</v>
      </c>
      <c r="D548" t="str">
        <v>Oppression</v>
      </c>
    </row>
    <row r="549" spans="1:5" x14ac:dyDescent="0.35">
      <c r="A549">
        <v>562</v>
      </c>
      <c r="B549" t="s">
        <v>10088</v>
      </c>
      <c r="C549" t="str" cm="1">
        <f t="array" ref="C549:D549">_xlfn.TEXTSPLIT(B549, "/")</f>
        <v>Judgment</v>
      </c>
      <c r="D549" t="str">
        <v>Oppression</v>
      </c>
    </row>
    <row r="550" spans="1:5" x14ac:dyDescent="0.35">
      <c r="A550">
        <v>563</v>
      </c>
      <c r="B550" t="s">
        <v>12288</v>
      </c>
      <c r="C550" t="str" cm="1">
        <f t="array" ref="C550:E550">_xlfn.TEXTSPLIT(B550, "/")</f>
        <v>Rebuke</v>
      </c>
      <c r="D550" t="str">
        <v>Judgment</v>
      </c>
      <c r="E550" t="str">
        <v>Speech</v>
      </c>
    </row>
    <row r="551" spans="1:5" x14ac:dyDescent="0.35">
      <c r="A551">
        <v>564</v>
      </c>
      <c r="B551" t="s">
        <v>10102</v>
      </c>
      <c r="C551" t="str" cm="1">
        <f t="array" ref="C551:D551">_xlfn.TEXTSPLIT(B551, "/")</f>
        <v>Compassion</v>
      </c>
      <c r="D551" t="str">
        <v>Relenting</v>
      </c>
    </row>
    <row r="552" spans="1:5" x14ac:dyDescent="0.35">
      <c r="A552">
        <v>565</v>
      </c>
      <c r="B552" t="s">
        <v>10089</v>
      </c>
      <c r="C552" t="str" cm="1">
        <f t="array" ref="C552:D552">_xlfn.TEXTSPLIT(B552, "/")</f>
        <v>Empowerment</v>
      </c>
      <c r="D552" t="str">
        <v>Spirit</v>
      </c>
    </row>
    <row r="553" spans="1:5" x14ac:dyDescent="0.35">
      <c r="A553">
        <v>566</v>
      </c>
      <c r="B553" t="s">
        <v>12728</v>
      </c>
      <c r="C553" t="str" cm="1">
        <f t="array" ref="C553:E553">_xlfn.TEXTSPLIT(B553, "/")</f>
        <v>Deliverance</v>
      </c>
      <c r="D553" t="str">
        <v>Victory</v>
      </c>
      <c r="E553" t="str">
        <v>War</v>
      </c>
    </row>
    <row r="554" spans="1:5" x14ac:dyDescent="0.35">
      <c r="A554">
        <v>567</v>
      </c>
      <c r="B554" t="s">
        <v>10088</v>
      </c>
      <c r="C554" t="str" cm="1">
        <f t="array" ref="C554:D554">_xlfn.TEXTSPLIT(B554, "/")</f>
        <v>Judgment</v>
      </c>
      <c r="D554" t="str">
        <v>Oppression</v>
      </c>
    </row>
    <row r="555" spans="1:5" x14ac:dyDescent="0.35">
      <c r="A555">
        <v>568</v>
      </c>
      <c r="B555" t="s">
        <v>10751</v>
      </c>
      <c r="C555" t="str" cm="1">
        <f t="array" ref="C555">_xlfn.TEXTSPLIT(B555, "/")</f>
        <v>Theophany</v>
      </c>
    </row>
    <row r="556" spans="1:5" x14ac:dyDescent="0.35">
      <c r="A556">
        <v>569</v>
      </c>
      <c r="B556" t="s">
        <v>12294</v>
      </c>
      <c r="C556" t="str" cm="1">
        <f t="array" ref="C556:E556">_xlfn.TEXTSPLIT(B556, "/")</f>
        <v>Annunciation</v>
      </c>
      <c r="D556" t="str">
        <v>Prophecy</v>
      </c>
      <c r="E556" t="str">
        <v>Speech</v>
      </c>
    </row>
    <row r="557" spans="1:5" x14ac:dyDescent="0.35">
      <c r="A557">
        <v>570</v>
      </c>
      <c r="B557" t="s">
        <v>11162</v>
      </c>
      <c r="C557" t="str" cm="1">
        <f t="array" ref="C557:E557">_xlfn.TEXTSPLIT(B557, "/")</f>
        <v>Consecration</v>
      </c>
      <c r="D557" t="str">
        <v>Instruction</v>
      </c>
      <c r="E557" t="str">
        <v>Speech</v>
      </c>
    </row>
    <row r="558" spans="1:5" x14ac:dyDescent="0.35">
      <c r="A558">
        <v>571</v>
      </c>
      <c r="B558" t="s">
        <v>12297</v>
      </c>
      <c r="C558" t="str" cm="1">
        <f t="array" ref="C558:E558">_xlfn.TEXTSPLIT(B558, "/")</f>
        <v>Deliverance</v>
      </c>
      <c r="D558" t="str">
        <v>Promise</v>
      </c>
      <c r="E558" t="str">
        <v>Speech</v>
      </c>
    </row>
    <row r="559" spans="1:5" x14ac:dyDescent="0.35">
      <c r="A559">
        <v>572</v>
      </c>
      <c r="B559" t="s">
        <v>12296</v>
      </c>
      <c r="C559" t="str" cm="1">
        <f t="array" ref="C559:E559">_xlfn.TEXTSPLIT(B559, "/")</f>
        <v>Prayer</v>
      </c>
      <c r="D559" t="str">
        <v>Response</v>
      </c>
      <c r="E559" t="str">
        <v>Theophany</v>
      </c>
    </row>
    <row r="560" spans="1:5" x14ac:dyDescent="0.35">
      <c r="A560">
        <v>573</v>
      </c>
      <c r="B560" t="s">
        <v>12298</v>
      </c>
      <c r="C560" t="str" cm="1">
        <f t="array" ref="C560:E560">_xlfn.TEXTSPLIT(B560, "/")</f>
        <v>Confirmation</v>
      </c>
      <c r="D560" t="str">
        <v>Instruction</v>
      </c>
      <c r="E560" t="str">
        <v>Speech</v>
      </c>
    </row>
    <row r="561" spans="1:4" x14ac:dyDescent="0.35">
      <c r="A561">
        <v>574</v>
      </c>
      <c r="B561" t="s">
        <v>12300</v>
      </c>
      <c r="C561" t="str" cm="1">
        <f t="array" ref="C561:D561">_xlfn.TEXTSPLIT(B561, "/")</f>
        <v>Praise</v>
      </c>
      <c r="D561" t="str">
        <v>Speech</v>
      </c>
    </row>
    <row r="562" spans="1:4" x14ac:dyDescent="0.35">
      <c r="A562">
        <v>575</v>
      </c>
      <c r="B562" t="s">
        <v>12302</v>
      </c>
      <c r="C562" t="str" cm="1">
        <f t="array" ref="C562:D562">_xlfn.TEXTSPLIT(B562, "/")</f>
        <v>Departure</v>
      </c>
      <c r="D562" t="str">
        <v>Fire</v>
      </c>
    </row>
    <row r="563" spans="1:4" x14ac:dyDescent="0.35">
      <c r="A563">
        <v>576</v>
      </c>
      <c r="B563" t="s">
        <v>11243</v>
      </c>
      <c r="C563" t="str" cm="1">
        <f t="array" ref="C563:D563">_xlfn.TEXTSPLIT(B563, "/")</f>
        <v>Birth</v>
      </c>
      <c r="D563" t="str">
        <v>Fulfillment</v>
      </c>
    </row>
    <row r="564" spans="1:4" x14ac:dyDescent="0.35">
      <c r="A564">
        <v>577</v>
      </c>
      <c r="B564" t="s">
        <v>10103</v>
      </c>
      <c r="C564" t="str" cm="1">
        <f t="array" ref="C564:D564">_xlfn.TEXTSPLIT(B564, "/")</f>
        <v>Blessing</v>
      </c>
      <c r="D564" t="str">
        <v>Growth</v>
      </c>
    </row>
    <row r="565" spans="1:4" x14ac:dyDescent="0.35">
      <c r="A565">
        <v>578</v>
      </c>
      <c r="B565" t="s">
        <v>10089</v>
      </c>
      <c r="C565" t="str" cm="1">
        <f t="array" ref="C565:D565">_xlfn.TEXTSPLIT(B565, "/")</f>
        <v>Empowerment</v>
      </c>
      <c r="D565" t="str">
        <v>Spirit</v>
      </c>
    </row>
    <row r="566" spans="1:4" x14ac:dyDescent="0.35">
      <c r="A566">
        <v>579</v>
      </c>
      <c r="B566" t="s">
        <v>10645</v>
      </c>
      <c r="C566" t="str" cm="1">
        <f t="array" ref="C566">_xlfn.TEXTSPLIT(B566, "/")</f>
        <v>Guidance</v>
      </c>
    </row>
    <row r="567" spans="1:4" x14ac:dyDescent="0.35">
      <c r="A567">
        <v>580</v>
      </c>
      <c r="B567" t="s">
        <v>10104</v>
      </c>
      <c r="C567" t="str" cm="1">
        <f t="array" ref="C567:D567">_xlfn.TEXTSPLIT(B567, "/")</f>
        <v>Empowerment</v>
      </c>
      <c r="D567" t="str">
        <v>Strength</v>
      </c>
    </row>
    <row r="568" spans="1:4" x14ac:dyDescent="0.35">
      <c r="A568">
        <v>581</v>
      </c>
      <c r="B568" t="s">
        <v>10092</v>
      </c>
      <c r="C568" t="str" cm="1">
        <f t="array" ref="C568:D568">_xlfn.TEXTSPLIT(B568, "/")</f>
        <v>Strength</v>
      </c>
      <c r="D568" t="str">
        <v>Victory</v>
      </c>
    </row>
    <row r="569" spans="1:4" x14ac:dyDescent="0.35">
      <c r="A569">
        <v>582</v>
      </c>
      <c r="B569" t="s">
        <v>10038</v>
      </c>
      <c r="C569" t="str" cm="1">
        <f t="array" ref="C569">_xlfn.TEXTSPLIT(B569, "/")</f>
        <v>Provision</v>
      </c>
    </row>
    <row r="570" spans="1:4" x14ac:dyDescent="0.35">
      <c r="A570">
        <v>583</v>
      </c>
      <c r="B570" t="s">
        <v>10104</v>
      </c>
      <c r="C570" t="str" cm="1">
        <f t="array" ref="C570:D570">_xlfn.TEXTSPLIT(B570, "/")</f>
        <v>Empowerment</v>
      </c>
      <c r="D570" t="str">
        <v>Strength</v>
      </c>
    </row>
    <row r="571" spans="1:4" x14ac:dyDescent="0.35">
      <c r="A571">
        <v>584</v>
      </c>
      <c r="B571" t="s">
        <v>10092</v>
      </c>
      <c r="C571" t="str" cm="1">
        <f t="array" ref="C571:D571">_xlfn.TEXTSPLIT(B571, "/")</f>
        <v>Strength</v>
      </c>
      <c r="D571" t="str">
        <v>Victory</v>
      </c>
    </row>
    <row r="572" spans="1:4" x14ac:dyDescent="0.35">
      <c r="A572">
        <v>585</v>
      </c>
      <c r="B572" t="s">
        <v>10104</v>
      </c>
      <c r="C572" t="str" cm="1">
        <f t="array" ref="C572:D572">_xlfn.TEXTSPLIT(B572, "/")</f>
        <v>Empowerment</v>
      </c>
      <c r="D572" t="str">
        <v>Strength</v>
      </c>
    </row>
    <row r="573" spans="1:4" x14ac:dyDescent="0.35">
      <c r="A573">
        <v>586</v>
      </c>
      <c r="B573" t="s">
        <v>10042</v>
      </c>
      <c r="C573" t="str" cm="1">
        <f t="array" ref="C573">_xlfn.TEXTSPLIT(B573, "/")</f>
        <v>Deliverance</v>
      </c>
    </row>
    <row r="574" spans="1:4" x14ac:dyDescent="0.35">
      <c r="A574">
        <v>587</v>
      </c>
      <c r="B574" t="s">
        <v>10092</v>
      </c>
      <c r="C574" t="str" cm="1">
        <f t="array" ref="C574:D574">_xlfn.TEXTSPLIT(B574, "/")</f>
        <v>Strength</v>
      </c>
      <c r="D574" t="str">
        <v>Victory</v>
      </c>
    </row>
    <row r="575" spans="1:4" x14ac:dyDescent="0.35">
      <c r="A575">
        <v>588</v>
      </c>
      <c r="B575" t="s">
        <v>10986</v>
      </c>
      <c r="C575" t="str" cm="1">
        <f t="array" ref="C575:D575">_xlfn.TEXTSPLIT(B575, "/")</f>
        <v>Provision</v>
      </c>
      <c r="D575" t="str">
        <v>Water</v>
      </c>
    </row>
    <row r="576" spans="1:4" x14ac:dyDescent="0.35">
      <c r="A576">
        <v>589</v>
      </c>
      <c r="B576" t="s">
        <v>10756</v>
      </c>
      <c r="C576" t="str" cm="1">
        <f t="array" ref="C576">_xlfn.TEXTSPLIT(B576, "/")</f>
        <v>Strength</v>
      </c>
    </row>
    <row r="577" spans="1:5" x14ac:dyDescent="0.35">
      <c r="A577">
        <v>590</v>
      </c>
      <c r="B577" t="s">
        <v>11244</v>
      </c>
      <c r="C577" t="str" cm="1">
        <f t="array" ref="C577:D577">_xlfn.TEXTSPLIT(B577, "/")</f>
        <v>Consequence</v>
      </c>
      <c r="D577" t="str">
        <v>Withdrawal</v>
      </c>
    </row>
    <row r="578" spans="1:5" x14ac:dyDescent="0.35">
      <c r="A578">
        <v>591</v>
      </c>
      <c r="B578" t="s">
        <v>11245</v>
      </c>
      <c r="C578" t="str" cm="1">
        <f t="array" ref="C578:D578">_xlfn.TEXTSPLIT(B578, "/")</f>
        <v>Preparation</v>
      </c>
      <c r="D578" t="str">
        <v>Restoration</v>
      </c>
    </row>
    <row r="579" spans="1:5" x14ac:dyDescent="0.35">
      <c r="A579">
        <v>592</v>
      </c>
      <c r="B579" t="s">
        <v>10104</v>
      </c>
      <c r="C579" t="str" cm="1">
        <f t="array" ref="C579:D579">_xlfn.TEXTSPLIT(B579, "/")</f>
        <v>Empowerment</v>
      </c>
      <c r="D579" t="str">
        <v>Strength</v>
      </c>
    </row>
    <row r="580" spans="1:5" x14ac:dyDescent="0.35">
      <c r="A580">
        <v>593</v>
      </c>
      <c r="B580" t="s">
        <v>12315</v>
      </c>
      <c r="C580" t="str" cm="1">
        <f t="array" ref="C580:E580">_xlfn.TEXTSPLIT(B580, "/")</f>
        <v>Death</v>
      </c>
      <c r="D580" t="str">
        <v>Destruction</v>
      </c>
      <c r="E580" t="str">
        <v>Victory</v>
      </c>
    </row>
    <row r="581" spans="1:5" x14ac:dyDescent="0.35">
      <c r="A581">
        <v>594</v>
      </c>
      <c r="B581" t="s">
        <v>12274</v>
      </c>
      <c r="C581" t="str" cm="1">
        <f t="array" ref="C581:E581">_xlfn.TEXTSPLIT(B581, "/")</f>
        <v>Instruction</v>
      </c>
      <c r="D581" t="str">
        <v>Strategy</v>
      </c>
      <c r="E581" t="str">
        <v>Speech</v>
      </c>
    </row>
    <row r="582" spans="1:5" x14ac:dyDescent="0.35">
      <c r="A582">
        <v>595</v>
      </c>
      <c r="B582" t="s">
        <v>12729</v>
      </c>
      <c r="C582" t="str" cm="1">
        <f t="array" ref="C582:D582">_xlfn.TEXTSPLIT(B582, "/")</f>
        <v>Judgment</v>
      </c>
      <c r="D582" t="str">
        <v>Test</v>
      </c>
    </row>
    <row r="583" spans="1:5" x14ac:dyDescent="0.35">
      <c r="A583">
        <v>596</v>
      </c>
      <c r="B583" t="s">
        <v>12274</v>
      </c>
      <c r="C583" t="str" cm="1">
        <f t="array" ref="C583:E583">_xlfn.TEXTSPLIT(B583, "/")</f>
        <v>Instruction</v>
      </c>
      <c r="D583" t="str">
        <v>Strategy</v>
      </c>
      <c r="E583" t="str">
        <v>Speech</v>
      </c>
    </row>
    <row r="584" spans="1:5" x14ac:dyDescent="0.35">
      <c r="A584">
        <v>597</v>
      </c>
      <c r="B584" t="s">
        <v>12729</v>
      </c>
      <c r="C584" t="str" cm="1">
        <f t="array" ref="C584:D584">_xlfn.TEXTSPLIT(B584, "/")</f>
        <v>Judgment</v>
      </c>
      <c r="D584" t="str">
        <v>Test</v>
      </c>
    </row>
    <row r="585" spans="1:5" x14ac:dyDescent="0.35">
      <c r="A585">
        <v>598</v>
      </c>
      <c r="B585" t="s">
        <v>10094</v>
      </c>
      <c r="C585" t="str" cm="1">
        <f t="array" ref="C585:D585">_xlfn.TEXTSPLIT(B585, "/")</f>
        <v>Promise</v>
      </c>
      <c r="D585" t="str">
        <v>Victory</v>
      </c>
    </row>
    <row r="586" spans="1:5" x14ac:dyDescent="0.35">
      <c r="A586">
        <v>599</v>
      </c>
      <c r="B586" t="s">
        <v>11246</v>
      </c>
      <c r="C586" t="str" cm="1">
        <f t="array" ref="C586:D586">_xlfn.TEXTSPLIT(B586, "/")</f>
        <v>Judgment</v>
      </c>
      <c r="D586" t="str">
        <v>Victory</v>
      </c>
    </row>
    <row r="587" spans="1:5" x14ac:dyDescent="0.35">
      <c r="A587">
        <v>600</v>
      </c>
      <c r="B587" t="s">
        <v>11248</v>
      </c>
      <c r="C587" t="str" cm="1">
        <f t="array" ref="C587:D587">_xlfn.TEXTSPLIT(B587, "/")</f>
        <v>Famine</v>
      </c>
      <c r="D587" t="str">
        <v>Judgment</v>
      </c>
    </row>
    <row r="588" spans="1:5" x14ac:dyDescent="0.35">
      <c r="A588">
        <v>601</v>
      </c>
      <c r="B588" t="s">
        <v>11249</v>
      </c>
      <c r="C588" t="str" cm="1">
        <f t="array" ref="C588:D588">_xlfn.TEXTSPLIT(B588, "/")</f>
        <v>Death</v>
      </c>
      <c r="D588" t="str">
        <v>Providence</v>
      </c>
    </row>
    <row r="589" spans="1:5" x14ac:dyDescent="0.35">
      <c r="A589">
        <v>602</v>
      </c>
      <c r="B589" t="s">
        <v>10107</v>
      </c>
      <c r="C589" t="str" cm="1">
        <f t="array" ref="C589:D589">_xlfn.TEXTSPLIT(B589, "/")</f>
        <v>Provision</v>
      </c>
      <c r="D589" t="str">
        <v>Restoration</v>
      </c>
    </row>
    <row r="590" spans="1:5" x14ac:dyDescent="0.35">
      <c r="A590">
        <v>603</v>
      </c>
      <c r="B590" t="s">
        <v>10108</v>
      </c>
      <c r="C590" t="str" cm="1">
        <f t="array" ref="C590:D590">_xlfn.TEXTSPLIT(B590, "/")</f>
        <v>Mercy</v>
      </c>
      <c r="D590" t="str">
        <v>Provision</v>
      </c>
    </row>
    <row r="591" spans="1:5" x14ac:dyDescent="0.35">
      <c r="A591">
        <v>604</v>
      </c>
      <c r="B591" t="s">
        <v>10238</v>
      </c>
      <c r="C591" t="str" cm="1">
        <f t="array" ref="C591:D591">_xlfn.TEXTSPLIT(B591, "/")</f>
        <v>Providence</v>
      </c>
      <c r="D591" t="str">
        <v>Timing</v>
      </c>
    </row>
    <row r="592" spans="1:5" x14ac:dyDescent="0.35">
      <c r="A592">
        <v>605</v>
      </c>
      <c r="B592" t="s">
        <v>11250</v>
      </c>
      <c r="C592" t="str" cm="1">
        <f t="array" ref="C592:D592">_xlfn.TEXTSPLIT(B592, "/")</f>
        <v>Guidance</v>
      </c>
      <c r="D592" t="str">
        <v>Providence</v>
      </c>
    </row>
    <row r="593" spans="1:4" x14ac:dyDescent="0.35">
      <c r="A593">
        <v>606</v>
      </c>
      <c r="B593" t="s">
        <v>10109</v>
      </c>
      <c r="C593" t="str" cm="1">
        <f t="array" ref="C593:D593">_xlfn.TEXTSPLIT(B593, "/")</f>
        <v>Protection</v>
      </c>
      <c r="D593" t="str">
        <v>Safety</v>
      </c>
    </row>
    <row r="594" spans="1:4" x14ac:dyDescent="0.35">
      <c r="A594">
        <v>607</v>
      </c>
      <c r="B594" t="s">
        <v>11252</v>
      </c>
      <c r="C594" t="str" cm="1">
        <f t="array" ref="C594:D594">_xlfn.TEXTSPLIT(B594, "/")</f>
        <v>Abundance</v>
      </c>
      <c r="D594" t="str">
        <v>Provision</v>
      </c>
    </row>
    <row r="595" spans="1:4" x14ac:dyDescent="0.35">
      <c r="A595">
        <v>608</v>
      </c>
      <c r="B595" t="s">
        <v>11253</v>
      </c>
      <c r="C595" t="str" cm="1">
        <f t="array" ref="C595:D595">_xlfn.TEXTSPLIT(B595, "/")</f>
        <v>Providence</v>
      </c>
      <c r="D595" t="str">
        <v>Revelation</v>
      </c>
    </row>
    <row r="596" spans="1:4" x14ac:dyDescent="0.35">
      <c r="A596">
        <v>609</v>
      </c>
      <c r="B596" t="s">
        <v>11254</v>
      </c>
      <c r="C596" t="str" cm="1">
        <f t="array" ref="C596:D596">_xlfn.TEXTSPLIT(B596, "/")</f>
        <v>Opportunity</v>
      </c>
      <c r="D596" t="str">
        <v>Timing</v>
      </c>
    </row>
    <row r="597" spans="1:4" x14ac:dyDescent="0.35">
      <c r="A597">
        <v>610</v>
      </c>
      <c r="B597" t="s">
        <v>10111</v>
      </c>
      <c r="C597" t="str" cm="1">
        <f t="array" ref="C597:D597">_xlfn.TEXTSPLIT(B597, "/")</f>
        <v>Favor</v>
      </c>
      <c r="D597" t="str">
        <v>Kindness</v>
      </c>
    </row>
    <row r="598" spans="1:4" x14ac:dyDescent="0.35">
      <c r="A598">
        <v>611</v>
      </c>
      <c r="B598" t="s">
        <v>10112</v>
      </c>
      <c r="C598" t="str" cm="1">
        <f t="array" ref="C598:D598">_xlfn.TEXTSPLIT(B598, "/")</f>
        <v>Providence</v>
      </c>
      <c r="D598" t="str">
        <v>Redemption</v>
      </c>
    </row>
    <row r="599" spans="1:4" x14ac:dyDescent="0.35">
      <c r="A599">
        <v>612</v>
      </c>
      <c r="B599" t="s">
        <v>11255</v>
      </c>
      <c r="C599" t="str" cm="1">
        <f t="array" ref="C599:D599">_xlfn.TEXTSPLIT(B599, "/")</f>
        <v>Marriage</v>
      </c>
      <c r="D599" t="str">
        <v>Providence</v>
      </c>
    </row>
    <row r="600" spans="1:4" x14ac:dyDescent="0.35">
      <c r="A600">
        <v>613</v>
      </c>
      <c r="B600" t="s">
        <v>10757</v>
      </c>
      <c r="C600" t="str" cm="1">
        <f t="array" ref="C600">_xlfn.TEXTSPLIT(B600, "/")</f>
        <v>Fertility</v>
      </c>
    </row>
    <row r="601" spans="1:4" x14ac:dyDescent="0.35">
      <c r="A601">
        <v>614</v>
      </c>
      <c r="B601" t="s">
        <v>11256</v>
      </c>
      <c r="C601" t="str" cm="1">
        <f t="array" ref="C601:D601">_xlfn.TEXTSPLIT(B601, "/")</f>
        <v>Fame</v>
      </c>
      <c r="D601" t="str">
        <v>Prophecy</v>
      </c>
    </row>
    <row r="602" spans="1:4" x14ac:dyDescent="0.35">
      <c r="A602">
        <v>615</v>
      </c>
      <c r="B602" t="s">
        <v>10113</v>
      </c>
      <c r="C602" t="str" cm="1">
        <f t="array" ref="C602:D602">_xlfn.TEXTSPLIT(B602, "/")</f>
        <v>Recognition</v>
      </c>
      <c r="D602" t="str">
        <v>Restoration</v>
      </c>
    </row>
    <row r="603" spans="1:4" x14ac:dyDescent="0.35">
      <c r="A603">
        <v>616</v>
      </c>
      <c r="B603" t="s">
        <v>10114</v>
      </c>
      <c r="C603" t="str" cm="1">
        <f t="array" ref="C603:D603">_xlfn.TEXTSPLIT(B603, "/")</f>
        <v>Lineage</v>
      </c>
      <c r="D603" t="str">
        <v>Messianic Preparation</v>
      </c>
    </row>
    <row r="604" spans="1:4" x14ac:dyDescent="0.35">
      <c r="A604">
        <v>617</v>
      </c>
      <c r="B604" t="s">
        <v>11128</v>
      </c>
      <c r="C604" t="str" cm="1">
        <f t="array" ref="C604:D604">_xlfn.TEXTSPLIT(B604, "/")</f>
        <v>Fertility</v>
      </c>
      <c r="D604" t="str">
        <v>Judgment</v>
      </c>
    </row>
    <row r="605" spans="1:4" x14ac:dyDescent="0.35">
      <c r="A605">
        <v>618</v>
      </c>
      <c r="B605" t="s">
        <v>12730</v>
      </c>
      <c r="C605" t="str" cm="1">
        <f t="array" ref="C605:D605">_xlfn.TEXTSPLIT(B605, "/")</f>
        <v>Prayer</v>
      </c>
      <c r="D605" t="str">
        <v>Hearing</v>
      </c>
    </row>
    <row r="606" spans="1:4" x14ac:dyDescent="0.35">
      <c r="A606">
        <v>619</v>
      </c>
      <c r="B606" t="s">
        <v>10722</v>
      </c>
      <c r="C606" t="str" cm="1">
        <f t="array" ref="C606">_xlfn.TEXTSPLIT(B606, "/")</f>
        <v xml:space="preserve">Fertility </v>
      </c>
    </row>
    <row r="607" spans="1:4" x14ac:dyDescent="0.35">
      <c r="A607">
        <v>620</v>
      </c>
      <c r="B607" t="s">
        <v>10103</v>
      </c>
      <c r="C607" t="str" cm="1">
        <f t="array" ref="C607:D607">_xlfn.TEXTSPLIT(B607, "/")</f>
        <v>Blessing</v>
      </c>
      <c r="D607" t="str">
        <v>Growth</v>
      </c>
    </row>
    <row r="608" spans="1:4" x14ac:dyDescent="0.35">
      <c r="A608">
        <v>621</v>
      </c>
      <c r="B608" t="s">
        <v>10037</v>
      </c>
      <c r="C608" t="str" cm="1">
        <f t="array" ref="C608:D608">_xlfn.TEXTSPLIT(B608, "/")</f>
        <v>Judgment</v>
      </c>
      <c r="D608" t="str">
        <v>Prophecy</v>
      </c>
    </row>
    <row r="609" spans="1:5" x14ac:dyDescent="0.35">
      <c r="A609">
        <v>622</v>
      </c>
      <c r="B609" t="s">
        <v>11118</v>
      </c>
      <c r="C609" t="str" cm="1">
        <f t="array" ref="C609:D609">_xlfn.TEXTSPLIT(B609, "/")</f>
        <v>Calling</v>
      </c>
      <c r="D609" t="str">
        <v>Speech</v>
      </c>
    </row>
    <row r="610" spans="1:5" x14ac:dyDescent="0.35">
      <c r="A610">
        <v>623</v>
      </c>
      <c r="B610" t="s">
        <v>10093</v>
      </c>
      <c r="C610" t="str" cm="1">
        <f t="array" ref="C610:D610">_xlfn.TEXTSPLIT(B610, "/")</f>
        <v>Prophecy</v>
      </c>
      <c r="D610" t="str">
        <v>Revelation</v>
      </c>
    </row>
    <row r="611" spans="1:5" x14ac:dyDescent="0.35">
      <c r="A611">
        <v>624</v>
      </c>
      <c r="B611" t="s">
        <v>10115</v>
      </c>
      <c r="C611" t="str" cm="1">
        <f t="array" ref="C611:D611">_xlfn.TEXTSPLIT(B611, "/")</f>
        <v>Appointment</v>
      </c>
      <c r="D611" t="str">
        <v>Recognition</v>
      </c>
    </row>
    <row r="612" spans="1:5" x14ac:dyDescent="0.35">
      <c r="A612">
        <v>625</v>
      </c>
      <c r="B612" t="s">
        <v>10751</v>
      </c>
      <c r="C612" t="str" cm="1">
        <f t="array" ref="C612">_xlfn.TEXTSPLIT(B612, "/")</f>
        <v>Theophany</v>
      </c>
    </row>
    <row r="613" spans="1:5" x14ac:dyDescent="0.35">
      <c r="A613">
        <v>626</v>
      </c>
      <c r="B613" t="s">
        <v>11190</v>
      </c>
      <c r="C613" t="str" cm="1">
        <f t="array" ref="C613:D613">_xlfn.TEXTSPLIT(B613, "/")</f>
        <v>Defeat</v>
      </c>
      <c r="D613" t="str">
        <v>Judgment</v>
      </c>
    </row>
    <row r="614" spans="1:5" x14ac:dyDescent="0.35">
      <c r="A614">
        <v>627</v>
      </c>
      <c r="B614" t="s">
        <v>11257</v>
      </c>
      <c r="C614" t="str" cm="1">
        <f t="array" ref="C614:D614">_xlfn.TEXTSPLIT(B614, "/")</f>
        <v>Judgment</v>
      </c>
      <c r="D614" t="str">
        <v>Timing</v>
      </c>
    </row>
    <row r="615" spans="1:5" x14ac:dyDescent="0.35">
      <c r="A615">
        <v>628</v>
      </c>
      <c r="B615" t="s">
        <v>11257</v>
      </c>
      <c r="C615" t="str" cm="1">
        <f t="array" ref="C615:D615">_xlfn.TEXTSPLIT(B615, "/")</f>
        <v>Judgment</v>
      </c>
      <c r="D615" t="str">
        <v>Timing</v>
      </c>
    </row>
    <row r="616" spans="1:5" x14ac:dyDescent="0.35">
      <c r="A616">
        <v>629</v>
      </c>
      <c r="B616" t="s">
        <v>10116</v>
      </c>
      <c r="C616" t="str" cm="1">
        <f t="array" ref="C616:D616">_xlfn.TEXTSPLIT(B616, "/")</f>
        <v>Departure</v>
      </c>
      <c r="D616" t="str">
        <v>Judgment</v>
      </c>
    </row>
    <row r="617" spans="1:5" x14ac:dyDescent="0.35">
      <c r="A617">
        <v>630</v>
      </c>
      <c r="B617" t="s">
        <v>10758</v>
      </c>
      <c r="C617" t="str" cm="1">
        <f t="array" ref="C617">_xlfn.TEXTSPLIT(B617, "/")</f>
        <v>Supremacy</v>
      </c>
    </row>
    <row r="618" spans="1:5" x14ac:dyDescent="0.35">
      <c r="A618">
        <v>631</v>
      </c>
      <c r="B618" t="s">
        <v>12336</v>
      </c>
      <c r="C618" t="str" cm="1">
        <f t="array" ref="C618:E618">_xlfn.TEXTSPLIT(B618, "/")</f>
        <v>Judgment</v>
      </c>
      <c r="D618" t="str">
        <v>Plague</v>
      </c>
      <c r="E618" t="str">
        <v>Destruction</v>
      </c>
    </row>
    <row r="619" spans="1:5" x14ac:dyDescent="0.35">
      <c r="A619">
        <v>632</v>
      </c>
      <c r="B619" t="s">
        <v>10049</v>
      </c>
      <c r="C619" t="str" cm="1">
        <f t="array" ref="C619:D619">_xlfn.TEXTSPLIT(B619, "/")</f>
        <v>Judgment</v>
      </c>
      <c r="D619" t="str">
        <v>Plague</v>
      </c>
    </row>
    <row r="620" spans="1:5" x14ac:dyDescent="0.35">
      <c r="A620">
        <v>633</v>
      </c>
      <c r="B620" t="s">
        <v>10049</v>
      </c>
      <c r="C620" t="str" cm="1">
        <f t="array" ref="C620:D620">_xlfn.TEXTSPLIT(B620, "/")</f>
        <v>Judgment</v>
      </c>
      <c r="D620" t="str">
        <v>Plague</v>
      </c>
    </row>
    <row r="621" spans="1:5" x14ac:dyDescent="0.35">
      <c r="A621">
        <v>634</v>
      </c>
      <c r="B621" t="s">
        <v>11259</v>
      </c>
      <c r="C621" t="str" cm="1">
        <f t="array" ref="C621:D621">_xlfn.TEXTSPLIT(B621, "/")</f>
        <v>Holiness</v>
      </c>
      <c r="D621" t="str">
        <v>Judgment</v>
      </c>
    </row>
    <row r="622" spans="1:5" x14ac:dyDescent="0.35">
      <c r="A622">
        <v>635</v>
      </c>
      <c r="B622" t="s">
        <v>10117</v>
      </c>
      <c r="C622" t="str" cm="1">
        <f t="array" ref="C622:D622">_xlfn.TEXTSPLIT(B622, "/")</f>
        <v>Blessing</v>
      </c>
      <c r="D622" t="str">
        <v>Presence</v>
      </c>
    </row>
    <row r="623" spans="1:5" x14ac:dyDescent="0.35">
      <c r="A623">
        <v>636</v>
      </c>
      <c r="B623" t="s">
        <v>12337</v>
      </c>
      <c r="C623" t="str" cm="1">
        <f t="array" ref="C623:E623">_xlfn.TEXTSPLIT(B623, "/")</f>
        <v>Instruction</v>
      </c>
      <c r="D623" t="str">
        <v>Repentance</v>
      </c>
      <c r="E623" t="str">
        <v>Speech</v>
      </c>
    </row>
    <row r="624" spans="1:5" x14ac:dyDescent="0.35">
      <c r="A624">
        <v>637</v>
      </c>
      <c r="B624" t="s">
        <v>12731</v>
      </c>
      <c r="C624" t="str" cm="1">
        <f t="array" ref="C624:D624">_xlfn.TEXTSPLIT(B624, "/")</f>
        <v>Thunder</v>
      </c>
      <c r="D624" t="str">
        <v>War</v>
      </c>
    </row>
    <row r="625" spans="1:5" x14ac:dyDescent="0.35">
      <c r="A625">
        <v>638</v>
      </c>
      <c r="B625" t="s">
        <v>11260</v>
      </c>
      <c r="C625" t="str" cm="1">
        <f t="array" ref="C625:D625">_xlfn.TEXTSPLIT(B625, "/")</f>
        <v>Confusion</v>
      </c>
      <c r="D625" t="str">
        <v>Victory</v>
      </c>
    </row>
    <row r="626" spans="1:5" x14ac:dyDescent="0.35">
      <c r="A626">
        <v>639</v>
      </c>
      <c r="B626" t="s">
        <v>11261</v>
      </c>
      <c r="C626" t="str" cm="1">
        <f t="array" ref="C626:D626">_xlfn.TEXTSPLIT(B626, "/")</f>
        <v>Restoration</v>
      </c>
      <c r="D626" t="str">
        <v>Victory</v>
      </c>
    </row>
    <row r="627" spans="1:5" x14ac:dyDescent="0.35">
      <c r="A627">
        <v>640</v>
      </c>
      <c r="B627" t="s">
        <v>12349</v>
      </c>
      <c r="C627" t="str" cm="1">
        <f t="array" ref="C627:E627">_xlfn.TEXTSPLIT(B627, "/")</f>
        <v>Judgment</v>
      </c>
      <c r="D627" t="str">
        <v>Speech</v>
      </c>
      <c r="E627" t="str">
        <v/>
      </c>
    </row>
    <row r="628" spans="1:5" x14ac:dyDescent="0.35">
      <c r="A628">
        <v>641</v>
      </c>
      <c r="B628" t="s">
        <v>12342</v>
      </c>
      <c r="C628" t="str" cm="1">
        <f t="array" ref="C628:E628">_xlfn.TEXTSPLIT(B628, "/")</f>
        <v>Prophecy</v>
      </c>
      <c r="D628" t="str">
        <v>Revelation</v>
      </c>
      <c r="E628" t="str">
        <v>Speech</v>
      </c>
    </row>
    <row r="629" spans="1:5" x14ac:dyDescent="0.35">
      <c r="A629">
        <v>642</v>
      </c>
      <c r="B629" t="s">
        <v>12342</v>
      </c>
      <c r="C629" t="str" cm="1">
        <f t="array" ref="C629:E629">_xlfn.TEXTSPLIT(B629, "/")</f>
        <v>Prophecy</v>
      </c>
      <c r="D629" t="str">
        <v>Revelation</v>
      </c>
      <c r="E629" t="str">
        <v>Speech</v>
      </c>
    </row>
    <row r="630" spans="1:5" x14ac:dyDescent="0.35">
      <c r="A630">
        <v>643</v>
      </c>
      <c r="B630" t="s">
        <v>12342</v>
      </c>
      <c r="C630" t="str" cm="1">
        <f t="array" ref="C630:E630">_xlfn.TEXTSPLIT(B630, "/")</f>
        <v>Prophecy</v>
      </c>
      <c r="D630" t="str">
        <v>Revelation</v>
      </c>
      <c r="E630" t="str">
        <v>Speech</v>
      </c>
    </row>
    <row r="631" spans="1:5" x14ac:dyDescent="0.35">
      <c r="A631">
        <v>644</v>
      </c>
      <c r="B631" t="s">
        <v>12356</v>
      </c>
      <c r="C631" t="str" cm="1">
        <f t="array" ref="C631:E631">_xlfn.TEXTSPLIT(B631, "/")</f>
        <v>Guidance</v>
      </c>
      <c r="D631" t="str">
        <v>Meeting</v>
      </c>
      <c r="E631" t="str">
        <v>Speech</v>
      </c>
    </row>
    <row r="632" spans="1:5" x14ac:dyDescent="0.35">
      <c r="A632">
        <v>645</v>
      </c>
      <c r="B632" t="s">
        <v>10118</v>
      </c>
      <c r="C632" t="str" cm="1">
        <f t="array" ref="C632:D632">_xlfn.TEXTSPLIT(B632, "/")</f>
        <v>Anointing</v>
      </c>
      <c r="D632" t="str">
        <v>Appointment</v>
      </c>
    </row>
    <row r="633" spans="1:5" x14ac:dyDescent="0.35">
      <c r="A633">
        <v>646</v>
      </c>
      <c r="B633" t="s">
        <v>12708</v>
      </c>
      <c r="C633" t="str" cm="1">
        <f t="array" ref="C633:D633">_xlfn.TEXTSPLIT(B633, "/")</f>
        <v>Confirmation</v>
      </c>
      <c r="D633" t="str">
        <v>Sign</v>
      </c>
    </row>
    <row r="634" spans="1:5" x14ac:dyDescent="0.35">
      <c r="A634">
        <v>647</v>
      </c>
      <c r="B634" t="s">
        <v>11262</v>
      </c>
      <c r="C634" t="str" cm="1">
        <f t="array" ref="C634:D634">_xlfn.TEXTSPLIT(B634, "/")</f>
        <v>Heart Change</v>
      </c>
      <c r="D634" t="str">
        <v>Transformation</v>
      </c>
    </row>
    <row r="635" spans="1:5" x14ac:dyDescent="0.35">
      <c r="A635">
        <v>648</v>
      </c>
      <c r="B635" t="s">
        <v>10119</v>
      </c>
      <c r="C635" t="str" cm="1">
        <f t="array" ref="C635:D635">_xlfn.TEXTSPLIT(B635, "/")</f>
        <v>Empowerment</v>
      </c>
      <c r="D635" t="str">
        <v>Transformation</v>
      </c>
    </row>
    <row r="636" spans="1:5" x14ac:dyDescent="0.35">
      <c r="A636">
        <v>649</v>
      </c>
      <c r="B636" t="s">
        <v>10059</v>
      </c>
      <c r="C636" t="str" cm="1">
        <f t="array" ref="C636:D636">_xlfn.TEXTSPLIT(B636, "/")</f>
        <v>Empowerment</v>
      </c>
      <c r="D636" t="str">
        <v>Prophecy</v>
      </c>
    </row>
    <row r="637" spans="1:5" x14ac:dyDescent="0.35">
      <c r="A637">
        <v>650</v>
      </c>
      <c r="B637" t="s">
        <v>11110</v>
      </c>
      <c r="C637" t="str" cm="1">
        <f t="array" ref="C637:D637">_xlfn.TEXTSPLIT(B637, "/")</f>
        <v>Judgment</v>
      </c>
      <c r="D637" t="str">
        <v>Speech</v>
      </c>
    </row>
    <row r="638" spans="1:5" x14ac:dyDescent="0.35">
      <c r="A638">
        <v>651</v>
      </c>
      <c r="B638" t="s">
        <v>12732</v>
      </c>
      <c r="C638" t="str" cm="1">
        <f t="array" ref="C638:D638">_xlfn.TEXTSPLIT(B638, "/")</f>
        <v>Revelation</v>
      </c>
      <c r="D638" t="str">
        <v>Choice</v>
      </c>
    </row>
    <row r="639" spans="1:5" x14ac:dyDescent="0.35">
      <c r="A639">
        <v>652</v>
      </c>
      <c r="B639" t="s">
        <v>12360</v>
      </c>
      <c r="C639" t="str" cm="1">
        <f t="array" ref="C639:E639">_xlfn.TEXTSPLIT(B639, "/")</f>
        <v>Location</v>
      </c>
      <c r="D639" t="str">
        <v>Revelation</v>
      </c>
      <c r="E639" t="str">
        <v>Speech</v>
      </c>
    </row>
    <row r="640" spans="1:5" x14ac:dyDescent="0.35">
      <c r="A640">
        <v>653</v>
      </c>
      <c r="B640" t="s">
        <v>12362</v>
      </c>
      <c r="C640" t="str" cm="1">
        <f t="array" ref="C640:D640">_xlfn.TEXTSPLIT(B640, "/")</f>
        <v>Holy Spirit</v>
      </c>
      <c r="D640" t="str">
        <v>Anger</v>
      </c>
    </row>
    <row r="641" spans="1:6" x14ac:dyDescent="0.35">
      <c r="A641">
        <v>654</v>
      </c>
      <c r="B641" t="s">
        <v>12391</v>
      </c>
      <c r="C641" t="str" cm="1">
        <f t="array" ref="C641:E641">_xlfn.TEXTSPLIT(B641, "/")</f>
        <v>Witness</v>
      </c>
      <c r="D641" t="str">
        <v>Judgment</v>
      </c>
      <c r="E641" t="str">
        <v>Speech</v>
      </c>
    </row>
    <row r="642" spans="1:6" x14ac:dyDescent="0.35">
      <c r="A642">
        <v>655</v>
      </c>
      <c r="B642" t="s">
        <v>12365</v>
      </c>
      <c r="C642" t="str" cm="1">
        <f t="array" ref="C642:E642">_xlfn.TEXTSPLIT(B642, "/")</f>
        <v>Sign</v>
      </c>
      <c r="D642" t="str">
        <v>Thunder</v>
      </c>
      <c r="E642" t="str">
        <v>Rain</v>
      </c>
    </row>
    <row r="643" spans="1:6" x14ac:dyDescent="0.35">
      <c r="A643">
        <v>656</v>
      </c>
      <c r="B643" t="s">
        <v>12368</v>
      </c>
      <c r="C643" t="str" cm="1">
        <f t="array" ref="C643:D643">_xlfn.TEXTSPLIT(B643, "/")</f>
        <v>Judgment</v>
      </c>
      <c r="D643" t="str">
        <v>Anointing</v>
      </c>
    </row>
    <row r="644" spans="1:6" x14ac:dyDescent="0.35">
      <c r="A644">
        <v>657</v>
      </c>
      <c r="B644" t="s">
        <v>12370</v>
      </c>
      <c r="C644" t="str" cm="1">
        <f t="array" ref="C644:E644">_xlfn.TEXTSPLIT(B644, "/")</f>
        <v>Judgment</v>
      </c>
      <c r="D644" t="str">
        <v>Revelation</v>
      </c>
      <c r="E644" t="str">
        <v>Prayer</v>
      </c>
    </row>
    <row r="645" spans="1:6" x14ac:dyDescent="0.35">
      <c r="A645">
        <v>658</v>
      </c>
      <c r="B645" t="s">
        <v>12392</v>
      </c>
      <c r="C645" t="str" cm="1">
        <f t="array" ref="C645:F645">_xlfn.TEXTSPLIT(B645, "/")</f>
        <v>Judgment</v>
      </c>
      <c r="D645" t="str">
        <v>Destruction</v>
      </c>
      <c r="E645" t="str">
        <v>Death</v>
      </c>
      <c r="F645" t="str">
        <v>Speech</v>
      </c>
    </row>
    <row r="646" spans="1:6" x14ac:dyDescent="0.35">
      <c r="A646">
        <v>659</v>
      </c>
      <c r="B646" t="s">
        <v>12393</v>
      </c>
      <c r="C646" t="str" cm="1">
        <f t="array" ref="C646:E646">_xlfn.TEXTSPLIT(B646, "/")</f>
        <v>Judgment</v>
      </c>
      <c r="D646" t="str">
        <v>Sorrow</v>
      </c>
      <c r="E646" t="str">
        <v>Speech</v>
      </c>
    </row>
    <row r="647" spans="1:6" x14ac:dyDescent="0.35">
      <c r="A647">
        <v>660</v>
      </c>
      <c r="B647" t="s">
        <v>12376</v>
      </c>
      <c r="C647" t="str" cm="1">
        <f t="array" ref="C647:D647">_xlfn.TEXTSPLIT(B647, "/")</f>
        <v>Judgment</v>
      </c>
      <c r="D647" t="str">
        <v>Disobedience</v>
      </c>
    </row>
    <row r="648" spans="1:6" x14ac:dyDescent="0.35">
      <c r="A648">
        <v>661</v>
      </c>
      <c r="B648" t="s">
        <v>12381</v>
      </c>
      <c r="C648" t="str" cm="1">
        <f t="array" ref="C648:F648">_xlfn.TEXTSPLIT(B648, "/")</f>
        <v>Judgment</v>
      </c>
      <c r="D648" t="str">
        <v>Disobedience</v>
      </c>
      <c r="E648" t="str">
        <v>Rejection</v>
      </c>
      <c r="F648" t="str">
        <v>Disowning</v>
      </c>
    </row>
    <row r="649" spans="1:6" x14ac:dyDescent="0.35">
      <c r="A649">
        <v>662</v>
      </c>
      <c r="B649" t="s">
        <v>12380</v>
      </c>
      <c r="C649" t="str" cm="1">
        <f t="array" ref="C649:E649">_xlfn.TEXTSPLIT(B649, "/")</f>
        <v>Judgment</v>
      </c>
      <c r="D649" t="str">
        <v>Disempowerment</v>
      </c>
      <c r="E649" t="str">
        <v>Disowning</v>
      </c>
    </row>
    <row r="650" spans="1:6" x14ac:dyDescent="0.35">
      <c r="A650">
        <v>663</v>
      </c>
      <c r="B650" t="s">
        <v>10120</v>
      </c>
      <c r="C650" t="str" cm="1">
        <f t="array" ref="C650:D650">_xlfn.TEXTSPLIT(B650, "/")</f>
        <v>Judgment</v>
      </c>
      <c r="D650" t="str">
        <v>Spiritual Affliction</v>
      </c>
    </row>
    <row r="651" spans="1:6" x14ac:dyDescent="0.35">
      <c r="A651">
        <v>664</v>
      </c>
      <c r="B651" t="s">
        <v>12390</v>
      </c>
      <c r="C651" t="str" cm="1">
        <f t="array" ref="C651:E651">_xlfn.TEXTSPLIT(B651, "/")</f>
        <v>Guidance</v>
      </c>
      <c r="D651" t="str">
        <v>Instruction</v>
      </c>
      <c r="E651" t="str">
        <v>Speech</v>
      </c>
    </row>
    <row r="652" spans="1:6" x14ac:dyDescent="0.35">
      <c r="A652">
        <v>665</v>
      </c>
      <c r="B652" t="s">
        <v>11264</v>
      </c>
      <c r="C652" t="str" cm="1">
        <f t="array" ref="C652:D652">_xlfn.TEXTSPLIT(B652, "/")</f>
        <v>Discernment</v>
      </c>
      <c r="D652" t="str">
        <v>Rejection</v>
      </c>
    </row>
    <row r="653" spans="1:6" x14ac:dyDescent="0.35">
      <c r="A653">
        <v>666</v>
      </c>
      <c r="B653" t="s">
        <v>12733</v>
      </c>
      <c r="C653" t="str" cm="1">
        <f t="array" ref="C653:E653">_xlfn.TEXTSPLIT(B653, "/")</f>
        <v>Choice</v>
      </c>
      <c r="D653" t="str">
        <v>Choice</v>
      </c>
      <c r="E653" t="str">
        <v>Anointing</v>
      </c>
    </row>
    <row r="654" spans="1:6" x14ac:dyDescent="0.35">
      <c r="A654">
        <v>667</v>
      </c>
      <c r="B654" t="s">
        <v>10121</v>
      </c>
      <c r="C654" t="str" cm="1">
        <f t="array" ref="C654:D654">_xlfn.TEXTSPLIT(B654, "/")</f>
        <v>Anointing</v>
      </c>
      <c r="D654" t="str">
        <v>Empowerment</v>
      </c>
    </row>
    <row r="655" spans="1:6" x14ac:dyDescent="0.35">
      <c r="A655">
        <v>668</v>
      </c>
      <c r="B655" t="s">
        <v>12380</v>
      </c>
      <c r="C655" t="str" cm="1">
        <f t="array" ref="C655:E655">_xlfn.TEXTSPLIT(B655, "/")</f>
        <v>Judgment</v>
      </c>
      <c r="D655" t="str">
        <v>Disempowerment</v>
      </c>
      <c r="E655" t="str">
        <v>Disowning</v>
      </c>
    </row>
    <row r="656" spans="1:6" x14ac:dyDescent="0.35">
      <c r="A656">
        <v>669</v>
      </c>
      <c r="B656" t="s">
        <v>12396</v>
      </c>
      <c r="C656" t="str" cm="1">
        <f t="array" ref="C656:D656">_xlfn.TEXTSPLIT(B656, "/")</f>
        <v>Deliverance</v>
      </c>
      <c r="D656" t="str">
        <v>Music</v>
      </c>
    </row>
    <row r="657" spans="1:5" x14ac:dyDescent="0.35">
      <c r="A657">
        <v>670</v>
      </c>
      <c r="B657" t="s">
        <v>10091</v>
      </c>
      <c r="C657" t="str" cm="1">
        <f t="array" ref="C657:D657">_xlfn.TEXTSPLIT(B657, "/")</f>
        <v>Deliverance</v>
      </c>
      <c r="D657" t="str">
        <v>Victory</v>
      </c>
    </row>
    <row r="658" spans="1:5" x14ac:dyDescent="0.35">
      <c r="A658">
        <v>671</v>
      </c>
      <c r="B658" t="s">
        <v>12405</v>
      </c>
      <c r="C658" t="str" cm="1">
        <f t="array" ref="C658:E658">_xlfn.TEXTSPLIT(B658, "/")</f>
        <v>Victory</v>
      </c>
      <c r="D658" t="str">
        <v>Blessing</v>
      </c>
      <c r="E658" t="str">
        <v>Presence</v>
      </c>
    </row>
    <row r="659" spans="1:5" x14ac:dyDescent="0.35">
      <c r="A659">
        <v>672</v>
      </c>
      <c r="B659" t="s">
        <v>12399</v>
      </c>
      <c r="C659" t="str" cm="1">
        <f t="array" ref="C659:D659">_xlfn.TEXTSPLIT(B659, "/")</f>
        <v>Oppression</v>
      </c>
      <c r="D659" t="str">
        <v>Anger</v>
      </c>
    </row>
    <row r="660" spans="1:5" x14ac:dyDescent="0.35">
      <c r="A660">
        <v>673</v>
      </c>
      <c r="B660" t="s">
        <v>10166</v>
      </c>
      <c r="C660" t="str" cm="1">
        <f t="array" ref="C660:D660">_xlfn.TEXTSPLIT(B660, "/")</f>
        <v>Deliverance</v>
      </c>
      <c r="D660" t="str">
        <v>Protection</v>
      </c>
    </row>
    <row r="661" spans="1:5" x14ac:dyDescent="0.35">
      <c r="A661">
        <v>674</v>
      </c>
      <c r="B661" t="s">
        <v>12405</v>
      </c>
      <c r="C661" t="str" cm="1">
        <f t="array" ref="C661:E661">_xlfn.TEXTSPLIT(B661, "/")</f>
        <v>Victory</v>
      </c>
      <c r="D661" t="str">
        <v>Blessing</v>
      </c>
      <c r="E661" t="str">
        <v>Presence</v>
      </c>
    </row>
    <row r="662" spans="1:5" x14ac:dyDescent="0.35">
      <c r="A662">
        <v>675</v>
      </c>
      <c r="B662" t="s">
        <v>12399</v>
      </c>
      <c r="C662" t="str" cm="1">
        <f t="array" ref="C662:D662">_xlfn.TEXTSPLIT(B662, "/")</f>
        <v>Oppression</v>
      </c>
      <c r="D662" t="str">
        <v>Anger</v>
      </c>
    </row>
    <row r="663" spans="1:5" x14ac:dyDescent="0.35">
      <c r="A663">
        <v>676</v>
      </c>
      <c r="B663" t="s">
        <v>10166</v>
      </c>
      <c r="C663" t="str" cm="1">
        <f t="array" ref="C663:D663">_xlfn.TEXTSPLIT(B663, "/")</f>
        <v>Deliverance</v>
      </c>
      <c r="D663" t="str">
        <v>Protection</v>
      </c>
    </row>
    <row r="664" spans="1:5" x14ac:dyDescent="0.35">
      <c r="A664">
        <v>677</v>
      </c>
      <c r="B664" t="s">
        <v>12406</v>
      </c>
      <c r="C664" t="str" cm="1">
        <f t="array" ref="C664:D664">_xlfn.TEXTSPLIT(B664, "/")</f>
        <v>Prophecy</v>
      </c>
      <c r="D664" t="str">
        <v>Empowerment</v>
      </c>
    </row>
    <row r="665" spans="1:5" x14ac:dyDescent="0.35">
      <c r="A665">
        <v>678</v>
      </c>
      <c r="B665" t="s">
        <v>12410</v>
      </c>
      <c r="C665" t="str" cm="1">
        <f t="array" ref="C665:D665">_xlfn.TEXTSPLIT(B665, "/")</f>
        <v>Guidance</v>
      </c>
      <c r="D665" t="str">
        <v>Speech</v>
      </c>
    </row>
    <row r="666" spans="1:5" x14ac:dyDescent="0.35">
      <c r="A666">
        <v>679</v>
      </c>
      <c r="B666" t="s">
        <v>10504</v>
      </c>
      <c r="C666" t="str" cm="1">
        <f t="array" ref="C666:D666">_xlfn.TEXTSPLIT(B666, "/")</f>
        <v>Revelation</v>
      </c>
      <c r="D666" t="str">
        <v>Warning</v>
      </c>
    </row>
    <row r="667" spans="1:5" x14ac:dyDescent="0.35">
      <c r="A667">
        <v>680</v>
      </c>
      <c r="B667" t="s">
        <v>10350</v>
      </c>
      <c r="C667" t="str" cm="1">
        <f t="array" ref="C667:D667">_xlfn.TEXTSPLIT(B667, "/")</f>
        <v>Concealment</v>
      </c>
      <c r="D667" t="str">
        <v>Protection</v>
      </c>
    </row>
    <row r="668" spans="1:5" x14ac:dyDescent="0.35">
      <c r="A668">
        <v>681</v>
      </c>
      <c r="B668" t="s">
        <v>10042</v>
      </c>
      <c r="C668" t="str" cm="1">
        <f t="array" ref="C668">_xlfn.TEXTSPLIT(B668, "/")</f>
        <v>Deliverance</v>
      </c>
    </row>
    <row r="669" spans="1:5" x14ac:dyDescent="0.35">
      <c r="A669">
        <v>682</v>
      </c>
      <c r="B669" t="s">
        <v>10125</v>
      </c>
      <c r="C669" t="str" cm="1">
        <f t="array" ref="C669:D669">_xlfn.TEXTSPLIT(B669, "/")</f>
        <v>Mercy</v>
      </c>
      <c r="D669" t="str">
        <v>Restraint</v>
      </c>
    </row>
    <row r="670" spans="1:5" x14ac:dyDescent="0.35">
      <c r="A670">
        <v>683</v>
      </c>
      <c r="B670" t="s">
        <v>10123</v>
      </c>
      <c r="C670" t="str" cm="1">
        <f t="array" ref="C670:D670">_xlfn.TEXTSPLIT(B670, "/")</f>
        <v>Conviction</v>
      </c>
      <c r="D670" t="str">
        <v>Recognition</v>
      </c>
    </row>
    <row r="671" spans="1:5" x14ac:dyDescent="0.35">
      <c r="A671">
        <v>684</v>
      </c>
      <c r="B671" t="s">
        <v>11139</v>
      </c>
      <c r="C671" t="str" cm="1">
        <f t="array" ref="C671:D671">_xlfn.TEXTSPLIT(B671, "/")</f>
        <v>Death</v>
      </c>
      <c r="D671" t="str">
        <v>Judgment</v>
      </c>
    </row>
    <row r="672" spans="1:5" x14ac:dyDescent="0.35">
      <c r="A672">
        <v>685</v>
      </c>
      <c r="B672" t="s">
        <v>10124</v>
      </c>
      <c r="C672" t="str" cm="1">
        <f t="array" ref="C672:D672">_xlfn.TEXTSPLIT(B672, "/")</f>
        <v>Providence</v>
      </c>
      <c r="D672" t="str">
        <v>Provision</v>
      </c>
    </row>
    <row r="673" spans="1:5" x14ac:dyDescent="0.35">
      <c r="A673">
        <v>686</v>
      </c>
      <c r="B673" t="s">
        <v>10125</v>
      </c>
      <c r="C673" t="str" cm="1">
        <f t="array" ref="C673:D673">_xlfn.TEXTSPLIT(B673, "/")</f>
        <v>Mercy</v>
      </c>
      <c r="D673" t="str">
        <v>Restraint</v>
      </c>
    </row>
    <row r="674" spans="1:5" x14ac:dyDescent="0.35">
      <c r="A674">
        <v>687</v>
      </c>
      <c r="B674" t="s">
        <v>10126</v>
      </c>
      <c r="C674" t="str" cm="1">
        <f t="array" ref="C674:D674">_xlfn.TEXTSPLIT(B674, "/")</f>
        <v>Intervention</v>
      </c>
      <c r="D674" t="str">
        <v>Sleep</v>
      </c>
    </row>
    <row r="675" spans="1:5" x14ac:dyDescent="0.35">
      <c r="A675">
        <v>688</v>
      </c>
      <c r="B675" t="s">
        <v>12734</v>
      </c>
      <c r="C675" t="str" cm="1">
        <f t="array" ref="C675:E675">_xlfn.TEXTSPLIT(B675, "/")</f>
        <v>Appearance</v>
      </c>
      <c r="D675" t="str">
        <v>Prophecy</v>
      </c>
      <c r="E675" t="str">
        <v>Judgment</v>
      </c>
    </row>
    <row r="676" spans="1:5" x14ac:dyDescent="0.35">
      <c r="A676">
        <v>689</v>
      </c>
      <c r="B676" t="s">
        <v>12418</v>
      </c>
      <c r="C676" t="str" cm="1">
        <f t="array" ref="C676:E676">_xlfn.TEXTSPLIT(B676, "/")</f>
        <v>Judgment</v>
      </c>
      <c r="D676" t="str">
        <v>Prophecy</v>
      </c>
      <c r="E676" t="str">
        <v>Death</v>
      </c>
    </row>
    <row r="677" spans="1:5" x14ac:dyDescent="0.35">
      <c r="A677">
        <v>690</v>
      </c>
      <c r="B677" t="s">
        <v>11238</v>
      </c>
      <c r="C677" t="str" cm="1">
        <f t="array" ref="C677:D677">_xlfn.TEXTSPLIT(B677, "/")</f>
        <v>Assurance</v>
      </c>
      <c r="D677" t="str">
        <v>Promise</v>
      </c>
    </row>
    <row r="678" spans="1:5" x14ac:dyDescent="0.35">
      <c r="A678">
        <v>691</v>
      </c>
      <c r="B678" t="s">
        <v>12735</v>
      </c>
      <c r="C678" t="str" cm="1">
        <f t="array" ref="C678:E678">_xlfn.TEXTSPLIT(B678, "/")</f>
        <v>Recovery</v>
      </c>
      <c r="D678" t="str">
        <v>Victory</v>
      </c>
      <c r="E678" t="str">
        <v>Fulfillment</v>
      </c>
    </row>
    <row r="679" spans="1:5" x14ac:dyDescent="0.35">
      <c r="A679">
        <v>692</v>
      </c>
      <c r="B679" t="s">
        <v>10510</v>
      </c>
      <c r="C679" t="str" cm="1">
        <f t="array" ref="C679:D679">_xlfn.TEXTSPLIT(B679, "/")</f>
        <v>Fulfillment</v>
      </c>
      <c r="D679" t="str">
        <v>Judgment</v>
      </c>
    </row>
  </sheetData>
  <conditionalFormatting sqref="I2:I439">
    <cfRule type="expression" dxfId="1" priority="1">
      <formula>ISNA(_xlfn.XLOOKUP(I2, $H:$H, $H:$H))</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B7866-F02D-47A9-81C7-65E4EEA98C92}">
  <dimension ref="A1:A203"/>
  <sheetViews>
    <sheetView workbookViewId="0">
      <selection activeCell="B1" sqref="B1:B1048576"/>
    </sheetView>
  </sheetViews>
  <sheetFormatPr defaultRowHeight="14.5" x14ac:dyDescent="0.35"/>
  <sheetData>
    <row r="1" spans="1:1" x14ac:dyDescent="0.35">
      <c r="A1" t="s">
        <v>11100</v>
      </c>
    </row>
    <row r="2" spans="1:1" x14ac:dyDescent="0.35">
      <c r="A2" t="str" cm="1">
        <f t="array" ref="A2:A203">_xlfn._xlws.FILTER(category_breakdown!Y:Y, category_breakdown!Y:Y&lt;&gt;"")</f>
        <v>Abundance</v>
      </c>
    </row>
    <row r="3" spans="1:1" x14ac:dyDescent="0.35">
      <c r="A3" t="str">
        <v>Anger</v>
      </c>
    </row>
    <row r="4" spans="1:1" x14ac:dyDescent="0.35">
      <c r="A4" t="str">
        <v>Annunciation</v>
      </c>
    </row>
    <row r="5" spans="1:1" x14ac:dyDescent="0.35">
      <c r="A5" t="str">
        <v>Anointing</v>
      </c>
    </row>
    <row r="6" spans="1:1" x14ac:dyDescent="0.35">
      <c r="A6" t="str">
        <v>Answer</v>
      </c>
    </row>
    <row r="7" spans="1:1" x14ac:dyDescent="0.35">
      <c r="A7" t="str">
        <v>Appearance</v>
      </c>
    </row>
    <row r="8" spans="1:1" x14ac:dyDescent="0.35">
      <c r="A8" t="str">
        <v>Appointment</v>
      </c>
    </row>
    <row r="9" spans="1:1" x14ac:dyDescent="0.35">
      <c r="A9" t="str">
        <v>Assassination</v>
      </c>
    </row>
    <row r="10" spans="1:1" x14ac:dyDescent="0.35">
      <c r="A10" t="str">
        <v>Assignment</v>
      </c>
    </row>
    <row r="11" spans="1:1" x14ac:dyDescent="0.35">
      <c r="A11" t="str">
        <v>Assurance</v>
      </c>
    </row>
    <row r="12" spans="1:1" x14ac:dyDescent="0.35">
      <c r="A12" t="str">
        <v>Atonement</v>
      </c>
    </row>
    <row r="13" spans="1:1" x14ac:dyDescent="0.35">
      <c r="A13" t="str">
        <v>Birth</v>
      </c>
    </row>
    <row r="14" spans="1:1" x14ac:dyDescent="0.35">
      <c r="A14" t="str">
        <v>Blessing</v>
      </c>
    </row>
    <row r="15" spans="1:1" x14ac:dyDescent="0.35">
      <c r="A15" t="str">
        <v>Boils</v>
      </c>
    </row>
    <row r="16" spans="1:1" x14ac:dyDescent="0.35">
      <c r="A16" t="str">
        <v>Burial</v>
      </c>
    </row>
    <row r="17" spans="1:1" x14ac:dyDescent="0.35">
      <c r="A17" t="str">
        <v>Calling</v>
      </c>
    </row>
    <row r="18" spans="1:1" x14ac:dyDescent="0.35">
      <c r="A18" t="str">
        <v>Cessation</v>
      </c>
    </row>
    <row r="19" spans="1:1" x14ac:dyDescent="0.35">
      <c r="A19" t="str">
        <v>Choice</v>
      </c>
    </row>
    <row r="20" spans="1:1" x14ac:dyDescent="0.35">
      <c r="A20" t="str">
        <v>Civil</v>
      </c>
    </row>
    <row r="21" spans="1:1" x14ac:dyDescent="0.35">
      <c r="A21" t="str">
        <v>Cleansing</v>
      </c>
    </row>
    <row r="22" spans="1:1" x14ac:dyDescent="0.35">
      <c r="A22" t="str">
        <v>Cloud</v>
      </c>
    </row>
    <row r="23" spans="1:1" x14ac:dyDescent="0.35">
      <c r="A23" t="str">
        <v>Comfort</v>
      </c>
    </row>
    <row r="24" spans="1:1" x14ac:dyDescent="0.35">
      <c r="A24" t="str">
        <v>Command</v>
      </c>
    </row>
    <row r="25" spans="1:1" x14ac:dyDescent="0.35">
      <c r="A25" t="str">
        <v>Commissioning</v>
      </c>
    </row>
    <row r="26" spans="1:1" x14ac:dyDescent="0.35">
      <c r="A26" t="str">
        <v>Communication</v>
      </c>
    </row>
    <row r="27" spans="1:1" x14ac:dyDescent="0.35">
      <c r="A27" t="str">
        <v>Compassion</v>
      </c>
    </row>
    <row r="28" spans="1:1" x14ac:dyDescent="0.35">
      <c r="A28" t="str">
        <v>Concealment</v>
      </c>
    </row>
    <row r="29" spans="1:1" x14ac:dyDescent="0.35">
      <c r="A29" t="str">
        <v>Confirmation</v>
      </c>
    </row>
    <row r="30" spans="1:1" x14ac:dyDescent="0.35">
      <c r="A30" t="str">
        <v>Confusion</v>
      </c>
    </row>
    <row r="31" spans="1:1" x14ac:dyDescent="0.35">
      <c r="A31" t="str">
        <v>Conquest</v>
      </c>
    </row>
    <row r="32" spans="1:1" x14ac:dyDescent="0.35">
      <c r="A32" t="str">
        <v>Consecration</v>
      </c>
    </row>
    <row r="33" spans="1:1" x14ac:dyDescent="0.35">
      <c r="A33" t="str">
        <v>Consequence</v>
      </c>
    </row>
    <row r="34" spans="1:1" x14ac:dyDescent="0.35">
      <c r="A34" t="str">
        <v>Control</v>
      </c>
    </row>
    <row r="35" spans="1:1" x14ac:dyDescent="0.35">
      <c r="A35" t="str">
        <v>Conviction</v>
      </c>
    </row>
    <row r="36" spans="1:1" x14ac:dyDescent="0.35">
      <c r="A36" t="str">
        <v>Cosmic</v>
      </c>
    </row>
    <row r="37" spans="1:1" x14ac:dyDescent="0.35">
      <c r="A37" t="str">
        <v>Covenant</v>
      </c>
    </row>
    <row r="38" spans="1:1" x14ac:dyDescent="0.35">
      <c r="A38" t="str">
        <v>Creation</v>
      </c>
    </row>
    <row r="39" spans="1:1" x14ac:dyDescent="0.35">
      <c r="A39" t="str">
        <v>Curse</v>
      </c>
    </row>
    <row r="40" spans="1:1" x14ac:dyDescent="0.35">
      <c r="A40" t="str">
        <v>Darkness</v>
      </c>
    </row>
    <row r="41" spans="1:1" x14ac:dyDescent="0.35">
      <c r="A41" t="str">
        <v>Death</v>
      </c>
    </row>
    <row r="42" spans="1:1" x14ac:dyDescent="0.35">
      <c r="A42" t="str">
        <v>Declaration</v>
      </c>
    </row>
    <row r="43" spans="1:1" x14ac:dyDescent="0.35">
      <c r="A43" t="str">
        <v>Defeat</v>
      </c>
    </row>
    <row r="44" spans="1:1" x14ac:dyDescent="0.35">
      <c r="A44" t="str">
        <v>Defense</v>
      </c>
    </row>
    <row r="45" spans="1:1" x14ac:dyDescent="0.35">
      <c r="A45" t="str">
        <v>Deliverance</v>
      </c>
    </row>
    <row r="46" spans="1:1" x14ac:dyDescent="0.35">
      <c r="A46" t="str">
        <v>Departure</v>
      </c>
    </row>
    <row r="47" spans="1:1" x14ac:dyDescent="0.35">
      <c r="A47" t="str">
        <v>Destruction</v>
      </c>
    </row>
    <row r="48" spans="1:1" x14ac:dyDescent="0.35">
      <c r="A48" t="str">
        <v>Discernment</v>
      </c>
    </row>
    <row r="49" spans="1:1" x14ac:dyDescent="0.35">
      <c r="A49" t="str">
        <v>Discipline</v>
      </c>
    </row>
    <row r="50" spans="1:1" x14ac:dyDescent="0.35">
      <c r="A50" t="str">
        <v>Discord</v>
      </c>
    </row>
    <row r="51" spans="1:1" x14ac:dyDescent="0.35">
      <c r="A51" t="str">
        <v>Disease</v>
      </c>
    </row>
    <row r="52" spans="1:1" x14ac:dyDescent="0.35">
      <c r="A52" t="str">
        <v>Disempowerment</v>
      </c>
    </row>
    <row r="53" spans="1:1" x14ac:dyDescent="0.35">
      <c r="A53" t="str">
        <v>Disobedience</v>
      </c>
    </row>
    <row r="54" spans="1:1" x14ac:dyDescent="0.35">
      <c r="A54" t="str">
        <v>Disowning</v>
      </c>
    </row>
    <row r="55" spans="1:1" x14ac:dyDescent="0.35">
      <c r="A55" t="str">
        <v>Dream</v>
      </c>
    </row>
    <row r="56" spans="1:1" x14ac:dyDescent="0.35">
      <c r="A56" t="str">
        <v>Earthquake</v>
      </c>
    </row>
    <row r="57" spans="1:1" x14ac:dyDescent="0.35">
      <c r="A57" t="str">
        <v>Election</v>
      </c>
    </row>
    <row r="58" spans="1:1" x14ac:dyDescent="0.35">
      <c r="A58" t="str">
        <v>Empowerment</v>
      </c>
    </row>
    <row r="59" spans="1:1" x14ac:dyDescent="0.35">
      <c r="A59" t="str">
        <v>Encouragement</v>
      </c>
    </row>
    <row r="60" spans="1:1" x14ac:dyDescent="0.35">
      <c r="A60" t="str">
        <v>Exaltation</v>
      </c>
    </row>
    <row r="61" spans="1:1" x14ac:dyDescent="0.35">
      <c r="A61" t="str">
        <v>Execution</v>
      </c>
    </row>
    <row r="62" spans="1:1" x14ac:dyDescent="0.35">
      <c r="A62" t="str">
        <v>Expansion</v>
      </c>
    </row>
    <row r="63" spans="1:1" x14ac:dyDescent="0.35">
      <c r="A63" t="str">
        <v>Faithfulness</v>
      </c>
    </row>
    <row r="64" spans="1:1" x14ac:dyDescent="0.35">
      <c r="A64" t="str">
        <v>False Idols</v>
      </c>
    </row>
    <row r="65" spans="1:1" x14ac:dyDescent="0.35">
      <c r="A65" t="str">
        <v>Fame</v>
      </c>
    </row>
    <row r="66" spans="1:1" x14ac:dyDescent="0.35">
      <c r="A66" t="str">
        <v>Famine</v>
      </c>
    </row>
    <row r="67" spans="1:1" x14ac:dyDescent="0.35">
      <c r="A67" t="str">
        <v>Favor</v>
      </c>
    </row>
    <row r="68" spans="1:1" x14ac:dyDescent="0.35">
      <c r="A68" t="str">
        <v>Fertility</v>
      </c>
    </row>
    <row r="69" spans="1:1" x14ac:dyDescent="0.35">
      <c r="A69" t="str">
        <v xml:space="preserve">Fertility </v>
      </c>
    </row>
    <row r="70" spans="1:1" x14ac:dyDescent="0.35">
      <c r="A70" t="str">
        <v>Fire</v>
      </c>
    </row>
    <row r="71" spans="1:1" x14ac:dyDescent="0.35">
      <c r="A71" t="str">
        <v>Flies</v>
      </c>
    </row>
    <row r="72" spans="1:1" x14ac:dyDescent="0.35">
      <c r="A72" t="str">
        <v>Food</v>
      </c>
    </row>
    <row r="73" spans="1:1" x14ac:dyDescent="0.35">
      <c r="A73" t="str">
        <v>Frogs</v>
      </c>
    </row>
    <row r="74" spans="1:1" x14ac:dyDescent="0.35">
      <c r="A74" t="str">
        <v>Fulfillment</v>
      </c>
    </row>
    <row r="75" spans="1:1" x14ac:dyDescent="0.35">
      <c r="A75" t="str">
        <v>Geography</v>
      </c>
    </row>
    <row r="76" spans="1:1" x14ac:dyDescent="0.35">
      <c r="A76" t="str">
        <v>Glory</v>
      </c>
    </row>
    <row r="77" spans="1:1" x14ac:dyDescent="0.35">
      <c r="A77" t="str">
        <v>Gnats</v>
      </c>
    </row>
    <row r="78" spans="1:1" x14ac:dyDescent="0.35">
      <c r="A78" t="str">
        <v>Government</v>
      </c>
    </row>
    <row r="79" spans="1:1" x14ac:dyDescent="0.35">
      <c r="A79" t="str">
        <v>Growth</v>
      </c>
    </row>
    <row r="80" spans="1:1" x14ac:dyDescent="0.35">
      <c r="A80" t="str">
        <v>Guidance</v>
      </c>
    </row>
    <row r="81" spans="1:1" x14ac:dyDescent="0.35">
      <c r="A81" t="str">
        <v>Hail</v>
      </c>
    </row>
    <row r="82" spans="1:1" x14ac:dyDescent="0.35">
      <c r="A82" t="str">
        <v>Harassment</v>
      </c>
    </row>
    <row r="83" spans="1:1" x14ac:dyDescent="0.35">
      <c r="A83" t="str">
        <v>Hardening</v>
      </c>
    </row>
    <row r="84" spans="1:1" x14ac:dyDescent="0.35">
      <c r="A84" t="str">
        <v>Healing</v>
      </c>
    </row>
    <row r="85" spans="1:1" x14ac:dyDescent="0.35">
      <c r="A85" t="str">
        <v>Health</v>
      </c>
    </row>
    <row r="86" spans="1:1" x14ac:dyDescent="0.35">
      <c r="A86" t="str">
        <v>Hearing</v>
      </c>
    </row>
    <row r="87" spans="1:1" x14ac:dyDescent="0.35">
      <c r="A87" t="str">
        <v>Heart Change</v>
      </c>
    </row>
    <row r="88" spans="1:1" x14ac:dyDescent="0.35">
      <c r="A88" t="str">
        <v>History</v>
      </c>
    </row>
    <row r="89" spans="1:1" x14ac:dyDescent="0.35">
      <c r="A89" t="str">
        <v>Holiness</v>
      </c>
    </row>
    <row r="90" spans="1:1" x14ac:dyDescent="0.35">
      <c r="A90" t="str">
        <v>Holy Spirit</v>
      </c>
    </row>
    <row r="91" spans="1:1" x14ac:dyDescent="0.35">
      <c r="A91" t="str">
        <v>Humility</v>
      </c>
    </row>
    <row r="92" spans="1:1" x14ac:dyDescent="0.35">
      <c r="A92" t="str">
        <v>Identification</v>
      </c>
    </row>
    <row r="93" spans="1:1" x14ac:dyDescent="0.35">
      <c r="A93" t="str">
        <v>Impoverishment</v>
      </c>
    </row>
    <row r="94" spans="1:1" x14ac:dyDescent="0.35">
      <c r="A94" t="str">
        <v>Inscription</v>
      </c>
    </row>
    <row r="95" spans="1:1" x14ac:dyDescent="0.35">
      <c r="A95" t="str">
        <v>Institution</v>
      </c>
    </row>
    <row r="96" spans="1:1" x14ac:dyDescent="0.35">
      <c r="A96" t="str">
        <v>Instruction</v>
      </c>
    </row>
    <row r="97" spans="1:1" x14ac:dyDescent="0.35">
      <c r="A97" t="str">
        <v>Intercession</v>
      </c>
    </row>
    <row r="98" spans="1:1" x14ac:dyDescent="0.35">
      <c r="A98" t="str">
        <v>Interpretation</v>
      </c>
    </row>
    <row r="99" spans="1:1" x14ac:dyDescent="0.35">
      <c r="A99" t="str">
        <v>Interrogation</v>
      </c>
    </row>
    <row r="100" spans="1:1" x14ac:dyDescent="0.35">
      <c r="A100" t="str">
        <v>Intervention</v>
      </c>
    </row>
    <row r="101" spans="1:1" x14ac:dyDescent="0.35">
      <c r="A101" t="str">
        <v>Judgment</v>
      </c>
    </row>
    <row r="102" spans="1:1" x14ac:dyDescent="0.35">
      <c r="A102" t="str">
        <v>Justice</v>
      </c>
    </row>
    <row r="103" spans="1:1" x14ac:dyDescent="0.35">
      <c r="A103" t="str">
        <v>Kindness</v>
      </c>
    </row>
    <row r="104" spans="1:1" x14ac:dyDescent="0.35">
      <c r="A104" t="str">
        <v>Law</v>
      </c>
    </row>
    <row r="105" spans="1:1" x14ac:dyDescent="0.35">
      <c r="A105" t="str">
        <v>Leprosy</v>
      </c>
    </row>
    <row r="106" spans="1:1" x14ac:dyDescent="0.35">
      <c r="A106" t="str">
        <v>Lightning</v>
      </c>
    </row>
    <row r="107" spans="1:1" x14ac:dyDescent="0.35">
      <c r="A107" t="str">
        <v>Lineage</v>
      </c>
    </row>
    <row r="108" spans="1:1" x14ac:dyDescent="0.35">
      <c r="A108" t="str">
        <v>Location</v>
      </c>
    </row>
    <row r="109" spans="1:1" x14ac:dyDescent="0.35">
      <c r="A109" t="str">
        <v>Locusts</v>
      </c>
    </row>
    <row r="110" spans="1:1" x14ac:dyDescent="0.35">
      <c r="A110" t="str">
        <v>Manifestation</v>
      </c>
    </row>
    <row r="111" spans="1:1" x14ac:dyDescent="0.35">
      <c r="A111" t="str">
        <v>Marriage</v>
      </c>
    </row>
    <row r="112" spans="1:1" x14ac:dyDescent="0.35">
      <c r="A112" t="str">
        <v>Meeting</v>
      </c>
    </row>
    <row r="113" spans="1:1" x14ac:dyDescent="0.35">
      <c r="A113" t="str">
        <v>Memorial</v>
      </c>
    </row>
    <row r="114" spans="1:1" x14ac:dyDescent="0.35">
      <c r="A114" t="str">
        <v>Mercy</v>
      </c>
    </row>
    <row r="115" spans="1:1" x14ac:dyDescent="0.35">
      <c r="A115" t="str">
        <v>Messianic Preparation</v>
      </c>
    </row>
    <row r="116" spans="1:1" x14ac:dyDescent="0.35">
      <c r="A116" t="str">
        <v>Mourning</v>
      </c>
    </row>
    <row r="117" spans="1:1" x14ac:dyDescent="0.35">
      <c r="A117" t="str">
        <v>Movement</v>
      </c>
    </row>
    <row r="118" spans="1:1" x14ac:dyDescent="0.35">
      <c r="A118" t="str">
        <v>Music</v>
      </c>
    </row>
    <row r="119" spans="1:1" x14ac:dyDescent="0.35">
      <c r="A119" t="str">
        <v>Naming</v>
      </c>
    </row>
    <row r="120" spans="1:1" x14ac:dyDescent="0.35">
      <c r="A120" t="str">
        <v>Opportunity</v>
      </c>
    </row>
    <row r="121" spans="1:1" x14ac:dyDescent="0.35">
      <c r="A121" t="str">
        <v>Opposition</v>
      </c>
    </row>
    <row r="122" spans="1:1" x14ac:dyDescent="0.35">
      <c r="A122" t="str">
        <v>Oppression</v>
      </c>
    </row>
    <row r="123" spans="1:1" x14ac:dyDescent="0.35">
      <c r="A123" t="str">
        <v>Organization</v>
      </c>
    </row>
    <row r="124" spans="1:1" x14ac:dyDescent="0.35">
      <c r="A124" t="str">
        <v>Ownership</v>
      </c>
    </row>
    <row r="125" spans="1:1" x14ac:dyDescent="0.35">
      <c r="A125" t="str">
        <v>Parting Waters</v>
      </c>
    </row>
    <row r="126" spans="1:1" x14ac:dyDescent="0.35">
      <c r="A126" t="str">
        <v>Peace</v>
      </c>
    </row>
    <row r="127" spans="1:1" x14ac:dyDescent="0.35">
      <c r="A127" t="str">
        <v>Permission</v>
      </c>
    </row>
    <row r="128" spans="1:1" x14ac:dyDescent="0.35">
      <c r="A128" t="str">
        <v>Plague</v>
      </c>
    </row>
    <row r="129" spans="1:1" x14ac:dyDescent="0.35">
      <c r="A129" t="str">
        <v>Praise</v>
      </c>
    </row>
    <row r="130" spans="1:1" x14ac:dyDescent="0.35">
      <c r="A130" t="str">
        <v>Prayer</v>
      </c>
    </row>
    <row r="131" spans="1:1" x14ac:dyDescent="0.35">
      <c r="A131" t="str">
        <v>Preparation</v>
      </c>
    </row>
    <row r="132" spans="1:1" x14ac:dyDescent="0.35">
      <c r="A132" t="str">
        <v>Presence</v>
      </c>
    </row>
    <row r="133" spans="1:1" x14ac:dyDescent="0.35">
      <c r="A133" t="str">
        <v>Preservation</v>
      </c>
    </row>
    <row r="134" spans="1:1" x14ac:dyDescent="0.35">
      <c r="A134" t="str">
        <v>Priesthood</v>
      </c>
    </row>
    <row r="135" spans="1:1" x14ac:dyDescent="0.35">
      <c r="A135" t="str">
        <v>Prohibition</v>
      </c>
    </row>
    <row r="136" spans="1:1" x14ac:dyDescent="0.35">
      <c r="A136" t="str">
        <v>Promise</v>
      </c>
    </row>
    <row r="137" spans="1:1" x14ac:dyDescent="0.35">
      <c r="A137" t="str">
        <v>Prophecy</v>
      </c>
    </row>
    <row r="138" spans="1:1" x14ac:dyDescent="0.35">
      <c r="A138" t="str">
        <v>Protection</v>
      </c>
    </row>
    <row r="139" spans="1:1" x14ac:dyDescent="0.35">
      <c r="A139" t="str">
        <v>Providence</v>
      </c>
    </row>
    <row r="140" spans="1:1" x14ac:dyDescent="0.35">
      <c r="A140" t="str">
        <v>Provision</v>
      </c>
    </row>
    <row r="141" spans="1:1" x14ac:dyDescent="0.35">
      <c r="A141" t="str">
        <v>Purity</v>
      </c>
    </row>
    <row r="142" spans="1:1" x14ac:dyDescent="0.35">
      <c r="A142" t="str">
        <v>Pursuit</v>
      </c>
    </row>
    <row r="143" spans="1:1" x14ac:dyDescent="0.35">
      <c r="A143" t="str">
        <v>Rain</v>
      </c>
    </row>
    <row r="144" spans="1:1" x14ac:dyDescent="0.35">
      <c r="A144" t="str">
        <v>Reassurance</v>
      </c>
    </row>
    <row r="145" spans="1:1" x14ac:dyDescent="0.35">
      <c r="A145" t="str">
        <v>Rebuke</v>
      </c>
    </row>
    <row r="146" spans="1:1" x14ac:dyDescent="0.35">
      <c r="A146" t="str">
        <v>Recognition</v>
      </c>
    </row>
    <row r="147" spans="1:1" x14ac:dyDescent="0.35">
      <c r="A147" t="str">
        <v>Recording</v>
      </c>
    </row>
    <row r="148" spans="1:1" x14ac:dyDescent="0.35">
      <c r="A148" t="str">
        <v>Recovery</v>
      </c>
    </row>
    <row r="149" spans="1:1" x14ac:dyDescent="0.35">
      <c r="A149" t="str">
        <v>Redemption</v>
      </c>
    </row>
    <row r="150" spans="1:1" x14ac:dyDescent="0.35">
      <c r="A150" t="str">
        <v>Rejection</v>
      </c>
    </row>
    <row r="151" spans="1:1" x14ac:dyDescent="0.35">
      <c r="A151" t="str">
        <v>Relenting</v>
      </c>
    </row>
    <row r="152" spans="1:1" x14ac:dyDescent="0.35">
      <c r="A152" t="str">
        <v>Remedy</v>
      </c>
    </row>
    <row r="153" spans="1:1" x14ac:dyDescent="0.35">
      <c r="A153" t="str">
        <v>Remembrance</v>
      </c>
    </row>
    <row r="154" spans="1:1" x14ac:dyDescent="0.35">
      <c r="A154" t="str">
        <v>Reminder</v>
      </c>
    </row>
    <row r="155" spans="1:1" x14ac:dyDescent="0.35">
      <c r="A155" t="str">
        <v>Renewal</v>
      </c>
    </row>
    <row r="156" spans="1:1" x14ac:dyDescent="0.35">
      <c r="A156" t="str">
        <v>Repentance</v>
      </c>
    </row>
    <row r="157" spans="1:1" x14ac:dyDescent="0.35">
      <c r="A157" t="str">
        <v>Requirement</v>
      </c>
    </row>
    <row r="158" spans="1:1" x14ac:dyDescent="0.35">
      <c r="A158" t="str">
        <v>Response</v>
      </c>
    </row>
    <row r="159" spans="1:1" x14ac:dyDescent="0.35">
      <c r="A159" t="str">
        <v>Rest</v>
      </c>
    </row>
    <row r="160" spans="1:1" x14ac:dyDescent="0.35">
      <c r="A160" t="str">
        <v>Restoration</v>
      </c>
    </row>
    <row r="161" spans="1:1" x14ac:dyDescent="0.35">
      <c r="A161" t="str">
        <v>Restraint</v>
      </c>
    </row>
    <row r="162" spans="1:1" x14ac:dyDescent="0.35">
      <c r="A162" t="str">
        <v>Revelation</v>
      </c>
    </row>
    <row r="163" spans="1:1" x14ac:dyDescent="0.35">
      <c r="A163" t="str">
        <v>Reward</v>
      </c>
    </row>
    <row r="164" spans="1:1" x14ac:dyDescent="0.35">
      <c r="A164" t="str">
        <v>Safety</v>
      </c>
    </row>
    <row r="165" spans="1:1" x14ac:dyDescent="0.35">
      <c r="A165" t="str">
        <v>Salvation</v>
      </c>
    </row>
    <row r="166" spans="1:1" x14ac:dyDescent="0.35">
      <c r="A166" t="str">
        <v>Separation</v>
      </c>
    </row>
    <row r="167" spans="1:1" x14ac:dyDescent="0.35">
      <c r="A167" t="str">
        <v>Sign</v>
      </c>
    </row>
    <row r="168" spans="1:1" x14ac:dyDescent="0.35">
      <c r="A168" t="str">
        <v>Skill</v>
      </c>
    </row>
    <row r="169" spans="1:1" x14ac:dyDescent="0.35">
      <c r="A169" t="str">
        <v>Slaughter</v>
      </c>
    </row>
    <row r="170" spans="1:1" x14ac:dyDescent="0.35">
      <c r="A170" t="str">
        <v>Sleep</v>
      </c>
    </row>
    <row r="171" spans="1:1" x14ac:dyDescent="0.35">
      <c r="A171" t="str">
        <v>Smoke</v>
      </c>
    </row>
    <row r="172" spans="1:1" x14ac:dyDescent="0.35">
      <c r="A172" t="str">
        <v>Song</v>
      </c>
    </row>
    <row r="173" spans="1:1" x14ac:dyDescent="0.35">
      <c r="A173" t="str">
        <v>Sorrow</v>
      </c>
    </row>
    <row r="174" spans="1:1" x14ac:dyDescent="0.35">
      <c r="A174" t="str">
        <v>Speech</v>
      </c>
    </row>
    <row r="175" spans="1:1" x14ac:dyDescent="0.35">
      <c r="A175" t="str">
        <v>Spirit</v>
      </c>
    </row>
    <row r="176" spans="1:1" x14ac:dyDescent="0.35">
      <c r="A176" t="str">
        <v>Spiritual Affliction</v>
      </c>
    </row>
    <row r="177" spans="1:1" x14ac:dyDescent="0.35">
      <c r="A177" t="str">
        <v>Strategy</v>
      </c>
    </row>
    <row r="178" spans="1:1" x14ac:dyDescent="0.35">
      <c r="A178" t="str">
        <v>Strength</v>
      </c>
    </row>
    <row r="179" spans="1:1" x14ac:dyDescent="0.35">
      <c r="A179" t="str">
        <v>Strengthening Enemies</v>
      </c>
    </row>
    <row r="180" spans="1:1" x14ac:dyDescent="0.35">
      <c r="A180" t="str">
        <v>Supremacy</v>
      </c>
    </row>
    <row r="181" spans="1:1" x14ac:dyDescent="0.35">
      <c r="A181" t="str">
        <v>Test</v>
      </c>
    </row>
    <row r="182" spans="1:1" x14ac:dyDescent="0.35">
      <c r="A182" t="str">
        <v>Testimony</v>
      </c>
    </row>
    <row r="183" spans="1:1" x14ac:dyDescent="0.35">
      <c r="A183" t="str">
        <v>Thanksgiving</v>
      </c>
    </row>
    <row r="184" spans="1:1" x14ac:dyDescent="0.35">
      <c r="A184" t="str">
        <v>Theophany</v>
      </c>
    </row>
    <row r="185" spans="1:1" x14ac:dyDescent="0.35">
      <c r="A185" t="str">
        <v>Thunder</v>
      </c>
    </row>
    <row r="186" spans="1:1" x14ac:dyDescent="0.35">
      <c r="A186" t="str">
        <v>Timing</v>
      </c>
    </row>
    <row r="187" spans="1:1" x14ac:dyDescent="0.35">
      <c r="A187" t="str">
        <v>Tithe</v>
      </c>
    </row>
    <row r="188" spans="1:1" x14ac:dyDescent="0.35">
      <c r="A188" t="str">
        <v>Transformation</v>
      </c>
    </row>
    <row r="189" spans="1:1" x14ac:dyDescent="0.35">
      <c r="A189" t="str">
        <v>Translation</v>
      </c>
    </row>
    <row r="190" spans="1:1" x14ac:dyDescent="0.35">
      <c r="A190" t="str">
        <v>Transmutation</v>
      </c>
    </row>
    <row r="191" spans="1:1" x14ac:dyDescent="0.35">
      <c r="A191" t="str">
        <v>Trumpet</v>
      </c>
    </row>
    <row r="192" spans="1:1" x14ac:dyDescent="0.35">
      <c r="A192" t="str">
        <v>Victory</v>
      </c>
    </row>
    <row r="193" spans="1:1" x14ac:dyDescent="0.35">
      <c r="A193" t="str">
        <v>Vision</v>
      </c>
    </row>
    <row r="194" spans="1:1" x14ac:dyDescent="0.35">
      <c r="A194" t="str">
        <v>War</v>
      </c>
    </row>
    <row r="195" spans="1:1" x14ac:dyDescent="0.35">
      <c r="A195" t="str">
        <v>Warning</v>
      </c>
    </row>
    <row r="196" spans="1:1" x14ac:dyDescent="0.35">
      <c r="A196" t="str">
        <v>Water</v>
      </c>
    </row>
    <row r="197" spans="1:1" x14ac:dyDescent="0.35">
      <c r="A197" t="str">
        <v>Wind</v>
      </c>
    </row>
    <row r="198" spans="1:1" x14ac:dyDescent="0.35">
      <c r="A198" t="str">
        <v>Withdrawal</v>
      </c>
    </row>
    <row r="199" spans="1:1" x14ac:dyDescent="0.35">
      <c r="A199" t="str">
        <v>Witness</v>
      </c>
    </row>
    <row r="200" spans="1:1" x14ac:dyDescent="0.35">
      <c r="A200" t="str">
        <v>Worship</v>
      </c>
    </row>
    <row r="201" spans="1:1" x14ac:dyDescent="0.35">
      <c r="A201" t="str">
        <v>Wrath</v>
      </c>
    </row>
    <row r="202" spans="1:1" x14ac:dyDescent="0.35">
      <c r="A202" t="str">
        <v>Wrestling</v>
      </c>
    </row>
    <row r="203" spans="1:1" x14ac:dyDescent="0.35">
      <c r="A203" t="str">
        <v>Writing</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2A6D-194D-4EA4-B9BF-1914C9CB8FF8}">
  <dimension ref="A1:B20"/>
  <sheetViews>
    <sheetView workbookViewId="0">
      <selection sqref="A1:B20"/>
    </sheetView>
  </sheetViews>
  <sheetFormatPr defaultRowHeight="14.5" x14ac:dyDescent="0.35"/>
  <sheetData>
    <row r="1" spans="1:2" x14ac:dyDescent="0.35">
      <c r="A1" t="s">
        <v>12683</v>
      </c>
      <c r="B1" t="s">
        <v>12702</v>
      </c>
    </row>
    <row r="2" spans="1:2" x14ac:dyDescent="0.35">
      <c r="A2" t="s">
        <v>12680</v>
      </c>
      <c r="B2" t="s">
        <v>12680</v>
      </c>
    </row>
    <row r="3" spans="1:2" x14ac:dyDescent="0.35">
      <c r="A3" t="s">
        <v>10606</v>
      </c>
      <c r="B3" t="s">
        <v>12684</v>
      </c>
    </row>
    <row r="4" spans="1:2" x14ac:dyDescent="0.35">
      <c r="A4" t="s">
        <v>9678</v>
      </c>
      <c r="B4" t="s">
        <v>12685</v>
      </c>
    </row>
    <row r="5" spans="1:2" x14ac:dyDescent="0.35">
      <c r="A5" t="s">
        <v>9503</v>
      </c>
      <c r="B5" t="s">
        <v>12686</v>
      </c>
    </row>
    <row r="6" spans="1:2" x14ac:dyDescent="0.35">
      <c r="A6" t="s">
        <v>12681</v>
      </c>
      <c r="B6" t="s">
        <v>12687</v>
      </c>
    </row>
    <row r="7" spans="1:2" x14ac:dyDescent="0.35">
      <c r="A7" t="s">
        <v>12674</v>
      </c>
      <c r="B7" t="s">
        <v>12688</v>
      </c>
    </row>
    <row r="8" spans="1:2" x14ac:dyDescent="0.35">
      <c r="A8" t="s">
        <v>12675</v>
      </c>
      <c r="B8" t="s">
        <v>12689</v>
      </c>
    </row>
    <row r="9" spans="1:2" x14ac:dyDescent="0.35">
      <c r="A9" t="s">
        <v>10757</v>
      </c>
      <c r="B9" t="s">
        <v>12690</v>
      </c>
    </row>
    <row r="10" spans="1:2" x14ac:dyDescent="0.35">
      <c r="A10" t="s">
        <v>12679</v>
      </c>
      <c r="B10" t="s">
        <v>12691</v>
      </c>
    </row>
    <row r="11" spans="1:2" x14ac:dyDescent="0.35">
      <c r="A11" t="s">
        <v>9465</v>
      </c>
      <c r="B11" t="s">
        <v>12692</v>
      </c>
    </row>
    <row r="12" spans="1:2" x14ac:dyDescent="0.35">
      <c r="A12" t="s">
        <v>12677</v>
      </c>
      <c r="B12" t="s">
        <v>12693</v>
      </c>
    </row>
    <row r="13" spans="1:2" x14ac:dyDescent="0.35">
      <c r="A13" t="s">
        <v>10698</v>
      </c>
      <c r="B13" t="s">
        <v>12694</v>
      </c>
    </row>
    <row r="14" spans="1:2" x14ac:dyDescent="0.35">
      <c r="A14" t="s">
        <v>10544</v>
      </c>
      <c r="B14" t="s">
        <v>12695</v>
      </c>
    </row>
    <row r="15" spans="1:2" x14ac:dyDescent="0.35">
      <c r="A15" t="s">
        <v>9576</v>
      </c>
      <c r="B15" t="s">
        <v>12696</v>
      </c>
    </row>
    <row r="16" spans="1:2" x14ac:dyDescent="0.35">
      <c r="A16" t="s">
        <v>10604</v>
      </c>
      <c r="B16" t="s">
        <v>12697</v>
      </c>
    </row>
    <row r="17" spans="1:2" x14ac:dyDescent="0.35">
      <c r="A17" t="s">
        <v>12676</v>
      </c>
      <c r="B17" t="s">
        <v>12698</v>
      </c>
    </row>
    <row r="18" spans="1:2" x14ac:dyDescent="0.35">
      <c r="A18" t="s">
        <v>12682</v>
      </c>
      <c r="B18" t="s">
        <v>12699</v>
      </c>
    </row>
    <row r="19" spans="1:2" x14ac:dyDescent="0.35">
      <c r="A19" t="s">
        <v>12700</v>
      </c>
      <c r="B19" t="s">
        <v>10712</v>
      </c>
    </row>
    <row r="20" spans="1:2" x14ac:dyDescent="0.35">
      <c r="A20" t="s">
        <v>12678</v>
      </c>
      <c r="B20" t="s">
        <v>12701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85F91-DD7F-48A9-B2C9-07C73C3B9BE6}">
  <dimension ref="A1:B679"/>
  <sheetViews>
    <sheetView topLeftCell="A641" workbookViewId="0">
      <selection activeCell="A679" sqref="A679"/>
    </sheetView>
  </sheetViews>
  <sheetFormatPr defaultRowHeight="14.5" x14ac:dyDescent="0.35"/>
  <sheetData>
    <row r="1" spans="1:2" x14ac:dyDescent="0.35">
      <c r="A1" t="s">
        <v>12662</v>
      </c>
      <c r="B1" t="s">
        <v>11100</v>
      </c>
    </row>
    <row r="2" spans="1:2" x14ac:dyDescent="0.35">
      <c r="A2">
        <v>1</v>
      </c>
      <c r="B2" t="s">
        <v>3653</v>
      </c>
    </row>
    <row r="3" spans="1:2" x14ac:dyDescent="0.35">
      <c r="A3">
        <v>2</v>
      </c>
      <c r="B3" t="s">
        <v>11105</v>
      </c>
    </row>
    <row r="4" spans="1:2" x14ac:dyDescent="0.35">
      <c r="A4">
        <v>3</v>
      </c>
      <c r="B4" t="s">
        <v>11105</v>
      </c>
    </row>
    <row r="5" spans="1:2" x14ac:dyDescent="0.35">
      <c r="A5">
        <v>4</v>
      </c>
      <c r="B5" t="s">
        <v>11105</v>
      </c>
    </row>
    <row r="6" spans="1:2" x14ac:dyDescent="0.35">
      <c r="A6">
        <v>5</v>
      </c>
      <c r="B6" t="s">
        <v>11105</v>
      </c>
    </row>
    <row r="7" spans="1:2" x14ac:dyDescent="0.35">
      <c r="A7">
        <v>6</v>
      </c>
      <c r="B7" t="s">
        <v>11105</v>
      </c>
    </row>
    <row r="8" spans="1:2" x14ac:dyDescent="0.35">
      <c r="A8">
        <v>7</v>
      </c>
      <c r="B8" t="s">
        <v>11105</v>
      </c>
    </row>
    <row r="9" spans="1:2" x14ac:dyDescent="0.35">
      <c r="A9">
        <v>8</v>
      </c>
      <c r="B9" t="s">
        <v>11105</v>
      </c>
    </row>
    <row r="10" spans="1:2" x14ac:dyDescent="0.35">
      <c r="A10">
        <v>9</v>
      </c>
      <c r="B10" t="s">
        <v>11105</v>
      </c>
    </row>
    <row r="11" spans="1:2" x14ac:dyDescent="0.35">
      <c r="A11">
        <v>10</v>
      </c>
      <c r="B11" t="s">
        <v>11106</v>
      </c>
    </row>
    <row r="12" spans="1:2" x14ac:dyDescent="0.35">
      <c r="A12">
        <v>11</v>
      </c>
      <c r="B12" t="s">
        <v>3653</v>
      </c>
    </row>
    <row r="13" spans="1:2" x14ac:dyDescent="0.35">
      <c r="A13">
        <v>12</v>
      </c>
      <c r="B13" t="s">
        <v>11107</v>
      </c>
    </row>
    <row r="14" spans="1:2" x14ac:dyDescent="0.35">
      <c r="A14">
        <v>13</v>
      </c>
      <c r="B14" t="s">
        <v>3653</v>
      </c>
    </row>
    <row r="15" spans="1:2" x14ac:dyDescent="0.35">
      <c r="A15">
        <v>14</v>
      </c>
      <c r="B15" t="s">
        <v>11108</v>
      </c>
    </row>
    <row r="16" spans="1:2" x14ac:dyDescent="0.35">
      <c r="A16">
        <v>15</v>
      </c>
      <c r="B16" t="s">
        <v>11108</v>
      </c>
    </row>
    <row r="17" spans="1:2" x14ac:dyDescent="0.35">
      <c r="A17">
        <v>16</v>
      </c>
      <c r="B17" t="s">
        <v>11109</v>
      </c>
    </row>
    <row r="18" spans="1:2" x14ac:dyDescent="0.35">
      <c r="A18">
        <v>17</v>
      </c>
      <c r="B18" t="s">
        <v>11110</v>
      </c>
    </row>
    <row r="19" spans="1:2" x14ac:dyDescent="0.35">
      <c r="A19">
        <v>18</v>
      </c>
      <c r="B19" t="s">
        <v>11110</v>
      </c>
    </row>
    <row r="20" spans="1:2" x14ac:dyDescent="0.35">
      <c r="A20">
        <v>19</v>
      </c>
      <c r="B20" t="s">
        <v>10038</v>
      </c>
    </row>
    <row r="21" spans="1:2" x14ac:dyDescent="0.35">
      <c r="A21">
        <v>20</v>
      </c>
      <c r="B21" t="s">
        <v>11110</v>
      </c>
    </row>
    <row r="22" spans="1:2" x14ac:dyDescent="0.35">
      <c r="A22">
        <v>21</v>
      </c>
      <c r="B22" t="s">
        <v>10544</v>
      </c>
    </row>
    <row r="23" spans="1:2" x14ac:dyDescent="0.35">
      <c r="A23">
        <v>22</v>
      </c>
      <c r="B23" t="s">
        <v>11111</v>
      </c>
    </row>
    <row r="24" spans="1:2" x14ac:dyDescent="0.35">
      <c r="A24">
        <v>23</v>
      </c>
      <c r="B24" t="s">
        <v>11112</v>
      </c>
    </row>
    <row r="25" spans="1:2" x14ac:dyDescent="0.35">
      <c r="A25">
        <v>24</v>
      </c>
      <c r="B25" t="s">
        <v>11108</v>
      </c>
    </row>
    <row r="26" spans="1:2" x14ac:dyDescent="0.35">
      <c r="A26">
        <v>25</v>
      </c>
      <c r="B26" t="s">
        <v>11113</v>
      </c>
    </row>
    <row r="27" spans="1:2" x14ac:dyDescent="0.35">
      <c r="A27">
        <v>26</v>
      </c>
      <c r="B27" t="s">
        <v>11114</v>
      </c>
    </row>
    <row r="28" spans="1:2" x14ac:dyDescent="0.35">
      <c r="A28">
        <v>27</v>
      </c>
      <c r="B28" t="s">
        <v>10039</v>
      </c>
    </row>
    <row r="29" spans="1:2" x14ac:dyDescent="0.35">
      <c r="A29">
        <v>28</v>
      </c>
      <c r="B29" t="s">
        <v>10498</v>
      </c>
    </row>
    <row r="30" spans="1:2" x14ac:dyDescent="0.35">
      <c r="A30">
        <v>29</v>
      </c>
      <c r="B30" t="s">
        <v>11107</v>
      </c>
    </row>
    <row r="31" spans="1:2" x14ac:dyDescent="0.35">
      <c r="A31">
        <v>30</v>
      </c>
      <c r="B31" t="s">
        <v>10040</v>
      </c>
    </row>
    <row r="32" spans="1:2" x14ac:dyDescent="0.35">
      <c r="A32">
        <v>31</v>
      </c>
      <c r="B32" t="s">
        <v>10505</v>
      </c>
    </row>
    <row r="33" spans="1:2" x14ac:dyDescent="0.35">
      <c r="A33">
        <v>32</v>
      </c>
      <c r="B33" t="s">
        <v>11115</v>
      </c>
    </row>
    <row r="34" spans="1:2" x14ac:dyDescent="0.35">
      <c r="A34">
        <v>33</v>
      </c>
      <c r="B34" t="s">
        <v>11112</v>
      </c>
    </row>
    <row r="35" spans="1:2" x14ac:dyDescent="0.35">
      <c r="A35">
        <v>34</v>
      </c>
      <c r="B35" t="s">
        <v>11106</v>
      </c>
    </row>
    <row r="36" spans="1:2" x14ac:dyDescent="0.35">
      <c r="A36">
        <v>35</v>
      </c>
      <c r="B36" t="s">
        <v>11116</v>
      </c>
    </row>
    <row r="37" spans="1:2" x14ac:dyDescent="0.35">
      <c r="A37">
        <v>36</v>
      </c>
      <c r="B37" t="s">
        <v>11117</v>
      </c>
    </row>
    <row r="38" spans="1:2" x14ac:dyDescent="0.35">
      <c r="A38">
        <v>37</v>
      </c>
      <c r="B38" t="s">
        <v>11118</v>
      </c>
    </row>
    <row r="39" spans="1:2" x14ac:dyDescent="0.35">
      <c r="A39">
        <v>38</v>
      </c>
      <c r="B39" t="s">
        <v>11119</v>
      </c>
    </row>
    <row r="40" spans="1:2" x14ac:dyDescent="0.35">
      <c r="A40">
        <v>39</v>
      </c>
      <c r="B40" t="s">
        <v>11111</v>
      </c>
    </row>
    <row r="41" spans="1:2" x14ac:dyDescent="0.35">
      <c r="A41">
        <v>40</v>
      </c>
      <c r="B41" t="s">
        <v>11120</v>
      </c>
    </row>
    <row r="42" spans="1:2" x14ac:dyDescent="0.35">
      <c r="A42">
        <v>41</v>
      </c>
      <c r="B42" t="s">
        <v>11120</v>
      </c>
    </row>
    <row r="43" spans="1:2" x14ac:dyDescent="0.35">
      <c r="A43">
        <v>42</v>
      </c>
      <c r="B43" t="s">
        <v>11121</v>
      </c>
    </row>
    <row r="44" spans="1:2" x14ac:dyDescent="0.35">
      <c r="A44">
        <v>43</v>
      </c>
      <c r="B44" t="s">
        <v>10511</v>
      </c>
    </row>
    <row r="45" spans="1:2" x14ac:dyDescent="0.35">
      <c r="A45">
        <v>44</v>
      </c>
      <c r="B45" t="s">
        <v>10511</v>
      </c>
    </row>
    <row r="46" spans="1:2" x14ac:dyDescent="0.35">
      <c r="A46">
        <v>45</v>
      </c>
      <c r="B46" t="s">
        <v>11122</v>
      </c>
    </row>
    <row r="47" spans="1:2" x14ac:dyDescent="0.35">
      <c r="A47">
        <v>46</v>
      </c>
      <c r="B47" t="s">
        <v>11123</v>
      </c>
    </row>
    <row r="48" spans="1:2" x14ac:dyDescent="0.35">
      <c r="A48">
        <v>47</v>
      </c>
      <c r="B48" t="s">
        <v>11123</v>
      </c>
    </row>
    <row r="49" spans="1:2" x14ac:dyDescent="0.35">
      <c r="A49">
        <v>48</v>
      </c>
      <c r="B49" t="s">
        <v>11120</v>
      </c>
    </row>
    <row r="50" spans="1:2" x14ac:dyDescent="0.35">
      <c r="A50">
        <v>49</v>
      </c>
      <c r="B50" t="s">
        <v>11124</v>
      </c>
    </row>
    <row r="51" spans="1:2" x14ac:dyDescent="0.35">
      <c r="A51">
        <v>50</v>
      </c>
      <c r="B51" t="s">
        <v>11124</v>
      </c>
    </row>
    <row r="52" spans="1:2" x14ac:dyDescent="0.35">
      <c r="A52">
        <v>51</v>
      </c>
      <c r="B52" t="s">
        <v>11124</v>
      </c>
    </row>
    <row r="53" spans="1:2" x14ac:dyDescent="0.35">
      <c r="A53">
        <v>52</v>
      </c>
      <c r="B53" t="s">
        <v>10511</v>
      </c>
    </row>
    <row r="54" spans="1:2" x14ac:dyDescent="0.35">
      <c r="A54">
        <v>53</v>
      </c>
      <c r="B54" t="s">
        <v>11124</v>
      </c>
    </row>
    <row r="55" spans="1:2" x14ac:dyDescent="0.35">
      <c r="A55">
        <v>54</v>
      </c>
      <c r="B55" t="s">
        <v>11125</v>
      </c>
    </row>
    <row r="56" spans="1:2" x14ac:dyDescent="0.35">
      <c r="A56">
        <v>55</v>
      </c>
      <c r="B56" t="s">
        <v>10042</v>
      </c>
    </row>
    <row r="57" spans="1:2" x14ac:dyDescent="0.35">
      <c r="A57">
        <v>56</v>
      </c>
      <c r="B57" t="s">
        <v>10544</v>
      </c>
    </row>
    <row r="58" spans="1:2" x14ac:dyDescent="0.35">
      <c r="A58">
        <v>57</v>
      </c>
      <c r="B58" t="s">
        <v>10042</v>
      </c>
    </row>
    <row r="59" spans="1:2" x14ac:dyDescent="0.35">
      <c r="A59">
        <v>58</v>
      </c>
      <c r="B59" t="s">
        <v>11126</v>
      </c>
    </row>
    <row r="60" spans="1:2" x14ac:dyDescent="0.35">
      <c r="A60">
        <v>59</v>
      </c>
      <c r="B60" t="s">
        <v>10043</v>
      </c>
    </row>
    <row r="61" spans="1:2" x14ac:dyDescent="0.35">
      <c r="A61">
        <v>60</v>
      </c>
      <c r="B61" t="s">
        <v>11127</v>
      </c>
    </row>
    <row r="62" spans="1:2" x14ac:dyDescent="0.35">
      <c r="A62">
        <v>61</v>
      </c>
      <c r="B62" t="s">
        <v>11128</v>
      </c>
    </row>
    <row r="63" spans="1:2" x14ac:dyDescent="0.35">
      <c r="A63">
        <v>62</v>
      </c>
      <c r="B63" t="s">
        <v>11129</v>
      </c>
    </row>
    <row r="64" spans="1:2" x14ac:dyDescent="0.35">
      <c r="A64">
        <v>63</v>
      </c>
      <c r="B64" t="s">
        <v>10722</v>
      </c>
    </row>
    <row r="65" spans="1:2" x14ac:dyDescent="0.35">
      <c r="A65">
        <v>64</v>
      </c>
      <c r="B65" t="s">
        <v>11112</v>
      </c>
    </row>
    <row r="66" spans="1:2" x14ac:dyDescent="0.35">
      <c r="A66">
        <v>65</v>
      </c>
      <c r="B66" t="s">
        <v>11130</v>
      </c>
    </row>
    <row r="67" spans="1:2" x14ac:dyDescent="0.35">
      <c r="A67">
        <v>66</v>
      </c>
      <c r="B67" t="s">
        <v>10038</v>
      </c>
    </row>
    <row r="68" spans="1:2" x14ac:dyDescent="0.35">
      <c r="A68">
        <v>67</v>
      </c>
      <c r="B68" t="s">
        <v>11131</v>
      </c>
    </row>
    <row r="69" spans="1:2" x14ac:dyDescent="0.35">
      <c r="A69">
        <v>68</v>
      </c>
      <c r="B69" t="s">
        <v>11132</v>
      </c>
    </row>
    <row r="70" spans="1:2" x14ac:dyDescent="0.35">
      <c r="A70">
        <v>69</v>
      </c>
      <c r="B70" t="s">
        <v>10038</v>
      </c>
    </row>
    <row r="71" spans="1:2" x14ac:dyDescent="0.35">
      <c r="A71">
        <v>70</v>
      </c>
      <c r="B71" t="s">
        <v>11122</v>
      </c>
    </row>
    <row r="72" spans="1:2" x14ac:dyDescent="0.35">
      <c r="A72">
        <v>71</v>
      </c>
      <c r="B72" t="s">
        <v>11133</v>
      </c>
    </row>
    <row r="73" spans="1:2" x14ac:dyDescent="0.35">
      <c r="A73">
        <v>72</v>
      </c>
      <c r="B73" t="s">
        <v>11134</v>
      </c>
    </row>
    <row r="74" spans="1:2" x14ac:dyDescent="0.35">
      <c r="A74">
        <v>73</v>
      </c>
      <c r="B74" t="s">
        <v>11124</v>
      </c>
    </row>
    <row r="75" spans="1:2" x14ac:dyDescent="0.35">
      <c r="A75">
        <v>74</v>
      </c>
      <c r="B75" t="s">
        <v>10511</v>
      </c>
    </row>
    <row r="76" spans="1:2" x14ac:dyDescent="0.35">
      <c r="A76">
        <v>75</v>
      </c>
      <c r="B76" t="s">
        <v>11135</v>
      </c>
    </row>
    <row r="77" spans="1:2" x14ac:dyDescent="0.35">
      <c r="A77">
        <v>76</v>
      </c>
      <c r="B77" t="s">
        <v>10718</v>
      </c>
    </row>
    <row r="78" spans="1:2" x14ac:dyDescent="0.35">
      <c r="A78">
        <v>77</v>
      </c>
      <c r="B78" t="s">
        <v>10722</v>
      </c>
    </row>
    <row r="79" spans="1:2" x14ac:dyDescent="0.35">
      <c r="A79">
        <v>78</v>
      </c>
      <c r="B79" t="s">
        <v>10722</v>
      </c>
    </row>
    <row r="80" spans="1:2" x14ac:dyDescent="0.35">
      <c r="A80">
        <v>79</v>
      </c>
      <c r="B80" t="s">
        <v>10722</v>
      </c>
    </row>
    <row r="81" spans="1:2" x14ac:dyDescent="0.35">
      <c r="A81">
        <v>80</v>
      </c>
      <c r="B81" t="s">
        <v>10722</v>
      </c>
    </row>
    <row r="82" spans="1:2" x14ac:dyDescent="0.35">
      <c r="A82">
        <v>81</v>
      </c>
      <c r="B82" t="s">
        <v>10722</v>
      </c>
    </row>
    <row r="83" spans="1:2" x14ac:dyDescent="0.35">
      <c r="A83">
        <v>82</v>
      </c>
      <c r="B83" t="s">
        <v>10722</v>
      </c>
    </row>
    <row r="84" spans="1:2" x14ac:dyDescent="0.35">
      <c r="A84">
        <v>83</v>
      </c>
      <c r="B84" t="s">
        <v>10722</v>
      </c>
    </row>
    <row r="85" spans="1:2" x14ac:dyDescent="0.35">
      <c r="A85">
        <v>84</v>
      </c>
      <c r="B85" t="s">
        <v>10722</v>
      </c>
    </row>
    <row r="86" spans="1:2" x14ac:dyDescent="0.35">
      <c r="A86">
        <v>85</v>
      </c>
      <c r="B86" t="s">
        <v>11136</v>
      </c>
    </row>
    <row r="87" spans="1:2" x14ac:dyDescent="0.35">
      <c r="A87">
        <v>86</v>
      </c>
      <c r="B87" t="s">
        <v>11107</v>
      </c>
    </row>
    <row r="88" spans="1:2" x14ac:dyDescent="0.35">
      <c r="A88">
        <v>87</v>
      </c>
      <c r="B88" t="s">
        <v>11137</v>
      </c>
    </row>
    <row r="89" spans="1:2" x14ac:dyDescent="0.35">
      <c r="A89">
        <v>88</v>
      </c>
      <c r="B89" t="s">
        <v>10751</v>
      </c>
    </row>
    <row r="90" spans="1:2" x14ac:dyDescent="0.35">
      <c r="A90">
        <v>89</v>
      </c>
      <c r="B90" t="s">
        <v>11103</v>
      </c>
    </row>
    <row r="91" spans="1:2" x14ac:dyDescent="0.35">
      <c r="A91">
        <v>90</v>
      </c>
      <c r="B91" t="s">
        <v>11123</v>
      </c>
    </row>
    <row r="92" spans="1:2" x14ac:dyDescent="0.35">
      <c r="A92">
        <v>91</v>
      </c>
      <c r="B92" t="s">
        <v>11112</v>
      </c>
    </row>
    <row r="93" spans="1:2" x14ac:dyDescent="0.35">
      <c r="A93">
        <v>92</v>
      </c>
      <c r="B93" t="s">
        <v>11138</v>
      </c>
    </row>
    <row r="94" spans="1:2" x14ac:dyDescent="0.35">
      <c r="A94">
        <v>93</v>
      </c>
      <c r="B94" t="s">
        <v>11122</v>
      </c>
    </row>
    <row r="95" spans="1:2" x14ac:dyDescent="0.35">
      <c r="A95">
        <v>94</v>
      </c>
      <c r="B95" t="s">
        <v>12705</v>
      </c>
    </row>
    <row r="96" spans="1:2" x14ac:dyDescent="0.35">
      <c r="A96">
        <v>95</v>
      </c>
      <c r="B96" t="s">
        <v>11139</v>
      </c>
    </row>
    <row r="97" spans="1:2" x14ac:dyDescent="0.35">
      <c r="A97">
        <v>96</v>
      </c>
      <c r="B97" t="s">
        <v>11139</v>
      </c>
    </row>
    <row r="98" spans="1:2" x14ac:dyDescent="0.35">
      <c r="A98">
        <v>97</v>
      </c>
      <c r="B98" t="s">
        <v>12705</v>
      </c>
    </row>
    <row r="99" spans="1:2" x14ac:dyDescent="0.35">
      <c r="A99">
        <v>98</v>
      </c>
      <c r="B99" t="s">
        <v>11140</v>
      </c>
    </row>
    <row r="100" spans="1:2" x14ac:dyDescent="0.35">
      <c r="A100">
        <v>99</v>
      </c>
      <c r="B100" t="s">
        <v>12705</v>
      </c>
    </row>
    <row r="101" spans="1:2" x14ac:dyDescent="0.35">
      <c r="A101">
        <v>100</v>
      </c>
      <c r="B101" t="s">
        <v>11140</v>
      </c>
    </row>
    <row r="102" spans="1:2" x14ac:dyDescent="0.35">
      <c r="A102">
        <v>101</v>
      </c>
      <c r="B102" t="s">
        <v>12706</v>
      </c>
    </row>
    <row r="103" spans="1:2" x14ac:dyDescent="0.35">
      <c r="A103">
        <v>102</v>
      </c>
      <c r="B103" t="s">
        <v>12706</v>
      </c>
    </row>
    <row r="104" spans="1:2" x14ac:dyDescent="0.35">
      <c r="A104">
        <v>103</v>
      </c>
      <c r="B104" t="s">
        <v>12707</v>
      </c>
    </row>
    <row r="105" spans="1:2" x14ac:dyDescent="0.35">
      <c r="A105">
        <v>104</v>
      </c>
      <c r="B105" t="s">
        <v>10066</v>
      </c>
    </row>
    <row r="106" spans="1:2" x14ac:dyDescent="0.35">
      <c r="A106">
        <v>105</v>
      </c>
      <c r="B106" t="s">
        <v>9678</v>
      </c>
    </row>
    <row r="107" spans="1:2" x14ac:dyDescent="0.35">
      <c r="A107">
        <v>106</v>
      </c>
      <c r="B107" t="s">
        <v>11141</v>
      </c>
    </row>
    <row r="108" spans="1:2" x14ac:dyDescent="0.35">
      <c r="A108">
        <v>107</v>
      </c>
      <c r="B108" t="s">
        <v>10751</v>
      </c>
    </row>
    <row r="109" spans="1:2" x14ac:dyDescent="0.35">
      <c r="A109">
        <v>108</v>
      </c>
      <c r="B109" t="s">
        <v>11112</v>
      </c>
    </row>
    <row r="110" spans="1:2" x14ac:dyDescent="0.35">
      <c r="A110">
        <v>109</v>
      </c>
      <c r="B110" t="s">
        <v>10896</v>
      </c>
    </row>
    <row r="111" spans="1:2" x14ac:dyDescent="0.35">
      <c r="A111">
        <v>110</v>
      </c>
      <c r="B111" t="s">
        <v>10896</v>
      </c>
    </row>
    <row r="112" spans="1:2" x14ac:dyDescent="0.35">
      <c r="A112">
        <v>111</v>
      </c>
      <c r="B112" t="s">
        <v>11142</v>
      </c>
    </row>
    <row r="113" spans="1:2" x14ac:dyDescent="0.35">
      <c r="A113">
        <v>112</v>
      </c>
      <c r="B113" t="s">
        <v>11143</v>
      </c>
    </row>
    <row r="114" spans="1:2" x14ac:dyDescent="0.35">
      <c r="A114">
        <v>113</v>
      </c>
      <c r="B114" t="s">
        <v>10896</v>
      </c>
    </row>
    <row r="115" spans="1:2" x14ac:dyDescent="0.35">
      <c r="A115">
        <v>114</v>
      </c>
      <c r="B115" t="s">
        <v>11144</v>
      </c>
    </row>
    <row r="116" spans="1:2" x14ac:dyDescent="0.35">
      <c r="A116">
        <v>115</v>
      </c>
      <c r="B116" t="s">
        <v>11145</v>
      </c>
    </row>
    <row r="117" spans="1:2" x14ac:dyDescent="0.35">
      <c r="A117">
        <v>116</v>
      </c>
      <c r="B117" t="s">
        <v>11107</v>
      </c>
    </row>
    <row r="118" spans="1:2" x14ac:dyDescent="0.35">
      <c r="A118">
        <v>117</v>
      </c>
      <c r="B118" t="s">
        <v>11117</v>
      </c>
    </row>
    <row r="119" spans="1:2" x14ac:dyDescent="0.35">
      <c r="A119">
        <v>118</v>
      </c>
      <c r="B119" t="s">
        <v>11112</v>
      </c>
    </row>
    <row r="120" spans="1:2" x14ac:dyDescent="0.35">
      <c r="A120">
        <v>119</v>
      </c>
      <c r="B120" t="s">
        <v>12708</v>
      </c>
    </row>
    <row r="121" spans="1:2" x14ac:dyDescent="0.35">
      <c r="A121">
        <v>120</v>
      </c>
      <c r="B121" t="s">
        <v>12708</v>
      </c>
    </row>
    <row r="122" spans="1:2" x14ac:dyDescent="0.35">
      <c r="A122">
        <v>121</v>
      </c>
      <c r="B122" t="s">
        <v>10047</v>
      </c>
    </row>
    <row r="123" spans="1:2" x14ac:dyDescent="0.35">
      <c r="A123">
        <v>122</v>
      </c>
      <c r="B123" t="s">
        <v>11120</v>
      </c>
    </row>
    <row r="124" spans="1:2" x14ac:dyDescent="0.35">
      <c r="A124">
        <v>123</v>
      </c>
      <c r="B124" t="s">
        <v>11112</v>
      </c>
    </row>
    <row r="125" spans="1:2" x14ac:dyDescent="0.35">
      <c r="A125">
        <v>124</v>
      </c>
      <c r="B125" t="s">
        <v>11125</v>
      </c>
    </row>
    <row r="126" spans="1:2" x14ac:dyDescent="0.35">
      <c r="A126">
        <v>125</v>
      </c>
      <c r="B126" t="s">
        <v>11112</v>
      </c>
    </row>
    <row r="127" spans="1:2" x14ac:dyDescent="0.35">
      <c r="A127">
        <v>126</v>
      </c>
      <c r="B127" t="s">
        <v>10896</v>
      </c>
    </row>
    <row r="128" spans="1:2" x14ac:dyDescent="0.35">
      <c r="A128">
        <v>127</v>
      </c>
      <c r="B128" t="s">
        <v>10719</v>
      </c>
    </row>
    <row r="129" spans="1:2" x14ac:dyDescent="0.35">
      <c r="A129">
        <v>128</v>
      </c>
      <c r="B129" t="s">
        <v>11112</v>
      </c>
    </row>
    <row r="130" spans="1:2" x14ac:dyDescent="0.35">
      <c r="A130">
        <v>129</v>
      </c>
      <c r="B130" t="s">
        <v>10924</v>
      </c>
    </row>
    <row r="131" spans="1:2" x14ac:dyDescent="0.35">
      <c r="A131">
        <v>130</v>
      </c>
      <c r="B131" t="s">
        <v>10719</v>
      </c>
    </row>
    <row r="132" spans="1:2" x14ac:dyDescent="0.35">
      <c r="A132">
        <v>131</v>
      </c>
      <c r="B132" t="s">
        <v>11112</v>
      </c>
    </row>
    <row r="133" spans="1:2" x14ac:dyDescent="0.35">
      <c r="A133">
        <v>132</v>
      </c>
      <c r="B133" t="s">
        <v>11146</v>
      </c>
    </row>
    <row r="134" spans="1:2" x14ac:dyDescent="0.35">
      <c r="A134">
        <v>133</v>
      </c>
      <c r="B134" t="s">
        <v>11104</v>
      </c>
    </row>
    <row r="135" spans="1:2" x14ac:dyDescent="0.35">
      <c r="A135">
        <v>134</v>
      </c>
      <c r="B135" t="s">
        <v>11112</v>
      </c>
    </row>
    <row r="136" spans="1:2" x14ac:dyDescent="0.35">
      <c r="A136">
        <v>135</v>
      </c>
      <c r="B136" t="s">
        <v>11147</v>
      </c>
    </row>
    <row r="137" spans="1:2" x14ac:dyDescent="0.35">
      <c r="A137">
        <v>136</v>
      </c>
      <c r="B137" t="s">
        <v>10719</v>
      </c>
    </row>
    <row r="138" spans="1:2" x14ac:dyDescent="0.35">
      <c r="A138">
        <v>137</v>
      </c>
      <c r="B138" t="s">
        <v>11148</v>
      </c>
    </row>
    <row r="139" spans="1:2" x14ac:dyDescent="0.35">
      <c r="A139">
        <v>138</v>
      </c>
      <c r="B139" t="s">
        <v>12709</v>
      </c>
    </row>
    <row r="140" spans="1:2" x14ac:dyDescent="0.35">
      <c r="A140">
        <v>139</v>
      </c>
      <c r="B140" t="s">
        <v>10719</v>
      </c>
    </row>
    <row r="141" spans="1:2" x14ac:dyDescent="0.35">
      <c r="A141">
        <v>140</v>
      </c>
      <c r="B141" t="s">
        <v>11149</v>
      </c>
    </row>
    <row r="142" spans="1:2" x14ac:dyDescent="0.35">
      <c r="A142">
        <v>141</v>
      </c>
      <c r="B142" t="s">
        <v>11112</v>
      </c>
    </row>
    <row r="143" spans="1:2" x14ac:dyDescent="0.35">
      <c r="A143">
        <v>142</v>
      </c>
      <c r="B143" t="s">
        <v>11150</v>
      </c>
    </row>
    <row r="144" spans="1:2" x14ac:dyDescent="0.35">
      <c r="A144">
        <v>143</v>
      </c>
      <c r="B144" t="s">
        <v>10719</v>
      </c>
    </row>
    <row r="145" spans="1:2" x14ac:dyDescent="0.35">
      <c r="A145">
        <v>144</v>
      </c>
      <c r="B145" t="s">
        <v>11112</v>
      </c>
    </row>
    <row r="146" spans="1:2" x14ac:dyDescent="0.35">
      <c r="A146">
        <v>145</v>
      </c>
      <c r="B146" t="s">
        <v>11151</v>
      </c>
    </row>
    <row r="147" spans="1:2" x14ac:dyDescent="0.35">
      <c r="A147">
        <v>146</v>
      </c>
      <c r="B147" t="s">
        <v>12709</v>
      </c>
    </row>
    <row r="148" spans="1:2" x14ac:dyDescent="0.35">
      <c r="A148">
        <v>147</v>
      </c>
      <c r="B148" t="s">
        <v>10719</v>
      </c>
    </row>
    <row r="149" spans="1:2" x14ac:dyDescent="0.35">
      <c r="A149">
        <v>148</v>
      </c>
      <c r="B149" t="s">
        <v>11112</v>
      </c>
    </row>
    <row r="150" spans="1:2" x14ac:dyDescent="0.35">
      <c r="A150">
        <v>149</v>
      </c>
      <c r="B150" t="s">
        <v>11152</v>
      </c>
    </row>
    <row r="151" spans="1:2" x14ac:dyDescent="0.35">
      <c r="A151">
        <v>150</v>
      </c>
      <c r="B151" t="s">
        <v>12709</v>
      </c>
    </row>
    <row r="152" spans="1:2" x14ac:dyDescent="0.35">
      <c r="A152">
        <v>151</v>
      </c>
      <c r="B152" t="s">
        <v>11112</v>
      </c>
    </row>
    <row r="153" spans="1:2" x14ac:dyDescent="0.35">
      <c r="A153">
        <v>152</v>
      </c>
      <c r="B153" t="s">
        <v>11153</v>
      </c>
    </row>
    <row r="154" spans="1:2" x14ac:dyDescent="0.35">
      <c r="A154">
        <v>153</v>
      </c>
      <c r="B154" t="s">
        <v>10719</v>
      </c>
    </row>
    <row r="155" spans="1:2" x14ac:dyDescent="0.35">
      <c r="A155">
        <v>154</v>
      </c>
      <c r="B155" t="s">
        <v>11112</v>
      </c>
    </row>
    <row r="156" spans="1:2" x14ac:dyDescent="0.35">
      <c r="A156">
        <v>155</v>
      </c>
      <c r="B156" t="s">
        <v>11149</v>
      </c>
    </row>
    <row r="157" spans="1:2" x14ac:dyDescent="0.35">
      <c r="A157">
        <v>156</v>
      </c>
      <c r="B157" t="s">
        <v>10050</v>
      </c>
    </row>
    <row r="158" spans="1:2" x14ac:dyDescent="0.35">
      <c r="A158">
        <v>157</v>
      </c>
      <c r="B158" t="s">
        <v>10050</v>
      </c>
    </row>
    <row r="159" spans="1:2" x14ac:dyDescent="0.35">
      <c r="A159">
        <v>158</v>
      </c>
      <c r="B159" t="s">
        <v>11112</v>
      </c>
    </row>
    <row r="160" spans="1:2" x14ac:dyDescent="0.35">
      <c r="A160">
        <v>159</v>
      </c>
      <c r="B160" t="s">
        <v>10966</v>
      </c>
    </row>
    <row r="161" spans="1:2" x14ac:dyDescent="0.35">
      <c r="A161">
        <v>160</v>
      </c>
      <c r="B161" t="s">
        <v>11154</v>
      </c>
    </row>
    <row r="162" spans="1:2" x14ac:dyDescent="0.35">
      <c r="A162">
        <v>161</v>
      </c>
      <c r="B162" t="s">
        <v>11112</v>
      </c>
    </row>
    <row r="163" spans="1:2" x14ac:dyDescent="0.35">
      <c r="A163">
        <v>162</v>
      </c>
      <c r="B163" t="s">
        <v>11112</v>
      </c>
    </row>
    <row r="164" spans="1:2" x14ac:dyDescent="0.35">
      <c r="A164">
        <v>163</v>
      </c>
      <c r="B164" t="s">
        <v>11155</v>
      </c>
    </row>
    <row r="165" spans="1:2" x14ac:dyDescent="0.35">
      <c r="A165">
        <v>164</v>
      </c>
      <c r="B165" t="s">
        <v>11156</v>
      </c>
    </row>
    <row r="166" spans="1:2" x14ac:dyDescent="0.35">
      <c r="A166">
        <v>165</v>
      </c>
      <c r="B166" t="s">
        <v>10505</v>
      </c>
    </row>
    <row r="167" spans="1:2" x14ac:dyDescent="0.35">
      <c r="A167">
        <v>166</v>
      </c>
      <c r="B167" t="s">
        <v>11112</v>
      </c>
    </row>
    <row r="168" spans="1:2" x14ac:dyDescent="0.35">
      <c r="A168">
        <v>167</v>
      </c>
      <c r="B168" t="s">
        <v>10505</v>
      </c>
    </row>
    <row r="169" spans="1:2" x14ac:dyDescent="0.35">
      <c r="A169">
        <v>168</v>
      </c>
      <c r="B169" t="s">
        <v>11157</v>
      </c>
    </row>
    <row r="170" spans="1:2" x14ac:dyDescent="0.35">
      <c r="A170">
        <v>169</v>
      </c>
      <c r="B170" t="s">
        <v>11158</v>
      </c>
    </row>
    <row r="171" spans="1:2" x14ac:dyDescent="0.35">
      <c r="A171">
        <v>170</v>
      </c>
      <c r="B171" t="s">
        <v>11159</v>
      </c>
    </row>
    <row r="172" spans="1:2" x14ac:dyDescent="0.35">
      <c r="A172">
        <v>171</v>
      </c>
      <c r="B172" t="s">
        <v>11160</v>
      </c>
    </row>
    <row r="173" spans="1:2" x14ac:dyDescent="0.35">
      <c r="A173">
        <v>172</v>
      </c>
      <c r="B173" t="s">
        <v>11159</v>
      </c>
    </row>
    <row r="174" spans="1:2" x14ac:dyDescent="0.35">
      <c r="A174">
        <v>173</v>
      </c>
      <c r="B174" t="s">
        <v>11495</v>
      </c>
    </row>
    <row r="175" spans="1:2" x14ac:dyDescent="0.35">
      <c r="A175">
        <v>174</v>
      </c>
      <c r="B175" t="s">
        <v>11112</v>
      </c>
    </row>
    <row r="176" spans="1:2" x14ac:dyDescent="0.35">
      <c r="A176">
        <v>175</v>
      </c>
      <c r="B176" t="s">
        <v>11112</v>
      </c>
    </row>
    <row r="177" spans="1:2" x14ac:dyDescent="0.35">
      <c r="A177">
        <v>176</v>
      </c>
      <c r="B177" t="s">
        <v>11112</v>
      </c>
    </row>
    <row r="178" spans="1:2" x14ac:dyDescent="0.35">
      <c r="A178">
        <v>177</v>
      </c>
      <c r="B178" t="s">
        <v>10986</v>
      </c>
    </row>
    <row r="179" spans="1:2" x14ac:dyDescent="0.35">
      <c r="A179">
        <v>178</v>
      </c>
      <c r="B179" t="s">
        <v>11161</v>
      </c>
    </row>
    <row r="180" spans="1:2" x14ac:dyDescent="0.35">
      <c r="A180">
        <v>179</v>
      </c>
      <c r="B180" t="s">
        <v>11112</v>
      </c>
    </row>
    <row r="181" spans="1:2" x14ac:dyDescent="0.35">
      <c r="A181">
        <v>180</v>
      </c>
      <c r="B181" t="s">
        <v>11122</v>
      </c>
    </row>
    <row r="182" spans="1:2" x14ac:dyDescent="0.35">
      <c r="A182">
        <v>181</v>
      </c>
      <c r="B182" t="s">
        <v>11162</v>
      </c>
    </row>
    <row r="183" spans="1:2" x14ac:dyDescent="0.35">
      <c r="A183">
        <v>182</v>
      </c>
      <c r="B183" t="s">
        <v>11163</v>
      </c>
    </row>
    <row r="184" spans="1:2" x14ac:dyDescent="0.35">
      <c r="A184">
        <v>183</v>
      </c>
      <c r="B184" t="s">
        <v>11164</v>
      </c>
    </row>
    <row r="185" spans="1:2" x14ac:dyDescent="0.35">
      <c r="A185">
        <v>184</v>
      </c>
      <c r="B185" t="s">
        <v>11164</v>
      </c>
    </row>
    <row r="186" spans="1:2" x14ac:dyDescent="0.35">
      <c r="A186">
        <v>185</v>
      </c>
      <c r="B186" t="s">
        <v>11164</v>
      </c>
    </row>
    <row r="187" spans="1:2" x14ac:dyDescent="0.35">
      <c r="A187">
        <v>186</v>
      </c>
      <c r="B187" t="s">
        <v>11120</v>
      </c>
    </row>
    <row r="188" spans="1:2" x14ac:dyDescent="0.35">
      <c r="A188">
        <v>187</v>
      </c>
      <c r="B188" t="s">
        <v>10052</v>
      </c>
    </row>
    <row r="189" spans="1:2" x14ac:dyDescent="0.35">
      <c r="A189">
        <v>188</v>
      </c>
      <c r="B189" t="s">
        <v>10511</v>
      </c>
    </row>
    <row r="190" spans="1:2" x14ac:dyDescent="0.35">
      <c r="A190">
        <v>189</v>
      </c>
      <c r="B190" t="s">
        <v>11112</v>
      </c>
    </row>
    <row r="191" spans="1:2" x14ac:dyDescent="0.35">
      <c r="A191">
        <v>190</v>
      </c>
      <c r="B191" t="s">
        <v>10752</v>
      </c>
    </row>
    <row r="192" spans="1:2" x14ac:dyDescent="0.35">
      <c r="A192">
        <v>191</v>
      </c>
      <c r="B192" t="s">
        <v>10048</v>
      </c>
    </row>
    <row r="193" spans="1:2" x14ac:dyDescent="0.35">
      <c r="A193">
        <v>192</v>
      </c>
      <c r="B193" t="s">
        <v>10053</v>
      </c>
    </row>
    <row r="194" spans="1:2" x14ac:dyDescent="0.35">
      <c r="A194">
        <v>193</v>
      </c>
      <c r="B194" t="s">
        <v>11002</v>
      </c>
    </row>
    <row r="195" spans="1:2" x14ac:dyDescent="0.35">
      <c r="A195">
        <v>194</v>
      </c>
      <c r="B195" t="s">
        <v>10049</v>
      </c>
    </row>
    <row r="196" spans="1:2" x14ac:dyDescent="0.35">
      <c r="A196">
        <v>195</v>
      </c>
      <c r="B196" t="s">
        <v>11112</v>
      </c>
    </row>
    <row r="197" spans="1:2" x14ac:dyDescent="0.35">
      <c r="A197">
        <v>196</v>
      </c>
      <c r="B197" t="s">
        <v>11165</v>
      </c>
    </row>
    <row r="198" spans="1:2" x14ac:dyDescent="0.35">
      <c r="A198">
        <v>197</v>
      </c>
      <c r="B198" t="s">
        <v>11166</v>
      </c>
    </row>
    <row r="199" spans="1:2" x14ac:dyDescent="0.35">
      <c r="A199">
        <v>198</v>
      </c>
      <c r="B199" t="s">
        <v>11167</v>
      </c>
    </row>
    <row r="200" spans="1:2" x14ac:dyDescent="0.35">
      <c r="A200">
        <v>199</v>
      </c>
      <c r="B200" t="s">
        <v>11168</v>
      </c>
    </row>
    <row r="201" spans="1:2" x14ac:dyDescent="0.35">
      <c r="A201">
        <v>200</v>
      </c>
      <c r="B201" t="s">
        <v>11125</v>
      </c>
    </row>
    <row r="202" spans="1:2" x14ac:dyDescent="0.35">
      <c r="A202">
        <v>201</v>
      </c>
      <c r="B202" t="s">
        <v>11122</v>
      </c>
    </row>
    <row r="203" spans="1:2" x14ac:dyDescent="0.35">
      <c r="A203">
        <v>202</v>
      </c>
      <c r="B203" t="s">
        <v>11169</v>
      </c>
    </row>
    <row r="204" spans="1:2" x14ac:dyDescent="0.35">
      <c r="A204">
        <v>203</v>
      </c>
      <c r="B204" t="s">
        <v>10055</v>
      </c>
    </row>
    <row r="205" spans="1:2" x14ac:dyDescent="0.35">
      <c r="A205">
        <v>204</v>
      </c>
      <c r="B205" t="s">
        <v>11112</v>
      </c>
    </row>
    <row r="206" spans="1:2" x14ac:dyDescent="0.35">
      <c r="A206">
        <v>205</v>
      </c>
      <c r="B206" t="s">
        <v>11170</v>
      </c>
    </row>
    <row r="207" spans="1:2" x14ac:dyDescent="0.35">
      <c r="A207">
        <v>206</v>
      </c>
      <c r="B207" t="s">
        <v>11171</v>
      </c>
    </row>
    <row r="208" spans="1:2" x14ac:dyDescent="0.35">
      <c r="A208">
        <v>207</v>
      </c>
      <c r="B208" t="s">
        <v>11164</v>
      </c>
    </row>
    <row r="209" spans="1:2" x14ac:dyDescent="0.35">
      <c r="A209">
        <v>208</v>
      </c>
      <c r="B209" t="s">
        <v>11164</v>
      </c>
    </row>
    <row r="210" spans="1:2" x14ac:dyDescent="0.35">
      <c r="A210">
        <v>209</v>
      </c>
      <c r="B210" t="s">
        <v>11164</v>
      </c>
    </row>
    <row r="211" spans="1:2" x14ac:dyDescent="0.35">
      <c r="A211">
        <v>210</v>
      </c>
      <c r="B211" t="s">
        <v>11164</v>
      </c>
    </row>
    <row r="212" spans="1:2" x14ac:dyDescent="0.35">
      <c r="A212">
        <v>211</v>
      </c>
      <c r="B212" t="s">
        <v>11164</v>
      </c>
    </row>
    <row r="213" spans="1:2" x14ac:dyDescent="0.35">
      <c r="A213">
        <v>212</v>
      </c>
      <c r="B213" t="s">
        <v>11164</v>
      </c>
    </row>
    <row r="214" spans="1:2" x14ac:dyDescent="0.35">
      <c r="A214">
        <v>213</v>
      </c>
      <c r="B214" t="s">
        <v>11164</v>
      </c>
    </row>
    <row r="215" spans="1:2" x14ac:dyDescent="0.35">
      <c r="A215">
        <v>214</v>
      </c>
      <c r="B215" t="s">
        <v>11172</v>
      </c>
    </row>
    <row r="216" spans="1:2" x14ac:dyDescent="0.35">
      <c r="A216">
        <v>215</v>
      </c>
      <c r="B216" t="s">
        <v>11139</v>
      </c>
    </row>
    <row r="217" spans="1:2" x14ac:dyDescent="0.35">
      <c r="A217">
        <v>216</v>
      </c>
      <c r="B217" t="s">
        <v>11164</v>
      </c>
    </row>
    <row r="218" spans="1:2" x14ac:dyDescent="0.35">
      <c r="A218">
        <v>217</v>
      </c>
      <c r="B218" t="s">
        <v>11164</v>
      </c>
    </row>
    <row r="219" spans="1:2" x14ac:dyDescent="0.35">
      <c r="A219">
        <v>218</v>
      </c>
      <c r="B219" t="s">
        <v>11164</v>
      </c>
    </row>
    <row r="220" spans="1:2" x14ac:dyDescent="0.35">
      <c r="A220">
        <v>219</v>
      </c>
      <c r="B220" t="s">
        <v>11164</v>
      </c>
    </row>
    <row r="221" spans="1:2" x14ac:dyDescent="0.35">
      <c r="A221">
        <v>220</v>
      </c>
      <c r="B221" t="s">
        <v>11164</v>
      </c>
    </row>
    <row r="222" spans="1:2" x14ac:dyDescent="0.35">
      <c r="A222">
        <v>221</v>
      </c>
      <c r="B222" t="s">
        <v>11164</v>
      </c>
    </row>
    <row r="223" spans="1:2" x14ac:dyDescent="0.35">
      <c r="A223">
        <v>222</v>
      </c>
      <c r="B223" t="s">
        <v>11164</v>
      </c>
    </row>
    <row r="224" spans="1:2" x14ac:dyDescent="0.35">
      <c r="A224">
        <v>223</v>
      </c>
      <c r="B224" t="s">
        <v>11164</v>
      </c>
    </row>
    <row r="225" spans="1:2" x14ac:dyDescent="0.35">
      <c r="A225">
        <v>224</v>
      </c>
      <c r="B225" t="s">
        <v>11164</v>
      </c>
    </row>
    <row r="226" spans="1:2" x14ac:dyDescent="0.35">
      <c r="A226">
        <v>225</v>
      </c>
      <c r="B226" t="s">
        <v>11164</v>
      </c>
    </row>
    <row r="227" spans="1:2" x14ac:dyDescent="0.35">
      <c r="A227">
        <v>226</v>
      </c>
      <c r="B227" t="s">
        <v>11164</v>
      </c>
    </row>
    <row r="228" spans="1:2" x14ac:dyDescent="0.35">
      <c r="A228">
        <v>227</v>
      </c>
      <c r="B228" t="s">
        <v>11164</v>
      </c>
    </row>
    <row r="229" spans="1:2" x14ac:dyDescent="0.35">
      <c r="A229">
        <v>228</v>
      </c>
      <c r="B229" t="s">
        <v>11164</v>
      </c>
    </row>
    <row r="230" spans="1:2" x14ac:dyDescent="0.35">
      <c r="A230">
        <v>229</v>
      </c>
      <c r="B230" t="s">
        <v>11164</v>
      </c>
    </row>
    <row r="231" spans="1:2" x14ac:dyDescent="0.35">
      <c r="A231">
        <v>230</v>
      </c>
      <c r="B231" t="s">
        <v>11164</v>
      </c>
    </row>
    <row r="232" spans="1:2" x14ac:dyDescent="0.35">
      <c r="A232">
        <v>231</v>
      </c>
      <c r="B232" t="s">
        <v>11164</v>
      </c>
    </row>
    <row r="233" spans="1:2" x14ac:dyDescent="0.35">
      <c r="A233">
        <v>232</v>
      </c>
      <c r="B233" t="s">
        <v>11164</v>
      </c>
    </row>
    <row r="234" spans="1:2" x14ac:dyDescent="0.35">
      <c r="A234">
        <v>233</v>
      </c>
      <c r="B234" t="s">
        <v>11164</v>
      </c>
    </row>
    <row r="235" spans="1:2" x14ac:dyDescent="0.35">
      <c r="A235">
        <v>234</v>
      </c>
      <c r="B235" t="s">
        <v>11164</v>
      </c>
    </row>
    <row r="236" spans="1:2" x14ac:dyDescent="0.35">
      <c r="A236">
        <v>235</v>
      </c>
      <c r="B236" t="s">
        <v>11164</v>
      </c>
    </row>
    <row r="237" spans="1:2" x14ac:dyDescent="0.35">
      <c r="A237">
        <v>236</v>
      </c>
      <c r="B237" t="s">
        <v>10139</v>
      </c>
    </row>
    <row r="238" spans="1:2" x14ac:dyDescent="0.35">
      <c r="A238">
        <v>237</v>
      </c>
      <c r="B238" t="s">
        <v>11173</v>
      </c>
    </row>
    <row r="239" spans="1:2" x14ac:dyDescent="0.35">
      <c r="A239">
        <v>238</v>
      </c>
      <c r="B239" t="s">
        <v>11174</v>
      </c>
    </row>
    <row r="240" spans="1:2" x14ac:dyDescent="0.35">
      <c r="A240">
        <v>239</v>
      </c>
      <c r="B240" t="s">
        <v>10256</v>
      </c>
    </row>
    <row r="241" spans="1:2" x14ac:dyDescent="0.35">
      <c r="A241">
        <v>240</v>
      </c>
      <c r="B241" t="s">
        <v>11175</v>
      </c>
    </row>
    <row r="242" spans="1:2" x14ac:dyDescent="0.35">
      <c r="A242">
        <v>241</v>
      </c>
      <c r="B242" t="s">
        <v>11176</v>
      </c>
    </row>
    <row r="243" spans="1:2" x14ac:dyDescent="0.35">
      <c r="A243">
        <v>242</v>
      </c>
      <c r="B243" t="s">
        <v>11177</v>
      </c>
    </row>
    <row r="244" spans="1:2" x14ac:dyDescent="0.35">
      <c r="A244">
        <v>243</v>
      </c>
      <c r="B244" t="s">
        <v>11145</v>
      </c>
    </row>
    <row r="245" spans="1:2" x14ac:dyDescent="0.35">
      <c r="A245">
        <v>244</v>
      </c>
      <c r="B245" t="s">
        <v>11112</v>
      </c>
    </row>
    <row r="246" spans="1:2" x14ac:dyDescent="0.35">
      <c r="A246">
        <v>245</v>
      </c>
      <c r="B246" t="s">
        <v>11164</v>
      </c>
    </row>
    <row r="247" spans="1:2" x14ac:dyDescent="0.35">
      <c r="A247">
        <v>246</v>
      </c>
      <c r="B247" t="s">
        <v>11164</v>
      </c>
    </row>
    <row r="248" spans="1:2" x14ac:dyDescent="0.35">
      <c r="A248">
        <v>247</v>
      </c>
      <c r="B248" t="s">
        <v>11178</v>
      </c>
    </row>
    <row r="249" spans="1:2" x14ac:dyDescent="0.35">
      <c r="A249">
        <v>248</v>
      </c>
      <c r="B249" t="s">
        <v>11164</v>
      </c>
    </row>
    <row r="250" spans="1:2" x14ac:dyDescent="0.35">
      <c r="A250">
        <v>249</v>
      </c>
      <c r="B250" t="s">
        <v>11179</v>
      </c>
    </row>
    <row r="251" spans="1:2" x14ac:dyDescent="0.35">
      <c r="A251">
        <v>250</v>
      </c>
      <c r="B251" t="s">
        <v>11180</v>
      </c>
    </row>
    <row r="252" spans="1:2" x14ac:dyDescent="0.35">
      <c r="A252">
        <v>251</v>
      </c>
      <c r="B252" t="s">
        <v>11181</v>
      </c>
    </row>
    <row r="253" spans="1:2" x14ac:dyDescent="0.35">
      <c r="A253">
        <v>252</v>
      </c>
      <c r="B253" t="s">
        <v>11112</v>
      </c>
    </row>
    <row r="254" spans="1:2" x14ac:dyDescent="0.35">
      <c r="A254">
        <v>253</v>
      </c>
      <c r="B254" t="s">
        <v>11182</v>
      </c>
    </row>
    <row r="255" spans="1:2" x14ac:dyDescent="0.35">
      <c r="A255">
        <v>254</v>
      </c>
      <c r="B255" t="s">
        <v>11183</v>
      </c>
    </row>
    <row r="256" spans="1:2" x14ac:dyDescent="0.35">
      <c r="A256">
        <v>255</v>
      </c>
      <c r="B256" t="s">
        <v>10051</v>
      </c>
    </row>
    <row r="257" spans="1:2" x14ac:dyDescent="0.35">
      <c r="A257">
        <v>256</v>
      </c>
      <c r="B257" t="s">
        <v>11112</v>
      </c>
    </row>
    <row r="258" spans="1:2" x14ac:dyDescent="0.35">
      <c r="A258">
        <v>257</v>
      </c>
      <c r="B258" t="s">
        <v>10058</v>
      </c>
    </row>
    <row r="259" spans="1:2" x14ac:dyDescent="0.35">
      <c r="A259">
        <v>258</v>
      </c>
      <c r="B259" t="s">
        <v>10220</v>
      </c>
    </row>
    <row r="260" spans="1:2" x14ac:dyDescent="0.35">
      <c r="A260">
        <v>259</v>
      </c>
      <c r="B260" t="s">
        <v>11104</v>
      </c>
    </row>
    <row r="261" spans="1:2" x14ac:dyDescent="0.35">
      <c r="A261">
        <v>260</v>
      </c>
      <c r="B261" t="s">
        <v>11184</v>
      </c>
    </row>
    <row r="262" spans="1:2" x14ac:dyDescent="0.35">
      <c r="A262">
        <v>261</v>
      </c>
      <c r="B262" t="s">
        <v>11185</v>
      </c>
    </row>
    <row r="263" spans="1:2" x14ac:dyDescent="0.35">
      <c r="A263">
        <v>262</v>
      </c>
      <c r="B263" t="s">
        <v>10059</v>
      </c>
    </row>
    <row r="264" spans="1:2" x14ac:dyDescent="0.35">
      <c r="A264">
        <v>263</v>
      </c>
      <c r="B264" t="s">
        <v>11186</v>
      </c>
    </row>
    <row r="265" spans="1:2" x14ac:dyDescent="0.35">
      <c r="A265">
        <v>264</v>
      </c>
      <c r="B265" t="s">
        <v>10049</v>
      </c>
    </row>
    <row r="266" spans="1:2" x14ac:dyDescent="0.35">
      <c r="A266">
        <v>265</v>
      </c>
      <c r="B266" t="s">
        <v>11118</v>
      </c>
    </row>
    <row r="267" spans="1:2" x14ac:dyDescent="0.35">
      <c r="A267">
        <v>266</v>
      </c>
      <c r="B267" t="s">
        <v>11187</v>
      </c>
    </row>
    <row r="268" spans="1:2" x14ac:dyDescent="0.35">
      <c r="A268">
        <v>267</v>
      </c>
      <c r="B268" t="s">
        <v>11188</v>
      </c>
    </row>
    <row r="269" spans="1:2" x14ac:dyDescent="0.35">
      <c r="A269">
        <v>268</v>
      </c>
      <c r="B269" t="s">
        <v>10060</v>
      </c>
    </row>
    <row r="270" spans="1:2" x14ac:dyDescent="0.35">
      <c r="A270">
        <v>269</v>
      </c>
      <c r="B270" t="s">
        <v>12663</v>
      </c>
    </row>
    <row r="271" spans="1:2" x14ac:dyDescent="0.35">
      <c r="A271">
        <v>270</v>
      </c>
      <c r="B271" t="s">
        <v>10061</v>
      </c>
    </row>
    <row r="272" spans="1:2" x14ac:dyDescent="0.35">
      <c r="A272">
        <v>271</v>
      </c>
      <c r="B272" t="s">
        <v>11176</v>
      </c>
    </row>
    <row r="273" spans="1:2" x14ac:dyDescent="0.35">
      <c r="A273">
        <v>272</v>
      </c>
      <c r="B273" t="s">
        <v>11160</v>
      </c>
    </row>
    <row r="274" spans="1:2" x14ac:dyDescent="0.35">
      <c r="A274">
        <v>273</v>
      </c>
      <c r="B274" t="s">
        <v>10719</v>
      </c>
    </row>
    <row r="275" spans="1:2" x14ac:dyDescent="0.35">
      <c r="A275">
        <v>274</v>
      </c>
      <c r="B275" t="s">
        <v>11189</v>
      </c>
    </row>
    <row r="276" spans="1:2" x14ac:dyDescent="0.35">
      <c r="A276">
        <v>275</v>
      </c>
      <c r="B276" t="s">
        <v>10049</v>
      </c>
    </row>
    <row r="277" spans="1:2" x14ac:dyDescent="0.35">
      <c r="A277">
        <v>276</v>
      </c>
      <c r="B277" t="s">
        <v>11190</v>
      </c>
    </row>
    <row r="278" spans="1:2" x14ac:dyDescent="0.35">
      <c r="A278">
        <v>277</v>
      </c>
      <c r="B278" t="s">
        <v>11175</v>
      </c>
    </row>
    <row r="279" spans="1:2" x14ac:dyDescent="0.35">
      <c r="A279">
        <v>278</v>
      </c>
      <c r="B279" t="s">
        <v>11191</v>
      </c>
    </row>
    <row r="280" spans="1:2" x14ac:dyDescent="0.35">
      <c r="A280">
        <v>279</v>
      </c>
      <c r="B280" t="s">
        <v>11176</v>
      </c>
    </row>
    <row r="281" spans="1:2" x14ac:dyDescent="0.35">
      <c r="A281">
        <v>280</v>
      </c>
      <c r="B281" t="s">
        <v>10719</v>
      </c>
    </row>
    <row r="282" spans="1:2" x14ac:dyDescent="0.35">
      <c r="A282">
        <v>281</v>
      </c>
      <c r="B282" t="s">
        <v>11192</v>
      </c>
    </row>
    <row r="283" spans="1:2" x14ac:dyDescent="0.35">
      <c r="A283">
        <v>282</v>
      </c>
      <c r="B283" t="s">
        <v>11193</v>
      </c>
    </row>
    <row r="284" spans="1:2" x14ac:dyDescent="0.35">
      <c r="A284">
        <v>283</v>
      </c>
      <c r="B284" t="s">
        <v>10220</v>
      </c>
    </row>
    <row r="285" spans="1:2" x14ac:dyDescent="0.35">
      <c r="A285">
        <v>284</v>
      </c>
      <c r="B285" t="s">
        <v>11194</v>
      </c>
    </row>
    <row r="286" spans="1:2" x14ac:dyDescent="0.35">
      <c r="A286">
        <v>285</v>
      </c>
      <c r="B286" t="s">
        <v>11160</v>
      </c>
    </row>
    <row r="287" spans="1:2" x14ac:dyDescent="0.35">
      <c r="A287">
        <v>286</v>
      </c>
      <c r="B287" t="s">
        <v>10546</v>
      </c>
    </row>
    <row r="288" spans="1:2" x14ac:dyDescent="0.35">
      <c r="A288">
        <v>287</v>
      </c>
      <c r="B288" t="s">
        <v>10049</v>
      </c>
    </row>
    <row r="289" spans="1:2" x14ac:dyDescent="0.35">
      <c r="A289">
        <v>288</v>
      </c>
      <c r="B289" t="s">
        <v>11195</v>
      </c>
    </row>
    <row r="290" spans="1:2" x14ac:dyDescent="0.35">
      <c r="A290">
        <v>289</v>
      </c>
      <c r="B290" t="s">
        <v>11139</v>
      </c>
    </row>
    <row r="291" spans="1:2" x14ac:dyDescent="0.35">
      <c r="A291">
        <v>290</v>
      </c>
      <c r="B291" t="s">
        <v>11196</v>
      </c>
    </row>
    <row r="292" spans="1:2" x14ac:dyDescent="0.35">
      <c r="A292">
        <v>291</v>
      </c>
      <c r="B292" t="s">
        <v>10604</v>
      </c>
    </row>
    <row r="293" spans="1:2" x14ac:dyDescent="0.35">
      <c r="A293">
        <v>292</v>
      </c>
      <c r="B293" t="s">
        <v>11194</v>
      </c>
    </row>
    <row r="294" spans="1:2" x14ac:dyDescent="0.35">
      <c r="A294">
        <v>293</v>
      </c>
      <c r="B294" t="s">
        <v>11175</v>
      </c>
    </row>
    <row r="295" spans="1:2" x14ac:dyDescent="0.35">
      <c r="A295">
        <v>294</v>
      </c>
      <c r="B295" t="s">
        <v>11175</v>
      </c>
    </row>
    <row r="296" spans="1:2" x14ac:dyDescent="0.35">
      <c r="A296">
        <v>295</v>
      </c>
      <c r="B296" t="s">
        <v>11197</v>
      </c>
    </row>
    <row r="297" spans="1:2" x14ac:dyDescent="0.35">
      <c r="A297">
        <v>296</v>
      </c>
      <c r="B297" t="s">
        <v>10038</v>
      </c>
    </row>
    <row r="298" spans="1:2" x14ac:dyDescent="0.35">
      <c r="A298">
        <v>297</v>
      </c>
      <c r="B298" t="s">
        <v>10062</v>
      </c>
    </row>
    <row r="299" spans="1:2" x14ac:dyDescent="0.35">
      <c r="A299">
        <v>298</v>
      </c>
      <c r="B299" t="s">
        <v>11198</v>
      </c>
    </row>
    <row r="300" spans="1:2" x14ac:dyDescent="0.35">
      <c r="A300">
        <v>299</v>
      </c>
      <c r="B300" t="s">
        <v>11199</v>
      </c>
    </row>
    <row r="301" spans="1:2" x14ac:dyDescent="0.35">
      <c r="A301">
        <v>300</v>
      </c>
      <c r="B301" t="s">
        <v>11139</v>
      </c>
    </row>
    <row r="302" spans="1:2" x14ac:dyDescent="0.35">
      <c r="A302">
        <v>301</v>
      </c>
      <c r="B302" t="s">
        <v>11200</v>
      </c>
    </row>
    <row r="303" spans="1:2" x14ac:dyDescent="0.35">
      <c r="A303">
        <v>302</v>
      </c>
      <c r="B303" t="s">
        <v>10063</v>
      </c>
    </row>
    <row r="304" spans="1:2" x14ac:dyDescent="0.35">
      <c r="A304">
        <v>303</v>
      </c>
      <c r="B304" t="s">
        <v>12710</v>
      </c>
    </row>
    <row r="305" spans="1:2" x14ac:dyDescent="0.35">
      <c r="A305">
        <v>304</v>
      </c>
      <c r="B305" t="s">
        <v>12710</v>
      </c>
    </row>
    <row r="306" spans="1:2" x14ac:dyDescent="0.35">
      <c r="A306">
        <v>305</v>
      </c>
      <c r="B306" t="s">
        <v>11201</v>
      </c>
    </row>
    <row r="307" spans="1:2" x14ac:dyDescent="0.35">
      <c r="A307">
        <v>306</v>
      </c>
      <c r="B307" t="s">
        <v>11202</v>
      </c>
    </row>
    <row r="308" spans="1:2" x14ac:dyDescent="0.35">
      <c r="A308">
        <v>307</v>
      </c>
      <c r="B308" t="s">
        <v>10065</v>
      </c>
    </row>
    <row r="309" spans="1:2" x14ac:dyDescent="0.35">
      <c r="A309">
        <v>308</v>
      </c>
      <c r="B309" t="s">
        <v>10753</v>
      </c>
    </row>
    <row r="310" spans="1:2" x14ac:dyDescent="0.35">
      <c r="A310">
        <v>309</v>
      </c>
      <c r="B310" t="s">
        <v>10524</v>
      </c>
    </row>
    <row r="311" spans="1:2" x14ac:dyDescent="0.35">
      <c r="A311">
        <v>310</v>
      </c>
      <c r="B311" t="s">
        <v>11203</v>
      </c>
    </row>
    <row r="312" spans="1:2" x14ac:dyDescent="0.35">
      <c r="A312">
        <v>311</v>
      </c>
      <c r="B312" t="s">
        <v>10606</v>
      </c>
    </row>
    <row r="313" spans="1:2" x14ac:dyDescent="0.35">
      <c r="A313">
        <v>312</v>
      </c>
      <c r="B313" t="s">
        <v>11204</v>
      </c>
    </row>
    <row r="314" spans="1:2" x14ac:dyDescent="0.35">
      <c r="A314">
        <v>313</v>
      </c>
      <c r="B314" t="s">
        <v>10066</v>
      </c>
    </row>
    <row r="315" spans="1:2" x14ac:dyDescent="0.35">
      <c r="A315">
        <v>314</v>
      </c>
      <c r="B315" t="s">
        <v>10059</v>
      </c>
    </row>
    <row r="316" spans="1:2" x14ac:dyDescent="0.35">
      <c r="A316">
        <v>315</v>
      </c>
      <c r="B316" t="s">
        <v>10544</v>
      </c>
    </row>
    <row r="317" spans="1:2" x14ac:dyDescent="0.35">
      <c r="A317">
        <v>316</v>
      </c>
      <c r="B317" t="s">
        <v>10049</v>
      </c>
    </row>
    <row r="318" spans="1:2" x14ac:dyDescent="0.35">
      <c r="A318">
        <v>317</v>
      </c>
      <c r="B318" t="s">
        <v>11205</v>
      </c>
    </row>
    <row r="319" spans="1:2" x14ac:dyDescent="0.35">
      <c r="A319">
        <v>318</v>
      </c>
      <c r="B319" t="s">
        <v>11139</v>
      </c>
    </row>
    <row r="320" spans="1:2" x14ac:dyDescent="0.35">
      <c r="A320">
        <v>319</v>
      </c>
      <c r="B320" t="s">
        <v>11206</v>
      </c>
    </row>
    <row r="321" spans="1:2" x14ac:dyDescent="0.35">
      <c r="A321">
        <v>320</v>
      </c>
      <c r="B321" t="s">
        <v>11207</v>
      </c>
    </row>
    <row r="322" spans="1:2" x14ac:dyDescent="0.35">
      <c r="A322">
        <v>321</v>
      </c>
      <c r="B322" t="s">
        <v>11176</v>
      </c>
    </row>
    <row r="323" spans="1:2" x14ac:dyDescent="0.35">
      <c r="A323">
        <v>322</v>
      </c>
      <c r="B323" t="s">
        <v>11178</v>
      </c>
    </row>
    <row r="324" spans="1:2" x14ac:dyDescent="0.35">
      <c r="A324">
        <v>323</v>
      </c>
      <c r="B324" t="s">
        <v>11107</v>
      </c>
    </row>
    <row r="325" spans="1:2" x14ac:dyDescent="0.35">
      <c r="A325">
        <v>324</v>
      </c>
      <c r="B325" t="s">
        <v>11145</v>
      </c>
    </row>
    <row r="326" spans="1:2" x14ac:dyDescent="0.35">
      <c r="A326">
        <v>325</v>
      </c>
      <c r="B326" t="s">
        <v>11164</v>
      </c>
    </row>
    <row r="327" spans="1:2" x14ac:dyDescent="0.35">
      <c r="A327">
        <v>326</v>
      </c>
      <c r="B327" t="s">
        <v>12711</v>
      </c>
    </row>
    <row r="328" spans="1:2" x14ac:dyDescent="0.35">
      <c r="A328">
        <v>327</v>
      </c>
      <c r="B328" t="s">
        <v>12710</v>
      </c>
    </row>
    <row r="329" spans="1:2" x14ac:dyDescent="0.35">
      <c r="A329">
        <v>328</v>
      </c>
      <c r="B329" t="s">
        <v>11164</v>
      </c>
    </row>
    <row r="330" spans="1:2" x14ac:dyDescent="0.35">
      <c r="A330">
        <v>329</v>
      </c>
      <c r="B330" t="s">
        <v>11208</v>
      </c>
    </row>
    <row r="331" spans="1:2" x14ac:dyDescent="0.35">
      <c r="A331">
        <v>330</v>
      </c>
      <c r="B331" t="s">
        <v>12711</v>
      </c>
    </row>
    <row r="332" spans="1:2" x14ac:dyDescent="0.35">
      <c r="A332">
        <v>331</v>
      </c>
      <c r="B332" t="s">
        <v>11209</v>
      </c>
    </row>
    <row r="333" spans="1:2" x14ac:dyDescent="0.35">
      <c r="A333">
        <v>332</v>
      </c>
      <c r="B333" t="s">
        <v>11176</v>
      </c>
    </row>
    <row r="334" spans="1:2" x14ac:dyDescent="0.35">
      <c r="A334">
        <v>333</v>
      </c>
      <c r="B334" t="s">
        <v>11210</v>
      </c>
    </row>
    <row r="335" spans="1:2" x14ac:dyDescent="0.35">
      <c r="A335">
        <v>334</v>
      </c>
      <c r="B335" t="s">
        <v>11164</v>
      </c>
    </row>
    <row r="336" spans="1:2" x14ac:dyDescent="0.35">
      <c r="A336">
        <v>335</v>
      </c>
      <c r="B336" t="s">
        <v>10645</v>
      </c>
    </row>
    <row r="337" spans="1:2" x14ac:dyDescent="0.35">
      <c r="A337">
        <v>336</v>
      </c>
      <c r="B337" t="s">
        <v>9456</v>
      </c>
    </row>
    <row r="338" spans="1:2" x14ac:dyDescent="0.35">
      <c r="A338">
        <v>337</v>
      </c>
      <c r="B338" t="s">
        <v>10664</v>
      </c>
    </row>
    <row r="339" spans="1:2" x14ac:dyDescent="0.35">
      <c r="A339">
        <v>338</v>
      </c>
      <c r="B339" t="s">
        <v>10664</v>
      </c>
    </row>
    <row r="340" spans="1:2" x14ac:dyDescent="0.35">
      <c r="A340">
        <v>339</v>
      </c>
      <c r="B340" t="s">
        <v>9456</v>
      </c>
    </row>
    <row r="341" spans="1:2" x14ac:dyDescent="0.35">
      <c r="A341">
        <v>340</v>
      </c>
      <c r="B341" t="s">
        <v>11190</v>
      </c>
    </row>
    <row r="342" spans="1:2" x14ac:dyDescent="0.35">
      <c r="A342">
        <v>341</v>
      </c>
      <c r="B342" t="s">
        <v>10040</v>
      </c>
    </row>
    <row r="343" spans="1:2" x14ac:dyDescent="0.35">
      <c r="A343">
        <v>342</v>
      </c>
      <c r="B343" t="s">
        <v>10040</v>
      </c>
    </row>
    <row r="344" spans="1:2" x14ac:dyDescent="0.35">
      <c r="A344">
        <v>343</v>
      </c>
      <c r="B344" t="s">
        <v>10635</v>
      </c>
    </row>
    <row r="345" spans="1:2" x14ac:dyDescent="0.35">
      <c r="A345">
        <v>344</v>
      </c>
      <c r="B345" t="s">
        <v>10664</v>
      </c>
    </row>
    <row r="346" spans="1:2" x14ac:dyDescent="0.35">
      <c r="A346">
        <v>345</v>
      </c>
      <c r="B346" t="s">
        <v>10635</v>
      </c>
    </row>
    <row r="347" spans="1:2" x14ac:dyDescent="0.35">
      <c r="A347">
        <v>346</v>
      </c>
      <c r="B347" t="s">
        <v>11834</v>
      </c>
    </row>
    <row r="348" spans="1:2" x14ac:dyDescent="0.35">
      <c r="A348">
        <v>347</v>
      </c>
      <c r="B348" t="s">
        <v>10635</v>
      </c>
    </row>
    <row r="349" spans="1:2" x14ac:dyDescent="0.35">
      <c r="A349">
        <v>348</v>
      </c>
      <c r="B349" t="s">
        <v>11835</v>
      </c>
    </row>
    <row r="350" spans="1:2" x14ac:dyDescent="0.35">
      <c r="A350">
        <v>349</v>
      </c>
      <c r="B350" t="s">
        <v>10544</v>
      </c>
    </row>
    <row r="351" spans="1:2" x14ac:dyDescent="0.35">
      <c r="A351">
        <v>350</v>
      </c>
      <c r="B351" t="s">
        <v>11139</v>
      </c>
    </row>
    <row r="352" spans="1:2" x14ac:dyDescent="0.35">
      <c r="A352">
        <v>351</v>
      </c>
      <c r="B352" t="s">
        <v>10751</v>
      </c>
    </row>
    <row r="353" spans="1:2" x14ac:dyDescent="0.35">
      <c r="A353">
        <v>352</v>
      </c>
      <c r="B353" t="s">
        <v>10253</v>
      </c>
    </row>
    <row r="354" spans="1:2" x14ac:dyDescent="0.35">
      <c r="A354">
        <v>353</v>
      </c>
      <c r="B354" t="s">
        <v>10068</v>
      </c>
    </row>
    <row r="355" spans="1:2" x14ac:dyDescent="0.35">
      <c r="A355">
        <v>354</v>
      </c>
      <c r="B355" t="s">
        <v>10662</v>
      </c>
    </row>
    <row r="356" spans="1:2" x14ac:dyDescent="0.35">
      <c r="A356">
        <v>355</v>
      </c>
      <c r="B356" t="s">
        <v>11866</v>
      </c>
    </row>
    <row r="357" spans="1:2" x14ac:dyDescent="0.35">
      <c r="A357">
        <v>356</v>
      </c>
      <c r="B357" t="s">
        <v>11865</v>
      </c>
    </row>
    <row r="358" spans="1:2" x14ac:dyDescent="0.35">
      <c r="A358">
        <v>357</v>
      </c>
      <c r="B358" t="s">
        <v>10752</v>
      </c>
    </row>
    <row r="359" spans="1:2" x14ac:dyDescent="0.35">
      <c r="A359">
        <v>358</v>
      </c>
      <c r="B359" t="s">
        <v>10589</v>
      </c>
    </row>
    <row r="360" spans="1:2" x14ac:dyDescent="0.35">
      <c r="A360">
        <v>359</v>
      </c>
      <c r="B360" t="s">
        <v>10546</v>
      </c>
    </row>
    <row r="361" spans="1:2" x14ac:dyDescent="0.35">
      <c r="A361">
        <v>360</v>
      </c>
      <c r="B361" t="s">
        <v>10546</v>
      </c>
    </row>
    <row r="362" spans="1:2" x14ac:dyDescent="0.35">
      <c r="A362">
        <v>361</v>
      </c>
      <c r="B362" t="s">
        <v>9456</v>
      </c>
    </row>
    <row r="363" spans="1:2" x14ac:dyDescent="0.35">
      <c r="A363">
        <v>362</v>
      </c>
      <c r="B363" t="s">
        <v>10662</v>
      </c>
    </row>
    <row r="364" spans="1:2" x14ac:dyDescent="0.35">
      <c r="A364">
        <v>363</v>
      </c>
      <c r="B364" t="s">
        <v>10139</v>
      </c>
    </row>
    <row r="365" spans="1:2" x14ac:dyDescent="0.35">
      <c r="A365">
        <v>364</v>
      </c>
      <c r="B365" t="s">
        <v>12712</v>
      </c>
    </row>
    <row r="366" spans="1:2" x14ac:dyDescent="0.35">
      <c r="A366">
        <v>365</v>
      </c>
      <c r="B366" t="s">
        <v>10038</v>
      </c>
    </row>
    <row r="367" spans="1:2" x14ac:dyDescent="0.35">
      <c r="A367">
        <v>366</v>
      </c>
      <c r="B367" t="s">
        <v>9456</v>
      </c>
    </row>
    <row r="368" spans="1:2" x14ac:dyDescent="0.35">
      <c r="A368">
        <v>367</v>
      </c>
      <c r="B368" t="s">
        <v>10546</v>
      </c>
    </row>
    <row r="369" spans="1:2" x14ac:dyDescent="0.35">
      <c r="A369">
        <v>368</v>
      </c>
      <c r="B369" t="s">
        <v>12712</v>
      </c>
    </row>
    <row r="370" spans="1:2" x14ac:dyDescent="0.35">
      <c r="A370">
        <v>369</v>
      </c>
      <c r="B370" t="s">
        <v>11863</v>
      </c>
    </row>
    <row r="371" spans="1:2" x14ac:dyDescent="0.35">
      <c r="A371">
        <v>370</v>
      </c>
      <c r="B371" t="s">
        <v>11864</v>
      </c>
    </row>
    <row r="372" spans="1:2" x14ac:dyDescent="0.35">
      <c r="A372">
        <v>371</v>
      </c>
      <c r="B372" t="s">
        <v>10634</v>
      </c>
    </row>
    <row r="373" spans="1:2" x14ac:dyDescent="0.35">
      <c r="A373">
        <v>372</v>
      </c>
      <c r="B373" t="s">
        <v>11867</v>
      </c>
    </row>
    <row r="374" spans="1:2" x14ac:dyDescent="0.35">
      <c r="A374">
        <v>373</v>
      </c>
      <c r="B374" t="s">
        <v>10139</v>
      </c>
    </row>
    <row r="375" spans="1:2" x14ac:dyDescent="0.35">
      <c r="A375">
        <v>374</v>
      </c>
      <c r="B375" t="s">
        <v>11174</v>
      </c>
    </row>
    <row r="376" spans="1:2" x14ac:dyDescent="0.35">
      <c r="A376">
        <v>375</v>
      </c>
      <c r="B376" t="s">
        <v>11211</v>
      </c>
    </row>
    <row r="377" spans="1:2" x14ac:dyDescent="0.35">
      <c r="A377">
        <v>376</v>
      </c>
      <c r="B377" t="s">
        <v>11869</v>
      </c>
    </row>
    <row r="378" spans="1:2" x14ac:dyDescent="0.35">
      <c r="A378">
        <v>377</v>
      </c>
      <c r="B378" t="s">
        <v>11868</v>
      </c>
    </row>
    <row r="379" spans="1:2" x14ac:dyDescent="0.35">
      <c r="A379">
        <v>378</v>
      </c>
      <c r="B379" t="s">
        <v>11875</v>
      </c>
    </row>
    <row r="380" spans="1:2" x14ac:dyDescent="0.35">
      <c r="A380">
        <v>379</v>
      </c>
      <c r="B380" t="s">
        <v>11876</v>
      </c>
    </row>
    <row r="381" spans="1:2" x14ac:dyDescent="0.35">
      <c r="A381">
        <v>380</v>
      </c>
      <c r="B381" t="s">
        <v>11874</v>
      </c>
    </row>
    <row r="382" spans="1:2" x14ac:dyDescent="0.35">
      <c r="A382">
        <v>381</v>
      </c>
      <c r="B382" t="s">
        <v>11873</v>
      </c>
    </row>
    <row r="383" spans="1:2" x14ac:dyDescent="0.35">
      <c r="A383">
        <v>382</v>
      </c>
      <c r="B383" t="s">
        <v>11870</v>
      </c>
    </row>
    <row r="384" spans="1:2" x14ac:dyDescent="0.35">
      <c r="A384">
        <v>383</v>
      </c>
      <c r="B384" t="s">
        <v>11871</v>
      </c>
    </row>
    <row r="385" spans="1:2" x14ac:dyDescent="0.35">
      <c r="A385">
        <v>384</v>
      </c>
      <c r="B385" t="s">
        <v>11872</v>
      </c>
    </row>
    <row r="386" spans="1:2" x14ac:dyDescent="0.35">
      <c r="A386">
        <v>385</v>
      </c>
      <c r="B386" t="s">
        <v>10071</v>
      </c>
    </row>
    <row r="387" spans="1:2" x14ac:dyDescent="0.35">
      <c r="A387">
        <v>386</v>
      </c>
      <c r="B387" t="s">
        <v>11213</v>
      </c>
    </row>
    <row r="388" spans="1:2" x14ac:dyDescent="0.35">
      <c r="A388">
        <v>387</v>
      </c>
      <c r="B388" t="s">
        <v>11876</v>
      </c>
    </row>
    <row r="389" spans="1:2" x14ac:dyDescent="0.35">
      <c r="A389">
        <v>388</v>
      </c>
      <c r="B389" t="s">
        <v>11213</v>
      </c>
    </row>
    <row r="390" spans="1:2" x14ac:dyDescent="0.35">
      <c r="A390">
        <v>389</v>
      </c>
      <c r="B390" t="s">
        <v>11214</v>
      </c>
    </row>
    <row r="391" spans="1:2" x14ac:dyDescent="0.35">
      <c r="A391">
        <v>390</v>
      </c>
      <c r="B391" t="s">
        <v>10072</v>
      </c>
    </row>
    <row r="392" spans="1:2" x14ac:dyDescent="0.35">
      <c r="A392">
        <v>391</v>
      </c>
      <c r="B392" t="s">
        <v>11876</v>
      </c>
    </row>
    <row r="393" spans="1:2" x14ac:dyDescent="0.35">
      <c r="A393">
        <v>392</v>
      </c>
      <c r="B393" t="s">
        <v>10068</v>
      </c>
    </row>
    <row r="394" spans="1:2" x14ac:dyDescent="0.35">
      <c r="A394">
        <v>393</v>
      </c>
      <c r="B394" t="s">
        <v>11466</v>
      </c>
    </row>
    <row r="395" spans="1:2" x14ac:dyDescent="0.35">
      <c r="A395">
        <v>394</v>
      </c>
      <c r="B395" t="s">
        <v>11213</v>
      </c>
    </row>
    <row r="396" spans="1:2" x14ac:dyDescent="0.35">
      <c r="A396">
        <v>395</v>
      </c>
      <c r="B396" t="s">
        <v>12713</v>
      </c>
    </row>
    <row r="397" spans="1:2" x14ac:dyDescent="0.35">
      <c r="A397">
        <v>396</v>
      </c>
      <c r="B397" t="s">
        <v>12712</v>
      </c>
    </row>
    <row r="398" spans="1:2" x14ac:dyDescent="0.35">
      <c r="A398">
        <v>397</v>
      </c>
      <c r="B398" t="s">
        <v>11886</v>
      </c>
    </row>
    <row r="399" spans="1:2" x14ac:dyDescent="0.35">
      <c r="A399">
        <v>398</v>
      </c>
      <c r="B399" t="s">
        <v>11870</v>
      </c>
    </row>
    <row r="400" spans="1:2" x14ac:dyDescent="0.35">
      <c r="A400">
        <v>399</v>
      </c>
      <c r="B400" t="s">
        <v>11870</v>
      </c>
    </row>
    <row r="401" spans="1:2" x14ac:dyDescent="0.35">
      <c r="A401">
        <v>400</v>
      </c>
      <c r="B401" t="s">
        <v>11869</v>
      </c>
    </row>
    <row r="402" spans="1:2" x14ac:dyDescent="0.35">
      <c r="A402">
        <v>401</v>
      </c>
      <c r="B402" t="s">
        <v>11891</v>
      </c>
    </row>
    <row r="403" spans="1:2" x14ac:dyDescent="0.35">
      <c r="A403">
        <v>402</v>
      </c>
      <c r="B403" t="s">
        <v>12714</v>
      </c>
    </row>
    <row r="404" spans="1:2" x14ac:dyDescent="0.35">
      <c r="A404">
        <v>403</v>
      </c>
      <c r="B404" t="s">
        <v>12715</v>
      </c>
    </row>
    <row r="405" spans="1:2" x14ac:dyDescent="0.35">
      <c r="A405">
        <v>404</v>
      </c>
      <c r="B405" t="s">
        <v>12714</v>
      </c>
    </row>
    <row r="406" spans="1:2" x14ac:dyDescent="0.35">
      <c r="A406">
        <v>405</v>
      </c>
      <c r="B406" t="s">
        <v>10038</v>
      </c>
    </row>
    <row r="407" spans="1:2" x14ac:dyDescent="0.35">
      <c r="A407">
        <v>406</v>
      </c>
      <c r="B407" t="s">
        <v>11869</v>
      </c>
    </row>
    <row r="408" spans="1:2" x14ac:dyDescent="0.35">
      <c r="A408">
        <v>407</v>
      </c>
      <c r="B408" t="s">
        <v>10073</v>
      </c>
    </row>
    <row r="409" spans="1:2" x14ac:dyDescent="0.35">
      <c r="A409">
        <v>408</v>
      </c>
      <c r="B409" t="s">
        <v>10070</v>
      </c>
    </row>
    <row r="410" spans="1:2" x14ac:dyDescent="0.35">
      <c r="A410">
        <v>409</v>
      </c>
      <c r="B410" t="s">
        <v>11889</v>
      </c>
    </row>
    <row r="411" spans="1:2" x14ac:dyDescent="0.35">
      <c r="A411">
        <v>410</v>
      </c>
      <c r="B411" t="s">
        <v>11893</v>
      </c>
    </row>
    <row r="412" spans="1:2" x14ac:dyDescent="0.35">
      <c r="A412">
        <v>411</v>
      </c>
      <c r="B412" t="s">
        <v>9484</v>
      </c>
    </row>
    <row r="413" spans="1:2" x14ac:dyDescent="0.35">
      <c r="A413">
        <v>412</v>
      </c>
      <c r="B413" t="s">
        <v>11894</v>
      </c>
    </row>
    <row r="414" spans="1:2" x14ac:dyDescent="0.35">
      <c r="A414">
        <v>413</v>
      </c>
      <c r="B414" t="s">
        <v>9708</v>
      </c>
    </row>
    <row r="415" spans="1:2" x14ac:dyDescent="0.35">
      <c r="A415">
        <v>414</v>
      </c>
      <c r="B415" t="s">
        <v>10074</v>
      </c>
    </row>
    <row r="416" spans="1:2" x14ac:dyDescent="0.35">
      <c r="A416">
        <v>415</v>
      </c>
      <c r="B416" t="s">
        <v>10589</v>
      </c>
    </row>
    <row r="417" spans="1:2" x14ac:dyDescent="0.35">
      <c r="A417">
        <v>416</v>
      </c>
      <c r="B417" t="s">
        <v>10066</v>
      </c>
    </row>
    <row r="418" spans="1:2" x14ac:dyDescent="0.35">
      <c r="A418">
        <v>417</v>
      </c>
      <c r="B418" t="s">
        <v>11216</v>
      </c>
    </row>
    <row r="419" spans="1:2" x14ac:dyDescent="0.35">
      <c r="A419">
        <v>418</v>
      </c>
      <c r="B419" t="s">
        <v>9404</v>
      </c>
    </row>
    <row r="420" spans="1:2" x14ac:dyDescent="0.35">
      <c r="A420">
        <v>419</v>
      </c>
      <c r="B420" t="s">
        <v>10667</v>
      </c>
    </row>
    <row r="421" spans="1:2" x14ac:dyDescent="0.35">
      <c r="A421">
        <v>420</v>
      </c>
      <c r="B421" t="s">
        <v>11215</v>
      </c>
    </row>
    <row r="422" spans="1:2" x14ac:dyDescent="0.35">
      <c r="A422">
        <v>421</v>
      </c>
      <c r="B422" t="s">
        <v>11217</v>
      </c>
    </row>
    <row r="423" spans="1:2" x14ac:dyDescent="0.35">
      <c r="A423">
        <v>422</v>
      </c>
      <c r="B423" t="s">
        <v>11218</v>
      </c>
    </row>
    <row r="424" spans="1:2" x14ac:dyDescent="0.35">
      <c r="A424">
        <v>423</v>
      </c>
      <c r="B424" t="s">
        <v>11219</v>
      </c>
    </row>
    <row r="425" spans="1:2" x14ac:dyDescent="0.35">
      <c r="A425">
        <v>424</v>
      </c>
      <c r="B425" t="s">
        <v>10040</v>
      </c>
    </row>
    <row r="426" spans="1:2" x14ac:dyDescent="0.35">
      <c r="A426">
        <v>425</v>
      </c>
      <c r="B426" t="s">
        <v>10075</v>
      </c>
    </row>
    <row r="427" spans="1:2" x14ac:dyDescent="0.35">
      <c r="A427">
        <v>426</v>
      </c>
      <c r="B427" t="s">
        <v>10076</v>
      </c>
    </row>
    <row r="428" spans="1:2" x14ac:dyDescent="0.35">
      <c r="A428">
        <v>427</v>
      </c>
      <c r="B428" t="s">
        <v>11176</v>
      </c>
    </row>
    <row r="429" spans="1:2" x14ac:dyDescent="0.35">
      <c r="A429">
        <v>428</v>
      </c>
      <c r="B429" t="s">
        <v>11220</v>
      </c>
    </row>
    <row r="430" spans="1:2" x14ac:dyDescent="0.35">
      <c r="A430">
        <v>429</v>
      </c>
      <c r="B430" t="s">
        <v>11176</v>
      </c>
    </row>
    <row r="431" spans="1:2" x14ac:dyDescent="0.35">
      <c r="A431">
        <v>430</v>
      </c>
      <c r="B431" t="s">
        <v>10754</v>
      </c>
    </row>
    <row r="432" spans="1:2" x14ac:dyDescent="0.35">
      <c r="A432">
        <v>431</v>
      </c>
      <c r="B432" t="s">
        <v>10038</v>
      </c>
    </row>
    <row r="433" spans="1:2" x14ac:dyDescent="0.35">
      <c r="A433">
        <v>432</v>
      </c>
      <c r="B433" t="s">
        <v>11194</v>
      </c>
    </row>
    <row r="434" spans="1:2" x14ac:dyDescent="0.35">
      <c r="A434">
        <v>433</v>
      </c>
      <c r="B434" t="s">
        <v>9358</v>
      </c>
    </row>
    <row r="435" spans="1:2" x14ac:dyDescent="0.35">
      <c r="A435">
        <v>434</v>
      </c>
      <c r="B435" t="s">
        <v>10077</v>
      </c>
    </row>
    <row r="436" spans="1:2" x14ac:dyDescent="0.35">
      <c r="A436">
        <v>435</v>
      </c>
      <c r="B436" t="s">
        <v>11221</v>
      </c>
    </row>
    <row r="437" spans="1:2" x14ac:dyDescent="0.35">
      <c r="A437">
        <v>436</v>
      </c>
      <c r="B437" t="s">
        <v>11222</v>
      </c>
    </row>
    <row r="438" spans="1:2" x14ac:dyDescent="0.35">
      <c r="A438">
        <v>437</v>
      </c>
      <c r="B438" t="s">
        <v>10078</v>
      </c>
    </row>
    <row r="439" spans="1:2" x14ac:dyDescent="0.35">
      <c r="A439">
        <v>438</v>
      </c>
      <c r="B439" t="s">
        <v>11187</v>
      </c>
    </row>
    <row r="440" spans="1:2" x14ac:dyDescent="0.35">
      <c r="A440">
        <v>440</v>
      </c>
      <c r="B440" t="s">
        <v>10099</v>
      </c>
    </row>
    <row r="441" spans="1:2" x14ac:dyDescent="0.35">
      <c r="A441">
        <v>441</v>
      </c>
      <c r="B441" t="s">
        <v>10755</v>
      </c>
    </row>
    <row r="442" spans="1:2" x14ac:dyDescent="0.35">
      <c r="A442">
        <v>442</v>
      </c>
      <c r="B442" t="s">
        <v>10079</v>
      </c>
    </row>
    <row r="443" spans="1:2" x14ac:dyDescent="0.35">
      <c r="A443">
        <v>443</v>
      </c>
      <c r="B443" t="s">
        <v>12716</v>
      </c>
    </row>
    <row r="444" spans="1:2" x14ac:dyDescent="0.35">
      <c r="A444">
        <v>444</v>
      </c>
      <c r="B444" t="s">
        <v>10544</v>
      </c>
    </row>
    <row r="445" spans="1:2" x14ac:dyDescent="0.35">
      <c r="A445">
        <v>445</v>
      </c>
      <c r="B445" t="s">
        <v>11190</v>
      </c>
    </row>
    <row r="446" spans="1:2" x14ac:dyDescent="0.35">
      <c r="A446">
        <v>447</v>
      </c>
      <c r="B446" t="s">
        <v>11125</v>
      </c>
    </row>
    <row r="447" spans="1:2" x14ac:dyDescent="0.35">
      <c r="A447">
        <v>448</v>
      </c>
      <c r="B447" t="s">
        <v>11223</v>
      </c>
    </row>
    <row r="448" spans="1:2" x14ac:dyDescent="0.35">
      <c r="A448">
        <v>450</v>
      </c>
      <c r="B448" t="s">
        <v>11224</v>
      </c>
    </row>
    <row r="449" spans="1:2" x14ac:dyDescent="0.35">
      <c r="A449">
        <v>451</v>
      </c>
      <c r="B449" t="s">
        <v>11225</v>
      </c>
    </row>
    <row r="450" spans="1:2" x14ac:dyDescent="0.35">
      <c r="A450">
        <v>452</v>
      </c>
      <c r="B450" t="s">
        <v>10099</v>
      </c>
    </row>
    <row r="451" spans="1:2" x14ac:dyDescent="0.35">
      <c r="A451">
        <v>453</v>
      </c>
      <c r="B451" t="s">
        <v>10091</v>
      </c>
    </row>
    <row r="452" spans="1:2" x14ac:dyDescent="0.35">
      <c r="A452">
        <v>454</v>
      </c>
      <c r="B452" t="s">
        <v>12717</v>
      </c>
    </row>
    <row r="453" spans="1:2" x14ac:dyDescent="0.35">
      <c r="A453">
        <v>455</v>
      </c>
      <c r="B453" t="s">
        <v>11126</v>
      </c>
    </row>
    <row r="454" spans="1:2" x14ac:dyDescent="0.35">
      <c r="A454">
        <v>459</v>
      </c>
      <c r="B454" t="s">
        <v>12681</v>
      </c>
    </row>
    <row r="455" spans="1:2" x14ac:dyDescent="0.35">
      <c r="A455">
        <v>460</v>
      </c>
      <c r="B455" t="s">
        <v>12718</v>
      </c>
    </row>
    <row r="456" spans="1:2" x14ac:dyDescent="0.35">
      <c r="A456">
        <v>461</v>
      </c>
      <c r="B456" t="s">
        <v>12719</v>
      </c>
    </row>
    <row r="457" spans="1:2" x14ac:dyDescent="0.35">
      <c r="A457">
        <v>462</v>
      </c>
      <c r="B457" t="s">
        <v>10755</v>
      </c>
    </row>
    <row r="458" spans="1:2" x14ac:dyDescent="0.35">
      <c r="A458">
        <v>465</v>
      </c>
      <c r="B458" t="s">
        <v>10091</v>
      </c>
    </row>
    <row r="459" spans="1:2" x14ac:dyDescent="0.35">
      <c r="A459">
        <v>466</v>
      </c>
      <c r="B459" t="s">
        <v>11226</v>
      </c>
    </row>
    <row r="460" spans="1:2" x14ac:dyDescent="0.35">
      <c r="A460">
        <v>468</v>
      </c>
      <c r="B460" t="s">
        <v>11225</v>
      </c>
    </row>
    <row r="461" spans="1:2" x14ac:dyDescent="0.35">
      <c r="A461">
        <v>469</v>
      </c>
      <c r="B461" t="s">
        <v>12712</v>
      </c>
    </row>
    <row r="462" spans="1:2" x14ac:dyDescent="0.35">
      <c r="A462">
        <v>470</v>
      </c>
      <c r="B462" t="s">
        <v>10091</v>
      </c>
    </row>
    <row r="463" spans="1:2" x14ac:dyDescent="0.35">
      <c r="A463">
        <v>471</v>
      </c>
      <c r="B463" t="s">
        <v>11227</v>
      </c>
    </row>
    <row r="464" spans="1:2" x14ac:dyDescent="0.35">
      <c r="A464">
        <v>472</v>
      </c>
      <c r="B464" t="s">
        <v>10047</v>
      </c>
    </row>
    <row r="465" spans="1:2" x14ac:dyDescent="0.35">
      <c r="A465">
        <v>473</v>
      </c>
      <c r="B465" t="s">
        <v>11228</v>
      </c>
    </row>
    <row r="466" spans="1:2" x14ac:dyDescent="0.35">
      <c r="A466">
        <v>474</v>
      </c>
      <c r="B466" t="s">
        <v>11176</v>
      </c>
    </row>
    <row r="467" spans="1:2" x14ac:dyDescent="0.35">
      <c r="A467">
        <v>475</v>
      </c>
      <c r="B467" t="s">
        <v>11125</v>
      </c>
    </row>
    <row r="468" spans="1:2" x14ac:dyDescent="0.35">
      <c r="A468">
        <v>476</v>
      </c>
      <c r="B468" t="s">
        <v>11229</v>
      </c>
    </row>
    <row r="469" spans="1:2" x14ac:dyDescent="0.35">
      <c r="A469">
        <v>477</v>
      </c>
      <c r="B469" t="s">
        <v>10667</v>
      </c>
    </row>
    <row r="470" spans="1:2" x14ac:dyDescent="0.35">
      <c r="A470">
        <v>478</v>
      </c>
      <c r="B470" t="s">
        <v>10081</v>
      </c>
    </row>
    <row r="471" spans="1:2" x14ac:dyDescent="0.35">
      <c r="A471">
        <v>479</v>
      </c>
      <c r="B471" t="s">
        <v>10082</v>
      </c>
    </row>
    <row r="472" spans="1:2" x14ac:dyDescent="0.35">
      <c r="A472">
        <v>480</v>
      </c>
      <c r="B472" t="s">
        <v>11230</v>
      </c>
    </row>
    <row r="473" spans="1:2" x14ac:dyDescent="0.35">
      <c r="A473">
        <v>481</v>
      </c>
      <c r="B473" t="s">
        <v>10083</v>
      </c>
    </row>
    <row r="474" spans="1:2" x14ac:dyDescent="0.35">
      <c r="A474">
        <v>482</v>
      </c>
      <c r="B474" t="s">
        <v>11228</v>
      </c>
    </row>
    <row r="475" spans="1:2" x14ac:dyDescent="0.35">
      <c r="A475">
        <v>483</v>
      </c>
      <c r="B475" t="s">
        <v>10084</v>
      </c>
    </row>
    <row r="476" spans="1:2" x14ac:dyDescent="0.35">
      <c r="A476">
        <v>487</v>
      </c>
      <c r="B476" t="s">
        <v>10085</v>
      </c>
    </row>
    <row r="477" spans="1:2" x14ac:dyDescent="0.35">
      <c r="A477">
        <v>489</v>
      </c>
      <c r="B477" t="s">
        <v>10086</v>
      </c>
    </row>
    <row r="478" spans="1:2" x14ac:dyDescent="0.35">
      <c r="A478">
        <v>490</v>
      </c>
      <c r="B478" t="s">
        <v>10253</v>
      </c>
    </row>
    <row r="479" spans="1:2" x14ac:dyDescent="0.35">
      <c r="A479">
        <v>492</v>
      </c>
      <c r="B479" t="s">
        <v>12718</v>
      </c>
    </row>
    <row r="480" spans="1:2" x14ac:dyDescent="0.35">
      <c r="A480">
        <v>493</v>
      </c>
      <c r="B480" t="s">
        <v>10087</v>
      </c>
    </row>
    <row r="481" spans="1:2" x14ac:dyDescent="0.35">
      <c r="A481">
        <v>494</v>
      </c>
      <c r="B481" t="s">
        <v>12201</v>
      </c>
    </row>
    <row r="482" spans="1:2" x14ac:dyDescent="0.35">
      <c r="A482">
        <v>495</v>
      </c>
      <c r="B482" t="s">
        <v>10751</v>
      </c>
    </row>
    <row r="483" spans="1:2" x14ac:dyDescent="0.35">
      <c r="A483">
        <v>496</v>
      </c>
      <c r="B483" t="s">
        <v>12221</v>
      </c>
    </row>
    <row r="484" spans="1:2" x14ac:dyDescent="0.35">
      <c r="A484">
        <v>497</v>
      </c>
      <c r="B484" t="s">
        <v>12224</v>
      </c>
    </row>
    <row r="485" spans="1:2" x14ac:dyDescent="0.35">
      <c r="A485">
        <v>498</v>
      </c>
      <c r="B485" t="s">
        <v>11232</v>
      </c>
    </row>
    <row r="486" spans="1:2" x14ac:dyDescent="0.35">
      <c r="A486">
        <v>499</v>
      </c>
      <c r="B486" t="s">
        <v>11233</v>
      </c>
    </row>
    <row r="487" spans="1:2" x14ac:dyDescent="0.35">
      <c r="A487">
        <v>500</v>
      </c>
      <c r="B487" t="s">
        <v>12226</v>
      </c>
    </row>
    <row r="488" spans="1:2" x14ac:dyDescent="0.35">
      <c r="A488">
        <v>501</v>
      </c>
      <c r="B488" t="s">
        <v>12720</v>
      </c>
    </row>
    <row r="489" spans="1:2" x14ac:dyDescent="0.35">
      <c r="A489">
        <v>502</v>
      </c>
      <c r="B489" t="s">
        <v>10088</v>
      </c>
    </row>
    <row r="490" spans="1:2" x14ac:dyDescent="0.35">
      <c r="A490">
        <v>503</v>
      </c>
      <c r="B490" t="s">
        <v>10505</v>
      </c>
    </row>
    <row r="491" spans="1:2" x14ac:dyDescent="0.35">
      <c r="A491">
        <v>504</v>
      </c>
      <c r="B491" t="s">
        <v>10089</v>
      </c>
    </row>
    <row r="492" spans="1:2" x14ac:dyDescent="0.35">
      <c r="A492">
        <v>505</v>
      </c>
      <c r="B492" t="s">
        <v>12721</v>
      </c>
    </row>
    <row r="493" spans="1:2" x14ac:dyDescent="0.35">
      <c r="A493">
        <v>506</v>
      </c>
      <c r="B493" t="s">
        <v>10091</v>
      </c>
    </row>
    <row r="494" spans="1:2" x14ac:dyDescent="0.35">
      <c r="A494">
        <v>507</v>
      </c>
      <c r="B494" t="s">
        <v>11234</v>
      </c>
    </row>
    <row r="495" spans="1:2" x14ac:dyDescent="0.35">
      <c r="A495">
        <v>508</v>
      </c>
      <c r="B495" t="s">
        <v>10090</v>
      </c>
    </row>
    <row r="496" spans="1:2" x14ac:dyDescent="0.35">
      <c r="A496">
        <v>509</v>
      </c>
      <c r="B496" t="s">
        <v>10505</v>
      </c>
    </row>
    <row r="497" spans="1:2" x14ac:dyDescent="0.35">
      <c r="A497">
        <v>510</v>
      </c>
      <c r="B497" t="s">
        <v>11235</v>
      </c>
    </row>
    <row r="498" spans="1:2" x14ac:dyDescent="0.35">
      <c r="A498">
        <v>511</v>
      </c>
      <c r="B498" t="s">
        <v>12710</v>
      </c>
    </row>
    <row r="499" spans="1:2" x14ac:dyDescent="0.35">
      <c r="A499">
        <v>512</v>
      </c>
      <c r="B499" t="s">
        <v>11234</v>
      </c>
    </row>
    <row r="500" spans="1:2" x14ac:dyDescent="0.35">
      <c r="A500">
        <v>513</v>
      </c>
      <c r="B500" t="s">
        <v>12233</v>
      </c>
    </row>
    <row r="501" spans="1:2" x14ac:dyDescent="0.35">
      <c r="A501">
        <v>514</v>
      </c>
      <c r="B501" t="s">
        <v>10088</v>
      </c>
    </row>
    <row r="502" spans="1:2" x14ac:dyDescent="0.35">
      <c r="A502">
        <v>515</v>
      </c>
      <c r="B502" t="s">
        <v>12722</v>
      </c>
    </row>
    <row r="503" spans="1:2" x14ac:dyDescent="0.35">
      <c r="A503">
        <v>516</v>
      </c>
      <c r="B503" t="s">
        <v>12711</v>
      </c>
    </row>
    <row r="504" spans="1:2" x14ac:dyDescent="0.35">
      <c r="A504">
        <v>517</v>
      </c>
      <c r="B504" t="s">
        <v>10094</v>
      </c>
    </row>
    <row r="505" spans="1:2" x14ac:dyDescent="0.35">
      <c r="A505">
        <v>518</v>
      </c>
      <c r="B505" t="s">
        <v>12723</v>
      </c>
    </row>
    <row r="506" spans="1:2" x14ac:dyDescent="0.35">
      <c r="A506">
        <v>519</v>
      </c>
      <c r="B506" t="s">
        <v>10091</v>
      </c>
    </row>
    <row r="507" spans="1:2" x14ac:dyDescent="0.35">
      <c r="A507">
        <v>520</v>
      </c>
      <c r="B507" t="s">
        <v>10096</v>
      </c>
    </row>
    <row r="508" spans="1:2" x14ac:dyDescent="0.35">
      <c r="A508">
        <v>521</v>
      </c>
      <c r="B508" t="s">
        <v>12710</v>
      </c>
    </row>
    <row r="509" spans="1:2" x14ac:dyDescent="0.35">
      <c r="A509">
        <v>522</v>
      </c>
      <c r="B509" t="s">
        <v>12724</v>
      </c>
    </row>
    <row r="510" spans="1:2" x14ac:dyDescent="0.35">
      <c r="A510">
        <v>523</v>
      </c>
      <c r="B510" t="s">
        <v>12725</v>
      </c>
    </row>
    <row r="511" spans="1:2" x14ac:dyDescent="0.35">
      <c r="A511">
        <v>524</v>
      </c>
      <c r="B511" t="s">
        <v>10097</v>
      </c>
    </row>
    <row r="512" spans="1:2" x14ac:dyDescent="0.35">
      <c r="A512">
        <v>525</v>
      </c>
      <c r="B512" t="s">
        <v>11234</v>
      </c>
    </row>
    <row r="513" spans="1:2" x14ac:dyDescent="0.35">
      <c r="A513">
        <v>526</v>
      </c>
      <c r="B513" t="s">
        <v>10088</v>
      </c>
    </row>
    <row r="514" spans="1:2" x14ac:dyDescent="0.35">
      <c r="A514">
        <v>527</v>
      </c>
      <c r="B514" t="s">
        <v>11236</v>
      </c>
    </row>
    <row r="515" spans="1:2" x14ac:dyDescent="0.35">
      <c r="A515">
        <v>528</v>
      </c>
      <c r="B515" t="s">
        <v>12261</v>
      </c>
    </row>
    <row r="516" spans="1:2" x14ac:dyDescent="0.35">
      <c r="A516">
        <v>529</v>
      </c>
      <c r="B516" t="s">
        <v>11237</v>
      </c>
    </row>
    <row r="517" spans="1:2" x14ac:dyDescent="0.35">
      <c r="A517">
        <v>530</v>
      </c>
      <c r="B517" t="s">
        <v>10751</v>
      </c>
    </row>
    <row r="518" spans="1:2" x14ac:dyDescent="0.35">
      <c r="A518">
        <v>531</v>
      </c>
      <c r="B518" t="s">
        <v>12263</v>
      </c>
    </row>
    <row r="519" spans="1:2" x14ac:dyDescent="0.35">
      <c r="A519">
        <v>532</v>
      </c>
      <c r="B519" t="s">
        <v>12264</v>
      </c>
    </row>
    <row r="520" spans="1:2" x14ac:dyDescent="0.35">
      <c r="A520">
        <v>533</v>
      </c>
      <c r="B520" t="s">
        <v>12265</v>
      </c>
    </row>
    <row r="521" spans="1:2" x14ac:dyDescent="0.35">
      <c r="A521">
        <v>534</v>
      </c>
      <c r="B521" t="s">
        <v>12266</v>
      </c>
    </row>
    <row r="522" spans="1:2" x14ac:dyDescent="0.35">
      <c r="A522">
        <v>535</v>
      </c>
      <c r="B522" t="s">
        <v>12268</v>
      </c>
    </row>
    <row r="523" spans="1:2" x14ac:dyDescent="0.35">
      <c r="A523">
        <v>536</v>
      </c>
      <c r="B523" t="s">
        <v>12268</v>
      </c>
    </row>
    <row r="524" spans="1:2" x14ac:dyDescent="0.35">
      <c r="A524">
        <v>537</v>
      </c>
      <c r="B524" t="s">
        <v>11172</v>
      </c>
    </row>
    <row r="525" spans="1:2" x14ac:dyDescent="0.35">
      <c r="A525">
        <v>538</v>
      </c>
      <c r="B525" t="s">
        <v>10098</v>
      </c>
    </row>
    <row r="526" spans="1:2" x14ac:dyDescent="0.35">
      <c r="A526">
        <v>539</v>
      </c>
      <c r="B526" t="s">
        <v>12272</v>
      </c>
    </row>
    <row r="527" spans="1:2" x14ac:dyDescent="0.35">
      <c r="A527">
        <v>540</v>
      </c>
      <c r="B527" t="s">
        <v>11112</v>
      </c>
    </row>
    <row r="528" spans="1:2" x14ac:dyDescent="0.35">
      <c r="A528">
        <v>541</v>
      </c>
      <c r="B528" t="s">
        <v>10089</v>
      </c>
    </row>
    <row r="529" spans="1:2" x14ac:dyDescent="0.35">
      <c r="A529">
        <v>542</v>
      </c>
      <c r="B529" t="s">
        <v>12340</v>
      </c>
    </row>
    <row r="530" spans="1:2" x14ac:dyDescent="0.35">
      <c r="A530">
        <v>543</v>
      </c>
      <c r="B530" t="s">
        <v>12726</v>
      </c>
    </row>
    <row r="531" spans="1:2" x14ac:dyDescent="0.35">
      <c r="A531">
        <v>544</v>
      </c>
      <c r="B531" t="s">
        <v>12726</v>
      </c>
    </row>
    <row r="532" spans="1:2" x14ac:dyDescent="0.35">
      <c r="A532">
        <v>545</v>
      </c>
      <c r="B532" t="s">
        <v>12274</v>
      </c>
    </row>
    <row r="533" spans="1:2" x14ac:dyDescent="0.35">
      <c r="A533">
        <v>546</v>
      </c>
      <c r="B533" t="s">
        <v>11239</v>
      </c>
    </row>
    <row r="534" spans="1:2" x14ac:dyDescent="0.35">
      <c r="A534">
        <v>547</v>
      </c>
      <c r="B534" t="s">
        <v>12274</v>
      </c>
    </row>
    <row r="535" spans="1:2" x14ac:dyDescent="0.35">
      <c r="A535">
        <v>548</v>
      </c>
      <c r="B535" t="s">
        <v>12278</v>
      </c>
    </row>
    <row r="536" spans="1:2" x14ac:dyDescent="0.35">
      <c r="A536">
        <v>549</v>
      </c>
      <c r="B536" t="s">
        <v>10094</v>
      </c>
    </row>
    <row r="537" spans="1:2" x14ac:dyDescent="0.35">
      <c r="A537">
        <v>550</v>
      </c>
      <c r="B537" t="s">
        <v>11112</v>
      </c>
    </row>
    <row r="538" spans="1:2" x14ac:dyDescent="0.35">
      <c r="A538">
        <v>551</v>
      </c>
      <c r="B538" t="s">
        <v>12280</v>
      </c>
    </row>
    <row r="539" spans="1:2" x14ac:dyDescent="0.35">
      <c r="A539">
        <v>552</v>
      </c>
      <c r="B539" t="s">
        <v>12283</v>
      </c>
    </row>
    <row r="540" spans="1:2" x14ac:dyDescent="0.35">
      <c r="A540">
        <v>553</v>
      </c>
      <c r="B540" t="s">
        <v>12723</v>
      </c>
    </row>
    <row r="541" spans="1:2" x14ac:dyDescent="0.35">
      <c r="A541">
        <v>554</v>
      </c>
      <c r="B541" t="s">
        <v>12727</v>
      </c>
    </row>
    <row r="542" spans="1:2" x14ac:dyDescent="0.35">
      <c r="A542">
        <v>555</v>
      </c>
      <c r="B542" t="s">
        <v>11234</v>
      </c>
    </row>
    <row r="543" spans="1:2" x14ac:dyDescent="0.35">
      <c r="A543">
        <v>556</v>
      </c>
      <c r="B543" t="s">
        <v>12284</v>
      </c>
    </row>
    <row r="544" spans="1:2" x14ac:dyDescent="0.35">
      <c r="A544">
        <v>557</v>
      </c>
      <c r="B544" t="s">
        <v>11241</v>
      </c>
    </row>
    <row r="545" spans="1:2" x14ac:dyDescent="0.35">
      <c r="A545">
        <v>558</v>
      </c>
      <c r="B545" t="s">
        <v>11139</v>
      </c>
    </row>
    <row r="546" spans="1:2" x14ac:dyDescent="0.35">
      <c r="A546">
        <v>559</v>
      </c>
      <c r="B546" t="s">
        <v>10505</v>
      </c>
    </row>
    <row r="547" spans="1:2" x14ac:dyDescent="0.35">
      <c r="A547">
        <v>560</v>
      </c>
      <c r="B547" t="s">
        <v>12722</v>
      </c>
    </row>
    <row r="548" spans="1:2" x14ac:dyDescent="0.35">
      <c r="A548">
        <v>561</v>
      </c>
      <c r="B548" t="s">
        <v>10088</v>
      </c>
    </row>
    <row r="549" spans="1:2" x14ac:dyDescent="0.35">
      <c r="A549">
        <v>562</v>
      </c>
      <c r="B549" t="s">
        <v>10088</v>
      </c>
    </row>
    <row r="550" spans="1:2" x14ac:dyDescent="0.35">
      <c r="A550">
        <v>563</v>
      </c>
      <c r="B550" t="s">
        <v>12288</v>
      </c>
    </row>
    <row r="551" spans="1:2" x14ac:dyDescent="0.35">
      <c r="A551">
        <v>564</v>
      </c>
      <c r="B551" t="s">
        <v>10102</v>
      </c>
    </row>
    <row r="552" spans="1:2" x14ac:dyDescent="0.35">
      <c r="A552">
        <v>565</v>
      </c>
      <c r="B552" t="s">
        <v>10089</v>
      </c>
    </row>
    <row r="553" spans="1:2" x14ac:dyDescent="0.35">
      <c r="A553">
        <v>566</v>
      </c>
      <c r="B553" t="s">
        <v>12728</v>
      </c>
    </row>
    <row r="554" spans="1:2" x14ac:dyDescent="0.35">
      <c r="A554">
        <v>567</v>
      </c>
      <c r="B554" t="s">
        <v>10088</v>
      </c>
    </row>
    <row r="555" spans="1:2" x14ac:dyDescent="0.35">
      <c r="A555">
        <v>568</v>
      </c>
      <c r="B555" t="s">
        <v>10751</v>
      </c>
    </row>
    <row r="556" spans="1:2" x14ac:dyDescent="0.35">
      <c r="A556">
        <v>569</v>
      </c>
      <c r="B556" t="s">
        <v>12294</v>
      </c>
    </row>
    <row r="557" spans="1:2" x14ac:dyDescent="0.35">
      <c r="A557">
        <v>570</v>
      </c>
      <c r="B557" t="s">
        <v>11162</v>
      </c>
    </row>
    <row r="558" spans="1:2" x14ac:dyDescent="0.35">
      <c r="A558">
        <v>571</v>
      </c>
      <c r="B558" t="s">
        <v>12297</v>
      </c>
    </row>
    <row r="559" spans="1:2" x14ac:dyDescent="0.35">
      <c r="A559">
        <v>572</v>
      </c>
      <c r="B559" t="s">
        <v>12296</v>
      </c>
    </row>
    <row r="560" spans="1:2" x14ac:dyDescent="0.35">
      <c r="A560">
        <v>573</v>
      </c>
      <c r="B560" t="s">
        <v>12298</v>
      </c>
    </row>
    <row r="561" spans="1:2" x14ac:dyDescent="0.35">
      <c r="A561">
        <v>574</v>
      </c>
      <c r="B561" t="s">
        <v>12300</v>
      </c>
    </row>
    <row r="562" spans="1:2" x14ac:dyDescent="0.35">
      <c r="A562">
        <v>575</v>
      </c>
      <c r="B562" t="s">
        <v>12302</v>
      </c>
    </row>
    <row r="563" spans="1:2" x14ac:dyDescent="0.35">
      <c r="A563">
        <v>576</v>
      </c>
      <c r="B563" t="s">
        <v>11243</v>
      </c>
    </row>
    <row r="564" spans="1:2" x14ac:dyDescent="0.35">
      <c r="A564">
        <v>577</v>
      </c>
      <c r="B564" t="s">
        <v>10103</v>
      </c>
    </row>
    <row r="565" spans="1:2" x14ac:dyDescent="0.35">
      <c r="A565">
        <v>578</v>
      </c>
      <c r="B565" t="s">
        <v>10089</v>
      </c>
    </row>
    <row r="566" spans="1:2" x14ac:dyDescent="0.35">
      <c r="A566">
        <v>579</v>
      </c>
      <c r="B566" t="s">
        <v>10645</v>
      </c>
    </row>
    <row r="567" spans="1:2" x14ac:dyDescent="0.35">
      <c r="A567">
        <v>580</v>
      </c>
      <c r="B567" t="s">
        <v>10104</v>
      </c>
    </row>
    <row r="568" spans="1:2" x14ac:dyDescent="0.35">
      <c r="A568">
        <v>581</v>
      </c>
      <c r="B568" t="s">
        <v>10092</v>
      </c>
    </row>
    <row r="569" spans="1:2" x14ac:dyDescent="0.35">
      <c r="A569">
        <v>582</v>
      </c>
      <c r="B569" t="s">
        <v>10038</v>
      </c>
    </row>
    <row r="570" spans="1:2" x14ac:dyDescent="0.35">
      <c r="A570">
        <v>583</v>
      </c>
      <c r="B570" t="s">
        <v>10104</v>
      </c>
    </row>
    <row r="571" spans="1:2" x14ac:dyDescent="0.35">
      <c r="A571">
        <v>584</v>
      </c>
      <c r="B571" t="s">
        <v>10092</v>
      </c>
    </row>
    <row r="572" spans="1:2" x14ac:dyDescent="0.35">
      <c r="A572">
        <v>585</v>
      </c>
      <c r="B572" t="s">
        <v>10104</v>
      </c>
    </row>
    <row r="573" spans="1:2" x14ac:dyDescent="0.35">
      <c r="A573">
        <v>586</v>
      </c>
      <c r="B573" t="s">
        <v>10042</v>
      </c>
    </row>
    <row r="574" spans="1:2" x14ac:dyDescent="0.35">
      <c r="A574">
        <v>587</v>
      </c>
      <c r="B574" t="s">
        <v>10092</v>
      </c>
    </row>
    <row r="575" spans="1:2" x14ac:dyDescent="0.35">
      <c r="A575">
        <v>588</v>
      </c>
      <c r="B575" t="s">
        <v>10986</v>
      </c>
    </row>
    <row r="576" spans="1:2" x14ac:dyDescent="0.35">
      <c r="A576">
        <v>589</v>
      </c>
      <c r="B576" t="s">
        <v>10756</v>
      </c>
    </row>
    <row r="577" spans="1:2" x14ac:dyDescent="0.35">
      <c r="A577">
        <v>590</v>
      </c>
      <c r="B577" t="s">
        <v>11244</v>
      </c>
    </row>
    <row r="578" spans="1:2" x14ac:dyDescent="0.35">
      <c r="A578">
        <v>591</v>
      </c>
      <c r="B578" t="s">
        <v>11245</v>
      </c>
    </row>
    <row r="579" spans="1:2" x14ac:dyDescent="0.35">
      <c r="A579">
        <v>592</v>
      </c>
      <c r="B579" t="s">
        <v>10104</v>
      </c>
    </row>
    <row r="580" spans="1:2" x14ac:dyDescent="0.35">
      <c r="A580">
        <v>593</v>
      </c>
      <c r="B580" t="s">
        <v>12315</v>
      </c>
    </row>
    <row r="581" spans="1:2" x14ac:dyDescent="0.35">
      <c r="A581">
        <v>594</v>
      </c>
      <c r="B581" t="s">
        <v>12274</v>
      </c>
    </row>
    <row r="582" spans="1:2" x14ac:dyDescent="0.35">
      <c r="A582">
        <v>595</v>
      </c>
      <c r="B582" t="s">
        <v>12729</v>
      </c>
    </row>
    <row r="583" spans="1:2" x14ac:dyDescent="0.35">
      <c r="A583">
        <v>596</v>
      </c>
      <c r="B583" t="s">
        <v>12274</v>
      </c>
    </row>
    <row r="584" spans="1:2" x14ac:dyDescent="0.35">
      <c r="A584">
        <v>597</v>
      </c>
      <c r="B584" t="s">
        <v>12729</v>
      </c>
    </row>
    <row r="585" spans="1:2" x14ac:dyDescent="0.35">
      <c r="A585">
        <v>598</v>
      </c>
      <c r="B585" t="s">
        <v>10094</v>
      </c>
    </row>
    <row r="586" spans="1:2" x14ac:dyDescent="0.35">
      <c r="A586">
        <v>599</v>
      </c>
      <c r="B586" t="s">
        <v>11246</v>
      </c>
    </row>
    <row r="587" spans="1:2" x14ac:dyDescent="0.35">
      <c r="A587">
        <v>600</v>
      </c>
      <c r="B587" t="s">
        <v>11248</v>
      </c>
    </row>
    <row r="588" spans="1:2" x14ac:dyDescent="0.35">
      <c r="A588">
        <v>601</v>
      </c>
      <c r="B588" t="s">
        <v>11249</v>
      </c>
    </row>
    <row r="589" spans="1:2" x14ac:dyDescent="0.35">
      <c r="A589">
        <v>602</v>
      </c>
      <c r="B589" t="s">
        <v>10107</v>
      </c>
    </row>
    <row r="590" spans="1:2" x14ac:dyDescent="0.35">
      <c r="A590">
        <v>603</v>
      </c>
      <c r="B590" t="s">
        <v>10108</v>
      </c>
    </row>
    <row r="591" spans="1:2" x14ac:dyDescent="0.35">
      <c r="A591">
        <v>604</v>
      </c>
      <c r="B591" t="s">
        <v>10238</v>
      </c>
    </row>
    <row r="592" spans="1:2" x14ac:dyDescent="0.35">
      <c r="A592">
        <v>605</v>
      </c>
      <c r="B592" t="s">
        <v>11250</v>
      </c>
    </row>
    <row r="593" spans="1:2" x14ac:dyDescent="0.35">
      <c r="A593">
        <v>606</v>
      </c>
      <c r="B593" t="s">
        <v>10109</v>
      </c>
    </row>
    <row r="594" spans="1:2" x14ac:dyDescent="0.35">
      <c r="A594">
        <v>607</v>
      </c>
      <c r="B594" t="s">
        <v>11252</v>
      </c>
    </row>
    <row r="595" spans="1:2" x14ac:dyDescent="0.35">
      <c r="A595">
        <v>608</v>
      </c>
      <c r="B595" t="s">
        <v>11253</v>
      </c>
    </row>
    <row r="596" spans="1:2" x14ac:dyDescent="0.35">
      <c r="A596">
        <v>609</v>
      </c>
      <c r="B596" t="s">
        <v>11254</v>
      </c>
    </row>
    <row r="597" spans="1:2" x14ac:dyDescent="0.35">
      <c r="A597">
        <v>610</v>
      </c>
      <c r="B597" t="s">
        <v>10111</v>
      </c>
    </row>
    <row r="598" spans="1:2" x14ac:dyDescent="0.35">
      <c r="A598">
        <v>611</v>
      </c>
      <c r="B598" t="s">
        <v>10112</v>
      </c>
    </row>
    <row r="599" spans="1:2" x14ac:dyDescent="0.35">
      <c r="A599">
        <v>612</v>
      </c>
      <c r="B599" t="s">
        <v>11255</v>
      </c>
    </row>
    <row r="600" spans="1:2" x14ac:dyDescent="0.35">
      <c r="A600">
        <v>613</v>
      </c>
      <c r="B600" t="s">
        <v>10757</v>
      </c>
    </row>
    <row r="601" spans="1:2" x14ac:dyDescent="0.35">
      <c r="A601">
        <v>614</v>
      </c>
      <c r="B601" t="s">
        <v>11256</v>
      </c>
    </row>
    <row r="602" spans="1:2" x14ac:dyDescent="0.35">
      <c r="A602">
        <v>615</v>
      </c>
      <c r="B602" t="s">
        <v>10113</v>
      </c>
    </row>
    <row r="603" spans="1:2" x14ac:dyDescent="0.35">
      <c r="A603">
        <v>616</v>
      </c>
      <c r="B603" t="s">
        <v>10114</v>
      </c>
    </row>
    <row r="604" spans="1:2" x14ac:dyDescent="0.35">
      <c r="A604">
        <v>617</v>
      </c>
      <c r="B604" t="s">
        <v>11128</v>
      </c>
    </row>
    <row r="605" spans="1:2" x14ac:dyDescent="0.35">
      <c r="A605">
        <v>618</v>
      </c>
      <c r="B605" t="s">
        <v>12730</v>
      </c>
    </row>
    <row r="606" spans="1:2" x14ac:dyDescent="0.35">
      <c r="A606">
        <v>619</v>
      </c>
      <c r="B606" t="s">
        <v>10722</v>
      </c>
    </row>
    <row r="607" spans="1:2" x14ac:dyDescent="0.35">
      <c r="A607">
        <v>620</v>
      </c>
      <c r="B607" t="s">
        <v>10103</v>
      </c>
    </row>
    <row r="608" spans="1:2" x14ac:dyDescent="0.35">
      <c r="A608">
        <v>621</v>
      </c>
      <c r="B608" t="s">
        <v>10037</v>
      </c>
    </row>
    <row r="609" spans="1:2" x14ac:dyDescent="0.35">
      <c r="A609">
        <v>622</v>
      </c>
      <c r="B609" t="s">
        <v>11118</v>
      </c>
    </row>
    <row r="610" spans="1:2" x14ac:dyDescent="0.35">
      <c r="A610">
        <v>623</v>
      </c>
      <c r="B610" t="s">
        <v>10093</v>
      </c>
    </row>
    <row r="611" spans="1:2" x14ac:dyDescent="0.35">
      <c r="A611">
        <v>624</v>
      </c>
      <c r="B611" t="s">
        <v>10115</v>
      </c>
    </row>
    <row r="612" spans="1:2" x14ac:dyDescent="0.35">
      <c r="A612">
        <v>625</v>
      </c>
      <c r="B612" t="s">
        <v>10751</v>
      </c>
    </row>
    <row r="613" spans="1:2" x14ac:dyDescent="0.35">
      <c r="A613">
        <v>626</v>
      </c>
      <c r="B613" t="s">
        <v>11190</v>
      </c>
    </row>
    <row r="614" spans="1:2" x14ac:dyDescent="0.35">
      <c r="A614">
        <v>627</v>
      </c>
      <c r="B614" t="s">
        <v>11257</v>
      </c>
    </row>
    <row r="615" spans="1:2" x14ac:dyDescent="0.35">
      <c r="A615">
        <v>628</v>
      </c>
      <c r="B615" t="s">
        <v>11257</v>
      </c>
    </row>
    <row r="616" spans="1:2" x14ac:dyDescent="0.35">
      <c r="A616">
        <v>629</v>
      </c>
      <c r="B616" t="s">
        <v>10116</v>
      </c>
    </row>
    <row r="617" spans="1:2" x14ac:dyDescent="0.35">
      <c r="A617">
        <v>630</v>
      </c>
      <c r="B617" t="s">
        <v>10758</v>
      </c>
    </row>
    <row r="618" spans="1:2" x14ac:dyDescent="0.35">
      <c r="A618">
        <v>631</v>
      </c>
      <c r="B618" t="s">
        <v>12336</v>
      </c>
    </row>
    <row r="619" spans="1:2" x14ac:dyDescent="0.35">
      <c r="A619">
        <v>632</v>
      </c>
      <c r="B619" t="s">
        <v>10049</v>
      </c>
    </row>
    <row r="620" spans="1:2" x14ac:dyDescent="0.35">
      <c r="A620">
        <v>633</v>
      </c>
      <c r="B620" t="s">
        <v>10049</v>
      </c>
    </row>
    <row r="621" spans="1:2" x14ac:dyDescent="0.35">
      <c r="A621">
        <v>634</v>
      </c>
      <c r="B621" t="s">
        <v>11259</v>
      </c>
    </row>
    <row r="622" spans="1:2" x14ac:dyDescent="0.35">
      <c r="A622">
        <v>635</v>
      </c>
      <c r="B622" t="s">
        <v>10117</v>
      </c>
    </row>
    <row r="623" spans="1:2" x14ac:dyDescent="0.35">
      <c r="A623">
        <v>636</v>
      </c>
      <c r="B623" t="s">
        <v>12337</v>
      </c>
    </row>
    <row r="624" spans="1:2" x14ac:dyDescent="0.35">
      <c r="A624">
        <v>637</v>
      </c>
      <c r="B624" t="s">
        <v>12731</v>
      </c>
    </row>
    <row r="625" spans="1:2" x14ac:dyDescent="0.35">
      <c r="A625">
        <v>638</v>
      </c>
      <c r="B625" t="s">
        <v>11260</v>
      </c>
    </row>
    <row r="626" spans="1:2" x14ac:dyDescent="0.35">
      <c r="A626">
        <v>639</v>
      </c>
      <c r="B626" t="s">
        <v>11261</v>
      </c>
    </row>
    <row r="627" spans="1:2" x14ac:dyDescent="0.35">
      <c r="A627">
        <v>640</v>
      </c>
      <c r="B627" t="s">
        <v>12349</v>
      </c>
    </row>
    <row r="628" spans="1:2" x14ac:dyDescent="0.35">
      <c r="A628">
        <v>641</v>
      </c>
      <c r="B628" t="s">
        <v>12342</v>
      </c>
    </row>
    <row r="629" spans="1:2" x14ac:dyDescent="0.35">
      <c r="A629">
        <v>642</v>
      </c>
      <c r="B629" t="s">
        <v>12342</v>
      </c>
    </row>
    <row r="630" spans="1:2" x14ac:dyDescent="0.35">
      <c r="A630">
        <v>643</v>
      </c>
      <c r="B630" t="s">
        <v>12342</v>
      </c>
    </row>
    <row r="631" spans="1:2" x14ac:dyDescent="0.35">
      <c r="A631">
        <v>644</v>
      </c>
      <c r="B631" t="s">
        <v>12356</v>
      </c>
    </row>
    <row r="632" spans="1:2" x14ac:dyDescent="0.35">
      <c r="A632">
        <v>645</v>
      </c>
      <c r="B632" t="s">
        <v>10118</v>
      </c>
    </row>
    <row r="633" spans="1:2" x14ac:dyDescent="0.35">
      <c r="A633">
        <v>646</v>
      </c>
      <c r="B633" t="s">
        <v>12708</v>
      </c>
    </row>
    <row r="634" spans="1:2" x14ac:dyDescent="0.35">
      <c r="A634">
        <v>647</v>
      </c>
      <c r="B634" t="s">
        <v>11262</v>
      </c>
    </row>
    <row r="635" spans="1:2" x14ac:dyDescent="0.35">
      <c r="A635">
        <v>648</v>
      </c>
      <c r="B635" t="s">
        <v>10119</v>
      </c>
    </row>
    <row r="636" spans="1:2" x14ac:dyDescent="0.35">
      <c r="A636">
        <v>649</v>
      </c>
      <c r="B636" t="s">
        <v>10059</v>
      </c>
    </row>
    <row r="637" spans="1:2" x14ac:dyDescent="0.35">
      <c r="A637">
        <v>650</v>
      </c>
      <c r="B637" t="s">
        <v>11110</v>
      </c>
    </row>
    <row r="638" spans="1:2" x14ac:dyDescent="0.35">
      <c r="A638">
        <v>651</v>
      </c>
      <c r="B638" t="s">
        <v>12732</v>
      </c>
    </row>
    <row r="639" spans="1:2" x14ac:dyDescent="0.35">
      <c r="A639">
        <v>652</v>
      </c>
      <c r="B639" t="s">
        <v>12360</v>
      </c>
    </row>
    <row r="640" spans="1:2" x14ac:dyDescent="0.35">
      <c r="A640">
        <v>653</v>
      </c>
      <c r="B640" t="s">
        <v>12362</v>
      </c>
    </row>
    <row r="641" spans="1:2" x14ac:dyDescent="0.35">
      <c r="A641">
        <v>654</v>
      </c>
      <c r="B641" t="s">
        <v>12391</v>
      </c>
    </row>
    <row r="642" spans="1:2" x14ac:dyDescent="0.35">
      <c r="A642">
        <v>655</v>
      </c>
      <c r="B642" t="s">
        <v>12365</v>
      </c>
    </row>
    <row r="643" spans="1:2" x14ac:dyDescent="0.35">
      <c r="A643">
        <v>656</v>
      </c>
      <c r="B643" t="s">
        <v>12368</v>
      </c>
    </row>
    <row r="644" spans="1:2" x14ac:dyDescent="0.35">
      <c r="A644">
        <v>657</v>
      </c>
      <c r="B644" t="s">
        <v>12370</v>
      </c>
    </row>
    <row r="645" spans="1:2" x14ac:dyDescent="0.35">
      <c r="A645">
        <v>658</v>
      </c>
      <c r="B645" t="s">
        <v>12392</v>
      </c>
    </row>
    <row r="646" spans="1:2" x14ac:dyDescent="0.35">
      <c r="A646">
        <v>659</v>
      </c>
      <c r="B646" t="s">
        <v>12393</v>
      </c>
    </row>
    <row r="647" spans="1:2" x14ac:dyDescent="0.35">
      <c r="A647">
        <v>660</v>
      </c>
      <c r="B647" t="s">
        <v>12376</v>
      </c>
    </row>
    <row r="648" spans="1:2" x14ac:dyDescent="0.35">
      <c r="A648">
        <v>661</v>
      </c>
      <c r="B648" t="s">
        <v>12381</v>
      </c>
    </row>
    <row r="649" spans="1:2" x14ac:dyDescent="0.35">
      <c r="A649">
        <v>662</v>
      </c>
      <c r="B649" t="s">
        <v>12380</v>
      </c>
    </row>
    <row r="650" spans="1:2" x14ac:dyDescent="0.35">
      <c r="A650">
        <v>663</v>
      </c>
      <c r="B650" t="s">
        <v>10120</v>
      </c>
    </row>
    <row r="651" spans="1:2" x14ac:dyDescent="0.35">
      <c r="A651">
        <v>664</v>
      </c>
      <c r="B651" t="s">
        <v>12390</v>
      </c>
    </row>
    <row r="652" spans="1:2" x14ac:dyDescent="0.35">
      <c r="A652">
        <v>665</v>
      </c>
      <c r="B652" t="s">
        <v>11264</v>
      </c>
    </row>
    <row r="653" spans="1:2" x14ac:dyDescent="0.35">
      <c r="A653">
        <v>666</v>
      </c>
      <c r="B653" t="s">
        <v>12733</v>
      </c>
    </row>
    <row r="654" spans="1:2" x14ac:dyDescent="0.35">
      <c r="A654">
        <v>667</v>
      </c>
      <c r="B654" t="s">
        <v>10121</v>
      </c>
    </row>
    <row r="655" spans="1:2" x14ac:dyDescent="0.35">
      <c r="A655">
        <v>668</v>
      </c>
      <c r="B655" t="s">
        <v>12380</v>
      </c>
    </row>
    <row r="656" spans="1:2" x14ac:dyDescent="0.35">
      <c r="A656">
        <v>669</v>
      </c>
      <c r="B656" t="s">
        <v>12396</v>
      </c>
    </row>
    <row r="657" spans="1:2" x14ac:dyDescent="0.35">
      <c r="A657">
        <v>670</v>
      </c>
      <c r="B657" t="s">
        <v>10091</v>
      </c>
    </row>
    <row r="658" spans="1:2" x14ac:dyDescent="0.35">
      <c r="A658">
        <v>671</v>
      </c>
      <c r="B658" t="s">
        <v>12405</v>
      </c>
    </row>
    <row r="659" spans="1:2" x14ac:dyDescent="0.35">
      <c r="A659">
        <v>672</v>
      </c>
      <c r="B659" t="s">
        <v>12399</v>
      </c>
    </row>
    <row r="660" spans="1:2" x14ac:dyDescent="0.35">
      <c r="A660">
        <v>673</v>
      </c>
      <c r="B660" t="s">
        <v>10166</v>
      </c>
    </row>
    <row r="661" spans="1:2" x14ac:dyDescent="0.35">
      <c r="A661">
        <v>674</v>
      </c>
      <c r="B661" t="s">
        <v>12405</v>
      </c>
    </row>
    <row r="662" spans="1:2" x14ac:dyDescent="0.35">
      <c r="A662">
        <v>675</v>
      </c>
      <c r="B662" t="s">
        <v>12399</v>
      </c>
    </row>
    <row r="663" spans="1:2" x14ac:dyDescent="0.35">
      <c r="A663">
        <v>676</v>
      </c>
      <c r="B663" t="s">
        <v>10166</v>
      </c>
    </row>
    <row r="664" spans="1:2" x14ac:dyDescent="0.35">
      <c r="A664">
        <v>677</v>
      </c>
      <c r="B664" t="s">
        <v>12406</v>
      </c>
    </row>
    <row r="665" spans="1:2" x14ac:dyDescent="0.35">
      <c r="A665">
        <v>678</v>
      </c>
      <c r="B665" t="s">
        <v>12410</v>
      </c>
    </row>
    <row r="666" spans="1:2" x14ac:dyDescent="0.35">
      <c r="A666">
        <v>679</v>
      </c>
      <c r="B666" t="s">
        <v>10504</v>
      </c>
    </row>
    <row r="667" spans="1:2" x14ac:dyDescent="0.35">
      <c r="A667">
        <v>680</v>
      </c>
      <c r="B667" t="s">
        <v>10350</v>
      </c>
    </row>
    <row r="668" spans="1:2" x14ac:dyDescent="0.35">
      <c r="A668">
        <v>681</v>
      </c>
      <c r="B668" t="s">
        <v>10042</v>
      </c>
    </row>
    <row r="669" spans="1:2" x14ac:dyDescent="0.35">
      <c r="A669">
        <v>682</v>
      </c>
      <c r="B669" t="s">
        <v>10125</v>
      </c>
    </row>
    <row r="670" spans="1:2" x14ac:dyDescent="0.35">
      <c r="A670">
        <v>683</v>
      </c>
      <c r="B670" t="s">
        <v>10123</v>
      </c>
    </row>
    <row r="671" spans="1:2" x14ac:dyDescent="0.35">
      <c r="A671">
        <v>684</v>
      </c>
      <c r="B671" t="s">
        <v>11139</v>
      </c>
    </row>
    <row r="672" spans="1:2" x14ac:dyDescent="0.35">
      <c r="A672">
        <v>685</v>
      </c>
      <c r="B672" t="s">
        <v>10124</v>
      </c>
    </row>
    <row r="673" spans="1:2" x14ac:dyDescent="0.35">
      <c r="A673">
        <v>686</v>
      </c>
      <c r="B673" t="s">
        <v>10125</v>
      </c>
    </row>
    <row r="674" spans="1:2" x14ac:dyDescent="0.35">
      <c r="A674">
        <v>687</v>
      </c>
      <c r="B674" t="s">
        <v>10126</v>
      </c>
    </row>
    <row r="675" spans="1:2" x14ac:dyDescent="0.35">
      <c r="A675">
        <v>688</v>
      </c>
      <c r="B675" t="s">
        <v>12734</v>
      </c>
    </row>
    <row r="676" spans="1:2" x14ac:dyDescent="0.35">
      <c r="A676">
        <v>689</v>
      </c>
      <c r="B676" t="s">
        <v>12418</v>
      </c>
    </row>
    <row r="677" spans="1:2" x14ac:dyDescent="0.35">
      <c r="A677">
        <v>690</v>
      </c>
      <c r="B677" t="s">
        <v>11238</v>
      </c>
    </row>
    <row r="678" spans="1:2" x14ac:dyDescent="0.35">
      <c r="A678">
        <v>691</v>
      </c>
      <c r="B678" t="s">
        <v>12735</v>
      </c>
    </row>
    <row r="679" spans="1:2" x14ac:dyDescent="0.35">
      <c r="A679">
        <v>692</v>
      </c>
      <c r="B679" t="s">
        <v>10510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48402-CE72-421C-9B35-5DF569C82D99}">
  <sheetPr codeName="Sheet8"/>
  <dimension ref="A1:A3"/>
  <sheetViews>
    <sheetView workbookViewId="0">
      <selection activeCell="H20" sqref="H20"/>
    </sheetView>
  </sheetViews>
  <sheetFormatPr defaultRowHeight="14.5" x14ac:dyDescent="0.35"/>
  <sheetData>
    <row r="1" spans="1:1" x14ac:dyDescent="0.35">
      <c r="A1" t="str">
        <f xml:space="preserve"> _xlfn.TEXTJOIN("; ", TRUE,acts_and_miracles!D604:D679)</f>
        <v>1 Samuel 1:4-5; 1 Samuel 1:10-11, 17-20; 1 Samuel 1:20-21; 1 Samuel 2:21, 26; 1 Samuel 2:27-36; 1 Samuel 3:4-10; 1 Samuel 3:11-14; 1 Samuel 3:19-21; 1 Samuel 3:21; 1 Samuel 4:10-11; 1 Samuel 4:17-18; 1 Samuel 4:18; 1 Samuel 4:19-22; 1 Samuel 5:2-4; 1 Samuel 5:6-7; 1 Samuel 5:8-9; 1 Samuel 5:10-12; 1 Samuel 6:19; 1 Samuel 7:1-2; 1 Samuel 7:3-4; 1 Samuel 7:10; 1 Samuel 7:10-11; 1 Samuel 7:13-14; 1 Samuel 8:7-9; 1 Samuel 8:10-18; 1 Samuel 8:22; 1 Samuel 9:15-16; 1 Samuel 9:17; 1 Samuel 10:1; 1 Samuel 10:2-9; 1 Samuel 10:9; 1 Samuel 10:9-10; 1 Samuel 10:10-13; 1 Samuel 10:18-19; 1 Samuel 10:20-21; 1 Samuel 10:22; 1 Samuel 11:6; 1 Samuel 12:5-6; 1 Samuel 12:17-18; 1 Samuel 13:13-14; 1 Samuel 14:41-42; 1 Samuel 15:2-3; 1 Samuel 15:10-11; 1 Samuel 15:17-19; 1 Samuel 15:22-23; 1 Samuel 15:28-29; 1 Samuel 15:35; 1 Samuel 16:1-3; 1 Samuel 16:6-10; 1 Samuel 16:11-12; 1 Samuel 16:13; 1 Samuel 16:14; 1 Samuel 16:23; 1 Samuel 17:45-51; 1 Samuel 18:12, 14, 28; 1 Samuel 18:10; 1 Samuel 18:10-11; 1 Samuel 18:14; 1 Samuel 19:9-10; 1 Samuel 19:10; 1 Samuel 19:20-24; 1 Samuel 23:2-4; 1 Samuel 23:10-12; 1 Samuel 23:14; 1 Samuel 23:25-28; 1 Samuel 24:1-7; 1 Samuel 24:16-20; 1 Samuel 25:38; 1 Samuel 25:39-42; 1 Samuel 26:7-12; 1 Samuel 26:12; 1 Samuel 28:11-19; 1 Samuel 28:19; 1 Samuel 30:7-8; 1 Samuel 30:17-20; 1 Samuel 31:1-7</v>
      </c>
    </row>
    <row r="3" spans="1:1" x14ac:dyDescent="0.35">
      <c r="A3" t="s">
        <v>12420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269AC-CAF5-48E3-87A2-7EC82064E269}">
  <sheetPr codeName="Sheet9"/>
  <dimension ref="A1:E155"/>
  <sheetViews>
    <sheetView topLeftCell="A52" workbookViewId="0">
      <selection activeCell="B1" sqref="B1:B76"/>
    </sheetView>
  </sheetViews>
  <sheetFormatPr defaultColWidth="79.6328125" defaultRowHeight="14.5" x14ac:dyDescent="0.35"/>
  <cols>
    <col min="1" max="1" width="17.36328125" bestFit="1" customWidth="1"/>
    <col min="2" max="2" width="17.54296875" bestFit="1" customWidth="1"/>
    <col min="3" max="3" width="14.36328125" bestFit="1" customWidth="1"/>
    <col min="4" max="4" width="18.1796875" customWidth="1"/>
    <col min="5" max="5" width="5.81640625" bestFit="1" customWidth="1"/>
  </cols>
  <sheetData>
    <row r="1" spans="1:5" x14ac:dyDescent="0.35">
      <c r="A1" t="s">
        <v>12330</v>
      </c>
      <c r="B1" s="26" t="s">
        <v>990</v>
      </c>
      <c r="C1" t="s">
        <v>99</v>
      </c>
      <c r="D1" s="26" t="s">
        <v>12421</v>
      </c>
      <c r="E1" t="str">
        <f>IF(D1=C1, "", "F")</f>
        <v>F</v>
      </c>
    </row>
    <row r="2" spans="1:5" x14ac:dyDescent="0.35">
      <c r="A2" t="s">
        <v>12331</v>
      </c>
      <c r="B2" s="26" t="s">
        <v>990</v>
      </c>
      <c r="C2" t="s">
        <v>99</v>
      </c>
      <c r="D2" s="26" t="s">
        <v>12422</v>
      </c>
      <c r="E2" t="str">
        <f t="shared" ref="E2:E65" si="0">IF(D2=C2, "", "F")</f>
        <v>F</v>
      </c>
    </row>
    <row r="3" spans="1:5" x14ac:dyDescent="0.35">
      <c r="A3" t="s">
        <v>12332</v>
      </c>
      <c r="B3" s="26" t="s">
        <v>84</v>
      </c>
      <c r="C3" t="s">
        <v>99</v>
      </c>
      <c r="D3" s="26" t="s">
        <v>12423</v>
      </c>
      <c r="E3" t="str">
        <f t="shared" si="0"/>
        <v>F</v>
      </c>
    </row>
    <row r="4" spans="1:5" x14ac:dyDescent="0.35">
      <c r="A4" t="s">
        <v>1040</v>
      </c>
      <c r="B4" t="s">
        <v>1041</v>
      </c>
      <c r="C4" t="s">
        <v>1042</v>
      </c>
      <c r="D4" s="26" t="s">
        <v>12424</v>
      </c>
      <c r="E4" t="str">
        <f t="shared" si="0"/>
        <v>F</v>
      </c>
    </row>
    <row r="5" spans="1:5" x14ac:dyDescent="0.35">
      <c r="A5" t="s">
        <v>1044</v>
      </c>
      <c r="B5" s="26" t="s">
        <v>990</v>
      </c>
      <c r="C5" t="s">
        <v>1045</v>
      </c>
      <c r="D5" s="26" t="s">
        <v>1042</v>
      </c>
      <c r="E5" t="str">
        <f t="shared" si="0"/>
        <v>F</v>
      </c>
    </row>
    <row r="6" spans="1:5" x14ac:dyDescent="0.35">
      <c r="A6" s="27" t="s">
        <v>1048</v>
      </c>
      <c r="B6" s="28" t="s">
        <v>990</v>
      </c>
      <c r="C6" s="27" t="s">
        <v>100</v>
      </c>
      <c r="D6" s="28" t="s">
        <v>100</v>
      </c>
      <c r="E6" s="27" t="str">
        <f t="shared" si="0"/>
        <v/>
      </c>
    </row>
    <row r="7" spans="1:5" x14ac:dyDescent="0.35">
      <c r="A7" s="27" t="s">
        <v>12333</v>
      </c>
      <c r="B7" s="28" t="s">
        <v>990</v>
      </c>
      <c r="C7" s="27" t="s">
        <v>100</v>
      </c>
      <c r="D7" s="28" t="s">
        <v>100</v>
      </c>
      <c r="E7" s="27" t="str">
        <f t="shared" si="0"/>
        <v/>
      </c>
    </row>
    <row r="8" spans="1:5" x14ac:dyDescent="0.35">
      <c r="A8" t="s">
        <v>1051</v>
      </c>
      <c r="B8" s="26" t="s">
        <v>990</v>
      </c>
      <c r="C8" t="s">
        <v>1053</v>
      </c>
      <c r="D8" s="26" t="s">
        <v>12425</v>
      </c>
      <c r="E8" t="str">
        <f t="shared" si="0"/>
        <v>F</v>
      </c>
    </row>
    <row r="9" spans="1:5" x14ac:dyDescent="0.35">
      <c r="A9" t="s">
        <v>1055</v>
      </c>
      <c r="B9" s="26" t="s">
        <v>990</v>
      </c>
      <c r="C9" t="s">
        <v>1053</v>
      </c>
      <c r="D9" s="26" t="s">
        <v>12426</v>
      </c>
      <c r="E9" t="str">
        <f t="shared" si="0"/>
        <v>F</v>
      </c>
    </row>
    <row r="10" spans="1:5" x14ac:dyDescent="0.35">
      <c r="A10" t="s">
        <v>1057</v>
      </c>
      <c r="B10" s="26" t="s">
        <v>12427</v>
      </c>
      <c r="C10" t="s">
        <v>101</v>
      </c>
      <c r="D10" s="26" t="s">
        <v>12426</v>
      </c>
      <c r="E10" t="str">
        <f t="shared" si="0"/>
        <v>F</v>
      </c>
    </row>
    <row r="11" spans="1:5" x14ac:dyDescent="0.35">
      <c r="A11" t="s">
        <v>1059</v>
      </c>
      <c r="B11" s="26" t="s">
        <v>990</v>
      </c>
      <c r="C11" t="s">
        <v>101</v>
      </c>
      <c r="D11" s="26" t="s">
        <v>12426</v>
      </c>
      <c r="E11" t="str">
        <f t="shared" si="0"/>
        <v>F</v>
      </c>
    </row>
    <row r="12" spans="1:5" x14ac:dyDescent="0.35">
      <c r="A12" t="s">
        <v>12335</v>
      </c>
      <c r="B12" s="26" t="s">
        <v>990</v>
      </c>
      <c r="C12" t="s">
        <v>101</v>
      </c>
      <c r="D12" s="26" t="s">
        <v>12426</v>
      </c>
      <c r="E12" t="str">
        <f t="shared" si="0"/>
        <v>F</v>
      </c>
    </row>
    <row r="13" spans="1:5" x14ac:dyDescent="0.35">
      <c r="A13" t="s">
        <v>1061</v>
      </c>
      <c r="B13" s="26" t="s">
        <v>990</v>
      </c>
      <c r="C13" t="s">
        <v>101</v>
      </c>
      <c r="D13" s="26" t="s">
        <v>12426</v>
      </c>
      <c r="E13" t="str">
        <f t="shared" si="0"/>
        <v>F</v>
      </c>
    </row>
    <row r="14" spans="1:5" x14ac:dyDescent="0.35">
      <c r="A14" t="s">
        <v>85</v>
      </c>
      <c r="B14" s="26" t="s">
        <v>1062</v>
      </c>
      <c r="C14" t="s">
        <v>101</v>
      </c>
      <c r="D14" s="26" t="s">
        <v>12428</v>
      </c>
      <c r="E14" t="str">
        <f t="shared" si="0"/>
        <v>F</v>
      </c>
    </row>
    <row r="15" spans="1:5" x14ac:dyDescent="0.35">
      <c r="A15" t="s">
        <v>1064</v>
      </c>
      <c r="B15" s="26" t="s">
        <v>1062</v>
      </c>
      <c r="C15" t="s">
        <v>101</v>
      </c>
      <c r="D15" s="26" t="s">
        <v>12429</v>
      </c>
      <c r="E15" t="str">
        <f t="shared" si="0"/>
        <v>F</v>
      </c>
    </row>
    <row r="16" spans="1:5" x14ac:dyDescent="0.35">
      <c r="A16" t="s">
        <v>1065</v>
      </c>
      <c r="B16" s="26" t="s">
        <v>1066</v>
      </c>
      <c r="C16" t="s">
        <v>101</v>
      </c>
      <c r="D16" s="26" t="s">
        <v>12429</v>
      </c>
      <c r="E16" t="str">
        <f t="shared" si="0"/>
        <v>F</v>
      </c>
    </row>
    <row r="17" spans="1:5" x14ac:dyDescent="0.35">
      <c r="A17" t="s">
        <v>1067</v>
      </c>
      <c r="B17" s="26" t="s">
        <v>1068</v>
      </c>
      <c r="C17" t="s">
        <v>101</v>
      </c>
      <c r="D17" s="26" t="s">
        <v>12429</v>
      </c>
      <c r="E17" t="str">
        <f t="shared" si="0"/>
        <v>F</v>
      </c>
    </row>
    <row r="18" spans="1:5" x14ac:dyDescent="0.35">
      <c r="A18" t="s">
        <v>86</v>
      </c>
      <c r="B18" s="26" t="s">
        <v>87</v>
      </c>
      <c r="C18" t="s">
        <v>101</v>
      </c>
      <c r="D18" s="26" t="s">
        <v>12429</v>
      </c>
      <c r="E18" t="str">
        <f t="shared" si="0"/>
        <v>F</v>
      </c>
    </row>
    <row r="19" spans="1:5" x14ac:dyDescent="0.35">
      <c r="A19" t="s">
        <v>1071</v>
      </c>
      <c r="B19" s="26" t="s">
        <v>1072</v>
      </c>
      <c r="C19" t="s">
        <v>1073</v>
      </c>
      <c r="D19" s="26" t="s">
        <v>12430</v>
      </c>
      <c r="E19" t="str">
        <f t="shared" si="0"/>
        <v>F</v>
      </c>
    </row>
    <row r="20" spans="1:5" x14ac:dyDescent="0.35">
      <c r="A20" t="s">
        <v>1075</v>
      </c>
      <c r="B20" t="s">
        <v>1052</v>
      </c>
      <c r="C20" t="s">
        <v>102</v>
      </c>
      <c r="D20" s="26" t="s">
        <v>12431</v>
      </c>
      <c r="E20" t="str">
        <f t="shared" si="0"/>
        <v>F</v>
      </c>
    </row>
    <row r="21" spans="1:5" x14ac:dyDescent="0.35">
      <c r="A21" t="s">
        <v>1077</v>
      </c>
      <c r="B21" t="s">
        <v>12433</v>
      </c>
      <c r="C21" t="s">
        <v>102</v>
      </c>
      <c r="D21" s="26" t="s">
        <v>12431</v>
      </c>
      <c r="E21" t="str">
        <f t="shared" si="0"/>
        <v>F</v>
      </c>
    </row>
    <row r="22" spans="1:5" x14ac:dyDescent="0.35">
      <c r="A22" t="s">
        <v>88</v>
      </c>
      <c r="B22" t="s">
        <v>12453</v>
      </c>
      <c r="C22" t="s">
        <v>102</v>
      </c>
      <c r="D22" s="26" t="s">
        <v>12431</v>
      </c>
      <c r="E22" t="str">
        <f t="shared" si="0"/>
        <v>F</v>
      </c>
    </row>
    <row r="23" spans="1:5" x14ac:dyDescent="0.35">
      <c r="A23" t="s">
        <v>1081</v>
      </c>
      <c r="B23" t="s">
        <v>1052</v>
      </c>
      <c r="C23" t="s">
        <v>102</v>
      </c>
      <c r="D23" s="26" t="s">
        <v>12434</v>
      </c>
      <c r="E23" t="str">
        <f t="shared" si="0"/>
        <v>F</v>
      </c>
    </row>
    <row r="24" spans="1:5" x14ac:dyDescent="0.35">
      <c r="A24" s="27" t="s">
        <v>12350</v>
      </c>
      <c r="B24" s="28" t="s">
        <v>84</v>
      </c>
      <c r="C24" s="27" t="s">
        <v>103</v>
      </c>
      <c r="D24" s="28" t="s">
        <v>103</v>
      </c>
      <c r="E24" s="27" t="str">
        <f t="shared" si="0"/>
        <v/>
      </c>
    </row>
    <row r="25" spans="1:5" x14ac:dyDescent="0.35">
      <c r="A25" s="27" t="s">
        <v>12351</v>
      </c>
      <c r="B25" s="28" t="s">
        <v>84</v>
      </c>
      <c r="C25" s="27" t="s">
        <v>103</v>
      </c>
      <c r="D25" s="28" t="s">
        <v>103</v>
      </c>
      <c r="E25" s="27" t="str">
        <f t="shared" si="0"/>
        <v/>
      </c>
    </row>
    <row r="26" spans="1:5" x14ac:dyDescent="0.35">
      <c r="A26" s="27" t="s">
        <v>12354</v>
      </c>
      <c r="B26" s="28" t="s">
        <v>84</v>
      </c>
      <c r="C26" s="27" t="s">
        <v>103</v>
      </c>
      <c r="D26" s="28" t="s">
        <v>103</v>
      </c>
      <c r="E26" s="27" t="str">
        <f t="shared" si="0"/>
        <v/>
      </c>
    </row>
    <row r="27" spans="1:5" x14ac:dyDescent="0.35">
      <c r="A27" s="29" t="s">
        <v>1083</v>
      </c>
      <c r="B27" s="28" t="s">
        <v>84</v>
      </c>
      <c r="C27" s="29" t="s">
        <v>103</v>
      </c>
      <c r="D27" s="28" t="s">
        <v>103</v>
      </c>
      <c r="E27" s="27" t="str">
        <f t="shared" si="0"/>
        <v/>
      </c>
    </row>
    <row r="28" spans="1:5" x14ac:dyDescent="0.35">
      <c r="A28" s="27" t="s">
        <v>12355</v>
      </c>
      <c r="B28" s="28" t="s">
        <v>84</v>
      </c>
      <c r="C28" s="27" t="s">
        <v>103</v>
      </c>
      <c r="D28" s="28" t="s">
        <v>103</v>
      </c>
      <c r="E28" s="27" t="str">
        <f t="shared" si="0"/>
        <v/>
      </c>
    </row>
    <row r="29" spans="1:5" x14ac:dyDescent="0.35">
      <c r="A29" s="27" t="s">
        <v>1086</v>
      </c>
      <c r="B29" s="28" t="s">
        <v>84</v>
      </c>
      <c r="C29" s="27" t="s">
        <v>103</v>
      </c>
      <c r="D29" s="28" t="s">
        <v>103</v>
      </c>
      <c r="E29" s="27" t="str">
        <f t="shared" si="0"/>
        <v/>
      </c>
    </row>
    <row r="30" spans="1:5" x14ac:dyDescent="0.35">
      <c r="A30" s="27" t="s">
        <v>12357</v>
      </c>
      <c r="B30" s="28" t="s">
        <v>12435</v>
      </c>
      <c r="C30" s="27" t="s">
        <v>103</v>
      </c>
      <c r="D30" s="28" t="s">
        <v>103</v>
      </c>
      <c r="E30" s="27" t="str">
        <f t="shared" si="0"/>
        <v/>
      </c>
    </row>
    <row r="31" spans="1:5" x14ac:dyDescent="0.35">
      <c r="A31" s="27" t="s">
        <v>1093</v>
      </c>
      <c r="B31" s="28" t="s">
        <v>12435</v>
      </c>
      <c r="C31" s="27" t="s">
        <v>103</v>
      </c>
      <c r="D31" s="28" t="s">
        <v>103</v>
      </c>
      <c r="E31" s="27" t="str">
        <f t="shared" si="0"/>
        <v/>
      </c>
    </row>
    <row r="32" spans="1:5" x14ac:dyDescent="0.35">
      <c r="A32" s="27" t="s">
        <v>1089</v>
      </c>
      <c r="B32" s="28" t="s">
        <v>1099</v>
      </c>
      <c r="C32" s="27" t="s">
        <v>103</v>
      </c>
      <c r="D32" s="28" t="s">
        <v>103</v>
      </c>
      <c r="E32" s="27" t="str">
        <f t="shared" si="0"/>
        <v/>
      </c>
    </row>
    <row r="33" spans="1:5" x14ac:dyDescent="0.35">
      <c r="A33" s="27" t="s">
        <v>1091</v>
      </c>
      <c r="B33" s="28" t="s">
        <v>1099</v>
      </c>
      <c r="C33" s="27" t="s">
        <v>103</v>
      </c>
      <c r="D33" s="28" t="s">
        <v>103</v>
      </c>
      <c r="E33" s="27" t="str">
        <f t="shared" si="0"/>
        <v/>
      </c>
    </row>
    <row r="34" spans="1:5" x14ac:dyDescent="0.35">
      <c r="A34" s="27" t="s">
        <v>12358</v>
      </c>
      <c r="B34" s="28" t="s">
        <v>12433</v>
      </c>
      <c r="C34" s="27" t="s">
        <v>103</v>
      </c>
      <c r="D34" s="28" t="s">
        <v>103</v>
      </c>
      <c r="E34" s="27" t="str">
        <f t="shared" si="0"/>
        <v/>
      </c>
    </row>
    <row r="35" spans="1:5" x14ac:dyDescent="0.35">
      <c r="A35" s="27" t="s">
        <v>1095</v>
      </c>
      <c r="B35" s="28" t="s">
        <v>12433</v>
      </c>
      <c r="C35" s="27" t="s">
        <v>103</v>
      </c>
      <c r="D35" s="28" t="s">
        <v>103</v>
      </c>
      <c r="E35" s="27" t="str">
        <f t="shared" si="0"/>
        <v/>
      </c>
    </row>
    <row r="36" spans="1:5" x14ac:dyDescent="0.35">
      <c r="A36" s="27" t="s">
        <v>1097</v>
      </c>
      <c r="B36" s="28" t="s">
        <v>12433</v>
      </c>
      <c r="C36" s="27" t="s">
        <v>103</v>
      </c>
      <c r="D36" s="28" t="s">
        <v>103</v>
      </c>
      <c r="E36" s="27" t="str">
        <f t="shared" si="0"/>
        <v/>
      </c>
    </row>
    <row r="37" spans="1:5" x14ac:dyDescent="0.35">
      <c r="A37" t="s">
        <v>12363</v>
      </c>
      <c r="B37" s="26" t="s">
        <v>1099</v>
      </c>
      <c r="C37" t="s">
        <v>103</v>
      </c>
      <c r="D37" s="26" t="s">
        <v>12436</v>
      </c>
      <c r="E37" t="str">
        <f t="shared" si="0"/>
        <v>F</v>
      </c>
    </row>
    <row r="38" spans="1:5" x14ac:dyDescent="0.35">
      <c r="A38" t="s">
        <v>12384</v>
      </c>
      <c r="B38" s="26" t="s">
        <v>893</v>
      </c>
      <c r="C38" t="s">
        <v>103</v>
      </c>
      <c r="D38" s="26" t="s">
        <v>12436</v>
      </c>
      <c r="E38" t="str">
        <f t="shared" si="0"/>
        <v>F</v>
      </c>
    </row>
    <row r="39" spans="1:5" x14ac:dyDescent="0.35">
      <c r="A39" t="s">
        <v>1098</v>
      </c>
      <c r="B39" s="26" t="s">
        <v>893</v>
      </c>
      <c r="C39" t="s">
        <v>103</v>
      </c>
      <c r="D39" s="26" t="s">
        <v>12436</v>
      </c>
      <c r="E39" t="str">
        <f t="shared" si="0"/>
        <v>F</v>
      </c>
    </row>
    <row r="40" spans="1:5" x14ac:dyDescent="0.35">
      <c r="A40" t="s">
        <v>12366</v>
      </c>
      <c r="B40" s="26" t="s">
        <v>893</v>
      </c>
      <c r="C40" t="s">
        <v>103</v>
      </c>
      <c r="D40" s="26" t="s">
        <v>12437</v>
      </c>
      <c r="E40" t="str">
        <f t="shared" si="0"/>
        <v>F</v>
      </c>
    </row>
    <row r="41" spans="1:5" x14ac:dyDescent="0.35">
      <c r="A41" t="s">
        <v>12385</v>
      </c>
      <c r="B41" s="26" t="s">
        <v>12439</v>
      </c>
      <c r="C41" t="s">
        <v>104</v>
      </c>
      <c r="D41" s="26" t="s">
        <v>12438</v>
      </c>
      <c r="E41" t="str">
        <f t="shared" si="0"/>
        <v>F</v>
      </c>
    </row>
    <row r="42" spans="1:5" x14ac:dyDescent="0.35">
      <c r="A42" s="23" t="s">
        <v>12386</v>
      </c>
      <c r="B42" s="26" t="s">
        <v>893</v>
      </c>
      <c r="C42" s="15" t="s">
        <v>104</v>
      </c>
      <c r="D42" s="26" t="s">
        <v>12440</v>
      </c>
      <c r="E42" t="str">
        <f t="shared" si="0"/>
        <v>F</v>
      </c>
    </row>
    <row r="43" spans="1:5" x14ac:dyDescent="0.35">
      <c r="A43" s="23" t="s">
        <v>12374</v>
      </c>
      <c r="B43" s="26" t="s">
        <v>12441</v>
      </c>
      <c r="C43" s="15" t="s">
        <v>104</v>
      </c>
      <c r="D43" s="26" t="s">
        <v>12440</v>
      </c>
      <c r="E43" t="str">
        <f t="shared" si="0"/>
        <v>F</v>
      </c>
    </row>
    <row r="44" spans="1:5" x14ac:dyDescent="0.35">
      <c r="A44" s="23" t="s">
        <v>12377</v>
      </c>
      <c r="B44" s="26" t="s">
        <v>893</v>
      </c>
      <c r="C44" s="15" t="s">
        <v>104</v>
      </c>
      <c r="D44" s="26" t="s">
        <v>12440</v>
      </c>
      <c r="E44" t="str">
        <f t="shared" si="0"/>
        <v>F</v>
      </c>
    </row>
    <row r="45" spans="1:5" x14ac:dyDescent="0.35">
      <c r="A45" s="23" t="s">
        <v>12378</v>
      </c>
      <c r="B45" s="26" t="s">
        <v>893</v>
      </c>
      <c r="C45" s="15" t="s">
        <v>104</v>
      </c>
      <c r="D45" s="26" t="s">
        <v>12440</v>
      </c>
      <c r="E45" t="str">
        <f t="shared" si="0"/>
        <v>F</v>
      </c>
    </row>
    <row r="46" spans="1:5" x14ac:dyDescent="0.35">
      <c r="A46" s="23" t="s">
        <v>12382</v>
      </c>
      <c r="B46" s="26" t="s">
        <v>893</v>
      </c>
      <c r="C46" s="15" t="s">
        <v>104</v>
      </c>
      <c r="D46" s="26" t="s">
        <v>12440</v>
      </c>
      <c r="E46" t="str">
        <f t="shared" si="0"/>
        <v>F</v>
      </c>
    </row>
    <row r="47" spans="1:5" x14ac:dyDescent="0.35">
      <c r="A47" s="23" t="s">
        <v>12388</v>
      </c>
      <c r="B47" s="26" t="s">
        <v>84</v>
      </c>
      <c r="C47" s="15" t="s">
        <v>104</v>
      </c>
      <c r="D47" s="26" t="s">
        <v>12440</v>
      </c>
      <c r="E47" t="str">
        <f t="shared" si="0"/>
        <v>F</v>
      </c>
    </row>
    <row r="48" spans="1:5" x14ac:dyDescent="0.35">
      <c r="A48" s="29" t="s">
        <v>1101</v>
      </c>
      <c r="B48" s="28" t="s">
        <v>84</v>
      </c>
      <c r="C48" s="27" t="s">
        <v>104</v>
      </c>
      <c r="D48" s="28" t="s">
        <v>104</v>
      </c>
      <c r="E48" s="27" t="str">
        <f t="shared" si="0"/>
        <v/>
      </c>
    </row>
    <row r="49" spans="1:5" x14ac:dyDescent="0.35">
      <c r="A49" s="27" t="s">
        <v>1104</v>
      </c>
      <c r="B49" s="28" t="s">
        <v>1102</v>
      </c>
      <c r="C49" s="27" t="s">
        <v>104</v>
      </c>
      <c r="D49" s="28" t="s">
        <v>104</v>
      </c>
      <c r="E49" s="27" t="str">
        <f t="shared" si="0"/>
        <v/>
      </c>
    </row>
    <row r="50" spans="1:5" x14ac:dyDescent="0.35">
      <c r="A50" s="27" t="s">
        <v>1106</v>
      </c>
      <c r="B50" s="28" t="s">
        <v>1102</v>
      </c>
      <c r="C50" s="27" t="s">
        <v>104</v>
      </c>
      <c r="D50" s="28" t="s">
        <v>104</v>
      </c>
      <c r="E50" s="27" t="str">
        <f t="shared" si="0"/>
        <v/>
      </c>
    </row>
    <row r="51" spans="1:5" x14ac:dyDescent="0.35">
      <c r="A51" s="27" t="s">
        <v>1108</v>
      </c>
      <c r="B51" s="28" t="s">
        <v>1102</v>
      </c>
      <c r="C51" s="27" t="s">
        <v>104</v>
      </c>
      <c r="D51" s="28" t="s">
        <v>104</v>
      </c>
      <c r="E51" s="27" t="str">
        <f t="shared" si="0"/>
        <v/>
      </c>
    </row>
    <row r="52" spans="1:5" x14ac:dyDescent="0.35">
      <c r="A52" s="29" t="s">
        <v>89</v>
      </c>
      <c r="B52" s="28" t="s">
        <v>12441</v>
      </c>
      <c r="C52" s="30" t="s">
        <v>104</v>
      </c>
      <c r="D52" s="28" t="s">
        <v>104</v>
      </c>
      <c r="E52" s="27" t="str">
        <f t="shared" si="0"/>
        <v/>
      </c>
    </row>
    <row r="53" spans="1:5" x14ac:dyDescent="0.35">
      <c r="A53" t="s">
        <v>12397</v>
      </c>
      <c r="B53" s="26" t="s">
        <v>1099</v>
      </c>
      <c r="C53" t="s">
        <v>104</v>
      </c>
      <c r="D53" s="26" t="s">
        <v>12442</v>
      </c>
      <c r="E53" t="str">
        <f t="shared" si="0"/>
        <v>F</v>
      </c>
    </row>
    <row r="54" spans="1:5" x14ac:dyDescent="0.35">
      <c r="A54" t="s">
        <v>90</v>
      </c>
      <c r="B54" s="26" t="s">
        <v>91</v>
      </c>
      <c r="C54" t="s">
        <v>104</v>
      </c>
      <c r="D54" s="26" t="s">
        <v>12443</v>
      </c>
      <c r="E54" t="str">
        <f t="shared" si="0"/>
        <v>F</v>
      </c>
    </row>
    <row r="55" spans="1:5" x14ac:dyDescent="0.35">
      <c r="A55" t="s">
        <v>1111</v>
      </c>
      <c r="B55" s="26" t="s">
        <v>1099</v>
      </c>
      <c r="C55" t="s">
        <v>1113</v>
      </c>
      <c r="D55" s="26" t="s">
        <v>12444</v>
      </c>
      <c r="E55" t="str">
        <f t="shared" si="0"/>
        <v>F</v>
      </c>
    </row>
    <row r="56" spans="1:5" x14ac:dyDescent="0.35">
      <c r="A56" t="s">
        <v>12400</v>
      </c>
      <c r="B56" s="26" t="s">
        <v>1099</v>
      </c>
      <c r="C56" t="s">
        <v>1115</v>
      </c>
      <c r="D56" s="26" t="s">
        <v>12444</v>
      </c>
      <c r="E56" t="str">
        <f t="shared" si="0"/>
        <v>F</v>
      </c>
    </row>
    <row r="57" spans="1:5" x14ac:dyDescent="0.35">
      <c r="A57" t="s">
        <v>12401</v>
      </c>
      <c r="B57" s="26" t="s">
        <v>1099</v>
      </c>
      <c r="C57" t="s">
        <v>1115</v>
      </c>
      <c r="D57" s="26" t="s">
        <v>12444</v>
      </c>
      <c r="E57" t="str">
        <f t="shared" si="0"/>
        <v>F</v>
      </c>
    </row>
    <row r="58" spans="1:5" x14ac:dyDescent="0.35">
      <c r="A58" t="s">
        <v>12403</v>
      </c>
      <c r="B58" s="26" t="s">
        <v>12432</v>
      </c>
      <c r="C58" t="s">
        <v>1115</v>
      </c>
      <c r="D58" s="26" t="s">
        <v>12444</v>
      </c>
      <c r="E58" t="str">
        <f t="shared" si="0"/>
        <v>F</v>
      </c>
    </row>
    <row r="59" spans="1:5" x14ac:dyDescent="0.35">
      <c r="A59" t="s">
        <v>12402</v>
      </c>
      <c r="B59" s="26" t="s">
        <v>1099</v>
      </c>
      <c r="C59" t="s">
        <v>1115</v>
      </c>
      <c r="D59" s="26" t="s">
        <v>12445</v>
      </c>
      <c r="E59" t="str">
        <f t="shared" si="0"/>
        <v>F</v>
      </c>
    </row>
    <row r="60" spans="1:5" x14ac:dyDescent="0.35">
      <c r="A60" t="s">
        <v>12404</v>
      </c>
      <c r="B60" s="26" t="s">
        <v>1099</v>
      </c>
      <c r="C60" t="s">
        <v>1115</v>
      </c>
      <c r="D60" s="26" t="s">
        <v>12445</v>
      </c>
      <c r="E60" t="str">
        <f t="shared" si="0"/>
        <v>F</v>
      </c>
    </row>
    <row r="61" spans="1:5" x14ac:dyDescent="0.35">
      <c r="A61" t="s">
        <v>12409</v>
      </c>
      <c r="B61" s="26" t="s">
        <v>12407</v>
      </c>
      <c r="C61" t="s">
        <v>1115</v>
      </c>
      <c r="D61" s="26" t="s">
        <v>12445</v>
      </c>
      <c r="E61" t="str">
        <f t="shared" si="0"/>
        <v>F</v>
      </c>
    </row>
    <row r="62" spans="1:5" x14ac:dyDescent="0.35">
      <c r="A62" t="s">
        <v>12412</v>
      </c>
      <c r="B62" t="s">
        <v>92</v>
      </c>
      <c r="C62" t="s">
        <v>1116</v>
      </c>
      <c r="D62" s="26" t="s">
        <v>12446</v>
      </c>
      <c r="E62" t="str">
        <f t="shared" si="0"/>
        <v>F</v>
      </c>
    </row>
    <row r="63" spans="1:5" x14ac:dyDescent="0.35">
      <c r="A63" t="s">
        <v>1118</v>
      </c>
      <c r="B63" s="26" t="s">
        <v>1119</v>
      </c>
      <c r="C63" t="s">
        <v>106</v>
      </c>
      <c r="D63" s="26" t="s">
        <v>12446</v>
      </c>
      <c r="E63" t="str">
        <f t="shared" si="0"/>
        <v>F</v>
      </c>
    </row>
    <row r="64" spans="1:5" x14ac:dyDescent="0.35">
      <c r="A64" t="s">
        <v>1120</v>
      </c>
      <c r="B64" s="26" t="s">
        <v>1121</v>
      </c>
      <c r="C64" t="s">
        <v>1122</v>
      </c>
      <c r="D64" s="26" t="s">
        <v>12447</v>
      </c>
      <c r="E64" t="str">
        <f t="shared" si="0"/>
        <v>F</v>
      </c>
    </row>
    <row r="65" spans="1:5" ht="29" x14ac:dyDescent="0.35">
      <c r="A65" t="s">
        <v>12414</v>
      </c>
      <c r="B65" s="26" t="s">
        <v>1125</v>
      </c>
      <c r="C65" t="s">
        <v>1123</v>
      </c>
      <c r="D65" s="26" t="s">
        <v>12448</v>
      </c>
      <c r="E65" t="str">
        <f t="shared" si="0"/>
        <v>F</v>
      </c>
    </row>
    <row r="66" spans="1:5" x14ac:dyDescent="0.35">
      <c r="A66" t="s">
        <v>93</v>
      </c>
      <c r="B66" s="26" t="s">
        <v>1128</v>
      </c>
      <c r="C66" t="s">
        <v>107</v>
      </c>
      <c r="D66" s="26" t="s">
        <v>12449</v>
      </c>
      <c r="E66" t="str">
        <f t="shared" ref="E66:E76" si="1">IF(D66=C66, "", "F")</f>
        <v>F</v>
      </c>
    </row>
    <row r="67" spans="1:5" x14ac:dyDescent="0.35">
      <c r="A67" t="s">
        <v>1127</v>
      </c>
      <c r="B67" s="26" t="s">
        <v>1128</v>
      </c>
      <c r="C67" t="s">
        <v>107</v>
      </c>
      <c r="D67" s="26" t="s">
        <v>12449</v>
      </c>
      <c r="E67" t="str">
        <f t="shared" si="1"/>
        <v>F</v>
      </c>
    </row>
    <row r="68" spans="1:5" x14ac:dyDescent="0.35">
      <c r="A68" t="s">
        <v>1131</v>
      </c>
      <c r="B68" t="s">
        <v>1132</v>
      </c>
      <c r="C68" t="s">
        <v>1129</v>
      </c>
      <c r="D68" s="26" t="s">
        <v>12450</v>
      </c>
      <c r="E68" t="str">
        <f t="shared" si="1"/>
        <v>F</v>
      </c>
    </row>
    <row r="69" spans="1:5" x14ac:dyDescent="0.35">
      <c r="A69" t="s">
        <v>1134</v>
      </c>
      <c r="B69" s="26" t="s">
        <v>1135</v>
      </c>
      <c r="C69" t="s">
        <v>1129</v>
      </c>
      <c r="D69" s="26" t="s">
        <v>12450</v>
      </c>
      <c r="E69" t="str">
        <f t="shared" si="1"/>
        <v>F</v>
      </c>
    </row>
    <row r="70" spans="1:5" x14ac:dyDescent="0.35">
      <c r="A70" t="s">
        <v>1136</v>
      </c>
      <c r="B70" s="26" t="s">
        <v>1121</v>
      </c>
      <c r="C70" t="s">
        <v>1129</v>
      </c>
      <c r="D70" s="26" t="s">
        <v>12451</v>
      </c>
      <c r="E70" t="str">
        <f t="shared" si="1"/>
        <v>F</v>
      </c>
    </row>
    <row r="71" spans="1:5" x14ac:dyDescent="0.35">
      <c r="A71" t="s">
        <v>1138</v>
      </c>
      <c r="B71" s="26" t="s">
        <v>1121</v>
      </c>
      <c r="C71" t="s">
        <v>1129</v>
      </c>
      <c r="D71" s="26" t="s">
        <v>12451</v>
      </c>
      <c r="E71" t="str">
        <f t="shared" si="1"/>
        <v>F</v>
      </c>
    </row>
    <row r="72" spans="1:5" x14ac:dyDescent="0.35">
      <c r="A72" t="s">
        <v>94</v>
      </c>
      <c r="B72" s="26" t="s">
        <v>95</v>
      </c>
      <c r="C72" t="s">
        <v>108</v>
      </c>
      <c r="D72" s="26" t="s">
        <v>12452</v>
      </c>
      <c r="E72" t="str">
        <f t="shared" si="1"/>
        <v>F</v>
      </c>
    </row>
    <row r="73" spans="1:5" x14ac:dyDescent="0.35">
      <c r="A73" t="s">
        <v>1139</v>
      </c>
      <c r="B73" s="26" t="s">
        <v>95</v>
      </c>
      <c r="C73" t="s">
        <v>108</v>
      </c>
      <c r="D73" s="26" t="s">
        <v>12452</v>
      </c>
      <c r="E73" t="str">
        <f t="shared" si="1"/>
        <v>F</v>
      </c>
    </row>
    <row r="74" spans="1:5" x14ac:dyDescent="0.35">
      <c r="A74" s="27" t="s">
        <v>96</v>
      </c>
      <c r="B74" s="28" t="s">
        <v>97</v>
      </c>
      <c r="C74" s="27" t="s">
        <v>108</v>
      </c>
      <c r="D74" s="28" t="s">
        <v>108</v>
      </c>
      <c r="E74" s="27" t="str">
        <f t="shared" si="1"/>
        <v/>
      </c>
    </row>
    <row r="75" spans="1:5" x14ac:dyDescent="0.35">
      <c r="A75" s="27" t="s">
        <v>1142</v>
      </c>
      <c r="B75" s="28" t="s">
        <v>1143</v>
      </c>
      <c r="C75" s="27" t="s">
        <v>108</v>
      </c>
      <c r="D75" s="28" t="s">
        <v>108</v>
      </c>
      <c r="E75" s="27" t="str">
        <f t="shared" si="1"/>
        <v/>
      </c>
    </row>
    <row r="76" spans="1:5" x14ac:dyDescent="0.35">
      <c r="A76" s="27" t="s">
        <v>1144</v>
      </c>
      <c r="B76" s="26" t="s">
        <v>98</v>
      </c>
      <c r="C76" t="s">
        <v>108</v>
      </c>
      <c r="D76" s="26" t="s">
        <v>108</v>
      </c>
      <c r="E76" t="str">
        <f t="shared" si="1"/>
        <v/>
      </c>
    </row>
    <row r="77" spans="1:5" x14ac:dyDescent="0.35">
      <c r="A77" s="6"/>
      <c r="C77" s="6"/>
    </row>
    <row r="78" spans="1:5" x14ac:dyDescent="0.35">
      <c r="A78" s="6"/>
      <c r="C78" s="6"/>
    </row>
    <row r="79" spans="1:5" x14ac:dyDescent="0.35">
      <c r="A79" s="26" t="s">
        <v>12330</v>
      </c>
    </row>
    <row r="80" spans="1:5" ht="29" x14ac:dyDescent="0.35">
      <c r="A80" s="26" t="s">
        <v>12331</v>
      </c>
    </row>
    <row r="81" spans="1:1" x14ac:dyDescent="0.35">
      <c r="A81" s="26" t="s">
        <v>12332</v>
      </c>
    </row>
    <row r="82" spans="1:1" x14ac:dyDescent="0.35">
      <c r="A82" s="26" t="s">
        <v>1040</v>
      </c>
    </row>
    <row r="83" spans="1:1" x14ac:dyDescent="0.35">
      <c r="A83" s="26" t="s">
        <v>1044</v>
      </c>
    </row>
    <row r="84" spans="1:1" x14ac:dyDescent="0.35">
      <c r="A84" s="26" t="s">
        <v>1048</v>
      </c>
    </row>
    <row r="85" spans="1:1" x14ac:dyDescent="0.35">
      <c r="A85" s="26" t="s">
        <v>12333</v>
      </c>
    </row>
    <row r="86" spans="1:1" x14ac:dyDescent="0.35">
      <c r="A86" s="26" t="s">
        <v>1051</v>
      </c>
    </row>
    <row r="87" spans="1:1" x14ac:dyDescent="0.35">
      <c r="A87" s="26" t="s">
        <v>1055</v>
      </c>
    </row>
    <row r="88" spans="1:1" x14ac:dyDescent="0.35">
      <c r="A88" s="26" t="s">
        <v>1057</v>
      </c>
    </row>
    <row r="89" spans="1:1" x14ac:dyDescent="0.35">
      <c r="A89" s="26" t="s">
        <v>1059</v>
      </c>
    </row>
    <row r="90" spans="1:1" x14ac:dyDescent="0.35">
      <c r="A90" s="26" t="s">
        <v>12335</v>
      </c>
    </row>
    <row r="91" spans="1:1" x14ac:dyDescent="0.35">
      <c r="A91" s="26" t="s">
        <v>1061</v>
      </c>
    </row>
    <row r="92" spans="1:1" x14ac:dyDescent="0.35">
      <c r="A92" s="26" t="s">
        <v>85</v>
      </c>
    </row>
    <row r="93" spans="1:1" x14ac:dyDescent="0.35">
      <c r="A93" s="26" t="s">
        <v>1064</v>
      </c>
    </row>
    <row r="94" spans="1:1" x14ac:dyDescent="0.35">
      <c r="A94" s="26" t="s">
        <v>1065</v>
      </c>
    </row>
    <row r="95" spans="1:1" x14ac:dyDescent="0.35">
      <c r="A95" s="26" t="s">
        <v>1067</v>
      </c>
    </row>
    <row r="96" spans="1:1" x14ac:dyDescent="0.35">
      <c r="A96" s="26" t="s">
        <v>86</v>
      </c>
    </row>
    <row r="97" spans="1:1" x14ac:dyDescent="0.35">
      <c r="A97" s="26" t="s">
        <v>1071</v>
      </c>
    </row>
    <row r="98" spans="1:1" x14ac:dyDescent="0.35">
      <c r="A98" s="26" t="s">
        <v>1075</v>
      </c>
    </row>
    <row r="99" spans="1:1" x14ac:dyDescent="0.35">
      <c r="A99" s="26" t="s">
        <v>1077</v>
      </c>
    </row>
    <row r="100" spans="1:1" x14ac:dyDescent="0.35">
      <c r="A100" s="26" t="s">
        <v>88</v>
      </c>
    </row>
    <row r="101" spans="1:1" x14ac:dyDescent="0.35">
      <c r="A101" s="26" t="s">
        <v>1081</v>
      </c>
    </row>
    <row r="102" spans="1:1" x14ac:dyDescent="0.35">
      <c r="A102" s="26" t="s">
        <v>12350</v>
      </c>
    </row>
    <row r="103" spans="1:1" x14ac:dyDescent="0.35">
      <c r="A103" s="26" t="s">
        <v>12351</v>
      </c>
    </row>
    <row r="104" spans="1:1" x14ac:dyDescent="0.35">
      <c r="A104" s="26" t="s">
        <v>12354</v>
      </c>
    </row>
    <row r="105" spans="1:1" x14ac:dyDescent="0.35">
      <c r="A105" s="26" t="s">
        <v>1083</v>
      </c>
    </row>
    <row r="106" spans="1:1" x14ac:dyDescent="0.35">
      <c r="A106" s="26" t="s">
        <v>12355</v>
      </c>
    </row>
    <row r="107" spans="1:1" x14ac:dyDescent="0.35">
      <c r="A107" s="26" t="s">
        <v>1086</v>
      </c>
    </row>
    <row r="108" spans="1:1" x14ac:dyDescent="0.35">
      <c r="A108" s="26" t="s">
        <v>12357</v>
      </c>
    </row>
    <row r="109" spans="1:1" x14ac:dyDescent="0.35">
      <c r="A109" s="26" t="s">
        <v>1093</v>
      </c>
    </row>
    <row r="110" spans="1:1" x14ac:dyDescent="0.35">
      <c r="A110" s="26" t="s">
        <v>1089</v>
      </c>
    </row>
    <row r="111" spans="1:1" x14ac:dyDescent="0.35">
      <c r="A111" s="26" t="s">
        <v>1091</v>
      </c>
    </row>
    <row r="112" spans="1:1" x14ac:dyDescent="0.35">
      <c r="A112" s="26" t="s">
        <v>12358</v>
      </c>
    </row>
    <row r="113" spans="1:1" x14ac:dyDescent="0.35">
      <c r="A113" s="26" t="s">
        <v>1095</v>
      </c>
    </row>
    <row r="114" spans="1:1" x14ac:dyDescent="0.35">
      <c r="A114" s="26" t="s">
        <v>1097</v>
      </c>
    </row>
    <row r="115" spans="1:1" x14ac:dyDescent="0.35">
      <c r="A115" s="26" t="s">
        <v>12363</v>
      </c>
    </row>
    <row r="116" spans="1:1" x14ac:dyDescent="0.35">
      <c r="A116" s="26" t="s">
        <v>12384</v>
      </c>
    </row>
    <row r="117" spans="1:1" x14ac:dyDescent="0.35">
      <c r="A117" s="26" t="s">
        <v>1098</v>
      </c>
    </row>
    <row r="118" spans="1:1" x14ac:dyDescent="0.35">
      <c r="A118" s="26" t="s">
        <v>12366</v>
      </c>
    </row>
    <row r="119" spans="1:1" x14ac:dyDescent="0.35">
      <c r="A119" s="26" t="s">
        <v>12385</v>
      </c>
    </row>
    <row r="120" spans="1:1" x14ac:dyDescent="0.35">
      <c r="A120" s="26" t="s">
        <v>12386</v>
      </c>
    </row>
    <row r="121" spans="1:1" x14ac:dyDescent="0.35">
      <c r="A121" s="26" t="s">
        <v>12374</v>
      </c>
    </row>
    <row r="122" spans="1:1" x14ac:dyDescent="0.35">
      <c r="A122" s="26" t="s">
        <v>12377</v>
      </c>
    </row>
    <row r="123" spans="1:1" x14ac:dyDescent="0.35">
      <c r="A123" s="26" t="s">
        <v>12378</v>
      </c>
    </row>
    <row r="124" spans="1:1" x14ac:dyDescent="0.35">
      <c r="A124" s="26" t="s">
        <v>12382</v>
      </c>
    </row>
    <row r="125" spans="1:1" x14ac:dyDescent="0.35">
      <c r="A125" s="26" t="s">
        <v>12388</v>
      </c>
    </row>
    <row r="126" spans="1:1" x14ac:dyDescent="0.35">
      <c r="A126" s="26" t="s">
        <v>1101</v>
      </c>
    </row>
    <row r="127" spans="1:1" x14ac:dyDescent="0.35">
      <c r="A127" s="26" t="s">
        <v>1104</v>
      </c>
    </row>
    <row r="128" spans="1:1" x14ac:dyDescent="0.35">
      <c r="A128" s="26" t="s">
        <v>1106</v>
      </c>
    </row>
    <row r="129" spans="1:1" x14ac:dyDescent="0.35">
      <c r="A129" s="26" t="s">
        <v>1108</v>
      </c>
    </row>
    <row r="130" spans="1:1" x14ac:dyDescent="0.35">
      <c r="A130" s="26" t="s">
        <v>89</v>
      </c>
    </row>
    <row r="131" spans="1:1" x14ac:dyDescent="0.35">
      <c r="A131" s="26" t="s">
        <v>12397</v>
      </c>
    </row>
    <row r="132" spans="1:1" x14ac:dyDescent="0.35">
      <c r="A132" s="26" t="s">
        <v>90</v>
      </c>
    </row>
    <row r="133" spans="1:1" ht="29" x14ac:dyDescent="0.35">
      <c r="A133" s="26" t="s">
        <v>1111</v>
      </c>
    </row>
    <row r="134" spans="1:1" x14ac:dyDescent="0.35">
      <c r="A134" s="26" t="s">
        <v>12400</v>
      </c>
    </row>
    <row r="135" spans="1:1" x14ac:dyDescent="0.35">
      <c r="A135" s="26" t="s">
        <v>12401</v>
      </c>
    </row>
    <row r="136" spans="1:1" x14ac:dyDescent="0.35">
      <c r="A136" s="26" t="s">
        <v>12403</v>
      </c>
    </row>
    <row r="137" spans="1:1" x14ac:dyDescent="0.35">
      <c r="A137" s="26" t="s">
        <v>12402</v>
      </c>
    </row>
    <row r="138" spans="1:1" x14ac:dyDescent="0.35">
      <c r="A138" s="26" t="s">
        <v>12404</v>
      </c>
    </row>
    <row r="139" spans="1:1" x14ac:dyDescent="0.35">
      <c r="A139" s="26" t="s">
        <v>12409</v>
      </c>
    </row>
    <row r="140" spans="1:1" x14ac:dyDescent="0.35">
      <c r="A140" s="26" t="s">
        <v>12412</v>
      </c>
    </row>
    <row r="141" spans="1:1" x14ac:dyDescent="0.35">
      <c r="A141" s="26" t="s">
        <v>1118</v>
      </c>
    </row>
    <row r="142" spans="1:1" x14ac:dyDescent="0.35">
      <c r="A142" s="26" t="s">
        <v>1120</v>
      </c>
    </row>
    <row r="143" spans="1:1" x14ac:dyDescent="0.35">
      <c r="A143" s="26" t="s">
        <v>12414</v>
      </c>
    </row>
    <row r="144" spans="1:1" x14ac:dyDescent="0.35">
      <c r="A144" s="26" t="s">
        <v>93</v>
      </c>
    </row>
    <row r="145" spans="1:1" x14ac:dyDescent="0.35">
      <c r="A145" s="26" t="s">
        <v>1127</v>
      </c>
    </row>
    <row r="146" spans="1:1" x14ac:dyDescent="0.35">
      <c r="A146" s="26" t="s">
        <v>1131</v>
      </c>
    </row>
    <row r="147" spans="1:1" x14ac:dyDescent="0.35">
      <c r="A147" s="26" t="s">
        <v>1134</v>
      </c>
    </row>
    <row r="148" spans="1:1" x14ac:dyDescent="0.35">
      <c r="A148" s="26" t="s">
        <v>1136</v>
      </c>
    </row>
    <row r="149" spans="1:1" x14ac:dyDescent="0.35">
      <c r="A149" s="26" t="s">
        <v>1138</v>
      </c>
    </row>
    <row r="150" spans="1:1" x14ac:dyDescent="0.35">
      <c r="A150" s="26" t="s">
        <v>94</v>
      </c>
    </row>
    <row r="151" spans="1:1" x14ac:dyDescent="0.35">
      <c r="A151" s="26" t="s">
        <v>1139</v>
      </c>
    </row>
    <row r="152" spans="1:1" x14ac:dyDescent="0.35">
      <c r="A152" s="26" t="s">
        <v>96</v>
      </c>
    </row>
    <row r="153" spans="1:1" x14ac:dyDescent="0.35">
      <c r="A153" s="26" t="s">
        <v>1142</v>
      </c>
    </row>
    <row r="154" spans="1:1" x14ac:dyDescent="0.35">
      <c r="A154" s="26" t="s">
        <v>1144</v>
      </c>
    </row>
    <row r="155" spans="1:1" x14ac:dyDescent="0.35">
      <c r="A155" s="3"/>
    </row>
  </sheetData>
  <conditionalFormatting sqref="A1:B39 C1:C76 A40 A41:B76">
    <cfRule type="expression" dxfId="0" priority="1">
      <formula>ROW(A1)=HighlightRow</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0BC86-775F-4D92-B39A-40CF85E66DD0}">
  <sheetPr codeName="Sheet10"/>
  <dimension ref="A1:G1272"/>
  <sheetViews>
    <sheetView topLeftCell="A214" workbookViewId="0">
      <selection activeCell="F27" sqref="F27"/>
    </sheetView>
  </sheetViews>
  <sheetFormatPr defaultRowHeight="14.5" x14ac:dyDescent="0.35"/>
  <cols>
    <col min="1" max="1" width="12.1796875" bestFit="1" customWidth="1"/>
    <col min="2" max="2" width="14.90625" bestFit="1" customWidth="1"/>
    <col min="3" max="3" width="7.453125" bestFit="1" customWidth="1"/>
    <col min="4" max="4" width="9.90625" bestFit="1" customWidth="1"/>
    <col min="5" max="5" width="9" bestFit="1" customWidth="1"/>
    <col min="6" max="6" width="40.90625" bestFit="1" customWidth="1"/>
    <col min="7" max="7" width="10.1796875" bestFit="1" customWidth="1"/>
  </cols>
  <sheetData>
    <row r="1" spans="1:7" x14ac:dyDescent="0.35">
      <c r="A1" t="s">
        <v>11898</v>
      </c>
      <c r="B1" t="s">
        <v>11899</v>
      </c>
      <c r="C1" t="s">
        <v>11900</v>
      </c>
      <c r="D1" t="s">
        <v>11901</v>
      </c>
      <c r="E1" t="s">
        <v>11902</v>
      </c>
      <c r="F1" t="s">
        <v>109</v>
      </c>
      <c r="G1" t="s">
        <v>11903</v>
      </c>
    </row>
    <row r="2" spans="1:7" x14ac:dyDescent="0.35">
      <c r="A2">
        <v>1</v>
      </c>
      <c r="B2" t="s">
        <v>11058</v>
      </c>
      <c r="C2">
        <v>1</v>
      </c>
      <c r="D2">
        <v>1</v>
      </c>
      <c r="E2">
        <v>31</v>
      </c>
      <c r="F2" t="s">
        <v>11904</v>
      </c>
      <c r="G2" s="25">
        <v>0.75</v>
      </c>
    </row>
    <row r="3" spans="1:7" x14ac:dyDescent="0.35">
      <c r="A3">
        <v>1</v>
      </c>
      <c r="B3" t="s">
        <v>11058</v>
      </c>
      <c r="C3">
        <v>2</v>
      </c>
      <c r="D3">
        <v>1</v>
      </c>
      <c r="E3">
        <v>3</v>
      </c>
      <c r="F3" t="s">
        <v>11904</v>
      </c>
      <c r="G3" s="25">
        <v>0.75</v>
      </c>
    </row>
    <row r="4" spans="1:7" x14ac:dyDescent="0.35">
      <c r="A4">
        <v>1</v>
      </c>
      <c r="B4" t="s">
        <v>11058</v>
      </c>
      <c r="C4">
        <v>2</v>
      </c>
      <c r="D4">
        <v>4</v>
      </c>
      <c r="E4">
        <v>6</v>
      </c>
      <c r="F4" t="s">
        <v>11905</v>
      </c>
      <c r="G4" s="25">
        <v>0.8</v>
      </c>
    </row>
    <row r="5" spans="1:7" x14ac:dyDescent="0.35">
      <c r="A5">
        <v>1</v>
      </c>
      <c r="B5" t="s">
        <v>11058</v>
      </c>
      <c r="C5">
        <v>2</v>
      </c>
      <c r="D5">
        <v>7</v>
      </c>
      <c r="E5">
        <v>25</v>
      </c>
      <c r="F5" t="s">
        <v>131</v>
      </c>
      <c r="G5" s="25">
        <v>0.7</v>
      </c>
    </row>
    <row r="6" spans="1:7" x14ac:dyDescent="0.35">
      <c r="A6">
        <v>1</v>
      </c>
      <c r="B6" t="s">
        <v>11058</v>
      </c>
      <c r="C6">
        <v>3</v>
      </c>
      <c r="D6">
        <v>1</v>
      </c>
      <c r="E6">
        <v>24</v>
      </c>
      <c r="F6" t="s">
        <v>131</v>
      </c>
      <c r="G6" s="25">
        <v>0.7</v>
      </c>
    </row>
    <row r="7" spans="1:7" x14ac:dyDescent="0.35">
      <c r="A7">
        <v>1</v>
      </c>
      <c r="B7" t="s">
        <v>11058</v>
      </c>
      <c r="C7">
        <v>4</v>
      </c>
      <c r="D7">
        <v>1</v>
      </c>
      <c r="E7">
        <v>16</v>
      </c>
      <c r="F7" t="s">
        <v>154</v>
      </c>
      <c r="G7" s="25">
        <v>0.65</v>
      </c>
    </row>
    <row r="8" spans="1:7" x14ac:dyDescent="0.35">
      <c r="A8">
        <v>1</v>
      </c>
      <c r="B8" t="s">
        <v>11058</v>
      </c>
      <c r="C8">
        <v>4</v>
      </c>
      <c r="D8">
        <v>17</v>
      </c>
      <c r="E8">
        <v>26</v>
      </c>
      <c r="F8" t="s">
        <v>11906</v>
      </c>
      <c r="G8" s="25">
        <v>0.6</v>
      </c>
    </row>
    <row r="9" spans="1:7" x14ac:dyDescent="0.35">
      <c r="A9">
        <v>1</v>
      </c>
      <c r="B9" t="s">
        <v>11058</v>
      </c>
      <c r="C9">
        <v>5</v>
      </c>
      <c r="D9">
        <v>1</v>
      </c>
      <c r="E9">
        <v>32</v>
      </c>
      <c r="F9" t="s">
        <v>11907</v>
      </c>
      <c r="G9" s="25">
        <v>0.65</v>
      </c>
    </row>
    <row r="10" spans="1:7" x14ac:dyDescent="0.35">
      <c r="A10">
        <v>1</v>
      </c>
      <c r="B10" t="s">
        <v>11058</v>
      </c>
      <c r="C10">
        <v>6</v>
      </c>
      <c r="D10">
        <v>1</v>
      </c>
      <c r="E10">
        <v>22</v>
      </c>
      <c r="F10" t="s">
        <v>11908</v>
      </c>
      <c r="G10" s="25">
        <v>0.8</v>
      </c>
    </row>
    <row r="11" spans="1:7" x14ac:dyDescent="0.35">
      <c r="A11">
        <v>1</v>
      </c>
      <c r="B11" t="s">
        <v>11058</v>
      </c>
      <c r="C11">
        <v>7</v>
      </c>
      <c r="D11">
        <v>1</v>
      </c>
      <c r="E11">
        <v>24</v>
      </c>
      <c r="F11" t="s">
        <v>11909</v>
      </c>
      <c r="G11" s="25">
        <v>0.8</v>
      </c>
    </row>
    <row r="12" spans="1:7" x14ac:dyDescent="0.35">
      <c r="A12">
        <v>1</v>
      </c>
      <c r="B12" t="s">
        <v>11058</v>
      </c>
      <c r="C12">
        <v>8</v>
      </c>
      <c r="D12">
        <v>1</v>
      </c>
      <c r="E12">
        <v>22</v>
      </c>
      <c r="F12" t="s">
        <v>11910</v>
      </c>
      <c r="G12" s="25">
        <v>0.8</v>
      </c>
    </row>
    <row r="13" spans="1:7" x14ac:dyDescent="0.35">
      <c r="A13">
        <v>1</v>
      </c>
      <c r="B13" t="s">
        <v>11058</v>
      </c>
      <c r="C13">
        <v>9</v>
      </c>
      <c r="D13">
        <v>1</v>
      </c>
      <c r="E13">
        <v>29</v>
      </c>
      <c r="F13" t="s">
        <v>11910</v>
      </c>
      <c r="G13" s="25">
        <v>0.8</v>
      </c>
    </row>
    <row r="14" spans="1:7" x14ac:dyDescent="0.35">
      <c r="A14">
        <v>1</v>
      </c>
      <c r="B14" t="s">
        <v>11058</v>
      </c>
      <c r="C14">
        <v>10</v>
      </c>
      <c r="D14">
        <v>1</v>
      </c>
      <c r="E14">
        <v>32</v>
      </c>
      <c r="F14" t="s">
        <v>11911</v>
      </c>
      <c r="G14" s="25">
        <v>0.8</v>
      </c>
    </row>
    <row r="15" spans="1:7" x14ac:dyDescent="0.35">
      <c r="A15">
        <v>1</v>
      </c>
      <c r="B15" t="s">
        <v>11058</v>
      </c>
      <c r="C15">
        <v>11</v>
      </c>
      <c r="D15">
        <v>1</v>
      </c>
      <c r="E15">
        <v>9</v>
      </c>
      <c r="F15" t="s">
        <v>11912</v>
      </c>
      <c r="G15" s="25">
        <v>0.85</v>
      </c>
    </row>
    <row r="16" spans="1:7" x14ac:dyDescent="0.35">
      <c r="A16">
        <v>1</v>
      </c>
      <c r="B16" t="s">
        <v>11058</v>
      </c>
      <c r="C16">
        <v>11</v>
      </c>
      <c r="D16">
        <v>10</v>
      </c>
      <c r="E16">
        <v>26</v>
      </c>
      <c r="F16" t="s">
        <v>2832</v>
      </c>
      <c r="G16" s="25">
        <v>0.8</v>
      </c>
    </row>
    <row r="17" spans="1:7" x14ac:dyDescent="0.35">
      <c r="A17">
        <v>1</v>
      </c>
      <c r="B17" t="s">
        <v>11058</v>
      </c>
      <c r="C17">
        <v>11</v>
      </c>
      <c r="D17">
        <v>27</v>
      </c>
      <c r="E17">
        <v>32</v>
      </c>
      <c r="F17" t="s">
        <v>11913</v>
      </c>
      <c r="G17" s="25">
        <v>0.9</v>
      </c>
    </row>
    <row r="18" spans="1:7" x14ac:dyDescent="0.35">
      <c r="A18">
        <v>1</v>
      </c>
      <c r="B18" t="s">
        <v>11058</v>
      </c>
      <c r="C18">
        <v>12</v>
      </c>
      <c r="D18">
        <v>1</v>
      </c>
      <c r="E18">
        <v>9</v>
      </c>
      <c r="F18" t="s">
        <v>255</v>
      </c>
      <c r="G18" s="25">
        <v>0.9</v>
      </c>
    </row>
    <row r="19" spans="1:7" x14ac:dyDescent="0.35">
      <c r="A19">
        <v>1</v>
      </c>
      <c r="B19" t="s">
        <v>11058</v>
      </c>
      <c r="C19">
        <v>12</v>
      </c>
      <c r="D19">
        <v>10</v>
      </c>
      <c r="E19">
        <v>20</v>
      </c>
      <c r="F19" t="s">
        <v>186</v>
      </c>
      <c r="G19" s="25">
        <v>0.95</v>
      </c>
    </row>
    <row r="20" spans="1:7" x14ac:dyDescent="0.35">
      <c r="A20">
        <v>1</v>
      </c>
      <c r="B20" t="s">
        <v>11058</v>
      </c>
      <c r="C20">
        <v>13</v>
      </c>
      <c r="D20">
        <v>1</v>
      </c>
      <c r="E20">
        <v>18</v>
      </c>
      <c r="F20" t="s">
        <v>11914</v>
      </c>
      <c r="G20" s="25">
        <v>0.9</v>
      </c>
    </row>
    <row r="21" spans="1:7" x14ac:dyDescent="0.35">
      <c r="A21">
        <v>1</v>
      </c>
      <c r="B21" t="s">
        <v>11058</v>
      </c>
      <c r="C21">
        <v>14</v>
      </c>
      <c r="D21">
        <v>1</v>
      </c>
      <c r="E21">
        <v>24</v>
      </c>
      <c r="F21" t="s">
        <v>11915</v>
      </c>
      <c r="G21" s="25">
        <v>0.85</v>
      </c>
    </row>
    <row r="22" spans="1:7" x14ac:dyDescent="0.35">
      <c r="A22">
        <v>1</v>
      </c>
      <c r="B22" t="s">
        <v>11058</v>
      </c>
      <c r="C22">
        <v>15</v>
      </c>
      <c r="D22">
        <v>1</v>
      </c>
      <c r="E22">
        <v>21</v>
      </c>
      <c r="F22" t="s">
        <v>255</v>
      </c>
      <c r="G22" s="25">
        <v>0.9</v>
      </c>
    </row>
    <row r="23" spans="1:7" x14ac:dyDescent="0.35">
      <c r="A23">
        <v>1</v>
      </c>
      <c r="B23" t="s">
        <v>11058</v>
      </c>
      <c r="C23">
        <v>16</v>
      </c>
      <c r="D23">
        <v>1</v>
      </c>
      <c r="E23">
        <v>16</v>
      </c>
      <c r="F23" t="s">
        <v>255</v>
      </c>
      <c r="G23" s="25">
        <v>0.9</v>
      </c>
    </row>
    <row r="24" spans="1:7" x14ac:dyDescent="0.35">
      <c r="A24">
        <v>1</v>
      </c>
      <c r="B24" t="s">
        <v>11058</v>
      </c>
      <c r="C24">
        <v>17</v>
      </c>
      <c r="D24">
        <v>1</v>
      </c>
      <c r="E24">
        <v>27</v>
      </c>
      <c r="F24" t="s">
        <v>255</v>
      </c>
      <c r="G24" s="25">
        <v>0.9</v>
      </c>
    </row>
    <row r="25" spans="1:7" x14ac:dyDescent="0.35">
      <c r="A25">
        <v>1</v>
      </c>
      <c r="B25" t="s">
        <v>11058</v>
      </c>
      <c r="C25">
        <v>18</v>
      </c>
      <c r="D25">
        <v>1</v>
      </c>
      <c r="E25">
        <v>33</v>
      </c>
      <c r="F25" t="s">
        <v>11916</v>
      </c>
      <c r="G25" s="25">
        <v>0.85</v>
      </c>
    </row>
    <row r="26" spans="1:7" x14ac:dyDescent="0.35">
      <c r="A26">
        <v>1</v>
      </c>
      <c r="B26" t="s">
        <v>11058</v>
      </c>
      <c r="C26">
        <v>19</v>
      </c>
      <c r="D26">
        <v>1</v>
      </c>
      <c r="E26">
        <v>38</v>
      </c>
      <c r="F26" t="s">
        <v>11917</v>
      </c>
      <c r="G26" s="25">
        <v>0.8</v>
      </c>
    </row>
    <row r="27" spans="1:7" x14ac:dyDescent="0.35">
      <c r="A27">
        <v>1</v>
      </c>
      <c r="B27" t="s">
        <v>11058</v>
      </c>
      <c r="C27">
        <v>20</v>
      </c>
      <c r="D27">
        <v>1</v>
      </c>
      <c r="E27">
        <v>18</v>
      </c>
      <c r="F27" t="s">
        <v>11918</v>
      </c>
      <c r="G27" s="25">
        <v>0.85</v>
      </c>
    </row>
    <row r="28" spans="1:7" x14ac:dyDescent="0.35">
      <c r="A28">
        <v>1</v>
      </c>
      <c r="B28" t="s">
        <v>11058</v>
      </c>
      <c r="C28">
        <v>21</v>
      </c>
      <c r="D28">
        <v>1</v>
      </c>
      <c r="E28">
        <v>34</v>
      </c>
      <c r="F28" t="s">
        <v>11919</v>
      </c>
      <c r="G28" s="25">
        <v>0.85</v>
      </c>
    </row>
    <row r="29" spans="1:7" x14ac:dyDescent="0.35">
      <c r="A29">
        <v>1</v>
      </c>
      <c r="B29" t="s">
        <v>11058</v>
      </c>
      <c r="C29">
        <v>22</v>
      </c>
      <c r="D29">
        <v>1</v>
      </c>
      <c r="E29">
        <v>24</v>
      </c>
      <c r="F29" t="s">
        <v>11920</v>
      </c>
      <c r="G29" s="25">
        <v>0.75</v>
      </c>
    </row>
    <row r="30" spans="1:7" x14ac:dyDescent="0.35">
      <c r="A30">
        <v>1</v>
      </c>
      <c r="B30" t="s">
        <v>11058</v>
      </c>
      <c r="C30">
        <v>23</v>
      </c>
      <c r="D30">
        <v>1</v>
      </c>
      <c r="E30">
        <v>20</v>
      </c>
      <c r="F30" t="s">
        <v>11921</v>
      </c>
      <c r="G30" s="25">
        <v>0.9</v>
      </c>
    </row>
    <row r="31" spans="1:7" x14ac:dyDescent="0.35">
      <c r="A31">
        <v>1</v>
      </c>
      <c r="B31" t="s">
        <v>11058</v>
      </c>
      <c r="C31">
        <v>24</v>
      </c>
      <c r="D31">
        <v>1</v>
      </c>
      <c r="E31">
        <v>67</v>
      </c>
      <c r="F31" t="s">
        <v>11922</v>
      </c>
      <c r="G31" s="25">
        <v>0.85</v>
      </c>
    </row>
    <row r="32" spans="1:7" x14ac:dyDescent="0.35">
      <c r="A32">
        <v>1</v>
      </c>
      <c r="B32" t="s">
        <v>11058</v>
      </c>
      <c r="C32">
        <v>25</v>
      </c>
      <c r="D32">
        <v>1</v>
      </c>
      <c r="E32">
        <v>34</v>
      </c>
      <c r="F32" t="s">
        <v>255</v>
      </c>
      <c r="G32" s="25">
        <v>0.85</v>
      </c>
    </row>
    <row r="33" spans="1:7" x14ac:dyDescent="0.35">
      <c r="A33">
        <v>1</v>
      </c>
      <c r="B33" t="s">
        <v>11058</v>
      </c>
      <c r="C33">
        <v>26</v>
      </c>
      <c r="D33">
        <v>1</v>
      </c>
      <c r="E33">
        <v>35</v>
      </c>
      <c r="F33" t="s">
        <v>11923</v>
      </c>
      <c r="G33" s="25">
        <v>0.85</v>
      </c>
    </row>
    <row r="34" spans="1:7" x14ac:dyDescent="0.35">
      <c r="A34">
        <v>1</v>
      </c>
      <c r="B34" t="s">
        <v>11058</v>
      </c>
      <c r="C34">
        <v>27</v>
      </c>
      <c r="D34">
        <v>1</v>
      </c>
      <c r="E34">
        <v>46</v>
      </c>
      <c r="F34" t="s">
        <v>255</v>
      </c>
      <c r="G34" s="25">
        <v>0.85</v>
      </c>
    </row>
    <row r="35" spans="1:7" x14ac:dyDescent="0.35">
      <c r="A35">
        <v>1</v>
      </c>
      <c r="B35" t="s">
        <v>11058</v>
      </c>
      <c r="C35">
        <v>28</v>
      </c>
      <c r="D35">
        <v>1</v>
      </c>
      <c r="E35">
        <v>22</v>
      </c>
      <c r="F35" t="s">
        <v>11924</v>
      </c>
      <c r="G35" s="25">
        <v>0.85</v>
      </c>
    </row>
    <row r="36" spans="1:7" x14ac:dyDescent="0.35">
      <c r="A36">
        <v>1</v>
      </c>
      <c r="B36" t="s">
        <v>11058</v>
      </c>
      <c r="C36">
        <v>29</v>
      </c>
      <c r="D36">
        <v>1</v>
      </c>
      <c r="E36">
        <v>35</v>
      </c>
      <c r="F36" t="s">
        <v>11925</v>
      </c>
      <c r="G36" s="25">
        <v>0.85</v>
      </c>
    </row>
    <row r="37" spans="1:7" x14ac:dyDescent="0.35">
      <c r="A37">
        <v>1</v>
      </c>
      <c r="B37" t="s">
        <v>11058</v>
      </c>
      <c r="C37">
        <v>30</v>
      </c>
      <c r="D37">
        <v>1</v>
      </c>
      <c r="E37">
        <v>43</v>
      </c>
      <c r="F37" t="s">
        <v>11925</v>
      </c>
      <c r="G37" s="25">
        <v>0.85</v>
      </c>
    </row>
    <row r="38" spans="1:7" x14ac:dyDescent="0.35">
      <c r="A38">
        <v>1</v>
      </c>
      <c r="B38" t="s">
        <v>11058</v>
      </c>
      <c r="C38">
        <v>31</v>
      </c>
      <c r="D38">
        <v>1</v>
      </c>
      <c r="E38">
        <v>55</v>
      </c>
      <c r="F38" t="s">
        <v>11926</v>
      </c>
      <c r="G38" s="25">
        <v>0.8</v>
      </c>
    </row>
    <row r="39" spans="1:7" x14ac:dyDescent="0.35">
      <c r="A39">
        <v>1</v>
      </c>
      <c r="B39" t="s">
        <v>11058</v>
      </c>
      <c r="C39">
        <v>32</v>
      </c>
      <c r="D39">
        <v>1</v>
      </c>
      <c r="E39">
        <v>32</v>
      </c>
      <c r="F39" t="s">
        <v>11927</v>
      </c>
      <c r="G39" s="25">
        <v>0.8</v>
      </c>
    </row>
    <row r="40" spans="1:7" x14ac:dyDescent="0.35">
      <c r="A40">
        <v>1</v>
      </c>
      <c r="B40" t="s">
        <v>11058</v>
      </c>
      <c r="C40">
        <v>33</v>
      </c>
      <c r="D40">
        <v>1</v>
      </c>
      <c r="E40">
        <v>20</v>
      </c>
      <c r="F40" t="s">
        <v>11928</v>
      </c>
      <c r="G40" s="25">
        <v>0.85</v>
      </c>
    </row>
    <row r="41" spans="1:7" x14ac:dyDescent="0.35">
      <c r="A41">
        <v>1</v>
      </c>
      <c r="B41" t="s">
        <v>11058</v>
      </c>
      <c r="C41">
        <v>34</v>
      </c>
      <c r="D41">
        <v>1</v>
      </c>
      <c r="E41">
        <v>31</v>
      </c>
      <c r="F41" t="s">
        <v>11929</v>
      </c>
      <c r="G41" s="25">
        <v>0.85</v>
      </c>
    </row>
    <row r="42" spans="1:7" x14ac:dyDescent="0.35">
      <c r="A42">
        <v>1</v>
      </c>
      <c r="B42" t="s">
        <v>11058</v>
      </c>
      <c r="C42">
        <v>35</v>
      </c>
      <c r="D42">
        <v>1</v>
      </c>
      <c r="E42">
        <v>29</v>
      </c>
      <c r="F42" t="s">
        <v>11930</v>
      </c>
      <c r="G42" s="25">
        <v>0.85</v>
      </c>
    </row>
    <row r="43" spans="1:7" x14ac:dyDescent="0.35">
      <c r="A43">
        <v>1</v>
      </c>
      <c r="B43" t="s">
        <v>11058</v>
      </c>
      <c r="C43">
        <v>36</v>
      </c>
      <c r="D43">
        <v>1</v>
      </c>
      <c r="E43">
        <v>43</v>
      </c>
      <c r="F43" t="s">
        <v>11931</v>
      </c>
      <c r="G43" s="25">
        <v>0.85</v>
      </c>
    </row>
    <row r="44" spans="1:7" x14ac:dyDescent="0.35">
      <c r="A44">
        <v>1</v>
      </c>
      <c r="B44" t="s">
        <v>11058</v>
      </c>
      <c r="C44">
        <v>37</v>
      </c>
      <c r="D44">
        <v>1</v>
      </c>
      <c r="E44">
        <v>36</v>
      </c>
      <c r="F44" t="s">
        <v>8315</v>
      </c>
      <c r="G44" s="25">
        <v>0.85</v>
      </c>
    </row>
    <row r="45" spans="1:7" x14ac:dyDescent="0.35">
      <c r="A45">
        <v>1</v>
      </c>
      <c r="B45" t="s">
        <v>11058</v>
      </c>
      <c r="C45">
        <v>38</v>
      </c>
      <c r="D45">
        <v>1</v>
      </c>
      <c r="E45">
        <v>30</v>
      </c>
      <c r="F45" t="s">
        <v>11932</v>
      </c>
      <c r="G45" s="25">
        <v>0.85</v>
      </c>
    </row>
    <row r="46" spans="1:7" x14ac:dyDescent="0.35">
      <c r="A46">
        <v>1</v>
      </c>
      <c r="B46" t="s">
        <v>11058</v>
      </c>
      <c r="C46">
        <v>39</v>
      </c>
      <c r="D46">
        <v>1</v>
      </c>
      <c r="E46">
        <v>23</v>
      </c>
      <c r="F46" t="s">
        <v>186</v>
      </c>
      <c r="G46" s="25">
        <v>0.95</v>
      </c>
    </row>
    <row r="47" spans="1:7" x14ac:dyDescent="0.35">
      <c r="A47">
        <v>1</v>
      </c>
      <c r="B47" t="s">
        <v>11058</v>
      </c>
      <c r="C47">
        <v>40</v>
      </c>
      <c r="D47">
        <v>1</v>
      </c>
      <c r="E47">
        <v>23</v>
      </c>
      <c r="F47" t="s">
        <v>186</v>
      </c>
      <c r="G47" s="25">
        <v>0.95</v>
      </c>
    </row>
    <row r="48" spans="1:7" x14ac:dyDescent="0.35">
      <c r="A48">
        <v>1</v>
      </c>
      <c r="B48" t="s">
        <v>11058</v>
      </c>
      <c r="C48">
        <v>41</v>
      </c>
      <c r="D48">
        <v>1</v>
      </c>
      <c r="E48">
        <v>57</v>
      </c>
      <c r="F48" t="s">
        <v>186</v>
      </c>
      <c r="G48" s="25">
        <v>0.95</v>
      </c>
    </row>
    <row r="49" spans="1:7" x14ac:dyDescent="0.35">
      <c r="A49">
        <v>1</v>
      </c>
      <c r="B49" t="s">
        <v>11058</v>
      </c>
      <c r="C49">
        <v>42</v>
      </c>
      <c r="D49">
        <v>1</v>
      </c>
      <c r="E49">
        <v>38</v>
      </c>
      <c r="F49" t="s">
        <v>11933</v>
      </c>
      <c r="G49" s="25">
        <v>0.9</v>
      </c>
    </row>
    <row r="50" spans="1:7" x14ac:dyDescent="0.35">
      <c r="A50">
        <v>1</v>
      </c>
      <c r="B50" t="s">
        <v>11058</v>
      </c>
      <c r="C50">
        <v>43</v>
      </c>
      <c r="D50">
        <v>1</v>
      </c>
      <c r="E50">
        <v>34</v>
      </c>
      <c r="F50" t="s">
        <v>11933</v>
      </c>
      <c r="G50" s="25">
        <v>0.9</v>
      </c>
    </row>
    <row r="51" spans="1:7" x14ac:dyDescent="0.35">
      <c r="A51">
        <v>1</v>
      </c>
      <c r="B51" t="s">
        <v>11058</v>
      </c>
      <c r="C51">
        <v>44</v>
      </c>
      <c r="D51">
        <v>1</v>
      </c>
      <c r="E51">
        <v>34</v>
      </c>
      <c r="F51" t="s">
        <v>186</v>
      </c>
      <c r="G51" s="25">
        <v>0.95</v>
      </c>
    </row>
    <row r="52" spans="1:7" x14ac:dyDescent="0.35">
      <c r="A52">
        <v>1</v>
      </c>
      <c r="B52" t="s">
        <v>11058</v>
      </c>
      <c r="C52">
        <v>45</v>
      </c>
      <c r="D52">
        <v>1</v>
      </c>
      <c r="E52">
        <v>28</v>
      </c>
      <c r="F52" t="s">
        <v>186</v>
      </c>
      <c r="G52" s="25">
        <v>0.95</v>
      </c>
    </row>
    <row r="53" spans="1:7" x14ac:dyDescent="0.35">
      <c r="A53">
        <v>1</v>
      </c>
      <c r="B53" t="s">
        <v>11058</v>
      </c>
      <c r="C53">
        <v>46</v>
      </c>
      <c r="D53">
        <v>1</v>
      </c>
      <c r="E53">
        <v>34</v>
      </c>
      <c r="F53" t="s">
        <v>11934</v>
      </c>
      <c r="G53" s="25">
        <v>0.9</v>
      </c>
    </row>
    <row r="54" spans="1:7" x14ac:dyDescent="0.35">
      <c r="A54">
        <v>1</v>
      </c>
      <c r="B54" t="s">
        <v>11058</v>
      </c>
      <c r="C54">
        <v>47</v>
      </c>
      <c r="D54">
        <v>1</v>
      </c>
      <c r="E54">
        <v>31</v>
      </c>
      <c r="F54" t="s">
        <v>263</v>
      </c>
      <c r="G54" s="25">
        <v>0.9</v>
      </c>
    </row>
    <row r="55" spans="1:7" x14ac:dyDescent="0.35">
      <c r="A55">
        <v>1</v>
      </c>
      <c r="B55" t="s">
        <v>11058</v>
      </c>
      <c r="C55">
        <v>48</v>
      </c>
      <c r="D55">
        <v>1</v>
      </c>
      <c r="E55">
        <v>22</v>
      </c>
      <c r="F55" t="s">
        <v>186</v>
      </c>
      <c r="G55" s="25">
        <v>0.95</v>
      </c>
    </row>
    <row r="56" spans="1:7" x14ac:dyDescent="0.35">
      <c r="A56">
        <v>1</v>
      </c>
      <c r="B56" t="s">
        <v>11058</v>
      </c>
      <c r="C56">
        <v>49</v>
      </c>
      <c r="D56">
        <v>1</v>
      </c>
      <c r="E56">
        <v>33</v>
      </c>
      <c r="F56" t="s">
        <v>186</v>
      </c>
      <c r="G56" s="25">
        <v>0.95</v>
      </c>
    </row>
    <row r="57" spans="1:7" x14ac:dyDescent="0.35">
      <c r="A57">
        <v>1</v>
      </c>
      <c r="B57" t="s">
        <v>11058</v>
      </c>
      <c r="C57">
        <v>50</v>
      </c>
      <c r="D57">
        <v>1</v>
      </c>
      <c r="E57">
        <v>26</v>
      </c>
      <c r="F57" t="s">
        <v>11933</v>
      </c>
      <c r="G57" s="25">
        <v>0.9</v>
      </c>
    </row>
    <row r="58" spans="1:7" x14ac:dyDescent="0.35">
      <c r="A58">
        <v>2</v>
      </c>
      <c r="B58" t="s">
        <v>11060</v>
      </c>
      <c r="C58">
        <v>1</v>
      </c>
      <c r="D58">
        <v>1</v>
      </c>
      <c r="E58">
        <v>22</v>
      </c>
      <c r="F58" t="s">
        <v>186</v>
      </c>
      <c r="G58" s="25">
        <v>0.95</v>
      </c>
    </row>
    <row r="59" spans="1:7" x14ac:dyDescent="0.35">
      <c r="A59">
        <v>2</v>
      </c>
      <c r="B59" t="s">
        <v>11060</v>
      </c>
      <c r="C59">
        <v>2</v>
      </c>
      <c r="D59">
        <v>1</v>
      </c>
      <c r="E59">
        <v>10</v>
      </c>
      <c r="F59" t="s">
        <v>11935</v>
      </c>
      <c r="G59" s="25">
        <v>0.9</v>
      </c>
    </row>
    <row r="60" spans="1:7" x14ac:dyDescent="0.35">
      <c r="A60">
        <v>2</v>
      </c>
      <c r="B60" t="s">
        <v>11060</v>
      </c>
      <c r="C60">
        <v>2</v>
      </c>
      <c r="D60">
        <v>11</v>
      </c>
      <c r="E60">
        <v>15</v>
      </c>
      <c r="F60" t="s">
        <v>186</v>
      </c>
      <c r="G60" s="25">
        <v>0.9</v>
      </c>
    </row>
    <row r="61" spans="1:7" x14ac:dyDescent="0.35">
      <c r="A61">
        <v>2</v>
      </c>
      <c r="B61" t="s">
        <v>11060</v>
      </c>
      <c r="C61">
        <v>2</v>
      </c>
      <c r="D61">
        <v>16</v>
      </c>
      <c r="E61">
        <v>22</v>
      </c>
      <c r="F61" t="s">
        <v>311</v>
      </c>
      <c r="G61" s="25">
        <v>0.85</v>
      </c>
    </row>
    <row r="62" spans="1:7" x14ac:dyDescent="0.35">
      <c r="A62">
        <v>2</v>
      </c>
      <c r="B62" t="s">
        <v>11060</v>
      </c>
      <c r="C62">
        <v>2</v>
      </c>
      <c r="D62">
        <v>23</v>
      </c>
      <c r="E62">
        <v>25</v>
      </c>
      <c r="F62" t="s">
        <v>186</v>
      </c>
      <c r="G62" s="25">
        <v>0.95</v>
      </c>
    </row>
    <row r="63" spans="1:7" x14ac:dyDescent="0.35">
      <c r="A63">
        <v>2</v>
      </c>
      <c r="B63" t="s">
        <v>11060</v>
      </c>
      <c r="C63">
        <v>3</v>
      </c>
      <c r="D63">
        <v>1</v>
      </c>
      <c r="E63">
        <v>1</v>
      </c>
      <c r="F63" t="s">
        <v>11936</v>
      </c>
      <c r="G63" s="25">
        <v>0.8</v>
      </c>
    </row>
    <row r="64" spans="1:7" x14ac:dyDescent="0.35">
      <c r="A64">
        <v>2</v>
      </c>
      <c r="B64" t="s">
        <v>11060</v>
      </c>
      <c r="C64">
        <v>3</v>
      </c>
      <c r="D64">
        <v>2</v>
      </c>
      <c r="E64">
        <v>22</v>
      </c>
      <c r="F64" t="s">
        <v>11937</v>
      </c>
      <c r="G64" s="25">
        <v>0.85</v>
      </c>
    </row>
    <row r="65" spans="1:7" x14ac:dyDescent="0.35">
      <c r="A65">
        <v>2</v>
      </c>
      <c r="B65" t="s">
        <v>11060</v>
      </c>
      <c r="C65">
        <v>4</v>
      </c>
      <c r="D65">
        <v>1</v>
      </c>
      <c r="E65">
        <v>17</v>
      </c>
      <c r="F65" t="s">
        <v>11937</v>
      </c>
      <c r="G65" s="25">
        <v>0.85</v>
      </c>
    </row>
    <row r="66" spans="1:7" x14ac:dyDescent="0.35">
      <c r="A66">
        <v>2</v>
      </c>
      <c r="B66" t="s">
        <v>11060</v>
      </c>
      <c r="C66">
        <v>4</v>
      </c>
      <c r="D66">
        <v>18</v>
      </c>
      <c r="E66">
        <v>20</v>
      </c>
      <c r="F66" t="s">
        <v>311</v>
      </c>
      <c r="G66" s="25">
        <v>0.85</v>
      </c>
    </row>
    <row r="67" spans="1:7" x14ac:dyDescent="0.35">
      <c r="A67">
        <v>2</v>
      </c>
      <c r="B67" t="s">
        <v>11060</v>
      </c>
      <c r="C67">
        <v>4</v>
      </c>
      <c r="D67">
        <v>21</v>
      </c>
      <c r="E67">
        <v>31</v>
      </c>
      <c r="F67" t="s">
        <v>11938</v>
      </c>
      <c r="G67" s="25">
        <v>0.8</v>
      </c>
    </row>
    <row r="68" spans="1:7" x14ac:dyDescent="0.35">
      <c r="A68">
        <v>2</v>
      </c>
      <c r="B68" t="s">
        <v>11060</v>
      </c>
      <c r="C68">
        <v>5</v>
      </c>
      <c r="D68">
        <v>1</v>
      </c>
      <c r="E68">
        <v>23</v>
      </c>
      <c r="F68" t="s">
        <v>11939</v>
      </c>
      <c r="G68" s="25">
        <v>0.9</v>
      </c>
    </row>
    <row r="69" spans="1:7" x14ac:dyDescent="0.35">
      <c r="A69">
        <v>2</v>
      </c>
      <c r="B69" t="s">
        <v>11060</v>
      </c>
      <c r="C69">
        <v>6</v>
      </c>
      <c r="D69">
        <v>1</v>
      </c>
      <c r="E69">
        <v>30</v>
      </c>
      <c r="F69" t="s">
        <v>186</v>
      </c>
      <c r="G69" s="25">
        <v>0.9</v>
      </c>
    </row>
    <row r="70" spans="1:7" x14ac:dyDescent="0.35">
      <c r="A70">
        <v>2</v>
      </c>
      <c r="B70" t="s">
        <v>11060</v>
      </c>
      <c r="C70">
        <v>7</v>
      </c>
      <c r="D70">
        <v>1</v>
      </c>
      <c r="E70">
        <v>25</v>
      </c>
      <c r="F70" t="s">
        <v>11940</v>
      </c>
      <c r="G70" s="25">
        <v>0.9</v>
      </c>
    </row>
    <row r="71" spans="1:7" x14ac:dyDescent="0.35">
      <c r="A71">
        <v>2</v>
      </c>
      <c r="B71" t="s">
        <v>11060</v>
      </c>
      <c r="C71">
        <v>8</v>
      </c>
      <c r="D71">
        <v>1</v>
      </c>
      <c r="E71">
        <v>32</v>
      </c>
      <c r="F71" t="s">
        <v>11941</v>
      </c>
      <c r="G71" s="25">
        <v>0.9</v>
      </c>
    </row>
    <row r="72" spans="1:7" x14ac:dyDescent="0.35">
      <c r="A72">
        <v>2</v>
      </c>
      <c r="B72" t="s">
        <v>11060</v>
      </c>
      <c r="C72">
        <v>9</v>
      </c>
      <c r="D72">
        <v>1</v>
      </c>
      <c r="E72">
        <v>35</v>
      </c>
      <c r="F72" t="s">
        <v>11941</v>
      </c>
      <c r="G72" s="25">
        <v>0.9</v>
      </c>
    </row>
    <row r="73" spans="1:7" x14ac:dyDescent="0.35">
      <c r="A73">
        <v>2</v>
      </c>
      <c r="B73" t="s">
        <v>11060</v>
      </c>
      <c r="C73">
        <v>10</v>
      </c>
      <c r="D73">
        <v>1</v>
      </c>
      <c r="E73">
        <v>29</v>
      </c>
      <c r="F73" t="s">
        <v>11941</v>
      </c>
      <c r="G73" s="25">
        <v>0.9</v>
      </c>
    </row>
    <row r="74" spans="1:7" x14ac:dyDescent="0.35">
      <c r="A74">
        <v>2</v>
      </c>
      <c r="B74" t="s">
        <v>11060</v>
      </c>
      <c r="C74">
        <v>11</v>
      </c>
      <c r="D74">
        <v>1</v>
      </c>
      <c r="E74">
        <v>10</v>
      </c>
      <c r="F74" t="s">
        <v>186</v>
      </c>
      <c r="G74" s="25">
        <v>0.9</v>
      </c>
    </row>
    <row r="75" spans="1:7" x14ac:dyDescent="0.35">
      <c r="A75">
        <v>2</v>
      </c>
      <c r="B75" t="s">
        <v>11060</v>
      </c>
      <c r="C75">
        <v>12</v>
      </c>
      <c r="D75">
        <v>1</v>
      </c>
      <c r="E75">
        <v>51</v>
      </c>
      <c r="F75" t="s">
        <v>186</v>
      </c>
      <c r="G75" s="25">
        <v>0.9</v>
      </c>
    </row>
    <row r="76" spans="1:7" x14ac:dyDescent="0.35">
      <c r="A76">
        <v>2</v>
      </c>
      <c r="B76" t="s">
        <v>11060</v>
      </c>
      <c r="C76">
        <v>13</v>
      </c>
      <c r="D76">
        <v>1</v>
      </c>
      <c r="E76">
        <v>16</v>
      </c>
      <c r="F76" t="s">
        <v>186</v>
      </c>
      <c r="G76" s="25">
        <v>0.9</v>
      </c>
    </row>
    <row r="77" spans="1:7" x14ac:dyDescent="0.35">
      <c r="A77">
        <v>2</v>
      </c>
      <c r="B77" t="s">
        <v>11060</v>
      </c>
      <c r="C77">
        <v>13</v>
      </c>
      <c r="D77">
        <v>17</v>
      </c>
      <c r="E77">
        <v>22</v>
      </c>
      <c r="F77" t="s">
        <v>11942</v>
      </c>
      <c r="G77" s="25">
        <v>0.85</v>
      </c>
    </row>
    <row r="78" spans="1:7" x14ac:dyDescent="0.35">
      <c r="A78">
        <v>2</v>
      </c>
      <c r="B78" t="s">
        <v>11060</v>
      </c>
      <c r="C78">
        <v>14</v>
      </c>
      <c r="D78">
        <v>1</v>
      </c>
      <c r="E78">
        <v>31</v>
      </c>
      <c r="F78" t="s">
        <v>11943</v>
      </c>
      <c r="G78" s="25">
        <v>0.8</v>
      </c>
    </row>
    <row r="79" spans="1:7" x14ac:dyDescent="0.35">
      <c r="A79">
        <v>2</v>
      </c>
      <c r="B79" t="s">
        <v>11060</v>
      </c>
      <c r="C79">
        <v>15</v>
      </c>
      <c r="D79">
        <v>1</v>
      </c>
      <c r="E79">
        <v>21</v>
      </c>
      <c r="F79" t="s">
        <v>11943</v>
      </c>
      <c r="G79" s="25">
        <v>0.8</v>
      </c>
    </row>
    <row r="80" spans="1:7" x14ac:dyDescent="0.35">
      <c r="A80">
        <v>2</v>
      </c>
      <c r="B80" t="s">
        <v>11060</v>
      </c>
      <c r="C80">
        <v>15</v>
      </c>
      <c r="D80">
        <v>22</v>
      </c>
      <c r="E80">
        <v>27</v>
      </c>
      <c r="F80" t="s">
        <v>11944</v>
      </c>
      <c r="G80" s="25">
        <v>0.8</v>
      </c>
    </row>
    <row r="81" spans="1:7" x14ac:dyDescent="0.35">
      <c r="A81">
        <v>2</v>
      </c>
      <c r="B81" t="s">
        <v>11060</v>
      </c>
      <c r="C81">
        <v>16</v>
      </c>
      <c r="D81">
        <v>1</v>
      </c>
      <c r="E81">
        <v>36</v>
      </c>
      <c r="F81" t="s">
        <v>347</v>
      </c>
      <c r="G81" s="25">
        <v>0.8</v>
      </c>
    </row>
    <row r="82" spans="1:7" x14ac:dyDescent="0.35">
      <c r="A82">
        <v>2</v>
      </c>
      <c r="B82" t="s">
        <v>11060</v>
      </c>
      <c r="C82">
        <v>17</v>
      </c>
      <c r="D82">
        <v>1</v>
      </c>
      <c r="E82">
        <v>16</v>
      </c>
      <c r="F82" t="s">
        <v>356</v>
      </c>
      <c r="G82" s="25">
        <v>0.8</v>
      </c>
    </row>
    <row r="83" spans="1:7" x14ac:dyDescent="0.35">
      <c r="A83">
        <v>2</v>
      </c>
      <c r="B83" t="s">
        <v>11060</v>
      </c>
      <c r="C83">
        <v>18</v>
      </c>
      <c r="D83">
        <v>1</v>
      </c>
      <c r="E83">
        <v>27</v>
      </c>
      <c r="F83" t="s">
        <v>356</v>
      </c>
      <c r="G83" s="25">
        <v>0.8</v>
      </c>
    </row>
    <row r="84" spans="1:7" x14ac:dyDescent="0.35">
      <c r="A84">
        <v>2</v>
      </c>
      <c r="B84" t="s">
        <v>11060</v>
      </c>
      <c r="C84">
        <v>19</v>
      </c>
      <c r="D84">
        <v>1</v>
      </c>
      <c r="E84">
        <v>25</v>
      </c>
      <c r="F84" t="s">
        <v>357</v>
      </c>
      <c r="G84" s="25">
        <v>0.85</v>
      </c>
    </row>
    <row r="85" spans="1:7" x14ac:dyDescent="0.35">
      <c r="A85">
        <v>2</v>
      </c>
      <c r="B85" t="s">
        <v>11060</v>
      </c>
      <c r="C85">
        <v>20</v>
      </c>
      <c r="D85">
        <v>1</v>
      </c>
      <c r="E85">
        <v>26</v>
      </c>
      <c r="F85" t="s">
        <v>357</v>
      </c>
      <c r="G85" s="25">
        <v>0.85</v>
      </c>
    </row>
    <row r="86" spans="1:7" x14ac:dyDescent="0.35">
      <c r="A86">
        <v>2</v>
      </c>
      <c r="B86" t="s">
        <v>11060</v>
      </c>
      <c r="C86">
        <v>21</v>
      </c>
      <c r="D86">
        <v>1</v>
      </c>
      <c r="E86">
        <v>36</v>
      </c>
      <c r="F86" t="s">
        <v>357</v>
      </c>
      <c r="G86" s="25">
        <v>0.85</v>
      </c>
    </row>
    <row r="87" spans="1:7" x14ac:dyDescent="0.35">
      <c r="A87">
        <v>2</v>
      </c>
      <c r="B87" t="s">
        <v>11060</v>
      </c>
      <c r="C87">
        <v>22</v>
      </c>
      <c r="D87">
        <v>1</v>
      </c>
      <c r="E87">
        <v>31</v>
      </c>
      <c r="F87" t="s">
        <v>357</v>
      </c>
      <c r="G87" s="25">
        <v>0.85</v>
      </c>
    </row>
    <row r="88" spans="1:7" x14ac:dyDescent="0.35">
      <c r="A88">
        <v>2</v>
      </c>
      <c r="B88" t="s">
        <v>11060</v>
      </c>
      <c r="C88">
        <v>23</v>
      </c>
      <c r="D88">
        <v>1</v>
      </c>
      <c r="E88">
        <v>33</v>
      </c>
      <c r="F88" t="s">
        <v>357</v>
      </c>
      <c r="G88" s="25">
        <v>0.85</v>
      </c>
    </row>
    <row r="89" spans="1:7" x14ac:dyDescent="0.35">
      <c r="A89">
        <v>2</v>
      </c>
      <c r="B89" t="s">
        <v>11060</v>
      </c>
      <c r="C89">
        <v>24</v>
      </c>
      <c r="D89">
        <v>1</v>
      </c>
      <c r="E89">
        <v>18</v>
      </c>
      <c r="F89" t="s">
        <v>357</v>
      </c>
      <c r="G89" s="25">
        <v>0.85</v>
      </c>
    </row>
    <row r="90" spans="1:7" x14ac:dyDescent="0.35">
      <c r="A90">
        <v>2</v>
      </c>
      <c r="B90" t="s">
        <v>11060</v>
      </c>
      <c r="C90">
        <v>25</v>
      </c>
      <c r="D90">
        <v>1</v>
      </c>
      <c r="E90">
        <v>40</v>
      </c>
      <c r="F90" t="s">
        <v>357</v>
      </c>
      <c r="G90" s="25">
        <v>0.85</v>
      </c>
    </row>
    <row r="91" spans="1:7" x14ac:dyDescent="0.35">
      <c r="A91">
        <v>2</v>
      </c>
      <c r="B91" t="s">
        <v>11060</v>
      </c>
      <c r="C91">
        <v>26</v>
      </c>
      <c r="D91">
        <v>1</v>
      </c>
      <c r="E91">
        <v>37</v>
      </c>
      <c r="F91" t="s">
        <v>357</v>
      </c>
      <c r="G91" s="25">
        <v>0.85</v>
      </c>
    </row>
    <row r="92" spans="1:7" x14ac:dyDescent="0.35">
      <c r="A92">
        <v>2</v>
      </c>
      <c r="B92" t="s">
        <v>11060</v>
      </c>
      <c r="C92">
        <v>27</v>
      </c>
      <c r="D92">
        <v>1</v>
      </c>
      <c r="E92">
        <v>21</v>
      </c>
      <c r="F92" t="s">
        <v>357</v>
      </c>
      <c r="G92" s="25">
        <v>0.85</v>
      </c>
    </row>
    <row r="93" spans="1:7" x14ac:dyDescent="0.35">
      <c r="A93">
        <v>2</v>
      </c>
      <c r="B93" t="s">
        <v>11060</v>
      </c>
      <c r="C93">
        <v>28</v>
      </c>
      <c r="D93">
        <v>1</v>
      </c>
      <c r="E93">
        <v>43</v>
      </c>
      <c r="F93" t="s">
        <v>357</v>
      </c>
      <c r="G93" s="25">
        <v>0.85</v>
      </c>
    </row>
    <row r="94" spans="1:7" x14ac:dyDescent="0.35">
      <c r="A94">
        <v>2</v>
      </c>
      <c r="B94" t="s">
        <v>11060</v>
      </c>
      <c r="C94">
        <v>29</v>
      </c>
      <c r="D94">
        <v>1</v>
      </c>
      <c r="E94">
        <v>46</v>
      </c>
      <c r="F94" t="s">
        <v>357</v>
      </c>
      <c r="G94" s="25">
        <v>0.85</v>
      </c>
    </row>
    <row r="95" spans="1:7" x14ac:dyDescent="0.35">
      <c r="A95">
        <v>2</v>
      </c>
      <c r="B95" t="s">
        <v>11060</v>
      </c>
      <c r="C95">
        <v>30</v>
      </c>
      <c r="D95">
        <v>1</v>
      </c>
      <c r="E95">
        <v>38</v>
      </c>
      <c r="F95" t="s">
        <v>357</v>
      </c>
      <c r="G95" s="25">
        <v>0.85</v>
      </c>
    </row>
    <row r="96" spans="1:7" x14ac:dyDescent="0.35">
      <c r="A96">
        <v>2</v>
      </c>
      <c r="B96" t="s">
        <v>11060</v>
      </c>
      <c r="C96">
        <v>31</v>
      </c>
      <c r="D96">
        <v>1</v>
      </c>
      <c r="E96">
        <v>18</v>
      </c>
      <c r="F96" t="s">
        <v>357</v>
      </c>
      <c r="G96" s="25">
        <v>0.85</v>
      </c>
    </row>
    <row r="97" spans="1:7" x14ac:dyDescent="0.35">
      <c r="A97">
        <v>2</v>
      </c>
      <c r="B97" t="s">
        <v>11060</v>
      </c>
      <c r="C97">
        <v>32</v>
      </c>
      <c r="D97">
        <v>1</v>
      </c>
      <c r="E97">
        <v>35</v>
      </c>
      <c r="F97" t="s">
        <v>357</v>
      </c>
      <c r="G97" s="25">
        <v>0.85</v>
      </c>
    </row>
    <row r="98" spans="1:7" x14ac:dyDescent="0.35">
      <c r="A98">
        <v>2</v>
      </c>
      <c r="B98" t="s">
        <v>11060</v>
      </c>
      <c r="C98">
        <v>33</v>
      </c>
      <c r="D98">
        <v>1</v>
      </c>
      <c r="E98">
        <v>23</v>
      </c>
      <c r="F98" t="s">
        <v>357</v>
      </c>
      <c r="G98" s="25">
        <v>0.85</v>
      </c>
    </row>
    <row r="99" spans="1:7" x14ac:dyDescent="0.35">
      <c r="A99">
        <v>2</v>
      </c>
      <c r="B99" t="s">
        <v>11060</v>
      </c>
      <c r="C99">
        <v>34</v>
      </c>
      <c r="D99">
        <v>1</v>
      </c>
      <c r="E99">
        <v>35</v>
      </c>
      <c r="F99" t="s">
        <v>357</v>
      </c>
      <c r="G99" s="25">
        <v>0.85</v>
      </c>
    </row>
    <row r="100" spans="1:7" x14ac:dyDescent="0.35">
      <c r="A100">
        <v>2</v>
      </c>
      <c r="B100" t="s">
        <v>11060</v>
      </c>
      <c r="C100">
        <v>35</v>
      </c>
      <c r="D100">
        <v>1</v>
      </c>
      <c r="E100">
        <v>35</v>
      </c>
      <c r="F100" t="s">
        <v>357</v>
      </c>
      <c r="G100" s="25">
        <v>0.85</v>
      </c>
    </row>
    <row r="101" spans="1:7" x14ac:dyDescent="0.35">
      <c r="A101">
        <v>2</v>
      </c>
      <c r="B101" t="s">
        <v>11060</v>
      </c>
      <c r="C101">
        <v>36</v>
      </c>
      <c r="D101">
        <v>1</v>
      </c>
      <c r="E101">
        <v>38</v>
      </c>
      <c r="F101" t="s">
        <v>357</v>
      </c>
      <c r="G101" s="25">
        <v>0.85</v>
      </c>
    </row>
    <row r="102" spans="1:7" x14ac:dyDescent="0.35">
      <c r="A102">
        <v>2</v>
      </c>
      <c r="B102" t="s">
        <v>11060</v>
      </c>
      <c r="C102">
        <v>37</v>
      </c>
      <c r="D102">
        <v>1</v>
      </c>
      <c r="E102">
        <v>29</v>
      </c>
      <c r="F102" t="s">
        <v>357</v>
      </c>
      <c r="G102" s="25">
        <v>0.85</v>
      </c>
    </row>
    <row r="103" spans="1:7" x14ac:dyDescent="0.35">
      <c r="A103">
        <v>2</v>
      </c>
      <c r="B103" t="s">
        <v>11060</v>
      </c>
      <c r="C103">
        <v>38</v>
      </c>
      <c r="D103">
        <v>1</v>
      </c>
      <c r="E103">
        <v>31</v>
      </c>
      <c r="F103" t="s">
        <v>357</v>
      </c>
      <c r="G103" s="25">
        <v>0.85</v>
      </c>
    </row>
    <row r="104" spans="1:7" x14ac:dyDescent="0.35">
      <c r="A104">
        <v>2</v>
      </c>
      <c r="B104" t="s">
        <v>11060</v>
      </c>
      <c r="C104">
        <v>39</v>
      </c>
      <c r="D104">
        <v>1</v>
      </c>
      <c r="E104">
        <v>43</v>
      </c>
      <c r="F104" t="s">
        <v>357</v>
      </c>
      <c r="G104" s="25">
        <v>0.85</v>
      </c>
    </row>
    <row r="105" spans="1:7" x14ac:dyDescent="0.35">
      <c r="A105">
        <v>2</v>
      </c>
      <c r="B105" t="s">
        <v>11060</v>
      </c>
      <c r="C105">
        <v>40</v>
      </c>
      <c r="D105">
        <v>1</v>
      </c>
      <c r="E105">
        <v>38</v>
      </c>
      <c r="F105" t="s">
        <v>357</v>
      </c>
      <c r="G105" s="25">
        <v>0.85</v>
      </c>
    </row>
    <row r="106" spans="1:7" x14ac:dyDescent="0.35">
      <c r="A106">
        <v>3</v>
      </c>
      <c r="B106" t="s">
        <v>11062</v>
      </c>
      <c r="C106">
        <v>1</v>
      </c>
      <c r="D106">
        <v>1</v>
      </c>
      <c r="E106">
        <v>17</v>
      </c>
      <c r="F106" t="s">
        <v>357</v>
      </c>
      <c r="G106" s="25">
        <v>0.85</v>
      </c>
    </row>
    <row r="107" spans="1:7" x14ac:dyDescent="0.35">
      <c r="A107">
        <v>3</v>
      </c>
      <c r="B107" t="s">
        <v>11062</v>
      </c>
      <c r="C107">
        <v>2</v>
      </c>
      <c r="D107">
        <v>1</v>
      </c>
      <c r="E107">
        <v>16</v>
      </c>
      <c r="F107" t="s">
        <v>357</v>
      </c>
      <c r="G107" s="25">
        <v>0.85</v>
      </c>
    </row>
    <row r="108" spans="1:7" x14ac:dyDescent="0.35">
      <c r="A108">
        <v>3</v>
      </c>
      <c r="B108" t="s">
        <v>11062</v>
      </c>
      <c r="C108">
        <v>3</v>
      </c>
      <c r="D108">
        <v>1</v>
      </c>
      <c r="E108">
        <v>17</v>
      </c>
      <c r="F108" t="s">
        <v>357</v>
      </c>
      <c r="G108" s="25">
        <v>0.85</v>
      </c>
    </row>
    <row r="109" spans="1:7" x14ac:dyDescent="0.35">
      <c r="A109">
        <v>3</v>
      </c>
      <c r="B109" t="s">
        <v>11062</v>
      </c>
      <c r="C109">
        <v>4</v>
      </c>
      <c r="D109">
        <v>1</v>
      </c>
      <c r="E109">
        <v>35</v>
      </c>
      <c r="F109" t="s">
        <v>357</v>
      </c>
      <c r="G109" s="25">
        <v>0.85</v>
      </c>
    </row>
    <row r="110" spans="1:7" x14ac:dyDescent="0.35">
      <c r="A110">
        <v>3</v>
      </c>
      <c r="B110" t="s">
        <v>11062</v>
      </c>
      <c r="C110">
        <v>5</v>
      </c>
      <c r="D110">
        <v>1</v>
      </c>
      <c r="E110">
        <v>19</v>
      </c>
      <c r="F110" t="s">
        <v>357</v>
      </c>
      <c r="G110" s="25">
        <v>0.85</v>
      </c>
    </row>
    <row r="111" spans="1:7" x14ac:dyDescent="0.35">
      <c r="A111">
        <v>3</v>
      </c>
      <c r="B111" t="s">
        <v>11062</v>
      </c>
      <c r="C111">
        <v>6</v>
      </c>
      <c r="D111">
        <v>1</v>
      </c>
      <c r="E111">
        <v>30</v>
      </c>
      <c r="F111" t="s">
        <v>357</v>
      </c>
      <c r="G111" s="25">
        <v>0.85</v>
      </c>
    </row>
    <row r="112" spans="1:7" x14ac:dyDescent="0.35">
      <c r="A112">
        <v>3</v>
      </c>
      <c r="B112" t="s">
        <v>11062</v>
      </c>
      <c r="C112">
        <v>7</v>
      </c>
      <c r="D112">
        <v>1</v>
      </c>
      <c r="E112">
        <v>38</v>
      </c>
      <c r="F112" t="s">
        <v>357</v>
      </c>
      <c r="G112" s="25">
        <v>0.85</v>
      </c>
    </row>
    <row r="113" spans="1:7" x14ac:dyDescent="0.35">
      <c r="A113">
        <v>3</v>
      </c>
      <c r="B113" t="s">
        <v>11062</v>
      </c>
      <c r="C113">
        <v>8</v>
      </c>
      <c r="D113">
        <v>1</v>
      </c>
      <c r="E113">
        <v>36</v>
      </c>
      <c r="F113" t="s">
        <v>357</v>
      </c>
      <c r="G113" s="25">
        <v>0.85</v>
      </c>
    </row>
    <row r="114" spans="1:7" x14ac:dyDescent="0.35">
      <c r="A114">
        <v>3</v>
      </c>
      <c r="B114" t="s">
        <v>11062</v>
      </c>
      <c r="C114">
        <v>9</v>
      </c>
      <c r="D114">
        <v>1</v>
      </c>
      <c r="E114">
        <v>24</v>
      </c>
      <c r="F114" t="s">
        <v>357</v>
      </c>
      <c r="G114" s="25">
        <v>0.85</v>
      </c>
    </row>
    <row r="115" spans="1:7" x14ac:dyDescent="0.35">
      <c r="A115">
        <v>3</v>
      </c>
      <c r="B115" t="s">
        <v>11062</v>
      </c>
      <c r="C115">
        <v>10</v>
      </c>
      <c r="D115">
        <v>1</v>
      </c>
      <c r="E115">
        <v>20</v>
      </c>
      <c r="F115" t="s">
        <v>357</v>
      </c>
      <c r="G115" s="25">
        <v>0.85</v>
      </c>
    </row>
    <row r="116" spans="1:7" x14ac:dyDescent="0.35">
      <c r="A116">
        <v>3</v>
      </c>
      <c r="B116" t="s">
        <v>11062</v>
      </c>
      <c r="C116">
        <v>11</v>
      </c>
      <c r="D116">
        <v>1</v>
      </c>
      <c r="E116">
        <v>47</v>
      </c>
      <c r="F116" t="s">
        <v>357</v>
      </c>
      <c r="G116" s="25">
        <v>0.85</v>
      </c>
    </row>
    <row r="117" spans="1:7" x14ac:dyDescent="0.35">
      <c r="A117">
        <v>3</v>
      </c>
      <c r="B117" t="s">
        <v>11062</v>
      </c>
      <c r="C117">
        <v>12</v>
      </c>
      <c r="D117">
        <v>1</v>
      </c>
      <c r="E117">
        <v>8</v>
      </c>
      <c r="F117" t="s">
        <v>357</v>
      </c>
      <c r="G117" s="25">
        <v>0.85</v>
      </c>
    </row>
    <row r="118" spans="1:7" x14ac:dyDescent="0.35">
      <c r="A118">
        <v>3</v>
      </c>
      <c r="B118" t="s">
        <v>11062</v>
      </c>
      <c r="C118">
        <v>13</v>
      </c>
      <c r="D118">
        <v>1</v>
      </c>
      <c r="E118">
        <v>59</v>
      </c>
      <c r="F118" t="s">
        <v>357</v>
      </c>
      <c r="G118" s="25">
        <v>0.85</v>
      </c>
    </row>
    <row r="119" spans="1:7" x14ac:dyDescent="0.35">
      <c r="A119">
        <v>3</v>
      </c>
      <c r="B119" t="s">
        <v>11062</v>
      </c>
      <c r="C119">
        <v>14</v>
      </c>
      <c r="D119">
        <v>1</v>
      </c>
      <c r="E119">
        <v>57</v>
      </c>
      <c r="F119" t="s">
        <v>357</v>
      </c>
      <c r="G119" s="25">
        <v>0.85</v>
      </c>
    </row>
    <row r="120" spans="1:7" x14ac:dyDescent="0.35">
      <c r="A120">
        <v>3</v>
      </c>
      <c r="B120" t="s">
        <v>11062</v>
      </c>
      <c r="C120">
        <v>15</v>
      </c>
      <c r="D120">
        <v>1</v>
      </c>
      <c r="E120">
        <v>33</v>
      </c>
      <c r="F120" t="s">
        <v>357</v>
      </c>
      <c r="G120" s="25">
        <v>0.85</v>
      </c>
    </row>
    <row r="121" spans="1:7" x14ac:dyDescent="0.35">
      <c r="A121">
        <v>3</v>
      </c>
      <c r="B121" t="s">
        <v>11062</v>
      </c>
      <c r="C121">
        <v>16</v>
      </c>
      <c r="D121">
        <v>1</v>
      </c>
      <c r="E121">
        <v>34</v>
      </c>
      <c r="F121" t="s">
        <v>357</v>
      </c>
      <c r="G121" s="25">
        <v>0.85</v>
      </c>
    </row>
    <row r="122" spans="1:7" x14ac:dyDescent="0.35">
      <c r="A122">
        <v>3</v>
      </c>
      <c r="B122" t="s">
        <v>11062</v>
      </c>
      <c r="C122">
        <v>17</v>
      </c>
      <c r="D122">
        <v>1</v>
      </c>
      <c r="E122">
        <v>16</v>
      </c>
      <c r="F122" t="s">
        <v>357</v>
      </c>
      <c r="G122" s="25">
        <v>0.85</v>
      </c>
    </row>
    <row r="123" spans="1:7" x14ac:dyDescent="0.35">
      <c r="A123">
        <v>3</v>
      </c>
      <c r="B123" t="s">
        <v>11062</v>
      </c>
      <c r="C123">
        <v>18</v>
      </c>
      <c r="D123">
        <v>1</v>
      </c>
      <c r="E123">
        <v>30</v>
      </c>
      <c r="F123" t="s">
        <v>357</v>
      </c>
      <c r="G123" s="25">
        <v>0.85</v>
      </c>
    </row>
    <row r="124" spans="1:7" x14ac:dyDescent="0.35">
      <c r="A124">
        <v>3</v>
      </c>
      <c r="B124" t="s">
        <v>11062</v>
      </c>
      <c r="C124">
        <v>19</v>
      </c>
      <c r="D124">
        <v>1</v>
      </c>
      <c r="E124">
        <v>37</v>
      </c>
      <c r="F124" t="s">
        <v>357</v>
      </c>
      <c r="G124" s="25">
        <v>0.85</v>
      </c>
    </row>
    <row r="125" spans="1:7" x14ac:dyDescent="0.35">
      <c r="A125">
        <v>3</v>
      </c>
      <c r="B125" t="s">
        <v>11062</v>
      </c>
      <c r="C125">
        <v>20</v>
      </c>
      <c r="D125">
        <v>1</v>
      </c>
      <c r="E125">
        <v>27</v>
      </c>
      <c r="F125" t="s">
        <v>357</v>
      </c>
      <c r="G125" s="25">
        <v>0.85</v>
      </c>
    </row>
    <row r="126" spans="1:7" x14ac:dyDescent="0.35">
      <c r="A126">
        <v>3</v>
      </c>
      <c r="B126" t="s">
        <v>11062</v>
      </c>
      <c r="C126">
        <v>21</v>
      </c>
      <c r="D126">
        <v>1</v>
      </c>
      <c r="E126">
        <v>24</v>
      </c>
      <c r="F126" t="s">
        <v>357</v>
      </c>
      <c r="G126" s="25">
        <v>0.85</v>
      </c>
    </row>
    <row r="127" spans="1:7" x14ac:dyDescent="0.35">
      <c r="A127">
        <v>3</v>
      </c>
      <c r="B127" t="s">
        <v>11062</v>
      </c>
      <c r="C127">
        <v>22</v>
      </c>
      <c r="D127">
        <v>1</v>
      </c>
      <c r="E127">
        <v>33</v>
      </c>
      <c r="F127" t="s">
        <v>357</v>
      </c>
      <c r="G127" s="25">
        <v>0.85</v>
      </c>
    </row>
    <row r="128" spans="1:7" x14ac:dyDescent="0.35">
      <c r="A128">
        <v>3</v>
      </c>
      <c r="B128" t="s">
        <v>11062</v>
      </c>
      <c r="C128">
        <v>23</v>
      </c>
      <c r="D128">
        <v>1</v>
      </c>
      <c r="E128">
        <v>44</v>
      </c>
      <c r="F128" t="s">
        <v>357</v>
      </c>
      <c r="G128" s="25">
        <v>0.85</v>
      </c>
    </row>
    <row r="129" spans="1:7" x14ac:dyDescent="0.35">
      <c r="A129">
        <v>3</v>
      </c>
      <c r="B129" t="s">
        <v>11062</v>
      </c>
      <c r="C129">
        <v>24</v>
      </c>
      <c r="D129">
        <v>1</v>
      </c>
      <c r="E129">
        <v>23</v>
      </c>
      <c r="F129" t="s">
        <v>357</v>
      </c>
      <c r="G129" s="25">
        <v>0.85</v>
      </c>
    </row>
    <row r="130" spans="1:7" x14ac:dyDescent="0.35">
      <c r="A130">
        <v>3</v>
      </c>
      <c r="B130" t="s">
        <v>11062</v>
      </c>
      <c r="C130">
        <v>25</v>
      </c>
      <c r="D130">
        <v>1</v>
      </c>
      <c r="E130">
        <v>55</v>
      </c>
      <c r="F130" t="s">
        <v>357</v>
      </c>
      <c r="G130" s="25">
        <v>0.85</v>
      </c>
    </row>
    <row r="131" spans="1:7" x14ac:dyDescent="0.35">
      <c r="A131">
        <v>3</v>
      </c>
      <c r="B131" t="s">
        <v>11062</v>
      </c>
      <c r="C131">
        <v>26</v>
      </c>
      <c r="D131">
        <v>1</v>
      </c>
      <c r="E131">
        <v>46</v>
      </c>
      <c r="F131" t="s">
        <v>357</v>
      </c>
      <c r="G131" s="25">
        <v>0.85</v>
      </c>
    </row>
    <row r="132" spans="1:7" x14ac:dyDescent="0.35">
      <c r="A132">
        <v>3</v>
      </c>
      <c r="B132" t="s">
        <v>11062</v>
      </c>
      <c r="C132">
        <v>27</v>
      </c>
      <c r="D132">
        <v>1</v>
      </c>
      <c r="E132">
        <v>34</v>
      </c>
      <c r="F132" t="s">
        <v>357</v>
      </c>
      <c r="G132" s="25">
        <v>0.85</v>
      </c>
    </row>
    <row r="133" spans="1:7" x14ac:dyDescent="0.35">
      <c r="A133">
        <v>4</v>
      </c>
      <c r="B133" t="s">
        <v>11064</v>
      </c>
      <c r="C133">
        <v>1</v>
      </c>
      <c r="D133">
        <v>1</v>
      </c>
      <c r="E133">
        <v>54</v>
      </c>
      <c r="F133" t="s">
        <v>526</v>
      </c>
      <c r="G133" s="25">
        <v>0.85</v>
      </c>
    </row>
    <row r="134" spans="1:7" x14ac:dyDescent="0.35">
      <c r="A134">
        <v>4</v>
      </c>
      <c r="B134" t="s">
        <v>11064</v>
      </c>
      <c r="C134">
        <v>2</v>
      </c>
      <c r="D134">
        <v>1</v>
      </c>
      <c r="E134">
        <v>34</v>
      </c>
      <c r="F134" t="s">
        <v>526</v>
      </c>
      <c r="G134" s="25">
        <v>0.85</v>
      </c>
    </row>
    <row r="135" spans="1:7" x14ac:dyDescent="0.35">
      <c r="A135">
        <v>4</v>
      </c>
      <c r="B135" t="s">
        <v>11064</v>
      </c>
      <c r="C135">
        <v>3</v>
      </c>
      <c r="D135">
        <v>1</v>
      </c>
      <c r="E135">
        <v>51</v>
      </c>
      <c r="F135" t="s">
        <v>526</v>
      </c>
      <c r="G135" s="25">
        <v>0.85</v>
      </c>
    </row>
    <row r="136" spans="1:7" x14ac:dyDescent="0.35">
      <c r="A136">
        <v>4</v>
      </c>
      <c r="B136" t="s">
        <v>11064</v>
      </c>
      <c r="C136">
        <v>4</v>
      </c>
      <c r="D136">
        <v>1</v>
      </c>
      <c r="E136">
        <v>49</v>
      </c>
      <c r="F136" t="s">
        <v>526</v>
      </c>
      <c r="G136" s="25">
        <v>0.85</v>
      </c>
    </row>
    <row r="137" spans="1:7" x14ac:dyDescent="0.35">
      <c r="A137">
        <v>4</v>
      </c>
      <c r="B137" t="s">
        <v>11064</v>
      </c>
      <c r="C137">
        <v>5</v>
      </c>
      <c r="D137">
        <v>1</v>
      </c>
      <c r="E137">
        <v>31</v>
      </c>
      <c r="F137" t="s">
        <v>526</v>
      </c>
      <c r="G137" s="25">
        <v>0.85</v>
      </c>
    </row>
    <row r="138" spans="1:7" x14ac:dyDescent="0.35">
      <c r="A138">
        <v>4</v>
      </c>
      <c r="B138" t="s">
        <v>11064</v>
      </c>
      <c r="C138">
        <v>6</v>
      </c>
      <c r="D138">
        <v>1</v>
      </c>
      <c r="E138">
        <v>27</v>
      </c>
      <c r="F138" t="s">
        <v>526</v>
      </c>
      <c r="G138" s="25">
        <v>0.85</v>
      </c>
    </row>
    <row r="139" spans="1:7" x14ac:dyDescent="0.35">
      <c r="A139">
        <v>4</v>
      </c>
      <c r="B139" t="s">
        <v>11064</v>
      </c>
      <c r="C139">
        <v>7</v>
      </c>
      <c r="D139">
        <v>1</v>
      </c>
      <c r="E139">
        <v>89</v>
      </c>
      <c r="F139" t="s">
        <v>526</v>
      </c>
      <c r="G139" s="25">
        <v>0.85</v>
      </c>
    </row>
    <row r="140" spans="1:7" x14ac:dyDescent="0.35">
      <c r="A140">
        <v>4</v>
      </c>
      <c r="B140" t="s">
        <v>11064</v>
      </c>
      <c r="C140">
        <v>8</v>
      </c>
      <c r="D140">
        <v>1</v>
      </c>
      <c r="E140">
        <v>26</v>
      </c>
      <c r="F140" t="s">
        <v>526</v>
      </c>
      <c r="G140" s="25">
        <v>0.85</v>
      </c>
    </row>
    <row r="141" spans="1:7" x14ac:dyDescent="0.35">
      <c r="A141">
        <v>4</v>
      </c>
      <c r="B141" t="s">
        <v>11064</v>
      </c>
      <c r="C141">
        <v>9</v>
      </c>
      <c r="D141">
        <v>1</v>
      </c>
      <c r="E141">
        <v>23</v>
      </c>
      <c r="F141" t="s">
        <v>526</v>
      </c>
      <c r="G141" s="25">
        <v>0.85</v>
      </c>
    </row>
    <row r="142" spans="1:7" x14ac:dyDescent="0.35">
      <c r="A142">
        <v>4</v>
      </c>
      <c r="B142" t="s">
        <v>11064</v>
      </c>
      <c r="C142">
        <v>10</v>
      </c>
      <c r="D142">
        <v>1</v>
      </c>
      <c r="E142">
        <v>10</v>
      </c>
      <c r="F142" t="s">
        <v>526</v>
      </c>
      <c r="G142" s="25">
        <v>0.85</v>
      </c>
    </row>
    <row r="143" spans="1:7" x14ac:dyDescent="0.35">
      <c r="A143">
        <v>4</v>
      </c>
      <c r="B143" t="s">
        <v>11064</v>
      </c>
      <c r="C143">
        <v>10</v>
      </c>
      <c r="D143">
        <v>11</v>
      </c>
      <c r="E143">
        <v>36</v>
      </c>
      <c r="F143" t="s">
        <v>11945</v>
      </c>
      <c r="G143" s="25">
        <v>0.8</v>
      </c>
    </row>
    <row r="144" spans="1:7" x14ac:dyDescent="0.35">
      <c r="A144">
        <v>4</v>
      </c>
      <c r="B144" t="s">
        <v>11064</v>
      </c>
      <c r="C144">
        <v>11</v>
      </c>
      <c r="D144">
        <v>1</v>
      </c>
      <c r="E144">
        <v>35</v>
      </c>
      <c r="F144" t="s">
        <v>11946</v>
      </c>
      <c r="G144" s="25">
        <v>0.8</v>
      </c>
    </row>
    <row r="145" spans="1:7" x14ac:dyDescent="0.35">
      <c r="A145">
        <v>4</v>
      </c>
      <c r="B145" t="s">
        <v>11064</v>
      </c>
      <c r="C145">
        <v>12</v>
      </c>
      <c r="D145">
        <v>1</v>
      </c>
      <c r="E145">
        <v>16</v>
      </c>
      <c r="F145" t="s">
        <v>11946</v>
      </c>
      <c r="G145" s="25">
        <v>0.8</v>
      </c>
    </row>
    <row r="146" spans="1:7" x14ac:dyDescent="0.35">
      <c r="A146">
        <v>4</v>
      </c>
      <c r="B146" t="s">
        <v>11064</v>
      </c>
      <c r="C146">
        <v>13</v>
      </c>
      <c r="D146">
        <v>1</v>
      </c>
      <c r="E146">
        <v>33</v>
      </c>
      <c r="F146" t="s">
        <v>11947</v>
      </c>
      <c r="G146" s="25">
        <v>0.8</v>
      </c>
    </row>
    <row r="147" spans="1:7" x14ac:dyDescent="0.35">
      <c r="A147">
        <v>4</v>
      </c>
      <c r="B147" t="s">
        <v>11064</v>
      </c>
      <c r="C147">
        <v>14</v>
      </c>
      <c r="D147">
        <v>1</v>
      </c>
      <c r="E147">
        <v>45</v>
      </c>
      <c r="F147" t="s">
        <v>585</v>
      </c>
      <c r="G147" s="25">
        <v>0.8</v>
      </c>
    </row>
    <row r="148" spans="1:7" x14ac:dyDescent="0.35">
      <c r="A148">
        <v>4</v>
      </c>
      <c r="B148" t="s">
        <v>11064</v>
      </c>
      <c r="C148">
        <v>15</v>
      </c>
      <c r="D148">
        <v>1</v>
      </c>
      <c r="E148">
        <v>41</v>
      </c>
      <c r="F148" t="s">
        <v>11946</v>
      </c>
      <c r="G148" s="25">
        <v>0.8</v>
      </c>
    </row>
    <row r="149" spans="1:7" x14ac:dyDescent="0.35">
      <c r="A149">
        <v>4</v>
      </c>
      <c r="B149" t="s">
        <v>11064</v>
      </c>
      <c r="C149">
        <v>16</v>
      </c>
      <c r="D149">
        <v>1</v>
      </c>
      <c r="E149">
        <v>50</v>
      </c>
      <c r="F149" t="s">
        <v>11946</v>
      </c>
      <c r="G149" s="25">
        <v>0.8</v>
      </c>
    </row>
    <row r="150" spans="1:7" x14ac:dyDescent="0.35">
      <c r="A150">
        <v>4</v>
      </c>
      <c r="B150" t="s">
        <v>11064</v>
      </c>
      <c r="C150">
        <v>17</v>
      </c>
      <c r="D150">
        <v>1</v>
      </c>
      <c r="E150">
        <v>13</v>
      </c>
      <c r="F150" t="s">
        <v>11946</v>
      </c>
      <c r="G150" s="25">
        <v>0.8</v>
      </c>
    </row>
    <row r="151" spans="1:7" x14ac:dyDescent="0.35">
      <c r="A151">
        <v>4</v>
      </c>
      <c r="B151" t="s">
        <v>11064</v>
      </c>
      <c r="C151">
        <v>18</v>
      </c>
      <c r="D151">
        <v>1</v>
      </c>
      <c r="E151">
        <v>32</v>
      </c>
      <c r="F151" t="s">
        <v>11946</v>
      </c>
      <c r="G151" s="25">
        <v>0.8</v>
      </c>
    </row>
    <row r="152" spans="1:7" x14ac:dyDescent="0.35">
      <c r="A152">
        <v>4</v>
      </c>
      <c r="B152" t="s">
        <v>11064</v>
      </c>
      <c r="C152">
        <v>19</v>
      </c>
      <c r="D152">
        <v>1</v>
      </c>
      <c r="E152">
        <v>22</v>
      </c>
      <c r="F152" t="s">
        <v>11946</v>
      </c>
      <c r="G152" s="25">
        <v>0.8</v>
      </c>
    </row>
    <row r="153" spans="1:7" x14ac:dyDescent="0.35">
      <c r="A153">
        <v>4</v>
      </c>
      <c r="B153" t="s">
        <v>11064</v>
      </c>
      <c r="C153">
        <v>20</v>
      </c>
      <c r="D153">
        <v>1</v>
      </c>
      <c r="E153">
        <v>29</v>
      </c>
      <c r="F153" t="s">
        <v>11948</v>
      </c>
      <c r="G153" s="25">
        <v>0.8</v>
      </c>
    </row>
    <row r="154" spans="1:7" x14ac:dyDescent="0.35">
      <c r="A154">
        <v>4</v>
      </c>
      <c r="B154" t="s">
        <v>11064</v>
      </c>
      <c r="C154">
        <v>21</v>
      </c>
      <c r="D154">
        <v>1</v>
      </c>
      <c r="E154">
        <v>35</v>
      </c>
      <c r="F154" t="s">
        <v>11949</v>
      </c>
      <c r="G154" s="25">
        <v>0.8</v>
      </c>
    </row>
    <row r="155" spans="1:7" x14ac:dyDescent="0.35">
      <c r="A155">
        <v>4</v>
      </c>
      <c r="B155" t="s">
        <v>11064</v>
      </c>
      <c r="C155">
        <v>22</v>
      </c>
      <c r="D155">
        <v>1</v>
      </c>
      <c r="E155">
        <v>41</v>
      </c>
      <c r="F155" t="s">
        <v>679</v>
      </c>
      <c r="G155" s="25">
        <v>0.85</v>
      </c>
    </row>
    <row r="156" spans="1:7" x14ac:dyDescent="0.35">
      <c r="A156">
        <v>4</v>
      </c>
      <c r="B156" t="s">
        <v>11064</v>
      </c>
      <c r="C156">
        <v>23</v>
      </c>
      <c r="D156">
        <v>1</v>
      </c>
      <c r="E156">
        <v>30</v>
      </c>
      <c r="F156" t="s">
        <v>679</v>
      </c>
      <c r="G156" s="25">
        <v>0.85</v>
      </c>
    </row>
    <row r="157" spans="1:7" x14ac:dyDescent="0.35">
      <c r="A157">
        <v>4</v>
      </c>
      <c r="B157" t="s">
        <v>11064</v>
      </c>
      <c r="C157">
        <v>24</v>
      </c>
      <c r="D157">
        <v>1</v>
      </c>
      <c r="E157">
        <v>25</v>
      </c>
      <c r="F157" t="s">
        <v>679</v>
      </c>
      <c r="G157" s="25">
        <v>0.85</v>
      </c>
    </row>
    <row r="158" spans="1:7" x14ac:dyDescent="0.35">
      <c r="A158">
        <v>4</v>
      </c>
      <c r="B158" t="s">
        <v>11064</v>
      </c>
      <c r="C158">
        <v>25</v>
      </c>
      <c r="D158">
        <v>1</v>
      </c>
      <c r="E158">
        <v>18</v>
      </c>
      <c r="F158" t="s">
        <v>679</v>
      </c>
      <c r="G158" s="25">
        <v>0.85</v>
      </c>
    </row>
    <row r="159" spans="1:7" x14ac:dyDescent="0.35">
      <c r="A159">
        <v>4</v>
      </c>
      <c r="B159" t="s">
        <v>11064</v>
      </c>
      <c r="C159">
        <v>26</v>
      </c>
      <c r="D159">
        <v>1</v>
      </c>
      <c r="E159">
        <v>65</v>
      </c>
      <c r="F159" t="s">
        <v>679</v>
      </c>
      <c r="G159" s="25">
        <v>0.85</v>
      </c>
    </row>
    <row r="160" spans="1:7" x14ac:dyDescent="0.35">
      <c r="A160">
        <v>4</v>
      </c>
      <c r="B160" t="s">
        <v>11064</v>
      </c>
      <c r="C160">
        <v>27</v>
      </c>
      <c r="D160">
        <v>1</v>
      </c>
      <c r="E160">
        <v>23</v>
      </c>
      <c r="F160" t="s">
        <v>679</v>
      </c>
      <c r="G160" s="25">
        <v>0.85</v>
      </c>
    </row>
    <row r="161" spans="1:7" x14ac:dyDescent="0.35">
      <c r="A161">
        <v>4</v>
      </c>
      <c r="B161" t="s">
        <v>11064</v>
      </c>
      <c r="C161">
        <v>28</v>
      </c>
      <c r="D161">
        <v>1</v>
      </c>
      <c r="E161">
        <v>31</v>
      </c>
      <c r="F161" t="s">
        <v>679</v>
      </c>
      <c r="G161" s="25">
        <v>0.85</v>
      </c>
    </row>
    <row r="162" spans="1:7" x14ac:dyDescent="0.35">
      <c r="A162">
        <v>4</v>
      </c>
      <c r="B162" t="s">
        <v>11064</v>
      </c>
      <c r="C162">
        <v>29</v>
      </c>
      <c r="D162">
        <v>1</v>
      </c>
      <c r="E162">
        <v>40</v>
      </c>
      <c r="F162" t="s">
        <v>679</v>
      </c>
      <c r="G162" s="25">
        <v>0.85</v>
      </c>
    </row>
    <row r="163" spans="1:7" x14ac:dyDescent="0.35">
      <c r="A163">
        <v>4</v>
      </c>
      <c r="B163" t="s">
        <v>11064</v>
      </c>
      <c r="C163">
        <v>30</v>
      </c>
      <c r="D163">
        <v>1</v>
      </c>
      <c r="E163">
        <v>16</v>
      </c>
      <c r="F163" t="s">
        <v>679</v>
      </c>
      <c r="G163" s="25">
        <v>0.85</v>
      </c>
    </row>
    <row r="164" spans="1:7" x14ac:dyDescent="0.35">
      <c r="A164">
        <v>4</v>
      </c>
      <c r="B164" t="s">
        <v>11064</v>
      </c>
      <c r="C164">
        <v>31</v>
      </c>
      <c r="D164">
        <v>1</v>
      </c>
      <c r="E164">
        <v>54</v>
      </c>
      <c r="F164" t="s">
        <v>679</v>
      </c>
      <c r="G164" s="25">
        <v>0.85</v>
      </c>
    </row>
    <row r="165" spans="1:7" x14ac:dyDescent="0.35">
      <c r="A165">
        <v>4</v>
      </c>
      <c r="B165" t="s">
        <v>11064</v>
      </c>
      <c r="C165">
        <v>32</v>
      </c>
      <c r="D165">
        <v>1</v>
      </c>
      <c r="E165">
        <v>42</v>
      </c>
      <c r="F165" t="s">
        <v>11950</v>
      </c>
      <c r="G165" s="25">
        <v>0.85</v>
      </c>
    </row>
    <row r="166" spans="1:7" x14ac:dyDescent="0.35">
      <c r="A166">
        <v>4</v>
      </c>
      <c r="B166" t="s">
        <v>11064</v>
      </c>
      <c r="C166">
        <v>33</v>
      </c>
      <c r="D166">
        <v>1</v>
      </c>
      <c r="E166">
        <v>56</v>
      </c>
      <c r="F166" t="s">
        <v>11951</v>
      </c>
      <c r="G166" s="25">
        <v>0.75</v>
      </c>
    </row>
    <row r="167" spans="1:7" x14ac:dyDescent="0.35">
      <c r="A167">
        <v>4</v>
      </c>
      <c r="B167" t="s">
        <v>11064</v>
      </c>
      <c r="C167">
        <v>34</v>
      </c>
      <c r="D167">
        <v>1</v>
      </c>
      <c r="E167">
        <v>29</v>
      </c>
      <c r="F167" t="s">
        <v>679</v>
      </c>
      <c r="G167" s="25">
        <v>0.85</v>
      </c>
    </row>
    <row r="168" spans="1:7" x14ac:dyDescent="0.35">
      <c r="A168">
        <v>4</v>
      </c>
      <c r="B168" t="s">
        <v>11064</v>
      </c>
      <c r="C168">
        <v>35</v>
      </c>
      <c r="D168">
        <v>1</v>
      </c>
      <c r="E168">
        <v>34</v>
      </c>
      <c r="F168" t="s">
        <v>679</v>
      </c>
      <c r="G168" s="25">
        <v>0.85</v>
      </c>
    </row>
    <row r="169" spans="1:7" x14ac:dyDescent="0.35">
      <c r="A169">
        <v>4</v>
      </c>
      <c r="B169" t="s">
        <v>11064</v>
      </c>
      <c r="C169">
        <v>36</v>
      </c>
      <c r="D169">
        <v>1</v>
      </c>
      <c r="E169">
        <v>13</v>
      </c>
      <c r="F169" t="s">
        <v>679</v>
      </c>
      <c r="G169" s="25">
        <v>0.85</v>
      </c>
    </row>
    <row r="170" spans="1:7" x14ac:dyDescent="0.35">
      <c r="A170">
        <v>5</v>
      </c>
      <c r="B170" t="s">
        <v>11065</v>
      </c>
      <c r="C170">
        <v>1</v>
      </c>
      <c r="D170">
        <v>1</v>
      </c>
      <c r="E170">
        <v>46</v>
      </c>
      <c r="F170" t="s">
        <v>679</v>
      </c>
      <c r="G170" s="25">
        <v>0.85</v>
      </c>
    </row>
    <row r="171" spans="1:7" x14ac:dyDescent="0.35">
      <c r="A171">
        <v>5</v>
      </c>
      <c r="B171" t="s">
        <v>11065</v>
      </c>
      <c r="C171">
        <v>2</v>
      </c>
      <c r="D171">
        <v>1</v>
      </c>
      <c r="E171">
        <v>37</v>
      </c>
      <c r="F171" t="s">
        <v>679</v>
      </c>
      <c r="G171" s="25">
        <v>0.85</v>
      </c>
    </row>
    <row r="172" spans="1:7" x14ac:dyDescent="0.35">
      <c r="A172">
        <v>5</v>
      </c>
      <c r="B172" t="s">
        <v>11065</v>
      </c>
      <c r="C172">
        <v>3</v>
      </c>
      <c r="D172">
        <v>1</v>
      </c>
      <c r="E172">
        <v>29</v>
      </c>
      <c r="F172" t="s">
        <v>679</v>
      </c>
      <c r="G172" s="25">
        <v>0.85</v>
      </c>
    </row>
    <row r="173" spans="1:7" x14ac:dyDescent="0.35">
      <c r="A173">
        <v>5</v>
      </c>
      <c r="B173" t="s">
        <v>11065</v>
      </c>
      <c r="C173">
        <v>4</v>
      </c>
      <c r="D173">
        <v>1</v>
      </c>
      <c r="E173">
        <v>49</v>
      </c>
      <c r="F173" t="s">
        <v>679</v>
      </c>
      <c r="G173" s="25">
        <v>0.85</v>
      </c>
    </row>
    <row r="174" spans="1:7" x14ac:dyDescent="0.35">
      <c r="A174">
        <v>5</v>
      </c>
      <c r="B174" t="s">
        <v>11065</v>
      </c>
      <c r="C174">
        <v>5</v>
      </c>
      <c r="D174">
        <v>1</v>
      </c>
      <c r="E174">
        <v>33</v>
      </c>
      <c r="F174" t="s">
        <v>679</v>
      </c>
      <c r="G174" s="25">
        <v>0.85</v>
      </c>
    </row>
    <row r="175" spans="1:7" x14ac:dyDescent="0.35">
      <c r="A175">
        <v>5</v>
      </c>
      <c r="B175" t="s">
        <v>11065</v>
      </c>
      <c r="C175">
        <v>6</v>
      </c>
      <c r="D175">
        <v>1</v>
      </c>
      <c r="E175">
        <v>25</v>
      </c>
      <c r="F175" t="s">
        <v>679</v>
      </c>
      <c r="G175" s="25">
        <v>0.85</v>
      </c>
    </row>
    <row r="176" spans="1:7" x14ac:dyDescent="0.35">
      <c r="A176">
        <v>5</v>
      </c>
      <c r="B176" t="s">
        <v>11065</v>
      </c>
      <c r="C176">
        <v>7</v>
      </c>
      <c r="D176">
        <v>1</v>
      </c>
      <c r="E176">
        <v>26</v>
      </c>
      <c r="F176" t="s">
        <v>679</v>
      </c>
      <c r="G176" s="25">
        <v>0.85</v>
      </c>
    </row>
    <row r="177" spans="1:7" x14ac:dyDescent="0.35">
      <c r="A177">
        <v>5</v>
      </c>
      <c r="B177" t="s">
        <v>11065</v>
      </c>
      <c r="C177">
        <v>8</v>
      </c>
      <c r="D177">
        <v>1</v>
      </c>
      <c r="E177">
        <v>20</v>
      </c>
      <c r="F177" t="s">
        <v>679</v>
      </c>
      <c r="G177" s="25">
        <v>0.85</v>
      </c>
    </row>
    <row r="178" spans="1:7" x14ac:dyDescent="0.35">
      <c r="A178">
        <v>5</v>
      </c>
      <c r="B178" t="s">
        <v>11065</v>
      </c>
      <c r="C178">
        <v>9</v>
      </c>
      <c r="D178">
        <v>1</v>
      </c>
      <c r="E178">
        <v>29</v>
      </c>
      <c r="F178" t="s">
        <v>679</v>
      </c>
      <c r="G178" s="25">
        <v>0.85</v>
      </c>
    </row>
    <row r="179" spans="1:7" x14ac:dyDescent="0.35">
      <c r="A179">
        <v>5</v>
      </c>
      <c r="B179" t="s">
        <v>11065</v>
      </c>
      <c r="C179">
        <v>10</v>
      </c>
      <c r="D179">
        <v>1</v>
      </c>
      <c r="E179">
        <v>22</v>
      </c>
      <c r="F179" t="s">
        <v>679</v>
      </c>
      <c r="G179" s="25">
        <v>0.85</v>
      </c>
    </row>
    <row r="180" spans="1:7" x14ac:dyDescent="0.35">
      <c r="A180">
        <v>5</v>
      </c>
      <c r="B180" t="s">
        <v>11065</v>
      </c>
      <c r="C180">
        <v>11</v>
      </c>
      <c r="D180">
        <v>1</v>
      </c>
      <c r="E180">
        <v>32</v>
      </c>
      <c r="F180" t="s">
        <v>679</v>
      </c>
      <c r="G180" s="25">
        <v>0.85</v>
      </c>
    </row>
    <row r="181" spans="1:7" x14ac:dyDescent="0.35">
      <c r="A181">
        <v>5</v>
      </c>
      <c r="B181" t="s">
        <v>11065</v>
      </c>
      <c r="C181">
        <v>12</v>
      </c>
      <c r="D181">
        <v>1</v>
      </c>
      <c r="E181">
        <v>32</v>
      </c>
      <c r="F181" t="s">
        <v>679</v>
      </c>
      <c r="G181" s="25">
        <v>0.85</v>
      </c>
    </row>
    <row r="182" spans="1:7" x14ac:dyDescent="0.35">
      <c r="A182">
        <v>5</v>
      </c>
      <c r="B182" t="s">
        <v>11065</v>
      </c>
      <c r="C182">
        <v>13</v>
      </c>
      <c r="D182">
        <v>1</v>
      </c>
      <c r="E182">
        <v>18</v>
      </c>
      <c r="F182" t="s">
        <v>679</v>
      </c>
      <c r="G182" s="25">
        <v>0.85</v>
      </c>
    </row>
    <row r="183" spans="1:7" x14ac:dyDescent="0.35">
      <c r="A183">
        <v>5</v>
      </c>
      <c r="B183" t="s">
        <v>11065</v>
      </c>
      <c r="C183">
        <v>14</v>
      </c>
      <c r="D183">
        <v>1</v>
      </c>
      <c r="E183">
        <v>29</v>
      </c>
      <c r="F183" t="s">
        <v>679</v>
      </c>
      <c r="G183" s="25">
        <v>0.85</v>
      </c>
    </row>
    <row r="184" spans="1:7" x14ac:dyDescent="0.35">
      <c r="A184">
        <v>5</v>
      </c>
      <c r="B184" t="s">
        <v>11065</v>
      </c>
      <c r="C184">
        <v>15</v>
      </c>
      <c r="D184">
        <v>1</v>
      </c>
      <c r="E184">
        <v>23</v>
      </c>
      <c r="F184" t="s">
        <v>679</v>
      </c>
      <c r="G184" s="25">
        <v>0.85</v>
      </c>
    </row>
    <row r="185" spans="1:7" x14ac:dyDescent="0.35">
      <c r="A185">
        <v>5</v>
      </c>
      <c r="B185" t="s">
        <v>11065</v>
      </c>
      <c r="C185">
        <v>16</v>
      </c>
      <c r="D185">
        <v>1</v>
      </c>
      <c r="E185">
        <v>22</v>
      </c>
      <c r="F185" t="s">
        <v>679</v>
      </c>
      <c r="G185" s="25">
        <v>0.85</v>
      </c>
    </row>
    <row r="186" spans="1:7" x14ac:dyDescent="0.35">
      <c r="A186">
        <v>5</v>
      </c>
      <c r="B186" t="s">
        <v>11065</v>
      </c>
      <c r="C186">
        <v>17</v>
      </c>
      <c r="D186">
        <v>1</v>
      </c>
      <c r="E186">
        <v>20</v>
      </c>
      <c r="F186" t="s">
        <v>679</v>
      </c>
      <c r="G186" s="25">
        <v>0.85</v>
      </c>
    </row>
    <row r="187" spans="1:7" x14ac:dyDescent="0.35">
      <c r="A187">
        <v>5</v>
      </c>
      <c r="B187" t="s">
        <v>11065</v>
      </c>
      <c r="C187">
        <v>18</v>
      </c>
      <c r="D187">
        <v>1</v>
      </c>
      <c r="E187">
        <v>22</v>
      </c>
      <c r="F187" t="s">
        <v>679</v>
      </c>
      <c r="G187" s="25">
        <v>0.85</v>
      </c>
    </row>
    <row r="188" spans="1:7" x14ac:dyDescent="0.35">
      <c r="A188">
        <v>5</v>
      </c>
      <c r="B188" t="s">
        <v>11065</v>
      </c>
      <c r="C188">
        <v>19</v>
      </c>
      <c r="D188">
        <v>1</v>
      </c>
      <c r="E188">
        <v>21</v>
      </c>
      <c r="F188" t="s">
        <v>679</v>
      </c>
      <c r="G188" s="25">
        <v>0.85</v>
      </c>
    </row>
    <row r="189" spans="1:7" x14ac:dyDescent="0.35">
      <c r="A189">
        <v>5</v>
      </c>
      <c r="B189" t="s">
        <v>11065</v>
      </c>
      <c r="C189">
        <v>20</v>
      </c>
      <c r="D189">
        <v>1</v>
      </c>
      <c r="E189">
        <v>20</v>
      </c>
      <c r="F189" t="s">
        <v>679</v>
      </c>
      <c r="G189" s="25">
        <v>0.85</v>
      </c>
    </row>
    <row r="190" spans="1:7" x14ac:dyDescent="0.35">
      <c r="A190">
        <v>5</v>
      </c>
      <c r="B190" t="s">
        <v>11065</v>
      </c>
      <c r="C190">
        <v>21</v>
      </c>
      <c r="D190">
        <v>1</v>
      </c>
      <c r="E190">
        <v>23</v>
      </c>
      <c r="F190" t="s">
        <v>679</v>
      </c>
      <c r="G190" s="25">
        <v>0.85</v>
      </c>
    </row>
    <row r="191" spans="1:7" x14ac:dyDescent="0.35">
      <c r="A191">
        <v>5</v>
      </c>
      <c r="B191" t="s">
        <v>11065</v>
      </c>
      <c r="C191">
        <v>22</v>
      </c>
      <c r="D191">
        <v>1</v>
      </c>
      <c r="E191">
        <v>30</v>
      </c>
      <c r="F191" t="s">
        <v>679</v>
      </c>
      <c r="G191" s="25">
        <v>0.85</v>
      </c>
    </row>
    <row r="192" spans="1:7" x14ac:dyDescent="0.35">
      <c r="A192">
        <v>5</v>
      </c>
      <c r="B192" t="s">
        <v>11065</v>
      </c>
      <c r="C192">
        <v>23</v>
      </c>
      <c r="D192">
        <v>1</v>
      </c>
      <c r="E192">
        <v>25</v>
      </c>
      <c r="F192" t="s">
        <v>679</v>
      </c>
      <c r="G192" s="25">
        <v>0.85</v>
      </c>
    </row>
    <row r="193" spans="1:7" x14ac:dyDescent="0.35">
      <c r="A193">
        <v>5</v>
      </c>
      <c r="B193" t="s">
        <v>11065</v>
      </c>
      <c r="C193">
        <v>24</v>
      </c>
      <c r="D193">
        <v>1</v>
      </c>
      <c r="E193">
        <v>22</v>
      </c>
      <c r="F193" t="s">
        <v>679</v>
      </c>
      <c r="G193" s="25">
        <v>0.85</v>
      </c>
    </row>
    <row r="194" spans="1:7" x14ac:dyDescent="0.35">
      <c r="A194">
        <v>5</v>
      </c>
      <c r="B194" t="s">
        <v>11065</v>
      </c>
      <c r="C194">
        <v>25</v>
      </c>
      <c r="D194">
        <v>1</v>
      </c>
      <c r="E194">
        <v>19</v>
      </c>
      <c r="F194" t="s">
        <v>679</v>
      </c>
      <c r="G194" s="25">
        <v>0.85</v>
      </c>
    </row>
    <row r="195" spans="1:7" x14ac:dyDescent="0.35">
      <c r="A195">
        <v>5</v>
      </c>
      <c r="B195" t="s">
        <v>11065</v>
      </c>
      <c r="C195">
        <v>26</v>
      </c>
      <c r="D195">
        <v>1</v>
      </c>
      <c r="E195">
        <v>19</v>
      </c>
      <c r="F195" t="s">
        <v>679</v>
      </c>
      <c r="G195" s="25">
        <v>0.85</v>
      </c>
    </row>
    <row r="196" spans="1:7" x14ac:dyDescent="0.35">
      <c r="A196">
        <v>5</v>
      </c>
      <c r="B196" t="s">
        <v>11065</v>
      </c>
      <c r="C196">
        <v>27</v>
      </c>
      <c r="D196">
        <v>1</v>
      </c>
      <c r="E196">
        <v>26</v>
      </c>
      <c r="F196" t="s">
        <v>679</v>
      </c>
      <c r="G196" s="25">
        <v>0.85</v>
      </c>
    </row>
    <row r="197" spans="1:7" x14ac:dyDescent="0.35">
      <c r="A197">
        <v>5</v>
      </c>
      <c r="B197" t="s">
        <v>11065</v>
      </c>
      <c r="C197">
        <v>28</v>
      </c>
      <c r="D197">
        <v>1</v>
      </c>
      <c r="E197">
        <v>68</v>
      </c>
      <c r="F197" t="s">
        <v>679</v>
      </c>
      <c r="G197" s="25">
        <v>0.85</v>
      </c>
    </row>
    <row r="198" spans="1:7" x14ac:dyDescent="0.35">
      <c r="A198">
        <v>5</v>
      </c>
      <c r="B198" t="s">
        <v>11065</v>
      </c>
      <c r="C198">
        <v>29</v>
      </c>
      <c r="D198">
        <v>1</v>
      </c>
      <c r="E198">
        <v>29</v>
      </c>
      <c r="F198" t="s">
        <v>679</v>
      </c>
      <c r="G198" s="25">
        <v>0.85</v>
      </c>
    </row>
    <row r="199" spans="1:7" x14ac:dyDescent="0.35">
      <c r="A199">
        <v>5</v>
      </c>
      <c r="B199" t="s">
        <v>11065</v>
      </c>
      <c r="C199">
        <v>30</v>
      </c>
      <c r="D199">
        <v>1</v>
      </c>
      <c r="E199">
        <v>20</v>
      </c>
      <c r="F199" t="s">
        <v>679</v>
      </c>
      <c r="G199" s="25">
        <v>0.85</v>
      </c>
    </row>
    <row r="200" spans="1:7" x14ac:dyDescent="0.35">
      <c r="A200">
        <v>5</v>
      </c>
      <c r="B200" t="s">
        <v>11065</v>
      </c>
      <c r="C200">
        <v>31</v>
      </c>
      <c r="D200">
        <v>1</v>
      </c>
      <c r="E200">
        <v>30</v>
      </c>
      <c r="F200" t="s">
        <v>679</v>
      </c>
      <c r="G200" s="25">
        <v>0.85</v>
      </c>
    </row>
    <row r="201" spans="1:7" x14ac:dyDescent="0.35">
      <c r="A201">
        <v>5</v>
      </c>
      <c r="B201" t="s">
        <v>11065</v>
      </c>
      <c r="C201">
        <v>32</v>
      </c>
      <c r="D201">
        <v>1</v>
      </c>
      <c r="E201">
        <v>52</v>
      </c>
      <c r="F201" t="s">
        <v>679</v>
      </c>
      <c r="G201" s="25">
        <v>0.85</v>
      </c>
    </row>
    <row r="202" spans="1:7" x14ac:dyDescent="0.35">
      <c r="A202">
        <v>5</v>
      </c>
      <c r="B202" t="s">
        <v>11065</v>
      </c>
      <c r="C202">
        <v>33</v>
      </c>
      <c r="D202">
        <v>1</v>
      </c>
      <c r="E202">
        <v>29</v>
      </c>
      <c r="F202" t="s">
        <v>679</v>
      </c>
      <c r="G202" s="25">
        <v>0.85</v>
      </c>
    </row>
    <row r="203" spans="1:7" x14ac:dyDescent="0.35">
      <c r="A203">
        <v>5</v>
      </c>
      <c r="B203" t="s">
        <v>11065</v>
      </c>
      <c r="C203">
        <v>34</v>
      </c>
      <c r="D203">
        <v>1</v>
      </c>
      <c r="E203">
        <v>12</v>
      </c>
      <c r="F203" t="s">
        <v>11952</v>
      </c>
      <c r="G203" s="25">
        <v>0.85</v>
      </c>
    </row>
    <row r="204" spans="1:7" x14ac:dyDescent="0.35">
      <c r="A204">
        <v>6</v>
      </c>
      <c r="B204" t="s">
        <v>83</v>
      </c>
      <c r="C204">
        <v>1</v>
      </c>
      <c r="D204">
        <v>1</v>
      </c>
      <c r="E204">
        <v>18</v>
      </c>
      <c r="F204" t="s">
        <v>856</v>
      </c>
      <c r="G204" s="25">
        <v>0.85</v>
      </c>
    </row>
    <row r="205" spans="1:7" x14ac:dyDescent="0.35">
      <c r="A205">
        <v>6</v>
      </c>
      <c r="B205" t="s">
        <v>83</v>
      </c>
      <c r="C205">
        <v>2</v>
      </c>
      <c r="D205">
        <v>1</v>
      </c>
      <c r="E205">
        <v>24</v>
      </c>
      <c r="F205" t="s">
        <v>865</v>
      </c>
      <c r="G205" s="25">
        <v>0.9</v>
      </c>
    </row>
    <row r="206" spans="1:7" x14ac:dyDescent="0.35">
      <c r="A206">
        <v>6</v>
      </c>
      <c r="B206" t="s">
        <v>83</v>
      </c>
      <c r="C206">
        <v>3</v>
      </c>
      <c r="D206">
        <v>1</v>
      </c>
      <c r="E206">
        <v>17</v>
      </c>
      <c r="F206" t="s">
        <v>874</v>
      </c>
      <c r="G206" s="25">
        <v>0.85</v>
      </c>
    </row>
    <row r="207" spans="1:7" x14ac:dyDescent="0.35">
      <c r="A207">
        <v>6</v>
      </c>
      <c r="B207" t="s">
        <v>83</v>
      </c>
      <c r="C207">
        <v>4</v>
      </c>
      <c r="D207">
        <v>1</v>
      </c>
      <c r="E207">
        <v>24</v>
      </c>
      <c r="F207" t="s">
        <v>886</v>
      </c>
      <c r="G207" s="25">
        <v>0.85</v>
      </c>
    </row>
    <row r="208" spans="1:7" x14ac:dyDescent="0.35">
      <c r="A208">
        <v>6</v>
      </c>
      <c r="B208" t="s">
        <v>83</v>
      </c>
      <c r="C208">
        <v>5</v>
      </c>
      <c r="D208">
        <v>1</v>
      </c>
      <c r="E208">
        <v>15</v>
      </c>
      <c r="F208" t="s">
        <v>893</v>
      </c>
      <c r="G208" s="25">
        <v>0.85</v>
      </c>
    </row>
    <row r="209" spans="1:7" x14ac:dyDescent="0.35">
      <c r="A209">
        <v>6</v>
      </c>
      <c r="B209" t="s">
        <v>83</v>
      </c>
      <c r="C209">
        <v>6</v>
      </c>
      <c r="D209">
        <v>1</v>
      </c>
      <c r="E209">
        <v>27</v>
      </c>
      <c r="F209" t="s">
        <v>865</v>
      </c>
      <c r="G209" s="25">
        <v>0.9</v>
      </c>
    </row>
    <row r="210" spans="1:7" x14ac:dyDescent="0.35">
      <c r="A210">
        <v>6</v>
      </c>
      <c r="B210" t="s">
        <v>83</v>
      </c>
      <c r="C210">
        <v>7</v>
      </c>
      <c r="D210">
        <v>1</v>
      </c>
      <c r="E210">
        <v>26</v>
      </c>
      <c r="F210" t="s">
        <v>11953</v>
      </c>
      <c r="G210" s="25">
        <v>0.85</v>
      </c>
    </row>
    <row r="211" spans="1:7" x14ac:dyDescent="0.35">
      <c r="A211">
        <v>6</v>
      </c>
      <c r="B211" t="s">
        <v>83</v>
      </c>
      <c r="C211">
        <v>8</v>
      </c>
      <c r="D211">
        <v>1</v>
      </c>
      <c r="E211">
        <v>35</v>
      </c>
      <c r="F211" t="s">
        <v>11954</v>
      </c>
      <c r="G211" s="25">
        <v>0.85</v>
      </c>
    </row>
    <row r="212" spans="1:7" x14ac:dyDescent="0.35">
      <c r="A212">
        <v>6</v>
      </c>
      <c r="B212" t="s">
        <v>83</v>
      </c>
      <c r="C212">
        <v>9</v>
      </c>
      <c r="D212">
        <v>1</v>
      </c>
      <c r="E212">
        <v>27</v>
      </c>
      <c r="F212" t="s">
        <v>938</v>
      </c>
      <c r="G212" s="25">
        <v>0.85</v>
      </c>
    </row>
    <row r="213" spans="1:7" x14ac:dyDescent="0.35">
      <c r="A213">
        <v>6</v>
      </c>
      <c r="B213" t="s">
        <v>83</v>
      </c>
      <c r="C213">
        <v>10</v>
      </c>
      <c r="D213">
        <v>1</v>
      </c>
      <c r="E213">
        <v>43</v>
      </c>
      <c r="F213" t="s">
        <v>11955</v>
      </c>
      <c r="G213" s="25">
        <v>0.85</v>
      </c>
    </row>
    <row r="214" spans="1:7" x14ac:dyDescent="0.35">
      <c r="A214">
        <v>6</v>
      </c>
      <c r="B214" t="s">
        <v>83</v>
      </c>
      <c r="C214">
        <v>11</v>
      </c>
      <c r="D214">
        <v>1</v>
      </c>
      <c r="E214">
        <v>23</v>
      </c>
      <c r="F214" t="s">
        <v>11956</v>
      </c>
      <c r="G214" s="25">
        <v>0.85</v>
      </c>
    </row>
    <row r="215" spans="1:7" x14ac:dyDescent="0.35">
      <c r="A215">
        <v>6</v>
      </c>
      <c r="B215" t="s">
        <v>83</v>
      </c>
      <c r="C215">
        <v>12</v>
      </c>
      <c r="D215">
        <v>1</v>
      </c>
      <c r="E215">
        <v>24</v>
      </c>
      <c r="F215" t="s">
        <v>11957</v>
      </c>
      <c r="G215" s="25">
        <v>0.85</v>
      </c>
    </row>
    <row r="216" spans="1:7" x14ac:dyDescent="0.35">
      <c r="A216">
        <v>6</v>
      </c>
      <c r="B216" t="s">
        <v>83</v>
      </c>
      <c r="C216">
        <v>13</v>
      </c>
      <c r="D216">
        <v>1</v>
      </c>
      <c r="E216">
        <v>33</v>
      </c>
      <c r="F216" t="s">
        <v>11958</v>
      </c>
      <c r="G216" s="25">
        <v>0.85</v>
      </c>
    </row>
    <row r="217" spans="1:7" x14ac:dyDescent="0.35">
      <c r="A217">
        <v>6</v>
      </c>
      <c r="B217" t="s">
        <v>83</v>
      </c>
      <c r="C217">
        <v>14</v>
      </c>
      <c r="D217">
        <v>1</v>
      </c>
      <c r="E217">
        <v>15</v>
      </c>
      <c r="F217" t="s">
        <v>11958</v>
      </c>
      <c r="G217" s="25">
        <v>0.85</v>
      </c>
    </row>
    <row r="218" spans="1:7" x14ac:dyDescent="0.35">
      <c r="A218">
        <v>6</v>
      </c>
      <c r="B218" t="s">
        <v>83</v>
      </c>
      <c r="C218">
        <v>15</v>
      </c>
      <c r="D218">
        <v>1</v>
      </c>
      <c r="E218">
        <v>63</v>
      </c>
      <c r="F218" t="s">
        <v>11932</v>
      </c>
      <c r="G218" s="25">
        <v>0.85</v>
      </c>
    </row>
    <row r="219" spans="1:7" x14ac:dyDescent="0.35">
      <c r="A219">
        <v>6</v>
      </c>
      <c r="B219" t="s">
        <v>83</v>
      </c>
      <c r="C219">
        <v>16</v>
      </c>
      <c r="D219">
        <v>1</v>
      </c>
      <c r="E219">
        <v>10</v>
      </c>
      <c r="F219" t="s">
        <v>11959</v>
      </c>
      <c r="G219" s="25">
        <v>0.85</v>
      </c>
    </row>
    <row r="220" spans="1:7" x14ac:dyDescent="0.35">
      <c r="A220">
        <v>6</v>
      </c>
      <c r="B220" t="s">
        <v>83</v>
      </c>
      <c r="C220">
        <v>17</v>
      </c>
      <c r="D220">
        <v>1</v>
      </c>
      <c r="E220">
        <v>18</v>
      </c>
      <c r="F220" t="s">
        <v>11960</v>
      </c>
      <c r="G220" s="25">
        <v>0.85</v>
      </c>
    </row>
    <row r="221" spans="1:7" x14ac:dyDescent="0.35">
      <c r="A221">
        <v>6</v>
      </c>
      <c r="B221" t="s">
        <v>83</v>
      </c>
      <c r="C221">
        <v>18</v>
      </c>
      <c r="D221">
        <v>1</v>
      </c>
      <c r="E221">
        <v>28</v>
      </c>
      <c r="F221" t="s">
        <v>11961</v>
      </c>
      <c r="G221" s="25">
        <v>0.85</v>
      </c>
    </row>
    <row r="222" spans="1:7" x14ac:dyDescent="0.35">
      <c r="A222">
        <v>6</v>
      </c>
      <c r="B222" t="s">
        <v>83</v>
      </c>
      <c r="C222">
        <v>19</v>
      </c>
      <c r="D222">
        <v>1</v>
      </c>
      <c r="E222">
        <v>51</v>
      </c>
      <c r="F222" t="s">
        <v>11962</v>
      </c>
      <c r="G222" s="25">
        <v>0.85</v>
      </c>
    </row>
    <row r="223" spans="1:7" x14ac:dyDescent="0.35">
      <c r="A223">
        <v>6</v>
      </c>
      <c r="B223" t="s">
        <v>83</v>
      </c>
      <c r="C223">
        <v>20</v>
      </c>
      <c r="D223">
        <v>1</v>
      </c>
      <c r="E223">
        <v>9</v>
      </c>
      <c r="F223" t="s">
        <v>11963</v>
      </c>
      <c r="G223" s="25">
        <v>0.85</v>
      </c>
    </row>
    <row r="224" spans="1:7" x14ac:dyDescent="0.35">
      <c r="A224">
        <v>6</v>
      </c>
      <c r="B224" t="s">
        <v>83</v>
      </c>
      <c r="C224">
        <v>21</v>
      </c>
      <c r="D224">
        <v>1</v>
      </c>
      <c r="E224">
        <v>45</v>
      </c>
      <c r="F224" t="s">
        <v>11964</v>
      </c>
      <c r="G224" s="25">
        <v>0.85</v>
      </c>
    </row>
    <row r="225" spans="1:7" x14ac:dyDescent="0.35">
      <c r="A225">
        <v>6</v>
      </c>
      <c r="B225" t="s">
        <v>83</v>
      </c>
      <c r="C225">
        <v>22</v>
      </c>
      <c r="D225">
        <v>1</v>
      </c>
      <c r="E225">
        <v>34</v>
      </c>
      <c r="F225" t="s">
        <v>11965</v>
      </c>
      <c r="G225" s="25">
        <v>0.85</v>
      </c>
    </row>
    <row r="226" spans="1:7" x14ac:dyDescent="0.35">
      <c r="A226">
        <v>6</v>
      </c>
      <c r="B226" t="s">
        <v>83</v>
      </c>
      <c r="C226">
        <v>23</v>
      </c>
      <c r="D226">
        <v>1</v>
      </c>
      <c r="E226">
        <v>16</v>
      </c>
      <c r="F226" t="s">
        <v>255</v>
      </c>
      <c r="G226" s="25">
        <v>0.85</v>
      </c>
    </row>
    <row r="227" spans="1:7" x14ac:dyDescent="0.35">
      <c r="A227">
        <v>6</v>
      </c>
      <c r="B227" t="s">
        <v>83</v>
      </c>
      <c r="C227">
        <v>24</v>
      </c>
      <c r="D227">
        <v>1</v>
      </c>
      <c r="E227">
        <v>33</v>
      </c>
      <c r="F227" t="s">
        <v>11966</v>
      </c>
      <c r="G227" s="25">
        <v>0.85</v>
      </c>
    </row>
    <row r="228" spans="1:7" x14ac:dyDescent="0.35">
      <c r="A228">
        <v>7</v>
      </c>
      <c r="B228" t="s">
        <v>11068</v>
      </c>
      <c r="C228">
        <v>1</v>
      </c>
      <c r="D228">
        <v>1</v>
      </c>
      <c r="E228">
        <v>36</v>
      </c>
      <c r="F228" t="s">
        <v>255</v>
      </c>
      <c r="G228" s="25">
        <v>0.85</v>
      </c>
    </row>
    <row r="229" spans="1:7" x14ac:dyDescent="0.35">
      <c r="A229">
        <v>7</v>
      </c>
      <c r="B229" t="s">
        <v>11068</v>
      </c>
      <c r="C229">
        <v>2</v>
      </c>
      <c r="D229">
        <v>1</v>
      </c>
      <c r="E229">
        <v>23</v>
      </c>
      <c r="F229" t="s">
        <v>255</v>
      </c>
      <c r="G229" s="25">
        <v>0.85</v>
      </c>
    </row>
    <row r="230" spans="1:7" x14ac:dyDescent="0.35">
      <c r="A230">
        <v>7</v>
      </c>
      <c r="B230" t="s">
        <v>11068</v>
      </c>
      <c r="C230">
        <v>3</v>
      </c>
      <c r="D230">
        <v>1</v>
      </c>
      <c r="E230">
        <v>31</v>
      </c>
      <c r="F230" t="s">
        <v>255</v>
      </c>
      <c r="G230" s="25">
        <v>0.85</v>
      </c>
    </row>
    <row r="231" spans="1:7" x14ac:dyDescent="0.35">
      <c r="A231">
        <v>7</v>
      </c>
      <c r="B231" t="s">
        <v>11068</v>
      </c>
      <c r="C231">
        <v>4</v>
      </c>
      <c r="D231">
        <v>1</v>
      </c>
      <c r="E231">
        <v>24</v>
      </c>
      <c r="F231" t="s">
        <v>11967</v>
      </c>
      <c r="G231" s="25">
        <v>0.85</v>
      </c>
    </row>
    <row r="232" spans="1:7" x14ac:dyDescent="0.35">
      <c r="A232">
        <v>7</v>
      </c>
      <c r="B232" t="s">
        <v>11068</v>
      </c>
      <c r="C232">
        <v>5</v>
      </c>
      <c r="D232">
        <v>1</v>
      </c>
      <c r="E232">
        <v>31</v>
      </c>
      <c r="F232" t="s">
        <v>11967</v>
      </c>
      <c r="G232" s="25">
        <v>0.85</v>
      </c>
    </row>
    <row r="233" spans="1:7" x14ac:dyDescent="0.35">
      <c r="A233">
        <v>7</v>
      </c>
      <c r="B233" t="s">
        <v>11068</v>
      </c>
      <c r="C233">
        <v>6</v>
      </c>
      <c r="D233">
        <v>1</v>
      </c>
      <c r="E233">
        <v>40</v>
      </c>
      <c r="F233" t="s">
        <v>11968</v>
      </c>
      <c r="G233" s="25">
        <v>0.85</v>
      </c>
    </row>
    <row r="234" spans="1:7" x14ac:dyDescent="0.35">
      <c r="A234">
        <v>7</v>
      </c>
      <c r="B234" t="s">
        <v>11068</v>
      </c>
      <c r="C234">
        <v>7</v>
      </c>
      <c r="D234">
        <v>1</v>
      </c>
      <c r="E234">
        <v>25</v>
      </c>
      <c r="F234" t="s">
        <v>11968</v>
      </c>
      <c r="G234" s="25">
        <v>0.85</v>
      </c>
    </row>
    <row r="235" spans="1:7" x14ac:dyDescent="0.35">
      <c r="A235">
        <v>7</v>
      </c>
      <c r="B235" t="s">
        <v>11068</v>
      </c>
      <c r="C235">
        <v>8</v>
      </c>
      <c r="D235">
        <v>1</v>
      </c>
      <c r="E235">
        <v>35</v>
      </c>
      <c r="F235" t="s">
        <v>11969</v>
      </c>
      <c r="G235" s="25">
        <v>0.85</v>
      </c>
    </row>
    <row r="236" spans="1:7" x14ac:dyDescent="0.35">
      <c r="A236">
        <v>7</v>
      </c>
      <c r="B236" t="s">
        <v>11068</v>
      </c>
      <c r="C236">
        <v>9</v>
      </c>
      <c r="D236">
        <v>1</v>
      </c>
      <c r="E236">
        <v>57</v>
      </c>
      <c r="F236" t="s">
        <v>11970</v>
      </c>
      <c r="G236" s="25">
        <v>0.85</v>
      </c>
    </row>
    <row r="237" spans="1:7" x14ac:dyDescent="0.35">
      <c r="A237">
        <v>7</v>
      </c>
      <c r="B237" t="s">
        <v>11068</v>
      </c>
      <c r="C237">
        <v>10</v>
      </c>
      <c r="D237">
        <v>1</v>
      </c>
      <c r="E237">
        <v>18</v>
      </c>
      <c r="F237" t="s">
        <v>11965</v>
      </c>
      <c r="G237" s="25">
        <v>0.85</v>
      </c>
    </row>
    <row r="238" spans="1:7" x14ac:dyDescent="0.35">
      <c r="A238">
        <v>7</v>
      </c>
      <c r="B238" t="s">
        <v>11068</v>
      </c>
      <c r="C238">
        <v>11</v>
      </c>
      <c r="D238">
        <v>1</v>
      </c>
      <c r="E238">
        <v>40</v>
      </c>
      <c r="F238" t="s">
        <v>11971</v>
      </c>
      <c r="G238" s="25">
        <v>0.85</v>
      </c>
    </row>
    <row r="239" spans="1:7" x14ac:dyDescent="0.35">
      <c r="A239">
        <v>7</v>
      </c>
      <c r="B239" t="s">
        <v>11068</v>
      </c>
      <c r="C239">
        <v>12</v>
      </c>
      <c r="D239">
        <v>1</v>
      </c>
      <c r="E239">
        <v>15</v>
      </c>
      <c r="F239" t="s">
        <v>255</v>
      </c>
      <c r="G239" s="25">
        <v>0.85</v>
      </c>
    </row>
    <row r="240" spans="1:7" x14ac:dyDescent="0.35">
      <c r="A240">
        <v>7</v>
      </c>
      <c r="B240" t="s">
        <v>11068</v>
      </c>
      <c r="C240">
        <v>13</v>
      </c>
      <c r="D240">
        <v>1</v>
      </c>
      <c r="E240">
        <v>25</v>
      </c>
      <c r="F240" t="s">
        <v>11972</v>
      </c>
      <c r="G240" s="25">
        <v>0.85</v>
      </c>
    </row>
    <row r="241" spans="1:7" x14ac:dyDescent="0.35">
      <c r="A241">
        <v>7</v>
      </c>
      <c r="B241" t="s">
        <v>11068</v>
      </c>
      <c r="C241">
        <v>14</v>
      </c>
      <c r="D241">
        <v>1</v>
      </c>
      <c r="E241">
        <v>20</v>
      </c>
      <c r="F241" t="s">
        <v>11973</v>
      </c>
      <c r="G241" s="25">
        <v>0.85</v>
      </c>
    </row>
    <row r="242" spans="1:7" x14ac:dyDescent="0.35">
      <c r="A242">
        <v>7</v>
      </c>
      <c r="B242" t="s">
        <v>11068</v>
      </c>
      <c r="C242">
        <v>15</v>
      </c>
      <c r="D242">
        <v>1</v>
      </c>
      <c r="E242">
        <v>20</v>
      </c>
      <c r="F242" t="s">
        <v>11973</v>
      </c>
      <c r="G242" s="25">
        <v>0.85</v>
      </c>
    </row>
    <row r="243" spans="1:7" x14ac:dyDescent="0.35">
      <c r="A243">
        <v>7</v>
      </c>
      <c r="B243" t="s">
        <v>11068</v>
      </c>
      <c r="C243">
        <v>16</v>
      </c>
      <c r="D243">
        <v>1</v>
      </c>
      <c r="E243">
        <v>31</v>
      </c>
      <c r="F243" t="s">
        <v>11973</v>
      </c>
      <c r="G243" s="25">
        <v>0.85</v>
      </c>
    </row>
    <row r="244" spans="1:7" x14ac:dyDescent="0.35">
      <c r="A244">
        <v>7</v>
      </c>
      <c r="B244" t="s">
        <v>11068</v>
      </c>
      <c r="C244">
        <v>17</v>
      </c>
      <c r="D244">
        <v>1</v>
      </c>
      <c r="E244">
        <v>13</v>
      </c>
      <c r="F244" t="s">
        <v>11968</v>
      </c>
      <c r="G244" s="25">
        <v>0.85</v>
      </c>
    </row>
    <row r="245" spans="1:7" x14ac:dyDescent="0.35">
      <c r="A245">
        <v>7</v>
      </c>
      <c r="B245" t="s">
        <v>11068</v>
      </c>
      <c r="C245">
        <v>18</v>
      </c>
      <c r="D245">
        <v>1</v>
      </c>
      <c r="E245">
        <v>31</v>
      </c>
      <c r="F245" t="s">
        <v>11967</v>
      </c>
      <c r="G245" s="25">
        <v>0.85</v>
      </c>
    </row>
    <row r="246" spans="1:7" x14ac:dyDescent="0.35">
      <c r="A246">
        <v>7</v>
      </c>
      <c r="B246" t="s">
        <v>11068</v>
      </c>
      <c r="C246">
        <v>19</v>
      </c>
      <c r="D246">
        <v>1</v>
      </c>
      <c r="E246">
        <v>30</v>
      </c>
      <c r="F246" t="s">
        <v>11968</v>
      </c>
      <c r="G246" s="25">
        <v>0.85</v>
      </c>
    </row>
    <row r="247" spans="1:7" x14ac:dyDescent="0.35">
      <c r="A247">
        <v>7</v>
      </c>
      <c r="B247" t="s">
        <v>11068</v>
      </c>
      <c r="C247">
        <v>20</v>
      </c>
      <c r="D247">
        <v>1</v>
      </c>
      <c r="E247">
        <v>48</v>
      </c>
      <c r="F247" t="s">
        <v>11968</v>
      </c>
      <c r="G247" s="25">
        <v>0.85</v>
      </c>
    </row>
    <row r="248" spans="1:7" x14ac:dyDescent="0.35">
      <c r="A248">
        <v>7</v>
      </c>
      <c r="B248" t="s">
        <v>11068</v>
      </c>
      <c r="C248">
        <v>21</v>
      </c>
      <c r="D248">
        <v>1</v>
      </c>
      <c r="E248">
        <v>25</v>
      </c>
      <c r="F248" t="s">
        <v>11968</v>
      </c>
      <c r="G248" s="25">
        <v>0.85</v>
      </c>
    </row>
    <row r="249" spans="1:7" x14ac:dyDescent="0.35">
      <c r="A249">
        <v>8</v>
      </c>
      <c r="B249" t="s">
        <v>3054</v>
      </c>
      <c r="C249">
        <v>1</v>
      </c>
      <c r="D249">
        <v>1</v>
      </c>
      <c r="E249">
        <v>22</v>
      </c>
      <c r="F249" t="s">
        <v>11974</v>
      </c>
      <c r="G249" s="25">
        <v>0.85</v>
      </c>
    </row>
    <row r="250" spans="1:7" x14ac:dyDescent="0.35">
      <c r="A250">
        <v>8</v>
      </c>
      <c r="B250" t="s">
        <v>3054</v>
      </c>
      <c r="C250">
        <v>2</v>
      </c>
      <c r="D250">
        <v>1</v>
      </c>
      <c r="E250">
        <v>23</v>
      </c>
      <c r="F250" t="s">
        <v>1102</v>
      </c>
      <c r="G250" s="25">
        <v>0.9</v>
      </c>
    </row>
    <row r="251" spans="1:7" x14ac:dyDescent="0.35">
      <c r="A251">
        <v>8</v>
      </c>
      <c r="B251" t="s">
        <v>3054</v>
      </c>
      <c r="C251">
        <v>3</v>
      </c>
      <c r="D251">
        <v>1</v>
      </c>
      <c r="E251">
        <v>18</v>
      </c>
      <c r="F251" t="s">
        <v>1102</v>
      </c>
      <c r="G251" s="25">
        <v>0.9</v>
      </c>
    </row>
    <row r="252" spans="1:7" x14ac:dyDescent="0.35">
      <c r="A252">
        <v>8</v>
      </c>
      <c r="B252" t="s">
        <v>3054</v>
      </c>
      <c r="C252">
        <v>4</v>
      </c>
      <c r="D252">
        <v>1</v>
      </c>
      <c r="E252">
        <v>22</v>
      </c>
      <c r="F252" t="s">
        <v>1102</v>
      </c>
      <c r="G252" s="25">
        <v>0.9</v>
      </c>
    </row>
    <row r="253" spans="1:7" x14ac:dyDescent="0.35">
      <c r="A253">
        <v>9</v>
      </c>
      <c r="B253" t="s">
        <v>11071</v>
      </c>
      <c r="C253">
        <v>1</v>
      </c>
      <c r="D253">
        <v>1</v>
      </c>
      <c r="E253">
        <v>28</v>
      </c>
      <c r="F253" t="s">
        <v>11975</v>
      </c>
      <c r="G253" s="25">
        <v>0.85</v>
      </c>
    </row>
    <row r="254" spans="1:7" x14ac:dyDescent="0.35">
      <c r="A254">
        <v>9</v>
      </c>
      <c r="B254" t="s">
        <v>11071</v>
      </c>
      <c r="C254">
        <v>2</v>
      </c>
      <c r="D254">
        <v>1</v>
      </c>
      <c r="E254">
        <v>36</v>
      </c>
      <c r="F254" t="s">
        <v>990</v>
      </c>
      <c r="G254" s="25">
        <v>0.85</v>
      </c>
    </row>
    <row r="255" spans="1:7" x14ac:dyDescent="0.35">
      <c r="A255">
        <v>9</v>
      </c>
      <c r="B255" t="s">
        <v>11071</v>
      </c>
      <c r="C255">
        <v>3</v>
      </c>
      <c r="D255">
        <v>1</v>
      </c>
      <c r="E255">
        <v>21</v>
      </c>
      <c r="F255" t="s">
        <v>990</v>
      </c>
      <c r="G255" s="25">
        <v>0.85</v>
      </c>
    </row>
    <row r="256" spans="1:7" x14ac:dyDescent="0.35">
      <c r="A256">
        <v>9</v>
      </c>
      <c r="B256" t="s">
        <v>11071</v>
      </c>
      <c r="C256">
        <v>4</v>
      </c>
      <c r="D256">
        <v>1</v>
      </c>
      <c r="E256">
        <v>22</v>
      </c>
      <c r="F256" t="s">
        <v>11976</v>
      </c>
      <c r="G256" s="25">
        <v>0.85</v>
      </c>
    </row>
    <row r="257" spans="1:7" x14ac:dyDescent="0.35">
      <c r="A257">
        <v>9</v>
      </c>
      <c r="B257" t="s">
        <v>11071</v>
      </c>
      <c r="C257">
        <v>5</v>
      </c>
      <c r="D257">
        <v>1</v>
      </c>
      <c r="E257">
        <v>12</v>
      </c>
      <c r="F257" t="s">
        <v>2238</v>
      </c>
      <c r="G257" s="25">
        <v>0.85</v>
      </c>
    </row>
    <row r="258" spans="1:7" x14ac:dyDescent="0.35">
      <c r="A258">
        <v>9</v>
      </c>
      <c r="B258" t="s">
        <v>11071</v>
      </c>
      <c r="C258">
        <v>6</v>
      </c>
      <c r="D258">
        <v>1</v>
      </c>
      <c r="E258">
        <v>21</v>
      </c>
      <c r="F258" t="s">
        <v>11977</v>
      </c>
      <c r="G258" s="25">
        <v>0.85</v>
      </c>
    </row>
    <row r="259" spans="1:7" x14ac:dyDescent="0.35">
      <c r="A259">
        <v>9</v>
      </c>
      <c r="B259" t="s">
        <v>11071</v>
      </c>
      <c r="C259">
        <v>7</v>
      </c>
      <c r="D259">
        <v>1</v>
      </c>
      <c r="E259">
        <v>17</v>
      </c>
      <c r="F259" t="s">
        <v>11978</v>
      </c>
      <c r="G259" s="25">
        <v>0.85</v>
      </c>
    </row>
    <row r="260" spans="1:7" x14ac:dyDescent="0.35">
      <c r="A260">
        <v>9</v>
      </c>
      <c r="B260" t="s">
        <v>11071</v>
      </c>
      <c r="C260">
        <v>8</v>
      </c>
      <c r="D260">
        <v>1</v>
      </c>
      <c r="E260">
        <v>22</v>
      </c>
      <c r="F260" t="s">
        <v>84</v>
      </c>
      <c r="G260" s="25">
        <v>0.85</v>
      </c>
    </row>
    <row r="261" spans="1:7" x14ac:dyDescent="0.35">
      <c r="A261">
        <v>9</v>
      </c>
      <c r="B261" t="s">
        <v>11071</v>
      </c>
      <c r="C261">
        <v>9</v>
      </c>
      <c r="D261">
        <v>1</v>
      </c>
      <c r="E261">
        <v>27</v>
      </c>
      <c r="F261" t="s">
        <v>11979</v>
      </c>
      <c r="G261" s="25">
        <v>0.85</v>
      </c>
    </row>
    <row r="262" spans="1:7" x14ac:dyDescent="0.35">
      <c r="A262">
        <v>9</v>
      </c>
      <c r="B262" t="s">
        <v>11071</v>
      </c>
      <c r="C262">
        <v>10</v>
      </c>
      <c r="D262">
        <v>1</v>
      </c>
      <c r="E262">
        <v>27</v>
      </c>
      <c r="F262" t="s">
        <v>11980</v>
      </c>
      <c r="G262" s="25">
        <v>0.85</v>
      </c>
    </row>
    <row r="263" spans="1:7" x14ac:dyDescent="0.35">
      <c r="A263">
        <v>9</v>
      </c>
      <c r="B263" t="s">
        <v>11071</v>
      </c>
      <c r="C263">
        <v>11</v>
      </c>
      <c r="D263">
        <v>1</v>
      </c>
      <c r="E263">
        <v>15</v>
      </c>
      <c r="F263" t="s">
        <v>11981</v>
      </c>
      <c r="G263" s="25">
        <v>0.85</v>
      </c>
    </row>
    <row r="264" spans="1:7" x14ac:dyDescent="0.35">
      <c r="A264">
        <v>9</v>
      </c>
      <c r="B264" t="s">
        <v>11071</v>
      </c>
      <c r="C264">
        <v>12</v>
      </c>
      <c r="D264">
        <v>1</v>
      </c>
      <c r="E264">
        <v>25</v>
      </c>
      <c r="F264" t="s">
        <v>893</v>
      </c>
      <c r="G264" s="25">
        <v>0.85</v>
      </c>
    </row>
    <row r="265" spans="1:7" x14ac:dyDescent="0.35">
      <c r="A265">
        <v>9</v>
      </c>
      <c r="B265" t="s">
        <v>11071</v>
      </c>
      <c r="C265">
        <v>13</v>
      </c>
      <c r="D265">
        <v>1</v>
      </c>
      <c r="E265">
        <v>23</v>
      </c>
      <c r="F265" t="s">
        <v>11982</v>
      </c>
      <c r="G265" s="25">
        <v>0.85</v>
      </c>
    </row>
    <row r="266" spans="1:7" x14ac:dyDescent="0.35">
      <c r="A266">
        <v>9</v>
      </c>
      <c r="B266" t="s">
        <v>11071</v>
      </c>
      <c r="C266">
        <v>14</v>
      </c>
      <c r="D266">
        <v>1</v>
      </c>
      <c r="E266">
        <v>52</v>
      </c>
      <c r="F266" t="s">
        <v>11982</v>
      </c>
      <c r="G266" s="25">
        <v>0.85</v>
      </c>
    </row>
    <row r="267" spans="1:7" x14ac:dyDescent="0.35">
      <c r="A267">
        <v>9</v>
      </c>
      <c r="B267" t="s">
        <v>11071</v>
      </c>
      <c r="C267">
        <v>15</v>
      </c>
      <c r="D267">
        <v>1</v>
      </c>
      <c r="E267">
        <v>35</v>
      </c>
      <c r="F267" t="s">
        <v>11983</v>
      </c>
      <c r="G267" s="25">
        <v>0.85</v>
      </c>
    </row>
    <row r="268" spans="1:7" x14ac:dyDescent="0.35">
      <c r="A268">
        <v>9</v>
      </c>
      <c r="B268" t="s">
        <v>11071</v>
      </c>
      <c r="C268">
        <v>16</v>
      </c>
      <c r="D268">
        <v>1</v>
      </c>
      <c r="E268">
        <v>23</v>
      </c>
      <c r="F268" t="s">
        <v>11984</v>
      </c>
      <c r="G268" s="25">
        <v>0.85</v>
      </c>
    </row>
    <row r="269" spans="1:7" x14ac:dyDescent="0.35">
      <c r="A269">
        <v>9</v>
      </c>
      <c r="B269" t="s">
        <v>11071</v>
      </c>
      <c r="C269">
        <v>17</v>
      </c>
      <c r="D269">
        <v>1</v>
      </c>
      <c r="E269">
        <v>58</v>
      </c>
      <c r="F269" t="s">
        <v>91</v>
      </c>
      <c r="G269" s="25">
        <v>0.85</v>
      </c>
    </row>
    <row r="270" spans="1:7" x14ac:dyDescent="0.35">
      <c r="A270">
        <v>9</v>
      </c>
      <c r="B270" t="s">
        <v>11071</v>
      </c>
      <c r="C270">
        <v>18</v>
      </c>
      <c r="D270">
        <v>1</v>
      </c>
      <c r="E270">
        <v>30</v>
      </c>
      <c r="F270" t="s">
        <v>11985</v>
      </c>
      <c r="G270" s="25">
        <v>0.85</v>
      </c>
    </row>
    <row r="271" spans="1:7" x14ac:dyDescent="0.35">
      <c r="A271">
        <v>9</v>
      </c>
      <c r="B271" t="s">
        <v>11071</v>
      </c>
      <c r="C271">
        <v>19</v>
      </c>
      <c r="D271">
        <v>1</v>
      </c>
      <c r="E271">
        <v>24</v>
      </c>
      <c r="F271" t="s">
        <v>11986</v>
      </c>
      <c r="G271" s="25">
        <v>0.85</v>
      </c>
    </row>
    <row r="272" spans="1:7" x14ac:dyDescent="0.35">
      <c r="A272">
        <v>9</v>
      </c>
      <c r="B272" t="s">
        <v>11071</v>
      </c>
      <c r="C272">
        <v>20</v>
      </c>
      <c r="D272">
        <v>1</v>
      </c>
      <c r="E272">
        <v>42</v>
      </c>
      <c r="F272" t="s">
        <v>1099</v>
      </c>
      <c r="G272" s="25">
        <v>0.85</v>
      </c>
    </row>
    <row r="273" spans="1:7" x14ac:dyDescent="0.35">
      <c r="A273">
        <v>9</v>
      </c>
      <c r="B273" t="s">
        <v>11071</v>
      </c>
      <c r="C273">
        <v>21</v>
      </c>
      <c r="D273">
        <v>1</v>
      </c>
      <c r="E273">
        <v>15</v>
      </c>
      <c r="F273" t="s">
        <v>11987</v>
      </c>
      <c r="G273" s="25">
        <v>0.85</v>
      </c>
    </row>
    <row r="274" spans="1:7" x14ac:dyDescent="0.35">
      <c r="A274">
        <v>9</v>
      </c>
      <c r="B274" t="s">
        <v>11071</v>
      </c>
      <c r="C274">
        <v>22</v>
      </c>
      <c r="D274">
        <v>1</v>
      </c>
      <c r="E274">
        <v>23</v>
      </c>
      <c r="F274" t="s">
        <v>11988</v>
      </c>
      <c r="G274" s="25">
        <v>0.85</v>
      </c>
    </row>
    <row r="275" spans="1:7" x14ac:dyDescent="0.35">
      <c r="A275">
        <v>9</v>
      </c>
      <c r="B275" t="s">
        <v>11071</v>
      </c>
      <c r="C275">
        <v>23</v>
      </c>
      <c r="D275">
        <v>1</v>
      </c>
      <c r="E275">
        <v>29</v>
      </c>
      <c r="F275" t="s">
        <v>11989</v>
      </c>
      <c r="G275" s="25">
        <v>0.85</v>
      </c>
    </row>
    <row r="276" spans="1:7" x14ac:dyDescent="0.35">
      <c r="A276">
        <v>9</v>
      </c>
      <c r="B276" t="s">
        <v>11071</v>
      </c>
      <c r="C276">
        <v>24</v>
      </c>
      <c r="D276">
        <v>1</v>
      </c>
      <c r="E276">
        <v>22</v>
      </c>
      <c r="F276" t="s">
        <v>11990</v>
      </c>
      <c r="G276" s="25">
        <v>0.85</v>
      </c>
    </row>
    <row r="277" spans="1:7" x14ac:dyDescent="0.35">
      <c r="A277">
        <v>9</v>
      </c>
      <c r="B277" t="s">
        <v>11071</v>
      </c>
      <c r="C277">
        <v>25</v>
      </c>
      <c r="D277">
        <v>1</v>
      </c>
      <c r="E277">
        <v>44</v>
      </c>
      <c r="F277" t="s">
        <v>11991</v>
      </c>
      <c r="G277" s="25">
        <v>0.85</v>
      </c>
    </row>
    <row r="278" spans="1:7" x14ac:dyDescent="0.35">
      <c r="A278">
        <v>9</v>
      </c>
      <c r="B278" t="s">
        <v>11071</v>
      </c>
      <c r="C278">
        <v>26</v>
      </c>
      <c r="D278">
        <v>1</v>
      </c>
      <c r="E278">
        <v>25</v>
      </c>
      <c r="F278" t="s">
        <v>1121</v>
      </c>
      <c r="G278" s="25">
        <v>0.85</v>
      </c>
    </row>
    <row r="279" spans="1:7" x14ac:dyDescent="0.35">
      <c r="A279">
        <v>9</v>
      </c>
      <c r="B279" t="s">
        <v>11071</v>
      </c>
      <c r="C279">
        <v>27</v>
      </c>
      <c r="D279">
        <v>1</v>
      </c>
      <c r="E279">
        <v>12</v>
      </c>
      <c r="F279" t="s">
        <v>11992</v>
      </c>
      <c r="G279" s="25">
        <v>0.85</v>
      </c>
    </row>
    <row r="280" spans="1:7" x14ac:dyDescent="0.35">
      <c r="A280">
        <v>9</v>
      </c>
      <c r="B280" t="s">
        <v>11071</v>
      </c>
      <c r="C280">
        <v>28</v>
      </c>
      <c r="D280">
        <v>1</v>
      </c>
      <c r="E280">
        <v>25</v>
      </c>
      <c r="F280" t="s">
        <v>11993</v>
      </c>
      <c r="G280" s="25">
        <v>0.85</v>
      </c>
    </row>
    <row r="281" spans="1:7" x14ac:dyDescent="0.35">
      <c r="A281">
        <v>9</v>
      </c>
      <c r="B281" t="s">
        <v>11071</v>
      </c>
      <c r="C281">
        <v>29</v>
      </c>
      <c r="D281">
        <v>1</v>
      </c>
      <c r="E281">
        <v>11</v>
      </c>
      <c r="F281" t="s">
        <v>2238</v>
      </c>
      <c r="G281" s="25">
        <v>0.85</v>
      </c>
    </row>
    <row r="282" spans="1:7" x14ac:dyDescent="0.35">
      <c r="A282">
        <v>9</v>
      </c>
      <c r="B282" t="s">
        <v>11071</v>
      </c>
      <c r="C282">
        <v>30</v>
      </c>
      <c r="D282">
        <v>1</v>
      </c>
      <c r="E282">
        <v>31</v>
      </c>
      <c r="F282" t="s">
        <v>11994</v>
      </c>
      <c r="G282" s="25">
        <v>0.85</v>
      </c>
    </row>
    <row r="283" spans="1:7" x14ac:dyDescent="0.35">
      <c r="A283">
        <v>9</v>
      </c>
      <c r="B283" t="s">
        <v>11071</v>
      </c>
      <c r="C283">
        <v>31</v>
      </c>
      <c r="D283">
        <v>1</v>
      </c>
      <c r="E283">
        <v>13</v>
      </c>
      <c r="F283" t="s">
        <v>98</v>
      </c>
      <c r="G283" s="25">
        <v>0.85</v>
      </c>
    </row>
    <row r="284" spans="1:7" x14ac:dyDescent="0.35">
      <c r="A284">
        <v>10</v>
      </c>
      <c r="B284" t="s">
        <v>11073</v>
      </c>
      <c r="C284">
        <v>1</v>
      </c>
      <c r="D284">
        <v>1</v>
      </c>
      <c r="E284">
        <v>27</v>
      </c>
      <c r="F284" t="s">
        <v>11995</v>
      </c>
      <c r="G284" s="25">
        <v>0.85</v>
      </c>
    </row>
    <row r="285" spans="1:7" x14ac:dyDescent="0.35">
      <c r="A285">
        <v>10</v>
      </c>
      <c r="B285" t="s">
        <v>11073</v>
      </c>
      <c r="C285">
        <v>2</v>
      </c>
      <c r="D285">
        <v>1</v>
      </c>
      <c r="E285">
        <v>32</v>
      </c>
      <c r="F285" t="s">
        <v>11996</v>
      </c>
      <c r="G285" s="25">
        <v>0.85</v>
      </c>
    </row>
    <row r="286" spans="1:7" x14ac:dyDescent="0.35">
      <c r="A286">
        <v>10</v>
      </c>
      <c r="B286" t="s">
        <v>11073</v>
      </c>
      <c r="C286">
        <v>3</v>
      </c>
      <c r="D286">
        <v>1</v>
      </c>
      <c r="E286">
        <v>39</v>
      </c>
      <c r="F286" t="s">
        <v>1184</v>
      </c>
      <c r="G286" s="25">
        <v>0.85</v>
      </c>
    </row>
    <row r="287" spans="1:7" x14ac:dyDescent="0.35">
      <c r="A287">
        <v>10</v>
      </c>
      <c r="B287" t="s">
        <v>11073</v>
      </c>
      <c r="C287">
        <v>4</v>
      </c>
      <c r="D287">
        <v>1</v>
      </c>
      <c r="E287">
        <v>12</v>
      </c>
      <c r="F287" t="s">
        <v>1184</v>
      </c>
      <c r="G287" s="25">
        <v>0.85</v>
      </c>
    </row>
    <row r="288" spans="1:7" x14ac:dyDescent="0.35">
      <c r="A288">
        <v>10</v>
      </c>
      <c r="B288" t="s">
        <v>11073</v>
      </c>
      <c r="C288">
        <v>5</v>
      </c>
      <c r="D288">
        <v>1</v>
      </c>
      <c r="E288">
        <v>25</v>
      </c>
      <c r="F288" t="s">
        <v>11997</v>
      </c>
      <c r="G288" s="25">
        <v>0.9</v>
      </c>
    </row>
    <row r="289" spans="1:7" x14ac:dyDescent="0.35">
      <c r="A289">
        <v>10</v>
      </c>
      <c r="B289" t="s">
        <v>11073</v>
      </c>
      <c r="C289">
        <v>6</v>
      </c>
      <c r="D289">
        <v>1</v>
      </c>
      <c r="E289">
        <v>23</v>
      </c>
      <c r="F289" t="s">
        <v>1211</v>
      </c>
      <c r="G289" s="25">
        <v>0.9</v>
      </c>
    </row>
    <row r="290" spans="1:7" x14ac:dyDescent="0.35">
      <c r="A290">
        <v>10</v>
      </c>
      <c r="B290" t="s">
        <v>11073</v>
      </c>
      <c r="C290">
        <v>7</v>
      </c>
      <c r="D290">
        <v>1</v>
      </c>
      <c r="E290">
        <v>29</v>
      </c>
      <c r="F290" t="s">
        <v>1211</v>
      </c>
      <c r="G290" s="25">
        <v>0.9</v>
      </c>
    </row>
    <row r="291" spans="1:7" x14ac:dyDescent="0.35">
      <c r="A291">
        <v>10</v>
      </c>
      <c r="B291" t="s">
        <v>11073</v>
      </c>
      <c r="C291">
        <v>8</v>
      </c>
      <c r="D291">
        <v>1</v>
      </c>
      <c r="E291">
        <v>18</v>
      </c>
      <c r="F291" t="s">
        <v>11998</v>
      </c>
      <c r="G291" s="25">
        <v>0.85</v>
      </c>
    </row>
    <row r="292" spans="1:7" x14ac:dyDescent="0.35">
      <c r="A292">
        <v>10</v>
      </c>
      <c r="B292" t="s">
        <v>11073</v>
      </c>
      <c r="C292">
        <v>9</v>
      </c>
      <c r="D292">
        <v>1</v>
      </c>
      <c r="E292">
        <v>13</v>
      </c>
      <c r="F292" t="s">
        <v>1211</v>
      </c>
      <c r="G292" s="25">
        <v>0.9</v>
      </c>
    </row>
    <row r="293" spans="1:7" x14ac:dyDescent="0.35">
      <c r="A293">
        <v>10</v>
      </c>
      <c r="B293" t="s">
        <v>11073</v>
      </c>
      <c r="C293">
        <v>10</v>
      </c>
      <c r="D293">
        <v>1</v>
      </c>
      <c r="E293">
        <v>19</v>
      </c>
      <c r="F293" t="s">
        <v>11999</v>
      </c>
      <c r="G293" s="25">
        <v>0.85</v>
      </c>
    </row>
    <row r="294" spans="1:7" x14ac:dyDescent="0.35">
      <c r="A294">
        <v>10</v>
      </c>
      <c r="B294" t="s">
        <v>11073</v>
      </c>
      <c r="C294">
        <v>11</v>
      </c>
      <c r="D294">
        <v>1</v>
      </c>
      <c r="E294">
        <v>27</v>
      </c>
      <c r="F294" t="s">
        <v>12000</v>
      </c>
      <c r="G294" s="25">
        <v>0.85</v>
      </c>
    </row>
    <row r="295" spans="1:7" x14ac:dyDescent="0.35">
      <c r="A295">
        <v>10</v>
      </c>
      <c r="B295" t="s">
        <v>11073</v>
      </c>
      <c r="C295">
        <v>12</v>
      </c>
      <c r="D295">
        <v>1</v>
      </c>
      <c r="E295">
        <v>31</v>
      </c>
      <c r="F295" t="s">
        <v>12000</v>
      </c>
      <c r="G295" s="25">
        <v>0.85</v>
      </c>
    </row>
    <row r="296" spans="1:7" x14ac:dyDescent="0.35">
      <c r="A296">
        <v>10</v>
      </c>
      <c r="B296" t="s">
        <v>11073</v>
      </c>
      <c r="C296">
        <v>13</v>
      </c>
      <c r="D296">
        <v>1</v>
      </c>
      <c r="E296">
        <v>39</v>
      </c>
      <c r="F296" t="s">
        <v>1211</v>
      </c>
      <c r="G296" s="25">
        <v>0.9</v>
      </c>
    </row>
    <row r="297" spans="1:7" x14ac:dyDescent="0.35">
      <c r="A297">
        <v>10</v>
      </c>
      <c r="B297" t="s">
        <v>11073</v>
      </c>
      <c r="C297">
        <v>14</v>
      </c>
      <c r="D297">
        <v>1</v>
      </c>
      <c r="E297">
        <v>33</v>
      </c>
      <c r="F297" t="s">
        <v>1211</v>
      </c>
      <c r="G297" s="25">
        <v>0.9</v>
      </c>
    </row>
    <row r="298" spans="1:7" x14ac:dyDescent="0.35">
      <c r="A298">
        <v>10</v>
      </c>
      <c r="B298" t="s">
        <v>11073</v>
      </c>
      <c r="C298">
        <v>15</v>
      </c>
      <c r="D298">
        <v>1</v>
      </c>
      <c r="E298">
        <v>37</v>
      </c>
      <c r="F298" t="s">
        <v>1211</v>
      </c>
      <c r="G298" s="25">
        <v>0.9</v>
      </c>
    </row>
    <row r="299" spans="1:7" x14ac:dyDescent="0.35">
      <c r="A299">
        <v>10</v>
      </c>
      <c r="B299" t="s">
        <v>11073</v>
      </c>
      <c r="C299">
        <v>16</v>
      </c>
      <c r="D299">
        <v>1</v>
      </c>
      <c r="E299">
        <v>23</v>
      </c>
      <c r="F299" t="s">
        <v>12001</v>
      </c>
      <c r="G299" s="25">
        <v>0.85</v>
      </c>
    </row>
    <row r="300" spans="1:7" x14ac:dyDescent="0.35">
      <c r="A300">
        <v>10</v>
      </c>
      <c r="B300" t="s">
        <v>11073</v>
      </c>
      <c r="C300">
        <v>17</v>
      </c>
      <c r="D300">
        <v>1</v>
      </c>
      <c r="E300">
        <v>29</v>
      </c>
      <c r="F300" t="s">
        <v>12002</v>
      </c>
      <c r="G300" s="25">
        <v>0.85</v>
      </c>
    </row>
    <row r="301" spans="1:7" x14ac:dyDescent="0.35">
      <c r="A301">
        <v>10</v>
      </c>
      <c r="B301" t="s">
        <v>11073</v>
      </c>
      <c r="C301">
        <v>18</v>
      </c>
      <c r="D301">
        <v>1</v>
      </c>
      <c r="E301">
        <v>33</v>
      </c>
      <c r="F301" t="s">
        <v>12003</v>
      </c>
      <c r="G301" s="25">
        <v>0.85</v>
      </c>
    </row>
    <row r="302" spans="1:7" x14ac:dyDescent="0.35">
      <c r="A302">
        <v>10</v>
      </c>
      <c r="B302" t="s">
        <v>11073</v>
      </c>
      <c r="C302">
        <v>19</v>
      </c>
      <c r="D302">
        <v>1</v>
      </c>
      <c r="E302">
        <v>43</v>
      </c>
      <c r="F302" t="s">
        <v>12004</v>
      </c>
      <c r="G302" s="25">
        <v>0.85</v>
      </c>
    </row>
    <row r="303" spans="1:7" x14ac:dyDescent="0.35">
      <c r="A303">
        <v>10</v>
      </c>
      <c r="B303" t="s">
        <v>11073</v>
      </c>
      <c r="C303">
        <v>20</v>
      </c>
      <c r="D303">
        <v>1</v>
      </c>
      <c r="E303">
        <v>26</v>
      </c>
      <c r="F303" t="s">
        <v>12005</v>
      </c>
      <c r="G303" s="25">
        <v>0.85</v>
      </c>
    </row>
    <row r="304" spans="1:7" x14ac:dyDescent="0.35">
      <c r="A304">
        <v>10</v>
      </c>
      <c r="B304" t="s">
        <v>11073</v>
      </c>
      <c r="C304">
        <v>21</v>
      </c>
      <c r="D304">
        <v>1</v>
      </c>
      <c r="E304">
        <v>22</v>
      </c>
      <c r="F304" t="s">
        <v>12006</v>
      </c>
      <c r="G304" s="25">
        <v>0.85</v>
      </c>
    </row>
    <row r="305" spans="1:7" x14ac:dyDescent="0.35">
      <c r="A305">
        <v>10</v>
      </c>
      <c r="B305" t="s">
        <v>11073</v>
      </c>
      <c r="C305">
        <v>22</v>
      </c>
      <c r="D305">
        <v>1</v>
      </c>
      <c r="E305">
        <v>51</v>
      </c>
      <c r="F305" t="s">
        <v>1211</v>
      </c>
      <c r="G305" s="25">
        <v>0.9</v>
      </c>
    </row>
    <row r="306" spans="1:7" x14ac:dyDescent="0.35">
      <c r="A306">
        <v>10</v>
      </c>
      <c r="B306" t="s">
        <v>11073</v>
      </c>
      <c r="C306">
        <v>23</v>
      </c>
      <c r="D306">
        <v>1</v>
      </c>
      <c r="E306">
        <v>39</v>
      </c>
      <c r="F306" t="s">
        <v>1211</v>
      </c>
      <c r="G306" s="25">
        <v>0.9</v>
      </c>
    </row>
    <row r="307" spans="1:7" x14ac:dyDescent="0.35">
      <c r="A307">
        <v>10</v>
      </c>
      <c r="B307" t="s">
        <v>11073</v>
      </c>
      <c r="C307">
        <v>24</v>
      </c>
      <c r="D307">
        <v>1</v>
      </c>
      <c r="E307">
        <v>25</v>
      </c>
      <c r="F307" t="s">
        <v>12007</v>
      </c>
      <c r="G307" s="25">
        <v>0.85</v>
      </c>
    </row>
    <row r="308" spans="1:7" x14ac:dyDescent="0.35">
      <c r="A308">
        <v>11</v>
      </c>
      <c r="B308" t="s">
        <v>11075</v>
      </c>
      <c r="C308">
        <v>1</v>
      </c>
      <c r="D308">
        <v>1</v>
      </c>
      <c r="E308">
        <v>53</v>
      </c>
      <c r="F308" t="s">
        <v>1211</v>
      </c>
      <c r="G308" s="25">
        <v>0.9</v>
      </c>
    </row>
    <row r="309" spans="1:7" x14ac:dyDescent="0.35">
      <c r="A309">
        <v>11</v>
      </c>
      <c r="B309" t="s">
        <v>11075</v>
      </c>
      <c r="C309">
        <v>2</v>
      </c>
      <c r="D309">
        <v>1</v>
      </c>
      <c r="E309">
        <v>46</v>
      </c>
      <c r="F309" t="s">
        <v>1211</v>
      </c>
      <c r="G309" s="25">
        <v>0.9</v>
      </c>
    </row>
    <row r="310" spans="1:7" x14ac:dyDescent="0.35">
      <c r="A310">
        <v>11</v>
      </c>
      <c r="B310" t="s">
        <v>11075</v>
      </c>
      <c r="C310">
        <v>3</v>
      </c>
      <c r="D310">
        <v>1</v>
      </c>
      <c r="E310">
        <v>28</v>
      </c>
      <c r="F310" t="s">
        <v>12006</v>
      </c>
      <c r="G310" s="25">
        <v>0.85</v>
      </c>
    </row>
    <row r="311" spans="1:7" x14ac:dyDescent="0.35">
      <c r="A311">
        <v>11</v>
      </c>
      <c r="B311" t="s">
        <v>11075</v>
      </c>
      <c r="C311">
        <v>4</v>
      </c>
      <c r="D311">
        <v>1</v>
      </c>
      <c r="E311">
        <v>34</v>
      </c>
      <c r="F311" t="s">
        <v>3810</v>
      </c>
      <c r="G311" s="25">
        <v>0.85</v>
      </c>
    </row>
    <row r="312" spans="1:7" x14ac:dyDescent="0.35">
      <c r="A312">
        <v>11</v>
      </c>
      <c r="B312" t="s">
        <v>11075</v>
      </c>
      <c r="C312">
        <v>5</v>
      </c>
      <c r="D312">
        <v>1</v>
      </c>
      <c r="E312">
        <v>18</v>
      </c>
      <c r="F312" t="s">
        <v>12008</v>
      </c>
      <c r="G312" s="25">
        <v>0.85</v>
      </c>
    </row>
    <row r="313" spans="1:7" x14ac:dyDescent="0.35">
      <c r="A313">
        <v>11</v>
      </c>
      <c r="B313" t="s">
        <v>11075</v>
      </c>
      <c r="C313">
        <v>6</v>
      </c>
      <c r="D313">
        <v>1</v>
      </c>
      <c r="E313">
        <v>38</v>
      </c>
      <c r="F313" t="s">
        <v>1211</v>
      </c>
      <c r="G313" s="25">
        <v>0.9</v>
      </c>
    </row>
    <row r="314" spans="1:7" x14ac:dyDescent="0.35">
      <c r="A314">
        <v>11</v>
      </c>
      <c r="B314" t="s">
        <v>11075</v>
      </c>
      <c r="C314">
        <v>7</v>
      </c>
      <c r="D314">
        <v>1</v>
      </c>
      <c r="E314">
        <v>51</v>
      </c>
      <c r="F314" t="s">
        <v>1211</v>
      </c>
      <c r="G314" s="25">
        <v>0.9</v>
      </c>
    </row>
    <row r="315" spans="1:7" x14ac:dyDescent="0.35">
      <c r="A315">
        <v>11</v>
      </c>
      <c r="B315" t="s">
        <v>11075</v>
      </c>
      <c r="C315">
        <v>8</v>
      </c>
      <c r="D315">
        <v>1</v>
      </c>
      <c r="E315">
        <v>66</v>
      </c>
      <c r="F315" t="s">
        <v>1211</v>
      </c>
      <c r="G315" s="25">
        <v>0.9</v>
      </c>
    </row>
    <row r="316" spans="1:7" x14ac:dyDescent="0.35">
      <c r="A316">
        <v>11</v>
      </c>
      <c r="B316" t="s">
        <v>11075</v>
      </c>
      <c r="C316">
        <v>9</v>
      </c>
      <c r="D316">
        <v>1</v>
      </c>
      <c r="E316">
        <v>28</v>
      </c>
      <c r="F316" t="s">
        <v>12009</v>
      </c>
      <c r="G316" s="25">
        <v>0.85</v>
      </c>
    </row>
    <row r="317" spans="1:7" x14ac:dyDescent="0.35">
      <c r="A317">
        <v>11</v>
      </c>
      <c r="B317" t="s">
        <v>11075</v>
      </c>
      <c r="C317">
        <v>10</v>
      </c>
      <c r="D317">
        <v>1</v>
      </c>
      <c r="E317">
        <v>29</v>
      </c>
      <c r="F317" t="s">
        <v>1211</v>
      </c>
      <c r="G317" s="25">
        <v>0.9</v>
      </c>
    </row>
    <row r="318" spans="1:7" x14ac:dyDescent="0.35">
      <c r="A318">
        <v>11</v>
      </c>
      <c r="B318" t="s">
        <v>11075</v>
      </c>
      <c r="C318">
        <v>11</v>
      </c>
      <c r="D318">
        <v>1</v>
      </c>
      <c r="E318">
        <v>43</v>
      </c>
      <c r="F318" t="s">
        <v>12009</v>
      </c>
      <c r="G318" s="25">
        <v>0.85</v>
      </c>
    </row>
    <row r="319" spans="1:7" x14ac:dyDescent="0.35">
      <c r="A319">
        <v>11</v>
      </c>
      <c r="B319" t="s">
        <v>11075</v>
      </c>
      <c r="C319">
        <v>12</v>
      </c>
      <c r="D319">
        <v>1</v>
      </c>
      <c r="E319">
        <v>33</v>
      </c>
      <c r="F319" t="s">
        <v>12010</v>
      </c>
      <c r="G319" s="25">
        <v>0.85</v>
      </c>
    </row>
    <row r="320" spans="1:7" x14ac:dyDescent="0.35">
      <c r="A320">
        <v>11</v>
      </c>
      <c r="B320" t="s">
        <v>11075</v>
      </c>
      <c r="C320">
        <v>13</v>
      </c>
      <c r="D320">
        <v>1</v>
      </c>
      <c r="E320">
        <v>34</v>
      </c>
      <c r="F320" t="s">
        <v>12011</v>
      </c>
      <c r="G320" s="25">
        <v>0.85</v>
      </c>
    </row>
    <row r="321" spans="1:7" x14ac:dyDescent="0.35">
      <c r="A321">
        <v>11</v>
      </c>
      <c r="B321" t="s">
        <v>11075</v>
      </c>
      <c r="C321">
        <v>14</v>
      </c>
      <c r="D321">
        <v>1</v>
      </c>
      <c r="E321">
        <v>31</v>
      </c>
      <c r="F321" t="s">
        <v>12012</v>
      </c>
      <c r="G321" s="25">
        <v>0.85</v>
      </c>
    </row>
    <row r="322" spans="1:7" x14ac:dyDescent="0.35">
      <c r="A322">
        <v>11</v>
      </c>
      <c r="B322" t="s">
        <v>11075</v>
      </c>
      <c r="C322">
        <v>15</v>
      </c>
      <c r="D322">
        <v>1</v>
      </c>
      <c r="E322">
        <v>34</v>
      </c>
      <c r="F322" t="s">
        <v>12013</v>
      </c>
      <c r="G322" s="25">
        <v>0.85</v>
      </c>
    </row>
    <row r="323" spans="1:7" x14ac:dyDescent="0.35">
      <c r="A323">
        <v>11</v>
      </c>
      <c r="B323" t="s">
        <v>11075</v>
      </c>
      <c r="C323">
        <v>16</v>
      </c>
      <c r="D323">
        <v>1</v>
      </c>
      <c r="E323">
        <v>34</v>
      </c>
      <c r="F323" t="s">
        <v>12014</v>
      </c>
      <c r="G323" s="25">
        <v>0.85</v>
      </c>
    </row>
    <row r="324" spans="1:7" x14ac:dyDescent="0.35">
      <c r="A324">
        <v>11</v>
      </c>
      <c r="B324" t="s">
        <v>11075</v>
      </c>
      <c r="C324">
        <v>17</v>
      </c>
      <c r="D324">
        <v>1</v>
      </c>
      <c r="E324">
        <v>24</v>
      </c>
      <c r="F324" t="s">
        <v>12015</v>
      </c>
      <c r="G324" s="25">
        <v>0.85</v>
      </c>
    </row>
    <row r="325" spans="1:7" x14ac:dyDescent="0.35">
      <c r="A325">
        <v>11</v>
      </c>
      <c r="B325" t="s">
        <v>11075</v>
      </c>
      <c r="C325">
        <v>18</v>
      </c>
      <c r="D325">
        <v>1</v>
      </c>
      <c r="E325">
        <v>46</v>
      </c>
      <c r="F325" t="s">
        <v>12016</v>
      </c>
      <c r="G325" s="25">
        <v>0.85</v>
      </c>
    </row>
    <row r="326" spans="1:7" x14ac:dyDescent="0.35">
      <c r="A326">
        <v>11</v>
      </c>
      <c r="B326" t="s">
        <v>11075</v>
      </c>
      <c r="C326">
        <v>19</v>
      </c>
      <c r="D326">
        <v>1</v>
      </c>
      <c r="E326">
        <v>21</v>
      </c>
      <c r="F326" t="s">
        <v>12017</v>
      </c>
      <c r="G326" s="25">
        <v>0.8</v>
      </c>
    </row>
    <row r="327" spans="1:7" x14ac:dyDescent="0.35">
      <c r="A327">
        <v>11</v>
      </c>
      <c r="B327" t="s">
        <v>11075</v>
      </c>
      <c r="C327">
        <v>20</v>
      </c>
      <c r="D327">
        <v>1</v>
      </c>
      <c r="E327">
        <v>43</v>
      </c>
      <c r="F327" t="s">
        <v>12018</v>
      </c>
      <c r="G327" s="25">
        <v>0.85</v>
      </c>
    </row>
    <row r="328" spans="1:7" x14ac:dyDescent="0.35">
      <c r="A328">
        <v>11</v>
      </c>
      <c r="B328" t="s">
        <v>11075</v>
      </c>
      <c r="C328">
        <v>21</v>
      </c>
      <c r="D328">
        <v>1</v>
      </c>
      <c r="E328">
        <v>29</v>
      </c>
      <c r="F328" t="s">
        <v>12019</v>
      </c>
      <c r="G328" s="25">
        <v>0.85</v>
      </c>
    </row>
    <row r="329" spans="1:7" x14ac:dyDescent="0.35">
      <c r="A329">
        <v>11</v>
      </c>
      <c r="B329" t="s">
        <v>11075</v>
      </c>
      <c r="C329">
        <v>22</v>
      </c>
      <c r="D329">
        <v>1</v>
      </c>
      <c r="E329">
        <v>53</v>
      </c>
      <c r="F329" t="s">
        <v>12020</v>
      </c>
      <c r="G329" s="25">
        <v>0.85</v>
      </c>
    </row>
    <row r="330" spans="1:7" x14ac:dyDescent="0.35">
      <c r="A330">
        <v>12</v>
      </c>
      <c r="B330" t="s">
        <v>11076</v>
      </c>
      <c r="C330">
        <v>1</v>
      </c>
      <c r="D330">
        <v>1</v>
      </c>
      <c r="E330">
        <v>18</v>
      </c>
      <c r="F330" t="s">
        <v>12018</v>
      </c>
      <c r="G330" s="25">
        <v>0.85</v>
      </c>
    </row>
    <row r="331" spans="1:7" x14ac:dyDescent="0.35">
      <c r="A331">
        <v>12</v>
      </c>
      <c r="B331" t="s">
        <v>11076</v>
      </c>
      <c r="C331">
        <v>2</v>
      </c>
      <c r="D331">
        <v>1</v>
      </c>
      <c r="E331">
        <v>25</v>
      </c>
      <c r="F331" t="s">
        <v>12021</v>
      </c>
      <c r="G331" s="25">
        <v>0.85</v>
      </c>
    </row>
    <row r="332" spans="1:7" x14ac:dyDescent="0.35">
      <c r="A332">
        <v>12</v>
      </c>
      <c r="B332" t="s">
        <v>11076</v>
      </c>
      <c r="C332">
        <v>3</v>
      </c>
      <c r="D332">
        <v>1</v>
      </c>
      <c r="E332">
        <v>27</v>
      </c>
      <c r="F332" t="s">
        <v>12022</v>
      </c>
      <c r="G332" s="25">
        <v>0.85</v>
      </c>
    </row>
    <row r="333" spans="1:7" x14ac:dyDescent="0.35">
      <c r="A333">
        <v>12</v>
      </c>
      <c r="B333" t="s">
        <v>11076</v>
      </c>
      <c r="C333">
        <v>4</v>
      </c>
      <c r="D333">
        <v>1</v>
      </c>
      <c r="E333">
        <v>44</v>
      </c>
      <c r="F333" t="s">
        <v>12023</v>
      </c>
      <c r="G333" s="25">
        <v>0.85</v>
      </c>
    </row>
    <row r="334" spans="1:7" x14ac:dyDescent="0.35">
      <c r="A334">
        <v>12</v>
      </c>
      <c r="B334" t="s">
        <v>11076</v>
      </c>
      <c r="C334">
        <v>5</v>
      </c>
      <c r="D334">
        <v>1</v>
      </c>
      <c r="E334">
        <v>27</v>
      </c>
      <c r="F334" t="s">
        <v>12024</v>
      </c>
      <c r="G334" s="25">
        <v>0.85</v>
      </c>
    </row>
    <row r="335" spans="1:7" x14ac:dyDescent="0.35">
      <c r="A335">
        <v>12</v>
      </c>
      <c r="B335" t="s">
        <v>11076</v>
      </c>
      <c r="C335">
        <v>6</v>
      </c>
      <c r="D335">
        <v>1</v>
      </c>
      <c r="E335">
        <v>33</v>
      </c>
      <c r="F335" t="s">
        <v>12018</v>
      </c>
      <c r="G335" s="25">
        <v>0.85</v>
      </c>
    </row>
    <row r="336" spans="1:7" x14ac:dyDescent="0.35">
      <c r="A336">
        <v>12</v>
      </c>
      <c r="B336" t="s">
        <v>11076</v>
      </c>
      <c r="C336">
        <v>7</v>
      </c>
      <c r="D336">
        <v>1</v>
      </c>
      <c r="E336">
        <v>20</v>
      </c>
      <c r="F336" t="s">
        <v>1787</v>
      </c>
      <c r="G336" s="25">
        <v>0.85</v>
      </c>
    </row>
    <row r="337" spans="1:7" x14ac:dyDescent="0.35">
      <c r="A337">
        <v>12</v>
      </c>
      <c r="B337" t="s">
        <v>11076</v>
      </c>
      <c r="C337">
        <v>8</v>
      </c>
      <c r="D337">
        <v>1</v>
      </c>
      <c r="E337">
        <v>29</v>
      </c>
      <c r="F337" t="s">
        <v>12025</v>
      </c>
      <c r="G337" s="25">
        <v>0.85</v>
      </c>
    </row>
    <row r="338" spans="1:7" x14ac:dyDescent="0.35">
      <c r="A338">
        <v>12</v>
      </c>
      <c r="B338" t="s">
        <v>11076</v>
      </c>
      <c r="C338">
        <v>9</v>
      </c>
      <c r="D338">
        <v>1</v>
      </c>
      <c r="E338">
        <v>37</v>
      </c>
      <c r="F338" t="s">
        <v>12026</v>
      </c>
      <c r="G338" s="25">
        <v>0.85</v>
      </c>
    </row>
    <row r="339" spans="1:7" x14ac:dyDescent="0.35">
      <c r="A339">
        <v>12</v>
      </c>
      <c r="B339" t="s">
        <v>11076</v>
      </c>
      <c r="C339">
        <v>10</v>
      </c>
      <c r="D339">
        <v>1</v>
      </c>
      <c r="E339">
        <v>36</v>
      </c>
      <c r="F339" t="s">
        <v>12018</v>
      </c>
      <c r="G339" s="25">
        <v>0.85</v>
      </c>
    </row>
    <row r="340" spans="1:7" x14ac:dyDescent="0.35">
      <c r="A340">
        <v>12</v>
      </c>
      <c r="B340" t="s">
        <v>11076</v>
      </c>
      <c r="C340">
        <v>11</v>
      </c>
      <c r="D340">
        <v>1</v>
      </c>
      <c r="E340">
        <v>21</v>
      </c>
      <c r="F340" t="s">
        <v>1211</v>
      </c>
      <c r="G340" s="25">
        <v>0.9</v>
      </c>
    </row>
    <row r="341" spans="1:7" x14ac:dyDescent="0.35">
      <c r="A341">
        <v>12</v>
      </c>
      <c r="B341" t="s">
        <v>11076</v>
      </c>
      <c r="C341">
        <v>12</v>
      </c>
      <c r="D341">
        <v>1</v>
      </c>
      <c r="E341">
        <v>21</v>
      </c>
      <c r="F341" t="s">
        <v>1211</v>
      </c>
      <c r="G341" s="25">
        <v>0.9</v>
      </c>
    </row>
    <row r="342" spans="1:7" x14ac:dyDescent="0.35">
      <c r="A342">
        <v>12</v>
      </c>
      <c r="B342" t="s">
        <v>11076</v>
      </c>
      <c r="C342">
        <v>13</v>
      </c>
      <c r="D342">
        <v>1</v>
      </c>
      <c r="E342">
        <v>25</v>
      </c>
      <c r="F342" t="s">
        <v>12018</v>
      </c>
      <c r="G342" s="25">
        <v>0.85</v>
      </c>
    </row>
    <row r="343" spans="1:7" x14ac:dyDescent="0.35">
      <c r="A343">
        <v>12</v>
      </c>
      <c r="B343" t="s">
        <v>11076</v>
      </c>
      <c r="C343">
        <v>14</v>
      </c>
      <c r="D343">
        <v>1</v>
      </c>
      <c r="E343">
        <v>29</v>
      </c>
      <c r="F343" t="s">
        <v>1954</v>
      </c>
      <c r="G343" s="25">
        <v>0.85</v>
      </c>
    </row>
    <row r="344" spans="1:7" x14ac:dyDescent="0.35">
      <c r="A344">
        <v>12</v>
      </c>
      <c r="B344" t="s">
        <v>11076</v>
      </c>
      <c r="C344">
        <v>15</v>
      </c>
      <c r="D344">
        <v>1</v>
      </c>
      <c r="E344">
        <v>38</v>
      </c>
      <c r="F344" t="s">
        <v>12027</v>
      </c>
      <c r="G344" s="25">
        <v>0.85</v>
      </c>
    </row>
    <row r="345" spans="1:7" x14ac:dyDescent="0.35">
      <c r="A345">
        <v>12</v>
      </c>
      <c r="B345" t="s">
        <v>11076</v>
      </c>
      <c r="C345">
        <v>16</v>
      </c>
      <c r="D345">
        <v>1</v>
      </c>
      <c r="E345">
        <v>20</v>
      </c>
      <c r="F345" t="s">
        <v>1211</v>
      </c>
      <c r="G345" s="25">
        <v>0.9</v>
      </c>
    </row>
    <row r="346" spans="1:7" x14ac:dyDescent="0.35">
      <c r="A346">
        <v>12</v>
      </c>
      <c r="B346" t="s">
        <v>11076</v>
      </c>
      <c r="C346">
        <v>17</v>
      </c>
      <c r="D346">
        <v>1</v>
      </c>
      <c r="E346">
        <v>41</v>
      </c>
      <c r="F346" t="s">
        <v>12028</v>
      </c>
      <c r="G346" s="25">
        <v>0.85</v>
      </c>
    </row>
    <row r="347" spans="1:7" x14ac:dyDescent="0.35">
      <c r="A347">
        <v>12</v>
      </c>
      <c r="B347" t="s">
        <v>11076</v>
      </c>
      <c r="C347">
        <v>18</v>
      </c>
      <c r="D347">
        <v>1</v>
      </c>
      <c r="E347">
        <v>37</v>
      </c>
      <c r="F347" t="s">
        <v>4384</v>
      </c>
      <c r="G347" s="25">
        <v>0.85</v>
      </c>
    </row>
    <row r="348" spans="1:7" x14ac:dyDescent="0.35">
      <c r="A348">
        <v>12</v>
      </c>
      <c r="B348" t="s">
        <v>11076</v>
      </c>
      <c r="C348">
        <v>19</v>
      </c>
      <c r="D348">
        <v>1</v>
      </c>
      <c r="E348">
        <v>37</v>
      </c>
      <c r="F348" t="s">
        <v>1211</v>
      </c>
      <c r="G348" s="25">
        <v>0.9</v>
      </c>
    </row>
    <row r="349" spans="1:7" x14ac:dyDescent="0.35">
      <c r="A349">
        <v>12</v>
      </c>
      <c r="B349" t="s">
        <v>11076</v>
      </c>
      <c r="C349">
        <v>20</v>
      </c>
      <c r="D349">
        <v>1</v>
      </c>
      <c r="E349">
        <v>21</v>
      </c>
      <c r="F349" t="s">
        <v>1211</v>
      </c>
      <c r="G349" s="25">
        <v>0.9</v>
      </c>
    </row>
    <row r="350" spans="1:7" x14ac:dyDescent="0.35">
      <c r="A350">
        <v>12</v>
      </c>
      <c r="B350" t="s">
        <v>11076</v>
      </c>
      <c r="C350">
        <v>21</v>
      </c>
      <c r="D350">
        <v>1</v>
      </c>
      <c r="E350">
        <v>26</v>
      </c>
      <c r="F350" t="s">
        <v>1211</v>
      </c>
      <c r="G350" s="25">
        <v>0.9</v>
      </c>
    </row>
    <row r="351" spans="1:7" x14ac:dyDescent="0.35">
      <c r="A351">
        <v>12</v>
      </c>
      <c r="B351" t="s">
        <v>11076</v>
      </c>
      <c r="C351">
        <v>22</v>
      </c>
      <c r="D351">
        <v>1</v>
      </c>
      <c r="E351">
        <v>20</v>
      </c>
      <c r="F351" t="s">
        <v>1211</v>
      </c>
      <c r="G351" s="25">
        <v>0.9</v>
      </c>
    </row>
    <row r="352" spans="1:7" x14ac:dyDescent="0.35">
      <c r="A352">
        <v>12</v>
      </c>
      <c r="B352" t="s">
        <v>11076</v>
      </c>
      <c r="C352">
        <v>23</v>
      </c>
      <c r="D352">
        <v>1</v>
      </c>
      <c r="E352">
        <v>37</v>
      </c>
      <c r="F352" t="s">
        <v>4662</v>
      </c>
      <c r="G352" s="25">
        <v>0.85</v>
      </c>
    </row>
    <row r="353" spans="1:7" x14ac:dyDescent="0.35">
      <c r="A353">
        <v>12</v>
      </c>
      <c r="B353" t="s">
        <v>11076</v>
      </c>
      <c r="C353">
        <v>24</v>
      </c>
      <c r="D353">
        <v>1</v>
      </c>
      <c r="E353">
        <v>20</v>
      </c>
      <c r="F353" t="s">
        <v>4584</v>
      </c>
      <c r="G353" s="25">
        <v>0.85</v>
      </c>
    </row>
    <row r="354" spans="1:7" x14ac:dyDescent="0.35">
      <c r="A354">
        <v>12</v>
      </c>
      <c r="B354" t="s">
        <v>11076</v>
      </c>
      <c r="C354">
        <v>25</v>
      </c>
      <c r="D354">
        <v>1</v>
      </c>
      <c r="E354">
        <v>30</v>
      </c>
      <c r="F354" t="s">
        <v>4584</v>
      </c>
      <c r="G354" s="25">
        <v>0.85</v>
      </c>
    </row>
    <row r="355" spans="1:7" x14ac:dyDescent="0.35">
      <c r="A355">
        <v>13</v>
      </c>
      <c r="B355" t="s">
        <v>11077</v>
      </c>
      <c r="C355">
        <v>1</v>
      </c>
      <c r="D355">
        <v>1</v>
      </c>
      <c r="E355">
        <v>54</v>
      </c>
      <c r="F355" t="s">
        <v>12029</v>
      </c>
      <c r="G355" s="25">
        <v>0.75</v>
      </c>
    </row>
    <row r="356" spans="1:7" x14ac:dyDescent="0.35">
      <c r="A356">
        <v>13</v>
      </c>
      <c r="B356" t="s">
        <v>11077</v>
      </c>
      <c r="C356">
        <v>2</v>
      </c>
      <c r="D356">
        <v>1</v>
      </c>
      <c r="E356">
        <v>55</v>
      </c>
      <c r="F356" t="s">
        <v>12030</v>
      </c>
      <c r="G356" s="25">
        <v>0.75</v>
      </c>
    </row>
    <row r="357" spans="1:7" x14ac:dyDescent="0.35">
      <c r="A357">
        <v>13</v>
      </c>
      <c r="B357" t="s">
        <v>11077</v>
      </c>
      <c r="C357">
        <v>3</v>
      </c>
      <c r="D357">
        <v>1</v>
      </c>
      <c r="E357">
        <v>24</v>
      </c>
      <c r="F357" t="s">
        <v>12031</v>
      </c>
      <c r="G357" s="25">
        <v>0.8</v>
      </c>
    </row>
    <row r="358" spans="1:7" x14ac:dyDescent="0.35">
      <c r="A358">
        <v>13</v>
      </c>
      <c r="B358" t="s">
        <v>11077</v>
      </c>
      <c r="C358">
        <v>4</v>
      </c>
      <c r="D358">
        <v>1</v>
      </c>
      <c r="E358">
        <v>43</v>
      </c>
      <c r="F358" t="s">
        <v>12032</v>
      </c>
      <c r="G358" s="25">
        <v>0.75</v>
      </c>
    </row>
    <row r="359" spans="1:7" x14ac:dyDescent="0.35">
      <c r="A359">
        <v>13</v>
      </c>
      <c r="B359" t="s">
        <v>11077</v>
      </c>
      <c r="C359">
        <v>5</v>
      </c>
      <c r="D359">
        <v>1</v>
      </c>
      <c r="E359">
        <v>26</v>
      </c>
      <c r="F359" t="s">
        <v>12033</v>
      </c>
      <c r="G359" s="25">
        <v>0.75</v>
      </c>
    </row>
    <row r="360" spans="1:7" x14ac:dyDescent="0.35">
      <c r="A360">
        <v>13</v>
      </c>
      <c r="B360" t="s">
        <v>11077</v>
      </c>
      <c r="C360">
        <v>6</v>
      </c>
      <c r="D360">
        <v>1</v>
      </c>
      <c r="E360">
        <v>81</v>
      </c>
      <c r="F360" t="s">
        <v>12034</v>
      </c>
      <c r="G360" s="25">
        <v>0.75</v>
      </c>
    </row>
    <row r="361" spans="1:7" x14ac:dyDescent="0.35">
      <c r="A361">
        <v>13</v>
      </c>
      <c r="B361" t="s">
        <v>11077</v>
      </c>
      <c r="C361">
        <v>7</v>
      </c>
      <c r="D361">
        <v>1</v>
      </c>
      <c r="E361">
        <v>40</v>
      </c>
      <c r="F361" t="s">
        <v>12032</v>
      </c>
      <c r="G361" s="25">
        <v>0.75</v>
      </c>
    </row>
    <row r="362" spans="1:7" x14ac:dyDescent="0.35">
      <c r="A362">
        <v>13</v>
      </c>
      <c r="B362" t="s">
        <v>11077</v>
      </c>
      <c r="C362">
        <v>8</v>
      </c>
      <c r="D362">
        <v>1</v>
      </c>
      <c r="E362">
        <v>40</v>
      </c>
      <c r="F362" t="s">
        <v>12035</v>
      </c>
      <c r="G362" s="25">
        <v>0.75</v>
      </c>
    </row>
    <row r="363" spans="1:7" x14ac:dyDescent="0.35">
      <c r="A363">
        <v>13</v>
      </c>
      <c r="B363" t="s">
        <v>11077</v>
      </c>
      <c r="C363">
        <v>9</v>
      </c>
      <c r="D363">
        <v>1</v>
      </c>
      <c r="E363">
        <v>44</v>
      </c>
      <c r="F363" t="s">
        <v>1211</v>
      </c>
      <c r="G363" s="25">
        <v>0.85</v>
      </c>
    </row>
    <row r="364" spans="1:7" x14ac:dyDescent="0.35">
      <c r="A364">
        <v>13</v>
      </c>
      <c r="B364" t="s">
        <v>11077</v>
      </c>
      <c r="C364">
        <v>10</v>
      </c>
      <c r="D364">
        <v>1</v>
      </c>
      <c r="E364">
        <v>14</v>
      </c>
      <c r="F364" t="s">
        <v>98</v>
      </c>
      <c r="G364" s="25">
        <v>0.85</v>
      </c>
    </row>
    <row r="365" spans="1:7" x14ac:dyDescent="0.35">
      <c r="A365">
        <v>13</v>
      </c>
      <c r="B365" t="s">
        <v>11077</v>
      </c>
      <c r="C365">
        <v>11</v>
      </c>
      <c r="D365">
        <v>1</v>
      </c>
      <c r="E365">
        <v>47</v>
      </c>
      <c r="F365" t="s">
        <v>11997</v>
      </c>
      <c r="G365" s="25">
        <v>0.85</v>
      </c>
    </row>
    <row r="366" spans="1:7" x14ac:dyDescent="0.35">
      <c r="A366">
        <v>13</v>
      </c>
      <c r="B366" t="s">
        <v>11077</v>
      </c>
      <c r="C366">
        <v>12</v>
      </c>
      <c r="D366">
        <v>1</v>
      </c>
      <c r="E366">
        <v>40</v>
      </c>
      <c r="F366" t="s">
        <v>12036</v>
      </c>
      <c r="G366" s="25">
        <v>0.8</v>
      </c>
    </row>
    <row r="367" spans="1:7" x14ac:dyDescent="0.35">
      <c r="A367">
        <v>13</v>
      </c>
      <c r="B367" t="s">
        <v>11077</v>
      </c>
      <c r="C367">
        <v>13</v>
      </c>
      <c r="D367">
        <v>1</v>
      </c>
      <c r="E367">
        <v>14</v>
      </c>
      <c r="F367" t="s">
        <v>12037</v>
      </c>
      <c r="G367" s="25">
        <v>0.85</v>
      </c>
    </row>
    <row r="368" spans="1:7" x14ac:dyDescent="0.35">
      <c r="A368">
        <v>13</v>
      </c>
      <c r="B368" t="s">
        <v>11077</v>
      </c>
      <c r="C368">
        <v>14</v>
      </c>
      <c r="D368">
        <v>1</v>
      </c>
      <c r="E368">
        <v>17</v>
      </c>
      <c r="F368" t="s">
        <v>1211</v>
      </c>
      <c r="G368" s="25">
        <v>0.9</v>
      </c>
    </row>
    <row r="369" spans="1:7" x14ac:dyDescent="0.35">
      <c r="A369">
        <v>13</v>
      </c>
      <c r="B369" t="s">
        <v>11077</v>
      </c>
      <c r="C369">
        <v>15</v>
      </c>
      <c r="D369">
        <v>1</v>
      </c>
      <c r="E369">
        <v>29</v>
      </c>
      <c r="F369" t="s">
        <v>1211</v>
      </c>
      <c r="G369" s="25">
        <v>0.9</v>
      </c>
    </row>
    <row r="370" spans="1:7" x14ac:dyDescent="0.35">
      <c r="A370">
        <v>13</v>
      </c>
      <c r="B370" t="s">
        <v>11077</v>
      </c>
      <c r="C370">
        <v>16</v>
      </c>
      <c r="D370">
        <v>1</v>
      </c>
      <c r="E370">
        <v>43</v>
      </c>
      <c r="F370" t="s">
        <v>1211</v>
      </c>
      <c r="G370" s="25">
        <v>0.9</v>
      </c>
    </row>
    <row r="371" spans="1:7" x14ac:dyDescent="0.35">
      <c r="A371">
        <v>13</v>
      </c>
      <c r="B371" t="s">
        <v>11077</v>
      </c>
      <c r="C371">
        <v>17</v>
      </c>
      <c r="D371">
        <v>1</v>
      </c>
      <c r="E371">
        <v>27</v>
      </c>
      <c r="F371" t="s">
        <v>1211</v>
      </c>
      <c r="G371" s="25">
        <v>0.9</v>
      </c>
    </row>
    <row r="372" spans="1:7" x14ac:dyDescent="0.35">
      <c r="A372">
        <v>13</v>
      </c>
      <c r="B372" t="s">
        <v>11077</v>
      </c>
      <c r="C372">
        <v>18</v>
      </c>
      <c r="D372">
        <v>1</v>
      </c>
      <c r="E372">
        <v>17</v>
      </c>
      <c r="F372" t="s">
        <v>11998</v>
      </c>
      <c r="G372" s="25">
        <v>0.85</v>
      </c>
    </row>
    <row r="373" spans="1:7" x14ac:dyDescent="0.35">
      <c r="A373">
        <v>13</v>
      </c>
      <c r="B373" t="s">
        <v>11077</v>
      </c>
      <c r="C373">
        <v>19</v>
      </c>
      <c r="D373">
        <v>1</v>
      </c>
      <c r="E373">
        <v>19</v>
      </c>
      <c r="F373" t="s">
        <v>11999</v>
      </c>
      <c r="G373" s="25">
        <v>0.85</v>
      </c>
    </row>
    <row r="374" spans="1:7" x14ac:dyDescent="0.35">
      <c r="A374">
        <v>13</v>
      </c>
      <c r="B374" t="s">
        <v>11077</v>
      </c>
      <c r="C374">
        <v>20</v>
      </c>
      <c r="D374">
        <v>1</v>
      </c>
      <c r="E374">
        <v>8</v>
      </c>
      <c r="F374" t="s">
        <v>12000</v>
      </c>
      <c r="G374" s="25">
        <v>0.85</v>
      </c>
    </row>
    <row r="375" spans="1:7" x14ac:dyDescent="0.35">
      <c r="A375">
        <v>13</v>
      </c>
      <c r="B375" t="s">
        <v>11077</v>
      </c>
      <c r="C375">
        <v>21</v>
      </c>
      <c r="D375">
        <v>1</v>
      </c>
      <c r="E375">
        <v>30</v>
      </c>
      <c r="F375" t="s">
        <v>12007</v>
      </c>
      <c r="G375" s="25">
        <v>0.85</v>
      </c>
    </row>
    <row r="376" spans="1:7" x14ac:dyDescent="0.35">
      <c r="A376">
        <v>13</v>
      </c>
      <c r="B376" t="s">
        <v>11077</v>
      </c>
      <c r="C376">
        <v>22</v>
      </c>
      <c r="D376">
        <v>1</v>
      </c>
      <c r="E376">
        <v>19</v>
      </c>
      <c r="F376" t="s">
        <v>1211</v>
      </c>
      <c r="G376" s="25">
        <v>0.9</v>
      </c>
    </row>
    <row r="377" spans="1:7" x14ac:dyDescent="0.35">
      <c r="A377">
        <v>13</v>
      </c>
      <c r="B377" t="s">
        <v>11077</v>
      </c>
      <c r="C377">
        <v>23</v>
      </c>
      <c r="D377">
        <v>1</v>
      </c>
      <c r="E377">
        <v>32</v>
      </c>
      <c r="F377" t="s">
        <v>1211</v>
      </c>
      <c r="G377" s="25">
        <v>0.9</v>
      </c>
    </row>
    <row r="378" spans="1:7" x14ac:dyDescent="0.35">
      <c r="A378">
        <v>13</v>
      </c>
      <c r="B378" t="s">
        <v>11077</v>
      </c>
      <c r="C378">
        <v>24</v>
      </c>
      <c r="D378">
        <v>1</v>
      </c>
      <c r="E378">
        <v>31</v>
      </c>
      <c r="F378" t="s">
        <v>1211</v>
      </c>
      <c r="G378" s="25">
        <v>0.9</v>
      </c>
    </row>
    <row r="379" spans="1:7" x14ac:dyDescent="0.35">
      <c r="A379">
        <v>13</v>
      </c>
      <c r="B379" t="s">
        <v>11077</v>
      </c>
      <c r="C379">
        <v>25</v>
      </c>
      <c r="D379">
        <v>1</v>
      </c>
      <c r="E379">
        <v>31</v>
      </c>
      <c r="F379" t="s">
        <v>1211</v>
      </c>
      <c r="G379" s="25">
        <v>0.9</v>
      </c>
    </row>
    <row r="380" spans="1:7" x14ac:dyDescent="0.35">
      <c r="A380">
        <v>13</v>
      </c>
      <c r="B380" t="s">
        <v>11077</v>
      </c>
      <c r="C380">
        <v>26</v>
      </c>
      <c r="D380">
        <v>1</v>
      </c>
      <c r="E380">
        <v>32</v>
      </c>
      <c r="F380" t="s">
        <v>1211</v>
      </c>
      <c r="G380" s="25">
        <v>0.9</v>
      </c>
    </row>
    <row r="381" spans="1:7" x14ac:dyDescent="0.35">
      <c r="A381">
        <v>13</v>
      </c>
      <c r="B381" t="s">
        <v>11077</v>
      </c>
      <c r="C381">
        <v>27</v>
      </c>
      <c r="D381">
        <v>1</v>
      </c>
      <c r="E381">
        <v>34</v>
      </c>
      <c r="F381" t="s">
        <v>3810</v>
      </c>
      <c r="G381" s="25">
        <v>0.85</v>
      </c>
    </row>
    <row r="382" spans="1:7" x14ac:dyDescent="0.35">
      <c r="A382">
        <v>13</v>
      </c>
      <c r="B382" t="s">
        <v>11077</v>
      </c>
      <c r="C382">
        <v>28</v>
      </c>
      <c r="D382">
        <v>1</v>
      </c>
      <c r="E382">
        <v>21</v>
      </c>
      <c r="F382" t="s">
        <v>1211</v>
      </c>
      <c r="G382" s="25">
        <v>0.9</v>
      </c>
    </row>
    <row r="383" spans="1:7" x14ac:dyDescent="0.35">
      <c r="A383">
        <v>13</v>
      </c>
      <c r="B383" t="s">
        <v>11077</v>
      </c>
      <c r="C383">
        <v>29</v>
      </c>
      <c r="D383">
        <v>1</v>
      </c>
      <c r="E383">
        <v>30</v>
      </c>
      <c r="F383" t="s">
        <v>1211</v>
      </c>
      <c r="G383" s="25">
        <v>0.9</v>
      </c>
    </row>
    <row r="384" spans="1:7" x14ac:dyDescent="0.35">
      <c r="A384">
        <v>14</v>
      </c>
      <c r="B384" t="s">
        <v>11078</v>
      </c>
      <c r="C384">
        <v>1</v>
      </c>
      <c r="D384">
        <v>1</v>
      </c>
      <c r="E384">
        <v>17</v>
      </c>
      <c r="F384" t="s">
        <v>12006</v>
      </c>
      <c r="G384" s="25">
        <v>0.85</v>
      </c>
    </row>
    <row r="385" spans="1:7" x14ac:dyDescent="0.35">
      <c r="A385">
        <v>14</v>
      </c>
      <c r="B385" t="s">
        <v>11078</v>
      </c>
      <c r="C385">
        <v>2</v>
      </c>
      <c r="D385">
        <v>1</v>
      </c>
      <c r="E385">
        <v>18</v>
      </c>
      <c r="F385" t="s">
        <v>12008</v>
      </c>
      <c r="G385" s="25">
        <v>0.85</v>
      </c>
    </row>
    <row r="386" spans="1:7" x14ac:dyDescent="0.35">
      <c r="A386">
        <v>14</v>
      </c>
      <c r="B386" t="s">
        <v>11078</v>
      </c>
      <c r="C386">
        <v>3</v>
      </c>
      <c r="D386">
        <v>1</v>
      </c>
      <c r="E386">
        <v>17</v>
      </c>
      <c r="F386" t="s">
        <v>1211</v>
      </c>
      <c r="G386" s="25">
        <v>0.9</v>
      </c>
    </row>
    <row r="387" spans="1:7" x14ac:dyDescent="0.35">
      <c r="A387">
        <v>14</v>
      </c>
      <c r="B387" t="s">
        <v>11078</v>
      </c>
      <c r="C387">
        <v>4</v>
      </c>
      <c r="D387">
        <v>1</v>
      </c>
      <c r="E387">
        <v>22</v>
      </c>
      <c r="F387" t="s">
        <v>1211</v>
      </c>
      <c r="G387" s="25">
        <v>0.9</v>
      </c>
    </row>
    <row r="388" spans="1:7" x14ac:dyDescent="0.35">
      <c r="A388">
        <v>14</v>
      </c>
      <c r="B388" t="s">
        <v>11078</v>
      </c>
      <c r="C388">
        <v>5</v>
      </c>
      <c r="D388">
        <v>1</v>
      </c>
      <c r="E388">
        <v>14</v>
      </c>
      <c r="F388" t="s">
        <v>1211</v>
      </c>
      <c r="G388" s="25">
        <v>0.9</v>
      </c>
    </row>
    <row r="389" spans="1:7" x14ac:dyDescent="0.35">
      <c r="A389">
        <v>14</v>
      </c>
      <c r="B389" t="s">
        <v>11078</v>
      </c>
      <c r="C389">
        <v>6</v>
      </c>
      <c r="D389">
        <v>1</v>
      </c>
      <c r="E389">
        <v>42</v>
      </c>
      <c r="F389" t="s">
        <v>1211</v>
      </c>
      <c r="G389" s="25">
        <v>0.9</v>
      </c>
    </row>
    <row r="390" spans="1:7" x14ac:dyDescent="0.35">
      <c r="A390">
        <v>14</v>
      </c>
      <c r="B390" t="s">
        <v>11078</v>
      </c>
      <c r="C390">
        <v>7</v>
      </c>
      <c r="D390">
        <v>1</v>
      </c>
      <c r="E390">
        <v>22</v>
      </c>
      <c r="F390" t="s">
        <v>1211</v>
      </c>
      <c r="G390" s="25">
        <v>0.9</v>
      </c>
    </row>
    <row r="391" spans="1:7" x14ac:dyDescent="0.35">
      <c r="A391">
        <v>14</v>
      </c>
      <c r="B391" t="s">
        <v>11078</v>
      </c>
      <c r="C391">
        <v>8</v>
      </c>
      <c r="D391">
        <v>1</v>
      </c>
      <c r="E391">
        <v>18</v>
      </c>
      <c r="F391" t="s">
        <v>12009</v>
      </c>
      <c r="G391" s="25">
        <v>0.85</v>
      </c>
    </row>
    <row r="392" spans="1:7" x14ac:dyDescent="0.35">
      <c r="A392">
        <v>14</v>
      </c>
      <c r="B392" t="s">
        <v>11078</v>
      </c>
      <c r="C392">
        <v>9</v>
      </c>
      <c r="D392">
        <v>1</v>
      </c>
      <c r="E392">
        <v>31</v>
      </c>
      <c r="F392" t="s">
        <v>1211</v>
      </c>
      <c r="G392" s="25">
        <v>0.9</v>
      </c>
    </row>
    <row r="393" spans="1:7" x14ac:dyDescent="0.35">
      <c r="A393">
        <v>14</v>
      </c>
      <c r="B393" t="s">
        <v>11078</v>
      </c>
      <c r="C393">
        <v>10</v>
      </c>
      <c r="D393">
        <v>1</v>
      </c>
      <c r="E393">
        <v>19</v>
      </c>
      <c r="F393" t="s">
        <v>12038</v>
      </c>
      <c r="G393" s="25">
        <v>0.85</v>
      </c>
    </row>
    <row r="394" spans="1:7" x14ac:dyDescent="0.35">
      <c r="A394">
        <v>14</v>
      </c>
      <c r="B394" t="s">
        <v>11078</v>
      </c>
      <c r="C394">
        <v>11</v>
      </c>
      <c r="D394">
        <v>1</v>
      </c>
      <c r="E394">
        <v>23</v>
      </c>
      <c r="F394" t="s">
        <v>4662</v>
      </c>
      <c r="G394" s="25">
        <v>0.85</v>
      </c>
    </row>
    <row r="395" spans="1:7" x14ac:dyDescent="0.35">
      <c r="A395">
        <v>14</v>
      </c>
      <c r="B395" t="s">
        <v>11078</v>
      </c>
      <c r="C395">
        <v>12</v>
      </c>
      <c r="D395">
        <v>1</v>
      </c>
      <c r="E395">
        <v>16</v>
      </c>
      <c r="F395" t="s">
        <v>1211</v>
      </c>
      <c r="G395" s="25">
        <v>0.9</v>
      </c>
    </row>
    <row r="396" spans="1:7" x14ac:dyDescent="0.35">
      <c r="A396">
        <v>14</v>
      </c>
      <c r="B396" t="s">
        <v>11078</v>
      </c>
      <c r="C396">
        <v>13</v>
      </c>
      <c r="D396">
        <v>1</v>
      </c>
      <c r="E396">
        <v>22</v>
      </c>
      <c r="F396" t="s">
        <v>12039</v>
      </c>
      <c r="G396" s="25">
        <v>0.85</v>
      </c>
    </row>
    <row r="397" spans="1:7" x14ac:dyDescent="0.35">
      <c r="A397">
        <v>14</v>
      </c>
      <c r="B397" t="s">
        <v>11078</v>
      </c>
      <c r="C397">
        <v>14</v>
      </c>
      <c r="D397">
        <v>1</v>
      </c>
      <c r="E397">
        <v>15</v>
      </c>
      <c r="F397" t="s">
        <v>4662</v>
      </c>
      <c r="G397" s="25">
        <v>0.85</v>
      </c>
    </row>
    <row r="398" spans="1:7" x14ac:dyDescent="0.35">
      <c r="A398">
        <v>14</v>
      </c>
      <c r="B398" t="s">
        <v>11078</v>
      </c>
      <c r="C398">
        <v>15</v>
      </c>
      <c r="D398">
        <v>1</v>
      </c>
      <c r="E398">
        <v>19</v>
      </c>
      <c r="F398" t="s">
        <v>4662</v>
      </c>
      <c r="G398" s="25">
        <v>0.85</v>
      </c>
    </row>
    <row r="399" spans="1:7" x14ac:dyDescent="0.35">
      <c r="A399">
        <v>14</v>
      </c>
      <c r="B399" t="s">
        <v>11078</v>
      </c>
      <c r="C399">
        <v>16</v>
      </c>
      <c r="D399">
        <v>1</v>
      </c>
      <c r="E399">
        <v>14</v>
      </c>
      <c r="F399" t="s">
        <v>4662</v>
      </c>
      <c r="G399" s="25">
        <v>0.85</v>
      </c>
    </row>
    <row r="400" spans="1:7" x14ac:dyDescent="0.35">
      <c r="A400">
        <v>14</v>
      </c>
      <c r="B400" t="s">
        <v>11078</v>
      </c>
      <c r="C400">
        <v>17</v>
      </c>
      <c r="D400">
        <v>1</v>
      </c>
      <c r="E400">
        <v>19</v>
      </c>
      <c r="F400" t="s">
        <v>4662</v>
      </c>
      <c r="G400" s="25">
        <v>0.85</v>
      </c>
    </row>
    <row r="401" spans="1:7" x14ac:dyDescent="0.35">
      <c r="A401">
        <v>14</v>
      </c>
      <c r="B401" t="s">
        <v>11078</v>
      </c>
      <c r="C401">
        <v>18</v>
      </c>
      <c r="D401">
        <v>1</v>
      </c>
      <c r="E401">
        <v>34</v>
      </c>
      <c r="F401" t="s">
        <v>12040</v>
      </c>
      <c r="G401" s="25">
        <v>0.85</v>
      </c>
    </row>
    <row r="402" spans="1:7" x14ac:dyDescent="0.35">
      <c r="A402">
        <v>14</v>
      </c>
      <c r="B402" t="s">
        <v>11078</v>
      </c>
      <c r="C402">
        <v>19</v>
      </c>
      <c r="D402">
        <v>1</v>
      </c>
      <c r="E402">
        <v>11</v>
      </c>
      <c r="F402" t="s">
        <v>4662</v>
      </c>
      <c r="G402" s="25">
        <v>0.85</v>
      </c>
    </row>
    <row r="403" spans="1:7" x14ac:dyDescent="0.35">
      <c r="A403">
        <v>14</v>
      </c>
      <c r="B403" t="s">
        <v>11078</v>
      </c>
      <c r="C403">
        <v>20</v>
      </c>
      <c r="D403">
        <v>1</v>
      </c>
      <c r="E403">
        <v>37</v>
      </c>
      <c r="F403" t="s">
        <v>4662</v>
      </c>
      <c r="G403" s="25">
        <v>0.85</v>
      </c>
    </row>
    <row r="404" spans="1:7" x14ac:dyDescent="0.35">
      <c r="A404">
        <v>14</v>
      </c>
      <c r="B404" t="s">
        <v>11078</v>
      </c>
      <c r="C404">
        <v>21</v>
      </c>
      <c r="D404">
        <v>1</v>
      </c>
      <c r="E404">
        <v>20</v>
      </c>
      <c r="F404" t="s">
        <v>1211</v>
      </c>
      <c r="G404" s="25">
        <v>0.9</v>
      </c>
    </row>
    <row r="405" spans="1:7" x14ac:dyDescent="0.35">
      <c r="A405">
        <v>14</v>
      </c>
      <c r="B405" t="s">
        <v>11078</v>
      </c>
      <c r="C405">
        <v>22</v>
      </c>
      <c r="D405">
        <v>1</v>
      </c>
      <c r="E405">
        <v>12</v>
      </c>
      <c r="F405" t="s">
        <v>1211</v>
      </c>
      <c r="G405" s="25">
        <v>0.9</v>
      </c>
    </row>
    <row r="406" spans="1:7" x14ac:dyDescent="0.35">
      <c r="A406">
        <v>14</v>
      </c>
      <c r="B406" t="s">
        <v>11078</v>
      </c>
      <c r="C406">
        <v>23</v>
      </c>
      <c r="D406">
        <v>1</v>
      </c>
      <c r="E406">
        <v>21</v>
      </c>
      <c r="F406" t="s">
        <v>1211</v>
      </c>
      <c r="G406" s="25">
        <v>0.9</v>
      </c>
    </row>
    <row r="407" spans="1:7" x14ac:dyDescent="0.35">
      <c r="A407">
        <v>14</v>
      </c>
      <c r="B407" t="s">
        <v>11078</v>
      </c>
      <c r="C407">
        <v>24</v>
      </c>
      <c r="D407">
        <v>1</v>
      </c>
      <c r="E407">
        <v>27</v>
      </c>
      <c r="F407" t="s">
        <v>1211</v>
      </c>
      <c r="G407" s="25">
        <v>0.9</v>
      </c>
    </row>
    <row r="408" spans="1:7" x14ac:dyDescent="0.35">
      <c r="A408">
        <v>14</v>
      </c>
      <c r="B408" t="s">
        <v>11078</v>
      </c>
      <c r="C408">
        <v>25</v>
      </c>
      <c r="D408">
        <v>1</v>
      </c>
      <c r="E408">
        <v>28</v>
      </c>
      <c r="F408" t="s">
        <v>12041</v>
      </c>
      <c r="G408" s="25">
        <v>0.85</v>
      </c>
    </row>
    <row r="409" spans="1:7" x14ac:dyDescent="0.35">
      <c r="A409">
        <v>14</v>
      </c>
      <c r="B409" t="s">
        <v>11078</v>
      </c>
      <c r="C409">
        <v>26</v>
      </c>
      <c r="D409">
        <v>1</v>
      </c>
      <c r="E409">
        <v>23</v>
      </c>
      <c r="F409" t="s">
        <v>4662</v>
      </c>
      <c r="G409" s="25">
        <v>0.85</v>
      </c>
    </row>
    <row r="410" spans="1:7" x14ac:dyDescent="0.35">
      <c r="A410">
        <v>14</v>
      </c>
      <c r="B410" t="s">
        <v>11078</v>
      </c>
      <c r="C410">
        <v>27</v>
      </c>
      <c r="D410">
        <v>1</v>
      </c>
      <c r="E410">
        <v>9</v>
      </c>
      <c r="F410" t="s">
        <v>1211</v>
      </c>
      <c r="G410" s="25">
        <v>0.9</v>
      </c>
    </row>
    <row r="411" spans="1:7" x14ac:dyDescent="0.35">
      <c r="A411">
        <v>14</v>
      </c>
      <c r="B411" t="s">
        <v>11078</v>
      </c>
      <c r="C411">
        <v>28</v>
      </c>
      <c r="D411">
        <v>1</v>
      </c>
      <c r="E411">
        <v>27</v>
      </c>
      <c r="F411" t="s">
        <v>12042</v>
      </c>
      <c r="G411" s="25">
        <v>0.85</v>
      </c>
    </row>
    <row r="412" spans="1:7" x14ac:dyDescent="0.35">
      <c r="A412">
        <v>14</v>
      </c>
      <c r="B412" t="s">
        <v>11078</v>
      </c>
      <c r="C412">
        <v>29</v>
      </c>
      <c r="D412">
        <v>1</v>
      </c>
      <c r="E412">
        <v>36</v>
      </c>
      <c r="F412" t="s">
        <v>1211</v>
      </c>
      <c r="G412" s="25">
        <v>0.9</v>
      </c>
    </row>
    <row r="413" spans="1:7" x14ac:dyDescent="0.35">
      <c r="A413">
        <v>14</v>
      </c>
      <c r="B413" t="s">
        <v>11078</v>
      </c>
      <c r="C413">
        <v>30</v>
      </c>
      <c r="D413">
        <v>1</v>
      </c>
      <c r="E413">
        <v>27</v>
      </c>
      <c r="F413" t="s">
        <v>3810</v>
      </c>
      <c r="G413" s="25">
        <v>0.85</v>
      </c>
    </row>
    <row r="414" spans="1:7" x14ac:dyDescent="0.35">
      <c r="A414">
        <v>14</v>
      </c>
      <c r="B414" t="s">
        <v>11078</v>
      </c>
      <c r="C414">
        <v>31</v>
      </c>
      <c r="D414">
        <v>1</v>
      </c>
      <c r="E414">
        <v>21</v>
      </c>
      <c r="F414" t="s">
        <v>4662</v>
      </c>
      <c r="G414" s="25">
        <v>0.85</v>
      </c>
    </row>
    <row r="415" spans="1:7" x14ac:dyDescent="0.35">
      <c r="A415">
        <v>14</v>
      </c>
      <c r="B415" t="s">
        <v>11078</v>
      </c>
      <c r="C415">
        <v>32</v>
      </c>
      <c r="D415">
        <v>1</v>
      </c>
      <c r="E415">
        <v>33</v>
      </c>
      <c r="F415" t="s">
        <v>4662</v>
      </c>
      <c r="G415" s="25">
        <v>0.85</v>
      </c>
    </row>
    <row r="416" spans="1:7" x14ac:dyDescent="0.35">
      <c r="A416">
        <v>14</v>
      </c>
      <c r="B416" t="s">
        <v>11078</v>
      </c>
      <c r="C416">
        <v>33</v>
      </c>
      <c r="D416">
        <v>1</v>
      </c>
      <c r="E416">
        <v>25</v>
      </c>
      <c r="F416" t="s">
        <v>1211</v>
      </c>
      <c r="G416" s="25">
        <v>0.9</v>
      </c>
    </row>
    <row r="417" spans="1:7" x14ac:dyDescent="0.35">
      <c r="A417">
        <v>14</v>
      </c>
      <c r="B417" t="s">
        <v>11078</v>
      </c>
      <c r="C417">
        <v>34</v>
      </c>
      <c r="D417">
        <v>1</v>
      </c>
      <c r="E417">
        <v>33</v>
      </c>
      <c r="F417" t="s">
        <v>4662</v>
      </c>
      <c r="G417" s="25">
        <v>0.85</v>
      </c>
    </row>
    <row r="418" spans="1:7" x14ac:dyDescent="0.35">
      <c r="A418">
        <v>14</v>
      </c>
      <c r="B418" t="s">
        <v>11078</v>
      </c>
      <c r="C418">
        <v>35</v>
      </c>
      <c r="D418">
        <v>1</v>
      </c>
      <c r="E418">
        <v>27</v>
      </c>
      <c r="F418" t="s">
        <v>1211</v>
      </c>
      <c r="G418" s="25">
        <v>0.9</v>
      </c>
    </row>
    <row r="419" spans="1:7" x14ac:dyDescent="0.35">
      <c r="A419">
        <v>14</v>
      </c>
      <c r="B419" t="s">
        <v>11078</v>
      </c>
      <c r="C419">
        <v>36</v>
      </c>
      <c r="D419">
        <v>1</v>
      </c>
      <c r="E419">
        <v>23</v>
      </c>
      <c r="F419" t="s">
        <v>4584</v>
      </c>
      <c r="G419" s="25">
        <v>0.85</v>
      </c>
    </row>
    <row r="420" spans="1:7" x14ac:dyDescent="0.35">
      <c r="A420">
        <v>15</v>
      </c>
      <c r="B420" t="s">
        <v>11079</v>
      </c>
      <c r="C420">
        <v>1</v>
      </c>
      <c r="D420">
        <v>1</v>
      </c>
      <c r="E420">
        <v>11</v>
      </c>
      <c r="F420" t="s">
        <v>4573</v>
      </c>
      <c r="G420" s="25">
        <v>0.85</v>
      </c>
    </row>
    <row r="421" spans="1:7" x14ac:dyDescent="0.35">
      <c r="A421">
        <v>15</v>
      </c>
      <c r="B421" t="s">
        <v>11079</v>
      </c>
      <c r="C421">
        <v>2</v>
      </c>
      <c r="D421">
        <v>1</v>
      </c>
      <c r="E421">
        <v>70</v>
      </c>
      <c r="F421" t="s">
        <v>4573</v>
      </c>
      <c r="G421" s="25">
        <v>0.85</v>
      </c>
    </row>
    <row r="422" spans="1:7" x14ac:dyDescent="0.35">
      <c r="A422">
        <v>15</v>
      </c>
      <c r="B422" t="s">
        <v>11079</v>
      </c>
      <c r="C422">
        <v>3</v>
      </c>
      <c r="D422">
        <v>1</v>
      </c>
      <c r="E422">
        <v>13</v>
      </c>
      <c r="F422" t="s">
        <v>1211</v>
      </c>
      <c r="G422" s="25">
        <v>0.9</v>
      </c>
    </row>
    <row r="423" spans="1:7" x14ac:dyDescent="0.35">
      <c r="A423">
        <v>15</v>
      </c>
      <c r="B423" t="s">
        <v>11079</v>
      </c>
      <c r="C423">
        <v>4</v>
      </c>
      <c r="D423">
        <v>1</v>
      </c>
      <c r="E423">
        <v>24</v>
      </c>
      <c r="F423" t="s">
        <v>12043</v>
      </c>
      <c r="G423" s="25">
        <v>0.85</v>
      </c>
    </row>
    <row r="424" spans="1:7" x14ac:dyDescent="0.35">
      <c r="A424">
        <v>15</v>
      </c>
      <c r="B424" t="s">
        <v>11079</v>
      </c>
      <c r="C424">
        <v>5</v>
      </c>
      <c r="D424">
        <v>1</v>
      </c>
      <c r="E424">
        <v>17</v>
      </c>
      <c r="F424" t="s">
        <v>1211</v>
      </c>
      <c r="G424" s="25">
        <v>0.9</v>
      </c>
    </row>
    <row r="425" spans="1:7" x14ac:dyDescent="0.35">
      <c r="A425">
        <v>15</v>
      </c>
      <c r="B425" t="s">
        <v>11079</v>
      </c>
      <c r="C425">
        <v>6</v>
      </c>
      <c r="D425">
        <v>1</v>
      </c>
      <c r="E425">
        <v>22</v>
      </c>
      <c r="F425" t="s">
        <v>12043</v>
      </c>
      <c r="G425" s="25">
        <v>0.85</v>
      </c>
    </row>
    <row r="426" spans="1:7" x14ac:dyDescent="0.35">
      <c r="A426">
        <v>15</v>
      </c>
      <c r="B426" t="s">
        <v>11079</v>
      </c>
      <c r="C426">
        <v>7</v>
      </c>
      <c r="D426">
        <v>1</v>
      </c>
      <c r="E426">
        <v>28</v>
      </c>
      <c r="F426" t="s">
        <v>4573</v>
      </c>
      <c r="G426" s="25">
        <v>0.85</v>
      </c>
    </row>
    <row r="427" spans="1:7" x14ac:dyDescent="0.35">
      <c r="A427">
        <v>15</v>
      </c>
      <c r="B427" t="s">
        <v>11079</v>
      </c>
      <c r="C427">
        <v>8</v>
      </c>
      <c r="D427">
        <v>1</v>
      </c>
      <c r="E427">
        <v>36</v>
      </c>
      <c r="F427" t="s">
        <v>4573</v>
      </c>
      <c r="G427" s="25">
        <v>0.85</v>
      </c>
    </row>
    <row r="428" spans="1:7" x14ac:dyDescent="0.35">
      <c r="A428">
        <v>15</v>
      </c>
      <c r="B428" t="s">
        <v>11079</v>
      </c>
      <c r="C428">
        <v>9</v>
      </c>
      <c r="D428">
        <v>1</v>
      </c>
      <c r="E428">
        <v>15</v>
      </c>
      <c r="F428" t="s">
        <v>1211</v>
      </c>
      <c r="G428" s="25">
        <v>0.9</v>
      </c>
    </row>
    <row r="429" spans="1:7" x14ac:dyDescent="0.35">
      <c r="A429">
        <v>15</v>
      </c>
      <c r="B429" t="s">
        <v>11079</v>
      </c>
      <c r="C429">
        <v>10</v>
      </c>
      <c r="D429">
        <v>1</v>
      </c>
      <c r="E429">
        <v>44</v>
      </c>
      <c r="F429" t="s">
        <v>1211</v>
      </c>
      <c r="G429" s="25">
        <v>0.9</v>
      </c>
    </row>
    <row r="430" spans="1:7" x14ac:dyDescent="0.35">
      <c r="A430">
        <v>16</v>
      </c>
      <c r="B430" t="s">
        <v>11080</v>
      </c>
      <c r="C430">
        <v>1</v>
      </c>
      <c r="D430">
        <v>1</v>
      </c>
      <c r="E430">
        <v>11</v>
      </c>
      <c r="F430" t="s">
        <v>12044</v>
      </c>
      <c r="G430" s="25">
        <v>0.85</v>
      </c>
    </row>
    <row r="431" spans="1:7" x14ac:dyDescent="0.35">
      <c r="A431">
        <v>16</v>
      </c>
      <c r="B431" t="s">
        <v>11080</v>
      </c>
      <c r="C431">
        <v>2</v>
      </c>
      <c r="D431">
        <v>1</v>
      </c>
      <c r="E431">
        <v>20</v>
      </c>
      <c r="F431" t="s">
        <v>12044</v>
      </c>
      <c r="G431" s="25">
        <v>0.85</v>
      </c>
    </row>
    <row r="432" spans="1:7" x14ac:dyDescent="0.35">
      <c r="A432">
        <v>16</v>
      </c>
      <c r="B432" t="s">
        <v>11080</v>
      </c>
      <c r="C432">
        <v>3</v>
      </c>
      <c r="D432">
        <v>1</v>
      </c>
      <c r="E432">
        <v>32</v>
      </c>
      <c r="F432" t="s">
        <v>1211</v>
      </c>
      <c r="G432" s="25">
        <v>0.9</v>
      </c>
    </row>
    <row r="433" spans="1:7" x14ac:dyDescent="0.35">
      <c r="A433">
        <v>16</v>
      </c>
      <c r="B433" t="s">
        <v>11080</v>
      </c>
      <c r="C433">
        <v>4</v>
      </c>
      <c r="D433">
        <v>1</v>
      </c>
      <c r="E433">
        <v>23</v>
      </c>
      <c r="F433" t="s">
        <v>1211</v>
      </c>
      <c r="G433" s="25">
        <v>0.9</v>
      </c>
    </row>
    <row r="434" spans="1:7" x14ac:dyDescent="0.35">
      <c r="A434">
        <v>16</v>
      </c>
      <c r="B434" t="s">
        <v>11080</v>
      </c>
      <c r="C434">
        <v>5</v>
      </c>
      <c r="D434">
        <v>1</v>
      </c>
      <c r="E434">
        <v>19</v>
      </c>
      <c r="F434" t="s">
        <v>1211</v>
      </c>
      <c r="G434" s="25">
        <v>0.9</v>
      </c>
    </row>
    <row r="435" spans="1:7" x14ac:dyDescent="0.35">
      <c r="A435">
        <v>16</v>
      </c>
      <c r="B435" t="s">
        <v>11080</v>
      </c>
      <c r="C435">
        <v>6</v>
      </c>
      <c r="D435">
        <v>1</v>
      </c>
      <c r="E435">
        <v>19</v>
      </c>
      <c r="F435" t="s">
        <v>1211</v>
      </c>
      <c r="G435" s="25">
        <v>0.9</v>
      </c>
    </row>
    <row r="436" spans="1:7" x14ac:dyDescent="0.35">
      <c r="A436">
        <v>16</v>
      </c>
      <c r="B436" t="s">
        <v>11080</v>
      </c>
      <c r="C436">
        <v>7</v>
      </c>
      <c r="D436">
        <v>1</v>
      </c>
      <c r="E436">
        <v>73</v>
      </c>
      <c r="F436" t="s">
        <v>1211</v>
      </c>
      <c r="G436" s="25">
        <v>0.9</v>
      </c>
    </row>
    <row r="437" spans="1:7" x14ac:dyDescent="0.35">
      <c r="A437">
        <v>16</v>
      </c>
      <c r="B437" t="s">
        <v>11080</v>
      </c>
      <c r="C437">
        <v>8</v>
      </c>
      <c r="D437">
        <v>1</v>
      </c>
      <c r="E437">
        <v>18</v>
      </c>
      <c r="F437" t="s">
        <v>1211</v>
      </c>
      <c r="G437" s="25">
        <v>0.9</v>
      </c>
    </row>
    <row r="438" spans="1:7" x14ac:dyDescent="0.35">
      <c r="A438">
        <v>16</v>
      </c>
      <c r="B438" t="s">
        <v>11080</v>
      </c>
      <c r="C438">
        <v>9</v>
      </c>
      <c r="D438">
        <v>1</v>
      </c>
      <c r="E438">
        <v>38</v>
      </c>
      <c r="F438" t="s">
        <v>1211</v>
      </c>
      <c r="G438" s="25">
        <v>0.9</v>
      </c>
    </row>
    <row r="439" spans="1:7" x14ac:dyDescent="0.35">
      <c r="A439">
        <v>16</v>
      </c>
      <c r="B439" t="s">
        <v>11080</v>
      </c>
      <c r="C439">
        <v>10</v>
      </c>
      <c r="D439">
        <v>1</v>
      </c>
      <c r="E439">
        <v>39</v>
      </c>
      <c r="F439" t="s">
        <v>1211</v>
      </c>
      <c r="G439" s="25">
        <v>0.9</v>
      </c>
    </row>
    <row r="440" spans="1:7" x14ac:dyDescent="0.35">
      <c r="A440">
        <v>16</v>
      </c>
      <c r="B440" t="s">
        <v>11080</v>
      </c>
      <c r="C440">
        <v>11</v>
      </c>
      <c r="D440">
        <v>1</v>
      </c>
      <c r="E440">
        <v>36</v>
      </c>
      <c r="F440" t="s">
        <v>4662</v>
      </c>
      <c r="G440" s="25">
        <v>0.85</v>
      </c>
    </row>
    <row r="441" spans="1:7" x14ac:dyDescent="0.35">
      <c r="A441">
        <v>16</v>
      </c>
      <c r="B441" t="s">
        <v>11080</v>
      </c>
      <c r="C441">
        <v>12</v>
      </c>
      <c r="D441">
        <v>1</v>
      </c>
      <c r="E441">
        <v>47</v>
      </c>
      <c r="F441" t="s">
        <v>1211</v>
      </c>
      <c r="G441" s="25">
        <v>0.9</v>
      </c>
    </row>
    <row r="442" spans="1:7" x14ac:dyDescent="0.35">
      <c r="A442">
        <v>16</v>
      </c>
      <c r="B442" t="s">
        <v>11080</v>
      </c>
      <c r="C442">
        <v>13</v>
      </c>
      <c r="D442">
        <v>1</v>
      </c>
      <c r="E442">
        <v>31</v>
      </c>
      <c r="F442" t="s">
        <v>1211</v>
      </c>
      <c r="G442" s="25">
        <v>0.9</v>
      </c>
    </row>
    <row r="443" spans="1:7" x14ac:dyDescent="0.35">
      <c r="A443">
        <v>17</v>
      </c>
      <c r="B443" t="s">
        <v>11081</v>
      </c>
      <c r="C443">
        <v>1</v>
      </c>
      <c r="D443">
        <v>1</v>
      </c>
      <c r="E443">
        <v>22</v>
      </c>
      <c r="F443" t="s">
        <v>12045</v>
      </c>
      <c r="G443" s="25">
        <v>0.9</v>
      </c>
    </row>
    <row r="444" spans="1:7" x14ac:dyDescent="0.35">
      <c r="A444">
        <v>17</v>
      </c>
      <c r="B444" t="s">
        <v>11081</v>
      </c>
      <c r="C444">
        <v>2</v>
      </c>
      <c r="D444">
        <v>1</v>
      </c>
      <c r="E444">
        <v>23</v>
      </c>
      <c r="F444" t="s">
        <v>12045</v>
      </c>
      <c r="G444" s="25">
        <v>0.9</v>
      </c>
    </row>
    <row r="445" spans="1:7" x14ac:dyDescent="0.35">
      <c r="A445">
        <v>17</v>
      </c>
      <c r="B445" t="s">
        <v>11081</v>
      </c>
      <c r="C445">
        <v>3</v>
      </c>
      <c r="D445">
        <v>1</v>
      </c>
      <c r="E445">
        <v>15</v>
      </c>
      <c r="F445" t="s">
        <v>12045</v>
      </c>
      <c r="G445" s="25">
        <v>0.9</v>
      </c>
    </row>
    <row r="446" spans="1:7" x14ac:dyDescent="0.35">
      <c r="A446">
        <v>17</v>
      </c>
      <c r="B446" t="s">
        <v>11081</v>
      </c>
      <c r="C446">
        <v>4</v>
      </c>
      <c r="D446">
        <v>1</v>
      </c>
      <c r="E446">
        <v>17</v>
      </c>
      <c r="F446" t="s">
        <v>12045</v>
      </c>
      <c r="G446" s="25">
        <v>0.9</v>
      </c>
    </row>
    <row r="447" spans="1:7" x14ac:dyDescent="0.35">
      <c r="A447">
        <v>17</v>
      </c>
      <c r="B447" t="s">
        <v>11081</v>
      </c>
      <c r="C447">
        <v>5</v>
      </c>
      <c r="D447">
        <v>1</v>
      </c>
      <c r="E447">
        <v>14</v>
      </c>
      <c r="F447" t="s">
        <v>12045</v>
      </c>
      <c r="G447" s="25">
        <v>0.9</v>
      </c>
    </row>
    <row r="448" spans="1:7" x14ac:dyDescent="0.35">
      <c r="A448">
        <v>17</v>
      </c>
      <c r="B448" t="s">
        <v>11081</v>
      </c>
      <c r="C448">
        <v>6</v>
      </c>
      <c r="D448">
        <v>1</v>
      </c>
      <c r="E448">
        <v>14</v>
      </c>
      <c r="F448" t="s">
        <v>12045</v>
      </c>
      <c r="G448" s="25">
        <v>0.9</v>
      </c>
    </row>
    <row r="449" spans="1:7" x14ac:dyDescent="0.35">
      <c r="A449">
        <v>17</v>
      </c>
      <c r="B449" t="s">
        <v>11081</v>
      </c>
      <c r="C449">
        <v>7</v>
      </c>
      <c r="D449">
        <v>1</v>
      </c>
      <c r="E449">
        <v>10</v>
      </c>
      <c r="F449" t="s">
        <v>12045</v>
      </c>
      <c r="G449" s="25">
        <v>0.9</v>
      </c>
    </row>
    <row r="450" spans="1:7" x14ac:dyDescent="0.35">
      <c r="A450">
        <v>17</v>
      </c>
      <c r="B450" t="s">
        <v>11081</v>
      </c>
      <c r="C450">
        <v>8</v>
      </c>
      <c r="D450">
        <v>1</v>
      </c>
      <c r="E450">
        <v>17</v>
      </c>
      <c r="F450" t="s">
        <v>12045</v>
      </c>
      <c r="G450" s="25">
        <v>0.9</v>
      </c>
    </row>
    <row r="451" spans="1:7" x14ac:dyDescent="0.35">
      <c r="A451">
        <v>17</v>
      </c>
      <c r="B451" t="s">
        <v>11081</v>
      </c>
      <c r="C451">
        <v>9</v>
      </c>
      <c r="D451">
        <v>1</v>
      </c>
      <c r="E451">
        <v>32</v>
      </c>
      <c r="F451" t="s">
        <v>12046</v>
      </c>
      <c r="G451" s="25">
        <v>0.85</v>
      </c>
    </row>
    <row r="452" spans="1:7" x14ac:dyDescent="0.35">
      <c r="A452">
        <v>17</v>
      </c>
      <c r="B452" t="s">
        <v>11081</v>
      </c>
      <c r="C452">
        <v>10</v>
      </c>
      <c r="D452">
        <v>1</v>
      </c>
      <c r="E452">
        <v>3</v>
      </c>
      <c r="F452" t="s">
        <v>2765</v>
      </c>
      <c r="G452" s="25">
        <v>0.85</v>
      </c>
    </row>
    <row r="453" spans="1:7" x14ac:dyDescent="0.35">
      <c r="A453">
        <v>18</v>
      </c>
      <c r="B453" t="s">
        <v>11083</v>
      </c>
      <c r="C453">
        <v>1</v>
      </c>
      <c r="D453">
        <v>1</v>
      </c>
      <c r="E453">
        <v>22</v>
      </c>
      <c r="F453" t="s">
        <v>12047</v>
      </c>
      <c r="G453" s="25">
        <v>0.7</v>
      </c>
    </row>
    <row r="454" spans="1:7" x14ac:dyDescent="0.35">
      <c r="A454">
        <v>18</v>
      </c>
      <c r="B454" t="s">
        <v>11083</v>
      </c>
      <c r="C454">
        <v>2</v>
      </c>
      <c r="D454">
        <v>1</v>
      </c>
      <c r="E454">
        <v>13</v>
      </c>
      <c r="F454" t="s">
        <v>12047</v>
      </c>
      <c r="G454" s="25">
        <v>0.7</v>
      </c>
    </row>
    <row r="455" spans="1:7" x14ac:dyDescent="0.35">
      <c r="A455">
        <v>18</v>
      </c>
      <c r="B455" t="s">
        <v>11083</v>
      </c>
      <c r="C455">
        <v>3</v>
      </c>
      <c r="D455">
        <v>1</v>
      </c>
      <c r="E455">
        <v>26</v>
      </c>
      <c r="F455" t="s">
        <v>12047</v>
      </c>
      <c r="G455" s="25">
        <v>0.7</v>
      </c>
    </row>
    <row r="456" spans="1:7" x14ac:dyDescent="0.35">
      <c r="A456">
        <v>18</v>
      </c>
      <c r="B456" t="s">
        <v>11083</v>
      </c>
      <c r="C456">
        <v>4</v>
      </c>
      <c r="D456">
        <v>1</v>
      </c>
      <c r="E456">
        <v>21</v>
      </c>
      <c r="F456" t="s">
        <v>12047</v>
      </c>
      <c r="G456" s="25">
        <v>0.7</v>
      </c>
    </row>
    <row r="457" spans="1:7" x14ac:dyDescent="0.35">
      <c r="A457">
        <v>18</v>
      </c>
      <c r="B457" t="s">
        <v>11083</v>
      </c>
      <c r="C457">
        <v>5</v>
      </c>
      <c r="D457">
        <v>1</v>
      </c>
      <c r="E457">
        <v>27</v>
      </c>
      <c r="F457" t="s">
        <v>12047</v>
      </c>
      <c r="G457" s="25">
        <v>0.7</v>
      </c>
    </row>
    <row r="458" spans="1:7" x14ac:dyDescent="0.35">
      <c r="A458">
        <v>18</v>
      </c>
      <c r="B458" t="s">
        <v>11083</v>
      </c>
      <c r="C458">
        <v>6</v>
      </c>
      <c r="D458">
        <v>1</v>
      </c>
      <c r="E458">
        <v>30</v>
      </c>
      <c r="F458" t="s">
        <v>12047</v>
      </c>
      <c r="G458" s="25">
        <v>0.7</v>
      </c>
    </row>
    <row r="459" spans="1:7" x14ac:dyDescent="0.35">
      <c r="A459">
        <v>18</v>
      </c>
      <c r="B459" t="s">
        <v>11083</v>
      </c>
      <c r="C459">
        <v>7</v>
      </c>
      <c r="D459">
        <v>1</v>
      </c>
      <c r="E459">
        <v>21</v>
      </c>
      <c r="F459" t="s">
        <v>12047</v>
      </c>
      <c r="G459" s="25">
        <v>0.7</v>
      </c>
    </row>
    <row r="460" spans="1:7" x14ac:dyDescent="0.35">
      <c r="A460">
        <v>18</v>
      </c>
      <c r="B460" t="s">
        <v>11083</v>
      </c>
      <c r="C460">
        <v>8</v>
      </c>
      <c r="D460">
        <v>1</v>
      </c>
      <c r="E460">
        <v>22</v>
      </c>
      <c r="F460" t="s">
        <v>12047</v>
      </c>
      <c r="G460" s="25">
        <v>0.7</v>
      </c>
    </row>
    <row r="461" spans="1:7" x14ac:dyDescent="0.35">
      <c r="A461">
        <v>18</v>
      </c>
      <c r="B461" t="s">
        <v>11083</v>
      </c>
      <c r="C461">
        <v>9</v>
      </c>
      <c r="D461">
        <v>1</v>
      </c>
      <c r="E461">
        <v>35</v>
      </c>
      <c r="F461" t="s">
        <v>12047</v>
      </c>
      <c r="G461" s="25">
        <v>0.7</v>
      </c>
    </row>
    <row r="462" spans="1:7" x14ac:dyDescent="0.35">
      <c r="A462">
        <v>18</v>
      </c>
      <c r="B462" t="s">
        <v>11083</v>
      </c>
      <c r="C462">
        <v>10</v>
      </c>
      <c r="D462">
        <v>1</v>
      </c>
      <c r="E462">
        <v>22</v>
      </c>
      <c r="F462" t="s">
        <v>12047</v>
      </c>
      <c r="G462" s="25">
        <v>0.7</v>
      </c>
    </row>
    <row r="463" spans="1:7" x14ac:dyDescent="0.35">
      <c r="A463">
        <v>18</v>
      </c>
      <c r="B463" t="s">
        <v>11083</v>
      </c>
      <c r="C463">
        <v>11</v>
      </c>
      <c r="D463">
        <v>1</v>
      </c>
      <c r="E463">
        <v>20</v>
      </c>
      <c r="F463" t="s">
        <v>12047</v>
      </c>
      <c r="G463" s="25">
        <v>0.7</v>
      </c>
    </row>
    <row r="464" spans="1:7" x14ac:dyDescent="0.35">
      <c r="A464">
        <v>18</v>
      </c>
      <c r="B464" t="s">
        <v>11083</v>
      </c>
      <c r="C464">
        <v>12</v>
      </c>
      <c r="D464">
        <v>1</v>
      </c>
      <c r="E464">
        <v>25</v>
      </c>
      <c r="F464" t="s">
        <v>12047</v>
      </c>
      <c r="G464" s="25">
        <v>0.7</v>
      </c>
    </row>
    <row r="465" spans="1:7" x14ac:dyDescent="0.35">
      <c r="A465">
        <v>18</v>
      </c>
      <c r="B465" t="s">
        <v>11083</v>
      </c>
      <c r="C465">
        <v>13</v>
      </c>
      <c r="D465">
        <v>1</v>
      </c>
      <c r="E465">
        <v>28</v>
      </c>
      <c r="F465" t="s">
        <v>12047</v>
      </c>
      <c r="G465" s="25">
        <v>0.7</v>
      </c>
    </row>
    <row r="466" spans="1:7" x14ac:dyDescent="0.35">
      <c r="A466">
        <v>18</v>
      </c>
      <c r="B466" t="s">
        <v>11083</v>
      </c>
      <c r="C466">
        <v>14</v>
      </c>
      <c r="D466">
        <v>1</v>
      </c>
      <c r="E466">
        <v>22</v>
      </c>
      <c r="F466" t="s">
        <v>12047</v>
      </c>
      <c r="G466" s="25">
        <v>0.7</v>
      </c>
    </row>
    <row r="467" spans="1:7" x14ac:dyDescent="0.35">
      <c r="A467">
        <v>18</v>
      </c>
      <c r="B467" t="s">
        <v>11083</v>
      </c>
      <c r="C467">
        <v>15</v>
      </c>
      <c r="D467">
        <v>1</v>
      </c>
      <c r="E467">
        <v>35</v>
      </c>
      <c r="F467" t="s">
        <v>12047</v>
      </c>
      <c r="G467" s="25">
        <v>0.7</v>
      </c>
    </row>
    <row r="468" spans="1:7" x14ac:dyDescent="0.35">
      <c r="A468">
        <v>18</v>
      </c>
      <c r="B468" t="s">
        <v>11083</v>
      </c>
      <c r="C468">
        <v>16</v>
      </c>
      <c r="D468">
        <v>1</v>
      </c>
      <c r="E468">
        <v>22</v>
      </c>
      <c r="F468" t="s">
        <v>12047</v>
      </c>
      <c r="G468" s="25">
        <v>0.7</v>
      </c>
    </row>
    <row r="469" spans="1:7" x14ac:dyDescent="0.35">
      <c r="A469">
        <v>18</v>
      </c>
      <c r="B469" t="s">
        <v>11083</v>
      </c>
      <c r="C469">
        <v>17</v>
      </c>
      <c r="D469">
        <v>1</v>
      </c>
      <c r="E469">
        <v>16</v>
      </c>
      <c r="F469" t="s">
        <v>12047</v>
      </c>
      <c r="G469" s="25">
        <v>0.7</v>
      </c>
    </row>
    <row r="470" spans="1:7" x14ac:dyDescent="0.35">
      <c r="A470">
        <v>18</v>
      </c>
      <c r="B470" t="s">
        <v>11083</v>
      </c>
      <c r="C470">
        <v>18</v>
      </c>
      <c r="D470">
        <v>1</v>
      </c>
      <c r="E470">
        <v>21</v>
      </c>
      <c r="F470" t="s">
        <v>12047</v>
      </c>
      <c r="G470" s="25">
        <v>0.7</v>
      </c>
    </row>
    <row r="471" spans="1:7" x14ac:dyDescent="0.35">
      <c r="A471">
        <v>18</v>
      </c>
      <c r="B471" t="s">
        <v>11083</v>
      </c>
      <c r="C471">
        <v>19</v>
      </c>
      <c r="D471">
        <v>1</v>
      </c>
      <c r="E471">
        <v>29</v>
      </c>
      <c r="F471" t="s">
        <v>12047</v>
      </c>
      <c r="G471" s="25">
        <v>0.7</v>
      </c>
    </row>
    <row r="472" spans="1:7" x14ac:dyDescent="0.35">
      <c r="A472">
        <v>18</v>
      </c>
      <c r="B472" t="s">
        <v>11083</v>
      </c>
      <c r="C472">
        <v>20</v>
      </c>
      <c r="D472">
        <v>1</v>
      </c>
      <c r="E472">
        <v>29</v>
      </c>
      <c r="F472" t="s">
        <v>12047</v>
      </c>
      <c r="G472" s="25">
        <v>0.7</v>
      </c>
    </row>
    <row r="473" spans="1:7" x14ac:dyDescent="0.35">
      <c r="A473">
        <v>18</v>
      </c>
      <c r="B473" t="s">
        <v>11083</v>
      </c>
      <c r="C473">
        <v>21</v>
      </c>
      <c r="D473">
        <v>1</v>
      </c>
      <c r="E473">
        <v>34</v>
      </c>
      <c r="F473" t="s">
        <v>12047</v>
      </c>
      <c r="G473" s="25">
        <v>0.7</v>
      </c>
    </row>
    <row r="474" spans="1:7" x14ac:dyDescent="0.35">
      <c r="A474">
        <v>18</v>
      </c>
      <c r="B474" t="s">
        <v>11083</v>
      </c>
      <c r="C474">
        <v>22</v>
      </c>
      <c r="D474">
        <v>1</v>
      </c>
      <c r="E474">
        <v>30</v>
      </c>
      <c r="F474" t="s">
        <v>12047</v>
      </c>
      <c r="G474" s="25">
        <v>0.7</v>
      </c>
    </row>
    <row r="475" spans="1:7" x14ac:dyDescent="0.35">
      <c r="A475">
        <v>18</v>
      </c>
      <c r="B475" t="s">
        <v>11083</v>
      </c>
      <c r="C475">
        <v>23</v>
      </c>
      <c r="D475">
        <v>1</v>
      </c>
      <c r="E475">
        <v>17</v>
      </c>
      <c r="F475" t="s">
        <v>12047</v>
      </c>
      <c r="G475" s="25">
        <v>0.7</v>
      </c>
    </row>
    <row r="476" spans="1:7" x14ac:dyDescent="0.35">
      <c r="A476">
        <v>18</v>
      </c>
      <c r="B476" t="s">
        <v>11083</v>
      </c>
      <c r="C476">
        <v>24</v>
      </c>
      <c r="D476">
        <v>1</v>
      </c>
      <c r="E476">
        <v>25</v>
      </c>
      <c r="F476" t="s">
        <v>12047</v>
      </c>
      <c r="G476" s="25">
        <v>0.7</v>
      </c>
    </row>
    <row r="477" spans="1:7" x14ac:dyDescent="0.35">
      <c r="A477">
        <v>18</v>
      </c>
      <c r="B477" t="s">
        <v>11083</v>
      </c>
      <c r="C477">
        <v>25</v>
      </c>
      <c r="D477">
        <v>1</v>
      </c>
      <c r="E477">
        <v>6</v>
      </c>
      <c r="F477" t="s">
        <v>12047</v>
      </c>
      <c r="G477" s="25">
        <v>0.7</v>
      </c>
    </row>
    <row r="478" spans="1:7" x14ac:dyDescent="0.35">
      <c r="A478">
        <v>18</v>
      </c>
      <c r="B478" t="s">
        <v>11083</v>
      </c>
      <c r="C478">
        <v>26</v>
      </c>
      <c r="D478">
        <v>1</v>
      </c>
      <c r="E478">
        <v>14</v>
      </c>
      <c r="F478" t="s">
        <v>12047</v>
      </c>
      <c r="G478" s="25">
        <v>0.7</v>
      </c>
    </row>
    <row r="479" spans="1:7" x14ac:dyDescent="0.35">
      <c r="A479">
        <v>18</v>
      </c>
      <c r="B479" t="s">
        <v>11083</v>
      </c>
      <c r="C479">
        <v>27</v>
      </c>
      <c r="D479">
        <v>1</v>
      </c>
      <c r="E479">
        <v>23</v>
      </c>
      <c r="F479" t="s">
        <v>12047</v>
      </c>
      <c r="G479" s="25">
        <v>0.7</v>
      </c>
    </row>
    <row r="480" spans="1:7" x14ac:dyDescent="0.35">
      <c r="A480">
        <v>18</v>
      </c>
      <c r="B480" t="s">
        <v>11083</v>
      </c>
      <c r="C480">
        <v>28</v>
      </c>
      <c r="D480">
        <v>1</v>
      </c>
      <c r="E480">
        <v>28</v>
      </c>
      <c r="F480" t="s">
        <v>12047</v>
      </c>
      <c r="G480" s="25">
        <v>0.7</v>
      </c>
    </row>
    <row r="481" spans="1:7" x14ac:dyDescent="0.35">
      <c r="A481">
        <v>18</v>
      </c>
      <c r="B481" t="s">
        <v>11083</v>
      </c>
      <c r="C481">
        <v>29</v>
      </c>
      <c r="D481">
        <v>1</v>
      </c>
      <c r="E481">
        <v>25</v>
      </c>
      <c r="F481" t="s">
        <v>12047</v>
      </c>
      <c r="G481" s="25">
        <v>0.7</v>
      </c>
    </row>
    <row r="482" spans="1:7" x14ac:dyDescent="0.35">
      <c r="A482">
        <v>18</v>
      </c>
      <c r="B482" t="s">
        <v>11083</v>
      </c>
      <c r="C482">
        <v>30</v>
      </c>
      <c r="D482">
        <v>1</v>
      </c>
      <c r="E482">
        <v>31</v>
      </c>
      <c r="F482" t="s">
        <v>12047</v>
      </c>
      <c r="G482" s="25">
        <v>0.7</v>
      </c>
    </row>
    <row r="483" spans="1:7" x14ac:dyDescent="0.35">
      <c r="A483">
        <v>18</v>
      </c>
      <c r="B483" t="s">
        <v>11083</v>
      </c>
      <c r="C483">
        <v>31</v>
      </c>
      <c r="D483">
        <v>1</v>
      </c>
      <c r="E483">
        <v>40</v>
      </c>
      <c r="F483" t="s">
        <v>12047</v>
      </c>
      <c r="G483" s="25">
        <v>0.7</v>
      </c>
    </row>
    <row r="484" spans="1:7" x14ac:dyDescent="0.35">
      <c r="A484">
        <v>18</v>
      </c>
      <c r="B484" t="s">
        <v>11083</v>
      </c>
      <c r="C484">
        <v>32</v>
      </c>
      <c r="D484">
        <v>1</v>
      </c>
      <c r="E484">
        <v>22</v>
      </c>
      <c r="F484" t="s">
        <v>12047</v>
      </c>
      <c r="G484" s="25">
        <v>0.7</v>
      </c>
    </row>
    <row r="485" spans="1:7" x14ac:dyDescent="0.35">
      <c r="A485">
        <v>18</v>
      </c>
      <c r="B485" t="s">
        <v>11083</v>
      </c>
      <c r="C485">
        <v>33</v>
      </c>
      <c r="D485">
        <v>1</v>
      </c>
      <c r="E485">
        <v>33</v>
      </c>
      <c r="F485" t="s">
        <v>12047</v>
      </c>
      <c r="G485" s="25">
        <v>0.7</v>
      </c>
    </row>
    <row r="486" spans="1:7" x14ac:dyDescent="0.35">
      <c r="A486">
        <v>18</v>
      </c>
      <c r="B486" t="s">
        <v>11083</v>
      </c>
      <c r="C486">
        <v>34</v>
      </c>
      <c r="D486">
        <v>1</v>
      </c>
      <c r="E486">
        <v>37</v>
      </c>
      <c r="F486" t="s">
        <v>12047</v>
      </c>
      <c r="G486" s="25">
        <v>0.7</v>
      </c>
    </row>
    <row r="487" spans="1:7" x14ac:dyDescent="0.35">
      <c r="A487">
        <v>18</v>
      </c>
      <c r="B487" t="s">
        <v>11083</v>
      </c>
      <c r="C487">
        <v>35</v>
      </c>
      <c r="D487">
        <v>1</v>
      </c>
      <c r="E487">
        <v>16</v>
      </c>
      <c r="F487" t="s">
        <v>12047</v>
      </c>
      <c r="G487" s="25">
        <v>0.7</v>
      </c>
    </row>
    <row r="488" spans="1:7" x14ac:dyDescent="0.35">
      <c r="A488">
        <v>18</v>
      </c>
      <c r="B488" t="s">
        <v>11083</v>
      </c>
      <c r="C488">
        <v>36</v>
      </c>
      <c r="D488">
        <v>1</v>
      </c>
      <c r="E488">
        <v>33</v>
      </c>
      <c r="F488" t="s">
        <v>12047</v>
      </c>
      <c r="G488" s="25">
        <v>0.7</v>
      </c>
    </row>
    <row r="489" spans="1:7" x14ac:dyDescent="0.35">
      <c r="A489">
        <v>18</v>
      </c>
      <c r="B489" t="s">
        <v>11083</v>
      </c>
      <c r="C489">
        <v>37</v>
      </c>
      <c r="D489">
        <v>1</v>
      </c>
      <c r="E489">
        <v>24</v>
      </c>
      <c r="F489" t="s">
        <v>12047</v>
      </c>
      <c r="G489" s="25">
        <v>0.7</v>
      </c>
    </row>
    <row r="490" spans="1:7" x14ac:dyDescent="0.35">
      <c r="A490">
        <v>18</v>
      </c>
      <c r="B490" t="s">
        <v>11083</v>
      </c>
      <c r="C490">
        <v>38</v>
      </c>
      <c r="D490">
        <v>1</v>
      </c>
      <c r="E490">
        <v>41</v>
      </c>
      <c r="F490" t="s">
        <v>12047</v>
      </c>
      <c r="G490" s="25">
        <v>0.7</v>
      </c>
    </row>
    <row r="491" spans="1:7" x14ac:dyDescent="0.35">
      <c r="A491">
        <v>18</v>
      </c>
      <c r="B491" t="s">
        <v>11083</v>
      </c>
      <c r="C491">
        <v>39</v>
      </c>
      <c r="D491">
        <v>1</v>
      </c>
      <c r="E491">
        <v>30</v>
      </c>
      <c r="F491" t="s">
        <v>12047</v>
      </c>
      <c r="G491" s="25">
        <v>0.7</v>
      </c>
    </row>
    <row r="492" spans="1:7" x14ac:dyDescent="0.35">
      <c r="A492">
        <v>18</v>
      </c>
      <c r="B492" t="s">
        <v>11083</v>
      </c>
      <c r="C492">
        <v>40</v>
      </c>
      <c r="D492">
        <v>1</v>
      </c>
      <c r="E492">
        <v>24</v>
      </c>
      <c r="F492" t="s">
        <v>12047</v>
      </c>
      <c r="G492" s="25">
        <v>0.7</v>
      </c>
    </row>
    <row r="493" spans="1:7" x14ac:dyDescent="0.35">
      <c r="A493">
        <v>18</v>
      </c>
      <c r="B493" t="s">
        <v>11083</v>
      </c>
      <c r="C493">
        <v>41</v>
      </c>
      <c r="D493">
        <v>1</v>
      </c>
      <c r="E493">
        <v>34</v>
      </c>
      <c r="F493" t="s">
        <v>12047</v>
      </c>
      <c r="G493" s="25">
        <v>0.7</v>
      </c>
    </row>
    <row r="494" spans="1:7" x14ac:dyDescent="0.35">
      <c r="A494">
        <v>18</v>
      </c>
      <c r="B494" t="s">
        <v>11083</v>
      </c>
      <c r="C494">
        <v>42</v>
      </c>
      <c r="D494">
        <v>1</v>
      </c>
      <c r="E494">
        <v>17</v>
      </c>
      <c r="F494" t="s">
        <v>12047</v>
      </c>
      <c r="G494" s="25">
        <v>0.7</v>
      </c>
    </row>
    <row r="495" spans="1:7" x14ac:dyDescent="0.35">
      <c r="A495">
        <v>19</v>
      </c>
      <c r="B495" t="s">
        <v>11085</v>
      </c>
      <c r="C495">
        <v>1</v>
      </c>
      <c r="D495">
        <v>1</v>
      </c>
      <c r="E495">
        <v>6</v>
      </c>
      <c r="F495" t="s">
        <v>12048</v>
      </c>
      <c r="G495" s="25">
        <v>0.8</v>
      </c>
    </row>
    <row r="496" spans="1:7" x14ac:dyDescent="0.35">
      <c r="A496">
        <v>19</v>
      </c>
      <c r="B496" t="s">
        <v>11085</v>
      </c>
      <c r="C496">
        <v>2</v>
      </c>
      <c r="D496">
        <v>1</v>
      </c>
      <c r="E496">
        <v>12</v>
      </c>
      <c r="F496" t="s">
        <v>12048</v>
      </c>
      <c r="G496" s="25">
        <v>0.8</v>
      </c>
    </row>
    <row r="497" spans="1:7" x14ac:dyDescent="0.35">
      <c r="A497">
        <v>19</v>
      </c>
      <c r="B497" t="s">
        <v>11085</v>
      </c>
      <c r="C497">
        <v>3</v>
      </c>
      <c r="D497">
        <v>1</v>
      </c>
      <c r="E497">
        <v>8</v>
      </c>
      <c r="F497" t="s">
        <v>12048</v>
      </c>
      <c r="G497" s="25">
        <v>0.8</v>
      </c>
    </row>
    <row r="498" spans="1:7" x14ac:dyDescent="0.35">
      <c r="A498">
        <v>19</v>
      </c>
      <c r="B498" t="s">
        <v>11085</v>
      </c>
      <c r="C498">
        <v>4</v>
      </c>
      <c r="D498">
        <v>1</v>
      </c>
      <c r="E498">
        <v>8</v>
      </c>
      <c r="F498" t="s">
        <v>12048</v>
      </c>
      <c r="G498" s="25">
        <v>0.8</v>
      </c>
    </row>
    <row r="499" spans="1:7" x14ac:dyDescent="0.35">
      <c r="A499">
        <v>19</v>
      </c>
      <c r="B499" t="s">
        <v>11085</v>
      </c>
      <c r="C499">
        <v>5</v>
      </c>
      <c r="D499">
        <v>1</v>
      </c>
      <c r="E499">
        <v>12</v>
      </c>
      <c r="F499" t="s">
        <v>12048</v>
      </c>
      <c r="G499" s="25">
        <v>0.8</v>
      </c>
    </row>
    <row r="500" spans="1:7" x14ac:dyDescent="0.35">
      <c r="A500">
        <v>19</v>
      </c>
      <c r="B500" t="s">
        <v>11085</v>
      </c>
      <c r="C500">
        <v>6</v>
      </c>
      <c r="D500">
        <v>1</v>
      </c>
      <c r="E500">
        <v>10</v>
      </c>
      <c r="F500" t="s">
        <v>12048</v>
      </c>
      <c r="G500" s="25">
        <v>0.8</v>
      </c>
    </row>
    <row r="501" spans="1:7" x14ac:dyDescent="0.35">
      <c r="A501">
        <v>19</v>
      </c>
      <c r="B501" t="s">
        <v>11085</v>
      </c>
      <c r="C501">
        <v>7</v>
      </c>
      <c r="D501">
        <v>1</v>
      </c>
      <c r="E501">
        <v>17</v>
      </c>
      <c r="F501" t="s">
        <v>12048</v>
      </c>
      <c r="G501" s="25">
        <v>0.8</v>
      </c>
    </row>
    <row r="502" spans="1:7" x14ac:dyDescent="0.35">
      <c r="A502">
        <v>19</v>
      </c>
      <c r="B502" t="s">
        <v>11085</v>
      </c>
      <c r="C502">
        <v>8</v>
      </c>
      <c r="D502">
        <v>1</v>
      </c>
      <c r="E502">
        <v>9</v>
      </c>
      <c r="F502" t="s">
        <v>12048</v>
      </c>
      <c r="G502" s="25">
        <v>0.8</v>
      </c>
    </row>
    <row r="503" spans="1:7" x14ac:dyDescent="0.35">
      <c r="A503">
        <v>19</v>
      </c>
      <c r="B503" t="s">
        <v>11085</v>
      </c>
      <c r="C503">
        <v>9</v>
      </c>
      <c r="D503">
        <v>1</v>
      </c>
      <c r="E503">
        <v>20</v>
      </c>
      <c r="F503" t="s">
        <v>12048</v>
      </c>
      <c r="G503" s="25">
        <v>0.8</v>
      </c>
    </row>
    <row r="504" spans="1:7" x14ac:dyDescent="0.35">
      <c r="A504">
        <v>19</v>
      </c>
      <c r="B504" t="s">
        <v>11085</v>
      </c>
      <c r="C504">
        <v>10</v>
      </c>
      <c r="D504">
        <v>1</v>
      </c>
      <c r="E504">
        <v>18</v>
      </c>
      <c r="F504" t="s">
        <v>12048</v>
      </c>
      <c r="G504" s="25">
        <v>0.8</v>
      </c>
    </row>
    <row r="505" spans="1:7" x14ac:dyDescent="0.35">
      <c r="A505">
        <v>19</v>
      </c>
      <c r="B505" t="s">
        <v>11085</v>
      </c>
      <c r="C505">
        <v>11</v>
      </c>
      <c r="D505">
        <v>1</v>
      </c>
      <c r="E505">
        <v>7</v>
      </c>
      <c r="F505" t="s">
        <v>12048</v>
      </c>
      <c r="G505" s="25">
        <v>0.8</v>
      </c>
    </row>
    <row r="506" spans="1:7" x14ac:dyDescent="0.35">
      <c r="A506">
        <v>19</v>
      </c>
      <c r="B506" t="s">
        <v>11085</v>
      </c>
      <c r="C506">
        <v>12</v>
      </c>
      <c r="D506">
        <v>1</v>
      </c>
      <c r="E506">
        <v>8</v>
      </c>
      <c r="F506" t="s">
        <v>12048</v>
      </c>
      <c r="G506" s="25">
        <v>0.8</v>
      </c>
    </row>
    <row r="507" spans="1:7" x14ac:dyDescent="0.35">
      <c r="A507">
        <v>19</v>
      </c>
      <c r="B507" t="s">
        <v>11085</v>
      </c>
      <c r="C507">
        <v>13</v>
      </c>
      <c r="D507">
        <v>1</v>
      </c>
      <c r="E507">
        <v>6</v>
      </c>
      <c r="F507" t="s">
        <v>12048</v>
      </c>
      <c r="G507" s="25">
        <v>0.8</v>
      </c>
    </row>
    <row r="508" spans="1:7" x14ac:dyDescent="0.35">
      <c r="A508">
        <v>19</v>
      </c>
      <c r="B508" t="s">
        <v>11085</v>
      </c>
      <c r="C508">
        <v>14</v>
      </c>
      <c r="D508">
        <v>1</v>
      </c>
      <c r="E508">
        <v>7</v>
      </c>
      <c r="F508" t="s">
        <v>12048</v>
      </c>
      <c r="G508" s="25">
        <v>0.8</v>
      </c>
    </row>
    <row r="509" spans="1:7" x14ac:dyDescent="0.35">
      <c r="A509">
        <v>19</v>
      </c>
      <c r="B509" t="s">
        <v>11085</v>
      </c>
      <c r="C509">
        <v>15</v>
      </c>
      <c r="D509">
        <v>1</v>
      </c>
      <c r="E509">
        <v>5</v>
      </c>
      <c r="F509" t="s">
        <v>12048</v>
      </c>
      <c r="G509" s="25">
        <v>0.8</v>
      </c>
    </row>
    <row r="510" spans="1:7" x14ac:dyDescent="0.35">
      <c r="A510">
        <v>19</v>
      </c>
      <c r="B510" t="s">
        <v>11085</v>
      </c>
      <c r="C510">
        <v>16</v>
      </c>
      <c r="D510">
        <v>1</v>
      </c>
      <c r="E510">
        <v>11</v>
      </c>
      <c r="F510" t="s">
        <v>12048</v>
      </c>
      <c r="G510" s="25">
        <v>0.8</v>
      </c>
    </row>
    <row r="511" spans="1:7" x14ac:dyDescent="0.35">
      <c r="A511">
        <v>19</v>
      </c>
      <c r="B511" t="s">
        <v>11085</v>
      </c>
      <c r="C511">
        <v>17</v>
      </c>
      <c r="D511">
        <v>1</v>
      </c>
      <c r="E511">
        <v>15</v>
      </c>
      <c r="F511" t="s">
        <v>12048</v>
      </c>
      <c r="G511" s="25">
        <v>0.8</v>
      </c>
    </row>
    <row r="512" spans="1:7" x14ac:dyDescent="0.35">
      <c r="A512">
        <v>19</v>
      </c>
      <c r="B512" t="s">
        <v>11085</v>
      </c>
      <c r="C512">
        <v>18</v>
      </c>
      <c r="D512">
        <v>1</v>
      </c>
      <c r="E512">
        <v>50</v>
      </c>
      <c r="F512" t="s">
        <v>12048</v>
      </c>
      <c r="G512" s="25">
        <v>0.8</v>
      </c>
    </row>
    <row r="513" spans="1:7" x14ac:dyDescent="0.35">
      <c r="A513">
        <v>19</v>
      </c>
      <c r="B513" t="s">
        <v>11085</v>
      </c>
      <c r="C513">
        <v>19</v>
      </c>
      <c r="D513">
        <v>1</v>
      </c>
      <c r="E513">
        <v>14</v>
      </c>
      <c r="F513" t="s">
        <v>12048</v>
      </c>
      <c r="G513" s="25">
        <v>0.8</v>
      </c>
    </row>
    <row r="514" spans="1:7" x14ac:dyDescent="0.35">
      <c r="A514">
        <v>19</v>
      </c>
      <c r="B514" t="s">
        <v>11085</v>
      </c>
      <c r="C514">
        <v>20</v>
      </c>
      <c r="D514">
        <v>1</v>
      </c>
      <c r="E514">
        <v>9</v>
      </c>
      <c r="F514" t="s">
        <v>12048</v>
      </c>
      <c r="G514" s="25">
        <v>0.8</v>
      </c>
    </row>
    <row r="515" spans="1:7" x14ac:dyDescent="0.35">
      <c r="A515">
        <v>19</v>
      </c>
      <c r="B515" t="s">
        <v>11085</v>
      </c>
      <c r="C515">
        <v>21</v>
      </c>
      <c r="D515">
        <v>1</v>
      </c>
      <c r="E515">
        <v>13</v>
      </c>
      <c r="F515" t="s">
        <v>12048</v>
      </c>
      <c r="G515" s="25">
        <v>0.8</v>
      </c>
    </row>
    <row r="516" spans="1:7" x14ac:dyDescent="0.35">
      <c r="A516">
        <v>19</v>
      </c>
      <c r="B516" t="s">
        <v>11085</v>
      </c>
      <c r="C516">
        <v>22</v>
      </c>
      <c r="D516">
        <v>1</v>
      </c>
      <c r="E516">
        <v>31</v>
      </c>
      <c r="F516" t="s">
        <v>12048</v>
      </c>
      <c r="G516" s="25">
        <v>0.8</v>
      </c>
    </row>
    <row r="517" spans="1:7" x14ac:dyDescent="0.35">
      <c r="A517">
        <v>19</v>
      </c>
      <c r="B517" t="s">
        <v>11085</v>
      </c>
      <c r="C517">
        <v>23</v>
      </c>
      <c r="D517">
        <v>1</v>
      </c>
      <c r="E517">
        <v>6</v>
      </c>
      <c r="F517" t="s">
        <v>12048</v>
      </c>
      <c r="G517" s="25">
        <v>0.8</v>
      </c>
    </row>
    <row r="518" spans="1:7" x14ac:dyDescent="0.35">
      <c r="A518">
        <v>19</v>
      </c>
      <c r="B518" t="s">
        <v>11085</v>
      </c>
      <c r="C518">
        <v>24</v>
      </c>
      <c r="D518">
        <v>1</v>
      </c>
      <c r="E518">
        <v>10</v>
      </c>
      <c r="F518" t="s">
        <v>12048</v>
      </c>
      <c r="G518" s="25">
        <v>0.8</v>
      </c>
    </row>
    <row r="519" spans="1:7" x14ac:dyDescent="0.35">
      <c r="A519">
        <v>19</v>
      </c>
      <c r="B519" t="s">
        <v>11085</v>
      </c>
      <c r="C519">
        <v>25</v>
      </c>
      <c r="D519">
        <v>1</v>
      </c>
      <c r="E519">
        <v>22</v>
      </c>
      <c r="F519" t="s">
        <v>12048</v>
      </c>
      <c r="G519" s="25">
        <v>0.8</v>
      </c>
    </row>
    <row r="520" spans="1:7" x14ac:dyDescent="0.35">
      <c r="A520">
        <v>19</v>
      </c>
      <c r="B520" t="s">
        <v>11085</v>
      </c>
      <c r="C520">
        <v>26</v>
      </c>
      <c r="D520">
        <v>1</v>
      </c>
      <c r="E520">
        <v>12</v>
      </c>
      <c r="F520" t="s">
        <v>12048</v>
      </c>
      <c r="G520" s="25">
        <v>0.8</v>
      </c>
    </row>
    <row r="521" spans="1:7" x14ac:dyDescent="0.35">
      <c r="A521">
        <v>19</v>
      </c>
      <c r="B521" t="s">
        <v>11085</v>
      </c>
      <c r="C521">
        <v>27</v>
      </c>
      <c r="D521">
        <v>1</v>
      </c>
      <c r="E521">
        <v>14</v>
      </c>
      <c r="F521" t="s">
        <v>12048</v>
      </c>
      <c r="G521" s="25">
        <v>0.8</v>
      </c>
    </row>
    <row r="522" spans="1:7" x14ac:dyDescent="0.35">
      <c r="A522">
        <v>19</v>
      </c>
      <c r="B522" t="s">
        <v>11085</v>
      </c>
      <c r="C522">
        <v>28</v>
      </c>
      <c r="D522">
        <v>1</v>
      </c>
      <c r="E522">
        <v>9</v>
      </c>
      <c r="F522" t="s">
        <v>12048</v>
      </c>
      <c r="G522" s="25">
        <v>0.8</v>
      </c>
    </row>
    <row r="523" spans="1:7" x14ac:dyDescent="0.35">
      <c r="A523">
        <v>19</v>
      </c>
      <c r="B523" t="s">
        <v>11085</v>
      </c>
      <c r="C523">
        <v>29</v>
      </c>
      <c r="D523">
        <v>1</v>
      </c>
      <c r="E523">
        <v>11</v>
      </c>
      <c r="F523" t="s">
        <v>12048</v>
      </c>
      <c r="G523" s="25">
        <v>0.8</v>
      </c>
    </row>
    <row r="524" spans="1:7" x14ac:dyDescent="0.35">
      <c r="A524">
        <v>19</v>
      </c>
      <c r="B524" t="s">
        <v>11085</v>
      </c>
      <c r="C524">
        <v>30</v>
      </c>
      <c r="D524">
        <v>1</v>
      </c>
      <c r="E524">
        <v>12</v>
      </c>
      <c r="F524" t="s">
        <v>12048</v>
      </c>
      <c r="G524" s="25">
        <v>0.8</v>
      </c>
    </row>
    <row r="525" spans="1:7" x14ac:dyDescent="0.35">
      <c r="A525">
        <v>19</v>
      </c>
      <c r="B525" t="s">
        <v>11085</v>
      </c>
      <c r="C525">
        <v>31</v>
      </c>
      <c r="D525">
        <v>1</v>
      </c>
      <c r="E525">
        <v>24</v>
      </c>
      <c r="F525" t="s">
        <v>12048</v>
      </c>
      <c r="G525" s="25">
        <v>0.8</v>
      </c>
    </row>
    <row r="526" spans="1:7" x14ac:dyDescent="0.35">
      <c r="A526">
        <v>19</v>
      </c>
      <c r="B526" t="s">
        <v>11085</v>
      </c>
      <c r="C526">
        <v>32</v>
      </c>
      <c r="D526">
        <v>1</v>
      </c>
      <c r="E526">
        <v>11</v>
      </c>
      <c r="F526" t="s">
        <v>12048</v>
      </c>
      <c r="G526" s="25">
        <v>0.8</v>
      </c>
    </row>
    <row r="527" spans="1:7" x14ac:dyDescent="0.35">
      <c r="A527">
        <v>19</v>
      </c>
      <c r="B527" t="s">
        <v>11085</v>
      </c>
      <c r="C527">
        <v>33</v>
      </c>
      <c r="D527">
        <v>1</v>
      </c>
      <c r="E527">
        <v>22</v>
      </c>
      <c r="F527" t="s">
        <v>12048</v>
      </c>
      <c r="G527" s="25">
        <v>0.8</v>
      </c>
    </row>
    <row r="528" spans="1:7" x14ac:dyDescent="0.35">
      <c r="A528">
        <v>19</v>
      </c>
      <c r="B528" t="s">
        <v>11085</v>
      </c>
      <c r="C528">
        <v>34</v>
      </c>
      <c r="D528">
        <v>1</v>
      </c>
      <c r="E528">
        <v>22</v>
      </c>
      <c r="F528" t="s">
        <v>12048</v>
      </c>
      <c r="G528" s="25">
        <v>0.8</v>
      </c>
    </row>
    <row r="529" spans="1:7" x14ac:dyDescent="0.35">
      <c r="A529">
        <v>19</v>
      </c>
      <c r="B529" t="s">
        <v>11085</v>
      </c>
      <c r="C529">
        <v>35</v>
      </c>
      <c r="D529">
        <v>1</v>
      </c>
      <c r="E529">
        <v>28</v>
      </c>
      <c r="F529" t="s">
        <v>12048</v>
      </c>
      <c r="G529" s="25">
        <v>0.8</v>
      </c>
    </row>
    <row r="530" spans="1:7" x14ac:dyDescent="0.35">
      <c r="A530">
        <v>19</v>
      </c>
      <c r="B530" t="s">
        <v>11085</v>
      </c>
      <c r="C530">
        <v>36</v>
      </c>
      <c r="D530">
        <v>1</v>
      </c>
      <c r="E530">
        <v>12</v>
      </c>
      <c r="F530" t="s">
        <v>12048</v>
      </c>
      <c r="G530" s="25">
        <v>0.8</v>
      </c>
    </row>
    <row r="531" spans="1:7" x14ac:dyDescent="0.35">
      <c r="A531">
        <v>19</v>
      </c>
      <c r="B531" t="s">
        <v>11085</v>
      </c>
      <c r="C531">
        <v>37</v>
      </c>
      <c r="D531">
        <v>1</v>
      </c>
      <c r="E531">
        <v>40</v>
      </c>
      <c r="F531" t="s">
        <v>12048</v>
      </c>
      <c r="G531" s="25">
        <v>0.8</v>
      </c>
    </row>
    <row r="532" spans="1:7" x14ac:dyDescent="0.35">
      <c r="A532">
        <v>19</v>
      </c>
      <c r="B532" t="s">
        <v>11085</v>
      </c>
      <c r="C532">
        <v>38</v>
      </c>
      <c r="D532">
        <v>1</v>
      </c>
      <c r="E532">
        <v>22</v>
      </c>
      <c r="F532" t="s">
        <v>12048</v>
      </c>
      <c r="G532" s="25">
        <v>0.8</v>
      </c>
    </row>
    <row r="533" spans="1:7" x14ac:dyDescent="0.35">
      <c r="A533">
        <v>19</v>
      </c>
      <c r="B533" t="s">
        <v>11085</v>
      </c>
      <c r="C533">
        <v>39</v>
      </c>
      <c r="D533">
        <v>1</v>
      </c>
      <c r="E533">
        <v>13</v>
      </c>
      <c r="F533" t="s">
        <v>12048</v>
      </c>
      <c r="G533" s="25">
        <v>0.8</v>
      </c>
    </row>
    <row r="534" spans="1:7" x14ac:dyDescent="0.35">
      <c r="A534">
        <v>19</v>
      </c>
      <c r="B534" t="s">
        <v>11085</v>
      </c>
      <c r="C534">
        <v>40</v>
      </c>
      <c r="D534">
        <v>1</v>
      </c>
      <c r="E534">
        <v>17</v>
      </c>
      <c r="F534" t="s">
        <v>12048</v>
      </c>
      <c r="G534" s="25">
        <v>0.8</v>
      </c>
    </row>
    <row r="535" spans="1:7" x14ac:dyDescent="0.35">
      <c r="A535">
        <v>19</v>
      </c>
      <c r="B535" t="s">
        <v>11085</v>
      </c>
      <c r="C535">
        <v>41</v>
      </c>
      <c r="D535">
        <v>1</v>
      </c>
      <c r="E535">
        <v>13</v>
      </c>
      <c r="F535" t="s">
        <v>12048</v>
      </c>
      <c r="G535" s="25">
        <v>0.8</v>
      </c>
    </row>
    <row r="536" spans="1:7" x14ac:dyDescent="0.35">
      <c r="A536">
        <v>19</v>
      </c>
      <c r="B536" t="s">
        <v>11085</v>
      </c>
      <c r="C536">
        <v>42</v>
      </c>
      <c r="D536">
        <v>1</v>
      </c>
      <c r="E536">
        <v>11</v>
      </c>
      <c r="F536" t="s">
        <v>12048</v>
      </c>
      <c r="G536" s="25">
        <v>0.8</v>
      </c>
    </row>
    <row r="537" spans="1:7" x14ac:dyDescent="0.35">
      <c r="A537">
        <v>19</v>
      </c>
      <c r="B537" t="s">
        <v>11085</v>
      </c>
      <c r="C537">
        <v>43</v>
      </c>
      <c r="D537">
        <v>1</v>
      </c>
      <c r="E537">
        <v>5</v>
      </c>
      <c r="F537" t="s">
        <v>12048</v>
      </c>
      <c r="G537" s="25">
        <v>0.8</v>
      </c>
    </row>
    <row r="538" spans="1:7" x14ac:dyDescent="0.35">
      <c r="A538">
        <v>19</v>
      </c>
      <c r="B538" t="s">
        <v>11085</v>
      </c>
      <c r="C538">
        <v>44</v>
      </c>
      <c r="D538">
        <v>1</v>
      </c>
      <c r="E538">
        <v>26</v>
      </c>
      <c r="F538" t="s">
        <v>12048</v>
      </c>
      <c r="G538" s="25">
        <v>0.8</v>
      </c>
    </row>
    <row r="539" spans="1:7" x14ac:dyDescent="0.35">
      <c r="A539">
        <v>19</v>
      </c>
      <c r="B539" t="s">
        <v>11085</v>
      </c>
      <c r="C539">
        <v>45</v>
      </c>
      <c r="D539">
        <v>1</v>
      </c>
      <c r="E539">
        <v>17</v>
      </c>
      <c r="F539" t="s">
        <v>12048</v>
      </c>
      <c r="G539" s="25">
        <v>0.8</v>
      </c>
    </row>
    <row r="540" spans="1:7" x14ac:dyDescent="0.35">
      <c r="A540">
        <v>19</v>
      </c>
      <c r="B540" t="s">
        <v>11085</v>
      </c>
      <c r="C540">
        <v>46</v>
      </c>
      <c r="D540">
        <v>1</v>
      </c>
      <c r="E540">
        <v>11</v>
      </c>
      <c r="F540" t="s">
        <v>12048</v>
      </c>
      <c r="G540" s="25">
        <v>0.8</v>
      </c>
    </row>
    <row r="541" spans="1:7" x14ac:dyDescent="0.35">
      <c r="A541">
        <v>19</v>
      </c>
      <c r="B541" t="s">
        <v>11085</v>
      </c>
      <c r="C541">
        <v>47</v>
      </c>
      <c r="D541">
        <v>1</v>
      </c>
      <c r="E541">
        <v>9</v>
      </c>
      <c r="F541" t="s">
        <v>12048</v>
      </c>
      <c r="G541" s="25">
        <v>0.8</v>
      </c>
    </row>
    <row r="542" spans="1:7" x14ac:dyDescent="0.35">
      <c r="A542">
        <v>19</v>
      </c>
      <c r="B542" t="s">
        <v>11085</v>
      </c>
      <c r="C542">
        <v>48</v>
      </c>
      <c r="D542">
        <v>1</v>
      </c>
      <c r="E542">
        <v>14</v>
      </c>
      <c r="F542" t="s">
        <v>12048</v>
      </c>
      <c r="G542" s="25">
        <v>0.8</v>
      </c>
    </row>
    <row r="543" spans="1:7" x14ac:dyDescent="0.35">
      <c r="A543">
        <v>19</v>
      </c>
      <c r="B543" t="s">
        <v>11085</v>
      </c>
      <c r="C543">
        <v>49</v>
      </c>
      <c r="D543">
        <v>1</v>
      </c>
      <c r="E543">
        <v>20</v>
      </c>
      <c r="F543" t="s">
        <v>12048</v>
      </c>
      <c r="G543" s="25">
        <v>0.8</v>
      </c>
    </row>
    <row r="544" spans="1:7" x14ac:dyDescent="0.35">
      <c r="A544">
        <v>19</v>
      </c>
      <c r="B544" t="s">
        <v>11085</v>
      </c>
      <c r="C544">
        <v>50</v>
      </c>
      <c r="D544">
        <v>1</v>
      </c>
      <c r="E544">
        <v>23</v>
      </c>
      <c r="F544" t="s">
        <v>12048</v>
      </c>
      <c r="G544" s="25">
        <v>0.8</v>
      </c>
    </row>
    <row r="545" spans="1:7" x14ac:dyDescent="0.35">
      <c r="A545">
        <v>19</v>
      </c>
      <c r="B545" t="s">
        <v>11085</v>
      </c>
      <c r="C545">
        <v>51</v>
      </c>
      <c r="D545">
        <v>1</v>
      </c>
      <c r="E545">
        <v>19</v>
      </c>
      <c r="F545" t="s">
        <v>12048</v>
      </c>
      <c r="G545" s="25">
        <v>0.8</v>
      </c>
    </row>
    <row r="546" spans="1:7" x14ac:dyDescent="0.35">
      <c r="A546">
        <v>19</v>
      </c>
      <c r="B546" t="s">
        <v>11085</v>
      </c>
      <c r="C546">
        <v>52</v>
      </c>
      <c r="D546">
        <v>1</v>
      </c>
      <c r="E546">
        <v>9</v>
      </c>
      <c r="F546" t="s">
        <v>12048</v>
      </c>
      <c r="G546" s="25">
        <v>0.8</v>
      </c>
    </row>
    <row r="547" spans="1:7" x14ac:dyDescent="0.35">
      <c r="A547">
        <v>19</v>
      </c>
      <c r="B547" t="s">
        <v>11085</v>
      </c>
      <c r="C547">
        <v>53</v>
      </c>
      <c r="D547">
        <v>1</v>
      </c>
      <c r="E547">
        <v>6</v>
      </c>
      <c r="F547" t="s">
        <v>12048</v>
      </c>
      <c r="G547" s="25">
        <v>0.8</v>
      </c>
    </row>
    <row r="548" spans="1:7" x14ac:dyDescent="0.35">
      <c r="A548">
        <v>19</v>
      </c>
      <c r="B548" t="s">
        <v>11085</v>
      </c>
      <c r="C548">
        <v>54</v>
      </c>
      <c r="D548">
        <v>1</v>
      </c>
      <c r="E548">
        <v>7</v>
      </c>
      <c r="F548" t="s">
        <v>12048</v>
      </c>
      <c r="G548" s="25">
        <v>0.8</v>
      </c>
    </row>
    <row r="549" spans="1:7" x14ac:dyDescent="0.35">
      <c r="A549">
        <v>19</v>
      </c>
      <c r="B549" t="s">
        <v>11085</v>
      </c>
      <c r="C549">
        <v>55</v>
      </c>
      <c r="D549">
        <v>1</v>
      </c>
      <c r="E549">
        <v>23</v>
      </c>
      <c r="F549" t="s">
        <v>12048</v>
      </c>
      <c r="G549" s="25">
        <v>0.8</v>
      </c>
    </row>
    <row r="550" spans="1:7" x14ac:dyDescent="0.35">
      <c r="A550">
        <v>19</v>
      </c>
      <c r="B550" t="s">
        <v>11085</v>
      </c>
      <c r="C550">
        <v>56</v>
      </c>
      <c r="D550">
        <v>1</v>
      </c>
      <c r="E550">
        <v>13</v>
      </c>
      <c r="F550" t="s">
        <v>12048</v>
      </c>
      <c r="G550" s="25">
        <v>0.8</v>
      </c>
    </row>
    <row r="551" spans="1:7" x14ac:dyDescent="0.35">
      <c r="A551">
        <v>19</v>
      </c>
      <c r="B551" t="s">
        <v>11085</v>
      </c>
      <c r="C551">
        <v>57</v>
      </c>
      <c r="D551">
        <v>1</v>
      </c>
      <c r="E551">
        <v>11</v>
      </c>
      <c r="F551" t="s">
        <v>12048</v>
      </c>
      <c r="G551" s="25">
        <v>0.8</v>
      </c>
    </row>
    <row r="552" spans="1:7" x14ac:dyDescent="0.35">
      <c r="A552">
        <v>19</v>
      </c>
      <c r="B552" t="s">
        <v>11085</v>
      </c>
      <c r="C552">
        <v>58</v>
      </c>
      <c r="D552">
        <v>1</v>
      </c>
      <c r="E552">
        <v>11</v>
      </c>
      <c r="F552" t="s">
        <v>12048</v>
      </c>
      <c r="G552" s="25">
        <v>0.8</v>
      </c>
    </row>
    <row r="553" spans="1:7" x14ac:dyDescent="0.35">
      <c r="A553">
        <v>19</v>
      </c>
      <c r="B553" t="s">
        <v>11085</v>
      </c>
      <c r="C553">
        <v>59</v>
      </c>
      <c r="D553">
        <v>1</v>
      </c>
      <c r="E553">
        <v>17</v>
      </c>
      <c r="F553" t="s">
        <v>12048</v>
      </c>
      <c r="G553" s="25">
        <v>0.8</v>
      </c>
    </row>
    <row r="554" spans="1:7" x14ac:dyDescent="0.35">
      <c r="A554">
        <v>19</v>
      </c>
      <c r="B554" t="s">
        <v>11085</v>
      </c>
      <c r="C554">
        <v>60</v>
      </c>
      <c r="D554">
        <v>1</v>
      </c>
      <c r="E554">
        <v>12</v>
      </c>
      <c r="F554" t="s">
        <v>12048</v>
      </c>
      <c r="G554" s="25">
        <v>0.8</v>
      </c>
    </row>
    <row r="555" spans="1:7" x14ac:dyDescent="0.35">
      <c r="A555">
        <v>19</v>
      </c>
      <c r="B555" t="s">
        <v>11085</v>
      </c>
      <c r="C555">
        <v>61</v>
      </c>
      <c r="D555">
        <v>1</v>
      </c>
      <c r="E555">
        <v>8</v>
      </c>
      <c r="F555" t="s">
        <v>12048</v>
      </c>
      <c r="G555" s="25">
        <v>0.8</v>
      </c>
    </row>
    <row r="556" spans="1:7" x14ac:dyDescent="0.35">
      <c r="A556">
        <v>19</v>
      </c>
      <c r="B556" t="s">
        <v>11085</v>
      </c>
      <c r="C556">
        <v>62</v>
      </c>
      <c r="D556">
        <v>1</v>
      </c>
      <c r="E556">
        <v>12</v>
      </c>
      <c r="F556" t="s">
        <v>12048</v>
      </c>
      <c r="G556" s="25">
        <v>0.8</v>
      </c>
    </row>
    <row r="557" spans="1:7" x14ac:dyDescent="0.35">
      <c r="A557">
        <v>19</v>
      </c>
      <c r="B557" t="s">
        <v>11085</v>
      </c>
      <c r="C557">
        <v>63</v>
      </c>
      <c r="D557">
        <v>1</v>
      </c>
      <c r="E557">
        <v>11</v>
      </c>
      <c r="F557" t="s">
        <v>12048</v>
      </c>
      <c r="G557" s="25">
        <v>0.8</v>
      </c>
    </row>
    <row r="558" spans="1:7" x14ac:dyDescent="0.35">
      <c r="A558">
        <v>19</v>
      </c>
      <c r="B558" t="s">
        <v>11085</v>
      </c>
      <c r="C558">
        <v>64</v>
      </c>
      <c r="D558">
        <v>1</v>
      </c>
      <c r="E558">
        <v>10</v>
      </c>
      <c r="F558" t="s">
        <v>12048</v>
      </c>
      <c r="G558" s="25">
        <v>0.8</v>
      </c>
    </row>
    <row r="559" spans="1:7" x14ac:dyDescent="0.35">
      <c r="A559">
        <v>19</v>
      </c>
      <c r="B559" t="s">
        <v>11085</v>
      </c>
      <c r="C559">
        <v>65</v>
      </c>
      <c r="D559">
        <v>1</v>
      </c>
      <c r="E559">
        <v>13</v>
      </c>
      <c r="F559" t="s">
        <v>12048</v>
      </c>
      <c r="G559" s="25">
        <v>0.8</v>
      </c>
    </row>
    <row r="560" spans="1:7" x14ac:dyDescent="0.35">
      <c r="A560">
        <v>19</v>
      </c>
      <c r="B560" t="s">
        <v>11085</v>
      </c>
      <c r="C560">
        <v>66</v>
      </c>
      <c r="D560">
        <v>1</v>
      </c>
      <c r="E560">
        <v>20</v>
      </c>
      <c r="F560" t="s">
        <v>12048</v>
      </c>
      <c r="G560" s="25">
        <v>0.8</v>
      </c>
    </row>
    <row r="561" spans="1:7" x14ac:dyDescent="0.35">
      <c r="A561">
        <v>19</v>
      </c>
      <c r="B561" t="s">
        <v>11085</v>
      </c>
      <c r="C561">
        <v>67</v>
      </c>
      <c r="D561">
        <v>1</v>
      </c>
      <c r="E561">
        <v>7</v>
      </c>
      <c r="F561" t="s">
        <v>12048</v>
      </c>
      <c r="G561" s="25">
        <v>0.8</v>
      </c>
    </row>
    <row r="562" spans="1:7" x14ac:dyDescent="0.35">
      <c r="A562">
        <v>19</v>
      </c>
      <c r="B562" t="s">
        <v>11085</v>
      </c>
      <c r="C562">
        <v>68</v>
      </c>
      <c r="D562">
        <v>1</v>
      </c>
      <c r="E562">
        <v>35</v>
      </c>
      <c r="F562" t="s">
        <v>12048</v>
      </c>
      <c r="G562" s="25">
        <v>0.8</v>
      </c>
    </row>
    <row r="563" spans="1:7" x14ac:dyDescent="0.35">
      <c r="A563">
        <v>19</v>
      </c>
      <c r="B563" t="s">
        <v>11085</v>
      </c>
      <c r="C563">
        <v>69</v>
      </c>
      <c r="D563">
        <v>1</v>
      </c>
      <c r="E563">
        <v>36</v>
      </c>
      <c r="F563" t="s">
        <v>12048</v>
      </c>
      <c r="G563" s="25">
        <v>0.8</v>
      </c>
    </row>
    <row r="564" spans="1:7" x14ac:dyDescent="0.35">
      <c r="A564">
        <v>19</v>
      </c>
      <c r="B564" t="s">
        <v>11085</v>
      </c>
      <c r="C564">
        <v>70</v>
      </c>
      <c r="D564">
        <v>1</v>
      </c>
      <c r="E564">
        <v>5</v>
      </c>
      <c r="F564" t="s">
        <v>12048</v>
      </c>
      <c r="G564" s="25">
        <v>0.8</v>
      </c>
    </row>
    <row r="565" spans="1:7" x14ac:dyDescent="0.35">
      <c r="A565">
        <v>19</v>
      </c>
      <c r="B565" t="s">
        <v>11085</v>
      </c>
      <c r="C565">
        <v>71</v>
      </c>
      <c r="D565">
        <v>1</v>
      </c>
      <c r="E565">
        <v>24</v>
      </c>
      <c r="F565" t="s">
        <v>12048</v>
      </c>
      <c r="G565" s="25">
        <v>0.8</v>
      </c>
    </row>
    <row r="566" spans="1:7" x14ac:dyDescent="0.35">
      <c r="A566">
        <v>19</v>
      </c>
      <c r="B566" t="s">
        <v>11085</v>
      </c>
      <c r="C566">
        <v>72</v>
      </c>
      <c r="D566">
        <v>1</v>
      </c>
      <c r="E566">
        <v>20</v>
      </c>
      <c r="F566" t="s">
        <v>12048</v>
      </c>
      <c r="G566" s="25">
        <v>0.8</v>
      </c>
    </row>
    <row r="567" spans="1:7" x14ac:dyDescent="0.35">
      <c r="A567">
        <v>19</v>
      </c>
      <c r="B567" t="s">
        <v>11085</v>
      </c>
      <c r="C567">
        <v>73</v>
      </c>
      <c r="D567">
        <v>1</v>
      </c>
      <c r="E567">
        <v>28</v>
      </c>
      <c r="F567" t="s">
        <v>12048</v>
      </c>
      <c r="G567" s="25">
        <v>0.8</v>
      </c>
    </row>
    <row r="568" spans="1:7" x14ac:dyDescent="0.35">
      <c r="A568">
        <v>19</v>
      </c>
      <c r="B568" t="s">
        <v>11085</v>
      </c>
      <c r="C568">
        <v>74</v>
      </c>
      <c r="D568">
        <v>1</v>
      </c>
      <c r="E568">
        <v>23</v>
      </c>
      <c r="F568" t="s">
        <v>12048</v>
      </c>
      <c r="G568" s="25">
        <v>0.8</v>
      </c>
    </row>
    <row r="569" spans="1:7" x14ac:dyDescent="0.35">
      <c r="A569">
        <v>19</v>
      </c>
      <c r="B569" t="s">
        <v>11085</v>
      </c>
      <c r="C569">
        <v>75</v>
      </c>
      <c r="D569">
        <v>1</v>
      </c>
      <c r="E569">
        <v>10</v>
      </c>
      <c r="F569" t="s">
        <v>12048</v>
      </c>
      <c r="G569" s="25">
        <v>0.8</v>
      </c>
    </row>
    <row r="570" spans="1:7" x14ac:dyDescent="0.35">
      <c r="A570">
        <v>19</v>
      </c>
      <c r="B570" t="s">
        <v>11085</v>
      </c>
      <c r="C570">
        <v>76</v>
      </c>
      <c r="D570">
        <v>1</v>
      </c>
      <c r="E570">
        <v>12</v>
      </c>
      <c r="F570" t="s">
        <v>12048</v>
      </c>
      <c r="G570" s="25">
        <v>0.8</v>
      </c>
    </row>
    <row r="571" spans="1:7" x14ac:dyDescent="0.35">
      <c r="A571">
        <v>19</v>
      </c>
      <c r="B571" t="s">
        <v>11085</v>
      </c>
      <c r="C571">
        <v>77</v>
      </c>
      <c r="D571">
        <v>1</v>
      </c>
      <c r="E571">
        <v>20</v>
      </c>
      <c r="F571" t="s">
        <v>12048</v>
      </c>
      <c r="G571" s="25">
        <v>0.8</v>
      </c>
    </row>
    <row r="572" spans="1:7" x14ac:dyDescent="0.35">
      <c r="A572">
        <v>19</v>
      </c>
      <c r="B572" t="s">
        <v>11085</v>
      </c>
      <c r="C572">
        <v>78</v>
      </c>
      <c r="D572">
        <v>1</v>
      </c>
      <c r="E572">
        <v>72</v>
      </c>
      <c r="F572" t="s">
        <v>12048</v>
      </c>
      <c r="G572" s="25">
        <v>0.8</v>
      </c>
    </row>
    <row r="573" spans="1:7" x14ac:dyDescent="0.35">
      <c r="A573">
        <v>19</v>
      </c>
      <c r="B573" t="s">
        <v>11085</v>
      </c>
      <c r="C573">
        <v>79</v>
      </c>
      <c r="D573">
        <v>1</v>
      </c>
      <c r="E573">
        <v>13</v>
      </c>
      <c r="F573" t="s">
        <v>12048</v>
      </c>
      <c r="G573" s="25">
        <v>0.8</v>
      </c>
    </row>
    <row r="574" spans="1:7" x14ac:dyDescent="0.35">
      <c r="A574">
        <v>19</v>
      </c>
      <c r="B574" t="s">
        <v>11085</v>
      </c>
      <c r="C574">
        <v>80</v>
      </c>
      <c r="D574">
        <v>1</v>
      </c>
      <c r="E574">
        <v>19</v>
      </c>
      <c r="F574" t="s">
        <v>12048</v>
      </c>
      <c r="G574" s="25">
        <v>0.8</v>
      </c>
    </row>
    <row r="575" spans="1:7" x14ac:dyDescent="0.35">
      <c r="A575">
        <v>19</v>
      </c>
      <c r="B575" t="s">
        <v>11085</v>
      </c>
      <c r="C575">
        <v>81</v>
      </c>
      <c r="D575">
        <v>1</v>
      </c>
      <c r="E575">
        <v>16</v>
      </c>
      <c r="F575" t="s">
        <v>12048</v>
      </c>
      <c r="G575" s="25">
        <v>0.8</v>
      </c>
    </row>
    <row r="576" spans="1:7" x14ac:dyDescent="0.35">
      <c r="A576">
        <v>19</v>
      </c>
      <c r="B576" t="s">
        <v>11085</v>
      </c>
      <c r="C576">
        <v>82</v>
      </c>
      <c r="D576">
        <v>1</v>
      </c>
      <c r="E576">
        <v>8</v>
      </c>
      <c r="F576" t="s">
        <v>12048</v>
      </c>
      <c r="G576" s="25">
        <v>0.8</v>
      </c>
    </row>
    <row r="577" spans="1:7" x14ac:dyDescent="0.35">
      <c r="A577">
        <v>19</v>
      </c>
      <c r="B577" t="s">
        <v>11085</v>
      </c>
      <c r="C577">
        <v>83</v>
      </c>
      <c r="D577">
        <v>1</v>
      </c>
      <c r="E577">
        <v>18</v>
      </c>
      <c r="F577" t="s">
        <v>12048</v>
      </c>
      <c r="G577" s="25">
        <v>0.8</v>
      </c>
    </row>
    <row r="578" spans="1:7" x14ac:dyDescent="0.35">
      <c r="A578">
        <v>19</v>
      </c>
      <c r="B578" t="s">
        <v>11085</v>
      </c>
      <c r="C578">
        <v>84</v>
      </c>
      <c r="D578">
        <v>1</v>
      </c>
      <c r="E578">
        <v>12</v>
      </c>
      <c r="F578" t="s">
        <v>12048</v>
      </c>
      <c r="G578" s="25">
        <v>0.8</v>
      </c>
    </row>
    <row r="579" spans="1:7" x14ac:dyDescent="0.35">
      <c r="A579">
        <v>19</v>
      </c>
      <c r="B579" t="s">
        <v>11085</v>
      </c>
      <c r="C579">
        <v>85</v>
      </c>
      <c r="D579">
        <v>1</v>
      </c>
      <c r="E579">
        <v>13</v>
      </c>
      <c r="F579" t="s">
        <v>12048</v>
      </c>
      <c r="G579" s="25">
        <v>0.8</v>
      </c>
    </row>
    <row r="580" spans="1:7" x14ac:dyDescent="0.35">
      <c r="A580">
        <v>19</v>
      </c>
      <c r="B580" t="s">
        <v>11085</v>
      </c>
      <c r="C580">
        <v>86</v>
      </c>
      <c r="D580">
        <v>1</v>
      </c>
      <c r="E580">
        <v>17</v>
      </c>
      <c r="F580" t="s">
        <v>12048</v>
      </c>
      <c r="G580" s="25">
        <v>0.8</v>
      </c>
    </row>
    <row r="581" spans="1:7" x14ac:dyDescent="0.35">
      <c r="A581">
        <v>19</v>
      </c>
      <c r="B581" t="s">
        <v>11085</v>
      </c>
      <c r="C581">
        <v>87</v>
      </c>
      <c r="D581">
        <v>1</v>
      </c>
      <c r="E581">
        <v>7</v>
      </c>
      <c r="F581" t="s">
        <v>12048</v>
      </c>
      <c r="G581" s="25">
        <v>0.8</v>
      </c>
    </row>
    <row r="582" spans="1:7" x14ac:dyDescent="0.35">
      <c r="A582">
        <v>19</v>
      </c>
      <c r="B582" t="s">
        <v>11085</v>
      </c>
      <c r="C582">
        <v>88</v>
      </c>
      <c r="D582">
        <v>1</v>
      </c>
      <c r="E582">
        <v>18</v>
      </c>
      <c r="F582" t="s">
        <v>12048</v>
      </c>
      <c r="G582" s="25">
        <v>0.8</v>
      </c>
    </row>
    <row r="583" spans="1:7" x14ac:dyDescent="0.35">
      <c r="A583">
        <v>19</v>
      </c>
      <c r="B583" t="s">
        <v>11085</v>
      </c>
      <c r="C583">
        <v>89</v>
      </c>
      <c r="D583">
        <v>1</v>
      </c>
      <c r="E583">
        <v>52</v>
      </c>
      <c r="F583" t="s">
        <v>12048</v>
      </c>
      <c r="G583" s="25">
        <v>0.8</v>
      </c>
    </row>
    <row r="584" spans="1:7" x14ac:dyDescent="0.35">
      <c r="A584">
        <v>19</v>
      </c>
      <c r="B584" t="s">
        <v>11085</v>
      </c>
      <c r="C584">
        <v>90</v>
      </c>
      <c r="D584">
        <v>1</v>
      </c>
      <c r="E584">
        <v>17</v>
      </c>
      <c r="F584" t="s">
        <v>12048</v>
      </c>
      <c r="G584" s="25">
        <v>0.8</v>
      </c>
    </row>
    <row r="585" spans="1:7" x14ac:dyDescent="0.35">
      <c r="A585">
        <v>19</v>
      </c>
      <c r="B585" t="s">
        <v>11085</v>
      </c>
      <c r="C585">
        <v>91</v>
      </c>
      <c r="D585">
        <v>1</v>
      </c>
      <c r="E585">
        <v>16</v>
      </c>
      <c r="F585" t="s">
        <v>12048</v>
      </c>
      <c r="G585" s="25">
        <v>0.8</v>
      </c>
    </row>
    <row r="586" spans="1:7" x14ac:dyDescent="0.35">
      <c r="A586">
        <v>19</v>
      </c>
      <c r="B586" t="s">
        <v>11085</v>
      </c>
      <c r="C586">
        <v>92</v>
      </c>
      <c r="D586">
        <v>1</v>
      </c>
      <c r="E586">
        <v>15</v>
      </c>
      <c r="F586" t="s">
        <v>12048</v>
      </c>
      <c r="G586" s="25">
        <v>0.8</v>
      </c>
    </row>
    <row r="587" spans="1:7" x14ac:dyDescent="0.35">
      <c r="A587">
        <v>19</v>
      </c>
      <c r="B587" t="s">
        <v>11085</v>
      </c>
      <c r="C587">
        <v>93</v>
      </c>
      <c r="D587">
        <v>1</v>
      </c>
      <c r="E587">
        <v>5</v>
      </c>
      <c r="F587" t="s">
        <v>12048</v>
      </c>
      <c r="G587" s="25">
        <v>0.8</v>
      </c>
    </row>
    <row r="588" spans="1:7" x14ac:dyDescent="0.35">
      <c r="A588">
        <v>19</v>
      </c>
      <c r="B588" t="s">
        <v>11085</v>
      </c>
      <c r="C588">
        <v>94</v>
      </c>
      <c r="D588">
        <v>1</v>
      </c>
      <c r="E588">
        <v>23</v>
      </c>
      <c r="F588" t="s">
        <v>12048</v>
      </c>
      <c r="G588" s="25">
        <v>0.8</v>
      </c>
    </row>
    <row r="589" spans="1:7" x14ac:dyDescent="0.35">
      <c r="A589">
        <v>19</v>
      </c>
      <c r="B589" t="s">
        <v>11085</v>
      </c>
      <c r="C589">
        <v>95</v>
      </c>
      <c r="D589">
        <v>1</v>
      </c>
      <c r="E589">
        <v>11</v>
      </c>
      <c r="F589" t="s">
        <v>12048</v>
      </c>
      <c r="G589" s="25">
        <v>0.8</v>
      </c>
    </row>
    <row r="590" spans="1:7" x14ac:dyDescent="0.35">
      <c r="A590">
        <v>19</v>
      </c>
      <c r="B590" t="s">
        <v>11085</v>
      </c>
      <c r="C590">
        <v>96</v>
      </c>
      <c r="D590">
        <v>1</v>
      </c>
      <c r="E590">
        <v>13</v>
      </c>
      <c r="F590" t="s">
        <v>12048</v>
      </c>
      <c r="G590" s="25">
        <v>0.8</v>
      </c>
    </row>
    <row r="591" spans="1:7" x14ac:dyDescent="0.35">
      <c r="A591">
        <v>19</v>
      </c>
      <c r="B591" t="s">
        <v>11085</v>
      </c>
      <c r="C591">
        <v>97</v>
      </c>
      <c r="D591">
        <v>1</v>
      </c>
      <c r="E591">
        <v>12</v>
      </c>
      <c r="F591" t="s">
        <v>12048</v>
      </c>
      <c r="G591" s="25">
        <v>0.8</v>
      </c>
    </row>
    <row r="592" spans="1:7" x14ac:dyDescent="0.35">
      <c r="A592">
        <v>19</v>
      </c>
      <c r="B592" t="s">
        <v>11085</v>
      </c>
      <c r="C592">
        <v>98</v>
      </c>
      <c r="D592">
        <v>1</v>
      </c>
      <c r="E592">
        <v>9</v>
      </c>
      <c r="F592" t="s">
        <v>12048</v>
      </c>
      <c r="G592" s="25">
        <v>0.8</v>
      </c>
    </row>
    <row r="593" spans="1:7" x14ac:dyDescent="0.35">
      <c r="A593">
        <v>19</v>
      </c>
      <c r="B593" t="s">
        <v>11085</v>
      </c>
      <c r="C593">
        <v>99</v>
      </c>
      <c r="D593">
        <v>1</v>
      </c>
      <c r="E593">
        <v>9</v>
      </c>
      <c r="F593" t="s">
        <v>12048</v>
      </c>
      <c r="G593" s="25">
        <v>0.8</v>
      </c>
    </row>
    <row r="594" spans="1:7" x14ac:dyDescent="0.35">
      <c r="A594">
        <v>19</v>
      </c>
      <c r="B594" t="s">
        <v>11085</v>
      </c>
      <c r="C594">
        <v>100</v>
      </c>
      <c r="D594">
        <v>1</v>
      </c>
      <c r="E594">
        <v>5</v>
      </c>
      <c r="F594" t="s">
        <v>12048</v>
      </c>
      <c r="G594" s="25">
        <v>0.8</v>
      </c>
    </row>
    <row r="595" spans="1:7" x14ac:dyDescent="0.35">
      <c r="A595">
        <v>19</v>
      </c>
      <c r="B595" t="s">
        <v>11085</v>
      </c>
      <c r="C595">
        <v>101</v>
      </c>
      <c r="D595">
        <v>1</v>
      </c>
      <c r="E595">
        <v>8</v>
      </c>
      <c r="F595" t="s">
        <v>12048</v>
      </c>
      <c r="G595" s="25">
        <v>0.8</v>
      </c>
    </row>
    <row r="596" spans="1:7" x14ac:dyDescent="0.35">
      <c r="A596">
        <v>19</v>
      </c>
      <c r="B596" t="s">
        <v>11085</v>
      </c>
      <c r="C596">
        <v>102</v>
      </c>
      <c r="D596">
        <v>1</v>
      </c>
      <c r="E596">
        <v>28</v>
      </c>
      <c r="F596" t="s">
        <v>12048</v>
      </c>
      <c r="G596" s="25">
        <v>0.8</v>
      </c>
    </row>
    <row r="597" spans="1:7" x14ac:dyDescent="0.35">
      <c r="A597">
        <v>19</v>
      </c>
      <c r="B597" t="s">
        <v>11085</v>
      </c>
      <c r="C597">
        <v>103</v>
      </c>
      <c r="D597">
        <v>1</v>
      </c>
      <c r="E597">
        <v>22</v>
      </c>
      <c r="F597" t="s">
        <v>12048</v>
      </c>
      <c r="G597" s="25">
        <v>0.8</v>
      </c>
    </row>
    <row r="598" spans="1:7" x14ac:dyDescent="0.35">
      <c r="A598">
        <v>19</v>
      </c>
      <c r="B598" t="s">
        <v>11085</v>
      </c>
      <c r="C598">
        <v>104</v>
      </c>
      <c r="D598">
        <v>1</v>
      </c>
      <c r="E598">
        <v>35</v>
      </c>
      <c r="F598" t="s">
        <v>12048</v>
      </c>
      <c r="G598" s="25">
        <v>0.8</v>
      </c>
    </row>
    <row r="599" spans="1:7" x14ac:dyDescent="0.35">
      <c r="A599">
        <v>19</v>
      </c>
      <c r="B599" t="s">
        <v>11085</v>
      </c>
      <c r="C599">
        <v>105</v>
      </c>
      <c r="D599">
        <v>1</v>
      </c>
      <c r="E599">
        <v>45</v>
      </c>
      <c r="F599" t="s">
        <v>12048</v>
      </c>
      <c r="G599" s="25">
        <v>0.8</v>
      </c>
    </row>
    <row r="600" spans="1:7" x14ac:dyDescent="0.35">
      <c r="A600">
        <v>19</v>
      </c>
      <c r="B600" t="s">
        <v>11085</v>
      </c>
      <c r="C600">
        <v>106</v>
      </c>
      <c r="D600">
        <v>1</v>
      </c>
      <c r="E600">
        <v>48</v>
      </c>
      <c r="F600" t="s">
        <v>12048</v>
      </c>
      <c r="G600" s="25">
        <v>0.8</v>
      </c>
    </row>
    <row r="601" spans="1:7" x14ac:dyDescent="0.35">
      <c r="A601">
        <v>19</v>
      </c>
      <c r="B601" t="s">
        <v>11085</v>
      </c>
      <c r="C601">
        <v>107</v>
      </c>
      <c r="D601">
        <v>1</v>
      </c>
      <c r="E601">
        <v>43</v>
      </c>
      <c r="F601" t="s">
        <v>12048</v>
      </c>
      <c r="G601" s="25">
        <v>0.8</v>
      </c>
    </row>
    <row r="602" spans="1:7" x14ac:dyDescent="0.35">
      <c r="A602">
        <v>19</v>
      </c>
      <c r="B602" t="s">
        <v>11085</v>
      </c>
      <c r="C602">
        <v>108</v>
      </c>
      <c r="D602">
        <v>1</v>
      </c>
      <c r="E602">
        <v>13</v>
      </c>
      <c r="F602" t="s">
        <v>12048</v>
      </c>
      <c r="G602" s="25">
        <v>0.8</v>
      </c>
    </row>
    <row r="603" spans="1:7" x14ac:dyDescent="0.35">
      <c r="A603">
        <v>19</v>
      </c>
      <c r="B603" t="s">
        <v>11085</v>
      </c>
      <c r="C603">
        <v>109</v>
      </c>
      <c r="D603">
        <v>1</v>
      </c>
      <c r="E603">
        <v>31</v>
      </c>
      <c r="F603" t="s">
        <v>12048</v>
      </c>
      <c r="G603" s="25">
        <v>0.8</v>
      </c>
    </row>
    <row r="604" spans="1:7" x14ac:dyDescent="0.35">
      <c r="A604">
        <v>19</v>
      </c>
      <c r="B604" t="s">
        <v>11085</v>
      </c>
      <c r="C604">
        <v>110</v>
      </c>
      <c r="D604">
        <v>1</v>
      </c>
      <c r="E604">
        <v>7</v>
      </c>
      <c r="F604" t="s">
        <v>12048</v>
      </c>
      <c r="G604" s="25">
        <v>0.8</v>
      </c>
    </row>
    <row r="605" spans="1:7" x14ac:dyDescent="0.35">
      <c r="A605">
        <v>19</v>
      </c>
      <c r="B605" t="s">
        <v>11085</v>
      </c>
      <c r="C605">
        <v>111</v>
      </c>
      <c r="D605">
        <v>1</v>
      </c>
      <c r="E605">
        <v>10</v>
      </c>
      <c r="F605" t="s">
        <v>12048</v>
      </c>
      <c r="G605" s="25">
        <v>0.8</v>
      </c>
    </row>
    <row r="606" spans="1:7" x14ac:dyDescent="0.35">
      <c r="A606">
        <v>19</v>
      </c>
      <c r="B606" t="s">
        <v>11085</v>
      </c>
      <c r="C606">
        <v>112</v>
      </c>
      <c r="D606">
        <v>1</v>
      </c>
      <c r="E606">
        <v>10</v>
      </c>
      <c r="F606" t="s">
        <v>12048</v>
      </c>
      <c r="G606" s="25">
        <v>0.8</v>
      </c>
    </row>
    <row r="607" spans="1:7" x14ac:dyDescent="0.35">
      <c r="A607">
        <v>19</v>
      </c>
      <c r="B607" t="s">
        <v>11085</v>
      </c>
      <c r="C607">
        <v>113</v>
      </c>
      <c r="D607">
        <v>1</v>
      </c>
      <c r="E607">
        <v>9</v>
      </c>
      <c r="F607" t="s">
        <v>12048</v>
      </c>
      <c r="G607" s="25">
        <v>0.8</v>
      </c>
    </row>
    <row r="608" spans="1:7" x14ac:dyDescent="0.35">
      <c r="A608">
        <v>19</v>
      </c>
      <c r="B608" t="s">
        <v>11085</v>
      </c>
      <c r="C608">
        <v>114</v>
      </c>
      <c r="D608">
        <v>1</v>
      </c>
      <c r="E608">
        <v>8</v>
      </c>
      <c r="F608" t="s">
        <v>12048</v>
      </c>
      <c r="G608" s="25">
        <v>0.8</v>
      </c>
    </row>
    <row r="609" spans="1:7" x14ac:dyDescent="0.35">
      <c r="A609">
        <v>19</v>
      </c>
      <c r="B609" t="s">
        <v>11085</v>
      </c>
      <c r="C609">
        <v>115</v>
      </c>
      <c r="D609">
        <v>1</v>
      </c>
      <c r="E609">
        <v>18</v>
      </c>
      <c r="F609" t="s">
        <v>12048</v>
      </c>
      <c r="G609" s="25">
        <v>0.8</v>
      </c>
    </row>
    <row r="610" spans="1:7" x14ac:dyDescent="0.35">
      <c r="A610">
        <v>19</v>
      </c>
      <c r="B610" t="s">
        <v>11085</v>
      </c>
      <c r="C610">
        <v>116</v>
      </c>
      <c r="D610">
        <v>1</v>
      </c>
      <c r="E610">
        <v>19</v>
      </c>
      <c r="F610" t="s">
        <v>12048</v>
      </c>
      <c r="G610" s="25">
        <v>0.8</v>
      </c>
    </row>
    <row r="611" spans="1:7" x14ac:dyDescent="0.35">
      <c r="A611">
        <v>19</v>
      </c>
      <c r="B611" t="s">
        <v>11085</v>
      </c>
      <c r="C611">
        <v>117</v>
      </c>
      <c r="D611">
        <v>1</v>
      </c>
      <c r="E611">
        <v>2</v>
      </c>
      <c r="F611" t="s">
        <v>12048</v>
      </c>
      <c r="G611" s="25">
        <v>0.8</v>
      </c>
    </row>
    <row r="612" spans="1:7" x14ac:dyDescent="0.35">
      <c r="A612">
        <v>19</v>
      </c>
      <c r="B612" t="s">
        <v>11085</v>
      </c>
      <c r="C612">
        <v>118</v>
      </c>
      <c r="D612">
        <v>1</v>
      </c>
      <c r="E612">
        <v>29</v>
      </c>
      <c r="F612" t="s">
        <v>12048</v>
      </c>
      <c r="G612" s="25">
        <v>0.8</v>
      </c>
    </row>
    <row r="613" spans="1:7" x14ac:dyDescent="0.35">
      <c r="A613">
        <v>19</v>
      </c>
      <c r="B613" t="s">
        <v>11085</v>
      </c>
      <c r="C613">
        <v>119</v>
      </c>
      <c r="D613">
        <v>1</v>
      </c>
      <c r="E613">
        <v>176</v>
      </c>
      <c r="F613" t="s">
        <v>12048</v>
      </c>
      <c r="G613" s="25">
        <v>0.8</v>
      </c>
    </row>
    <row r="614" spans="1:7" x14ac:dyDescent="0.35">
      <c r="A614">
        <v>19</v>
      </c>
      <c r="B614" t="s">
        <v>11085</v>
      </c>
      <c r="C614">
        <v>120</v>
      </c>
      <c r="D614">
        <v>1</v>
      </c>
      <c r="E614">
        <v>7</v>
      </c>
      <c r="F614" t="s">
        <v>12048</v>
      </c>
      <c r="G614" s="25">
        <v>0.8</v>
      </c>
    </row>
    <row r="615" spans="1:7" x14ac:dyDescent="0.35">
      <c r="A615">
        <v>19</v>
      </c>
      <c r="B615" t="s">
        <v>11085</v>
      </c>
      <c r="C615">
        <v>121</v>
      </c>
      <c r="D615">
        <v>1</v>
      </c>
      <c r="E615">
        <v>8</v>
      </c>
      <c r="F615" t="s">
        <v>12048</v>
      </c>
      <c r="G615" s="25">
        <v>0.8</v>
      </c>
    </row>
    <row r="616" spans="1:7" x14ac:dyDescent="0.35">
      <c r="A616">
        <v>19</v>
      </c>
      <c r="B616" t="s">
        <v>11085</v>
      </c>
      <c r="C616">
        <v>122</v>
      </c>
      <c r="D616">
        <v>1</v>
      </c>
      <c r="E616">
        <v>9</v>
      </c>
      <c r="F616" t="s">
        <v>12048</v>
      </c>
      <c r="G616" s="25">
        <v>0.8</v>
      </c>
    </row>
    <row r="617" spans="1:7" x14ac:dyDescent="0.35">
      <c r="A617">
        <v>19</v>
      </c>
      <c r="B617" t="s">
        <v>11085</v>
      </c>
      <c r="C617">
        <v>123</v>
      </c>
      <c r="D617">
        <v>1</v>
      </c>
      <c r="E617">
        <v>4</v>
      </c>
      <c r="F617" t="s">
        <v>12048</v>
      </c>
      <c r="G617" s="25">
        <v>0.8</v>
      </c>
    </row>
    <row r="618" spans="1:7" x14ac:dyDescent="0.35">
      <c r="A618">
        <v>19</v>
      </c>
      <c r="B618" t="s">
        <v>11085</v>
      </c>
      <c r="C618">
        <v>124</v>
      </c>
      <c r="D618">
        <v>1</v>
      </c>
      <c r="E618">
        <v>8</v>
      </c>
      <c r="F618" t="s">
        <v>12048</v>
      </c>
      <c r="G618" s="25">
        <v>0.8</v>
      </c>
    </row>
    <row r="619" spans="1:7" x14ac:dyDescent="0.35">
      <c r="A619">
        <v>19</v>
      </c>
      <c r="B619" t="s">
        <v>11085</v>
      </c>
      <c r="C619">
        <v>125</v>
      </c>
      <c r="D619">
        <v>1</v>
      </c>
      <c r="E619">
        <v>5</v>
      </c>
      <c r="F619" t="s">
        <v>12048</v>
      </c>
      <c r="G619" s="25">
        <v>0.8</v>
      </c>
    </row>
    <row r="620" spans="1:7" x14ac:dyDescent="0.35">
      <c r="A620">
        <v>19</v>
      </c>
      <c r="B620" t="s">
        <v>11085</v>
      </c>
      <c r="C620">
        <v>126</v>
      </c>
      <c r="D620">
        <v>1</v>
      </c>
      <c r="E620">
        <v>6</v>
      </c>
      <c r="F620" t="s">
        <v>12048</v>
      </c>
      <c r="G620" s="25">
        <v>0.8</v>
      </c>
    </row>
    <row r="621" spans="1:7" x14ac:dyDescent="0.35">
      <c r="A621">
        <v>19</v>
      </c>
      <c r="B621" t="s">
        <v>11085</v>
      </c>
      <c r="C621">
        <v>127</v>
      </c>
      <c r="D621">
        <v>1</v>
      </c>
      <c r="E621">
        <v>5</v>
      </c>
      <c r="F621" t="s">
        <v>12048</v>
      </c>
      <c r="G621" s="25">
        <v>0.8</v>
      </c>
    </row>
    <row r="622" spans="1:7" x14ac:dyDescent="0.35">
      <c r="A622">
        <v>19</v>
      </c>
      <c r="B622" t="s">
        <v>11085</v>
      </c>
      <c r="C622">
        <v>128</v>
      </c>
      <c r="D622">
        <v>1</v>
      </c>
      <c r="E622">
        <v>6</v>
      </c>
      <c r="F622" t="s">
        <v>12048</v>
      </c>
      <c r="G622" s="25">
        <v>0.8</v>
      </c>
    </row>
    <row r="623" spans="1:7" x14ac:dyDescent="0.35">
      <c r="A623">
        <v>19</v>
      </c>
      <c r="B623" t="s">
        <v>11085</v>
      </c>
      <c r="C623">
        <v>129</v>
      </c>
      <c r="D623">
        <v>1</v>
      </c>
      <c r="E623">
        <v>8</v>
      </c>
      <c r="F623" t="s">
        <v>12048</v>
      </c>
      <c r="G623" s="25">
        <v>0.8</v>
      </c>
    </row>
    <row r="624" spans="1:7" x14ac:dyDescent="0.35">
      <c r="A624">
        <v>19</v>
      </c>
      <c r="B624" t="s">
        <v>11085</v>
      </c>
      <c r="C624">
        <v>130</v>
      </c>
      <c r="D624">
        <v>1</v>
      </c>
      <c r="E624">
        <v>8</v>
      </c>
      <c r="F624" t="s">
        <v>12048</v>
      </c>
      <c r="G624" s="25">
        <v>0.8</v>
      </c>
    </row>
    <row r="625" spans="1:7" x14ac:dyDescent="0.35">
      <c r="A625">
        <v>19</v>
      </c>
      <c r="B625" t="s">
        <v>11085</v>
      </c>
      <c r="C625">
        <v>131</v>
      </c>
      <c r="D625">
        <v>1</v>
      </c>
      <c r="E625">
        <v>3</v>
      </c>
      <c r="F625" t="s">
        <v>12048</v>
      </c>
      <c r="G625" s="25">
        <v>0.8</v>
      </c>
    </row>
    <row r="626" spans="1:7" x14ac:dyDescent="0.35">
      <c r="A626">
        <v>19</v>
      </c>
      <c r="B626" t="s">
        <v>11085</v>
      </c>
      <c r="C626">
        <v>132</v>
      </c>
      <c r="D626">
        <v>1</v>
      </c>
      <c r="E626">
        <v>18</v>
      </c>
      <c r="F626" t="s">
        <v>12048</v>
      </c>
      <c r="G626" s="25">
        <v>0.8</v>
      </c>
    </row>
    <row r="627" spans="1:7" x14ac:dyDescent="0.35">
      <c r="A627">
        <v>19</v>
      </c>
      <c r="B627" t="s">
        <v>11085</v>
      </c>
      <c r="C627">
        <v>133</v>
      </c>
      <c r="D627">
        <v>1</v>
      </c>
      <c r="E627">
        <v>3</v>
      </c>
      <c r="F627" t="s">
        <v>12048</v>
      </c>
      <c r="G627" s="25">
        <v>0.8</v>
      </c>
    </row>
    <row r="628" spans="1:7" x14ac:dyDescent="0.35">
      <c r="A628">
        <v>19</v>
      </c>
      <c r="B628" t="s">
        <v>11085</v>
      </c>
      <c r="C628">
        <v>134</v>
      </c>
      <c r="D628">
        <v>1</v>
      </c>
      <c r="E628">
        <v>3</v>
      </c>
      <c r="F628" t="s">
        <v>12048</v>
      </c>
      <c r="G628" s="25">
        <v>0.8</v>
      </c>
    </row>
    <row r="629" spans="1:7" x14ac:dyDescent="0.35">
      <c r="A629">
        <v>19</v>
      </c>
      <c r="B629" t="s">
        <v>11085</v>
      </c>
      <c r="C629">
        <v>135</v>
      </c>
      <c r="D629">
        <v>1</v>
      </c>
      <c r="E629">
        <v>21</v>
      </c>
      <c r="F629" t="s">
        <v>12048</v>
      </c>
      <c r="G629" s="25">
        <v>0.8</v>
      </c>
    </row>
    <row r="630" spans="1:7" x14ac:dyDescent="0.35">
      <c r="A630">
        <v>19</v>
      </c>
      <c r="B630" t="s">
        <v>11085</v>
      </c>
      <c r="C630">
        <v>136</v>
      </c>
      <c r="D630">
        <v>1</v>
      </c>
      <c r="E630">
        <v>26</v>
      </c>
      <c r="F630" t="s">
        <v>12048</v>
      </c>
      <c r="G630" s="25">
        <v>0.8</v>
      </c>
    </row>
    <row r="631" spans="1:7" x14ac:dyDescent="0.35">
      <c r="A631">
        <v>19</v>
      </c>
      <c r="B631" t="s">
        <v>11085</v>
      </c>
      <c r="C631">
        <v>137</v>
      </c>
      <c r="D631">
        <v>1</v>
      </c>
      <c r="E631">
        <v>9</v>
      </c>
      <c r="F631" t="s">
        <v>12049</v>
      </c>
      <c r="G631" s="25">
        <v>0.85</v>
      </c>
    </row>
    <row r="632" spans="1:7" x14ac:dyDescent="0.35">
      <c r="A632">
        <v>19</v>
      </c>
      <c r="B632" t="s">
        <v>11085</v>
      </c>
      <c r="C632">
        <v>138</v>
      </c>
      <c r="D632">
        <v>1</v>
      </c>
      <c r="E632">
        <v>8</v>
      </c>
      <c r="F632" t="s">
        <v>12048</v>
      </c>
      <c r="G632" s="25">
        <v>0.8</v>
      </c>
    </row>
    <row r="633" spans="1:7" x14ac:dyDescent="0.35">
      <c r="A633">
        <v>19</v>
      </c>
      <c r="B633" t="s">
        <v>11085</v>
      </c>
      <c r="C633">
        <v>139</v>
      </c>
      <c r="D633">
        <v>1</v>
      </c>
      <c r="E633">
        <v>24</v>
      </c>
      <c r="F633" t="s">
        <v>12048</v>
      </c>
      <c r="G633" s="25">
        <v>0.8</v>
      </c>
    </row>
    <row r="634" spans="1:7" x14ac:dyDescent="0.35">
      <c r="A634">
        <v>19</v>
      </c>
      <c r="B634" t="s">
        <v>11085</v>
      </c>
      <c r="C634">
        <v>140</v>
      </c>
      <c r="D634">
        <v>1</v>
      </c>
      <c r="E634">
        <v>13</v>
      </c>
      <c r="F634" t="s">
        <v>12048</v>
      </c>
      <c r="G634" s="25">
        <v>0.8</v>
      </c>
    </row>
    <row r="635" spans="1:7" x14ac:dyDescent="0.35">
      <c r="A635">
        <v>19</v>
      </c>
      <c r="B635" t="s">
        <v>11085</v>
      </c>
      <c r="C635">
        <v>141</v>
      </c>
      <c r="D635">
        <v>1</v>
      </c>
      <c r="E635">
        <v>10</v>
      </c>
      <c r="F635" t="s">
        <v>12048</v>
      </c>
      <c r="G635" s="25">
        <v>0.8</v>
      </c>
    </row>
    <row r="636" spans="1:7" x14ac:dyDescent="0.35">
      <c r="A636">
        <v>19</v>
      </c>
      <c r="B636" t="s">
        <v>11085</v>
      </c>
      <c r="C636">
        <v>142</v>
      </c>
      <c r="D636">
        <v>1</v>
      </c>
      <c r="E636">
        <v>7</v>
      </c>
      <c r="F636" t="s">
        <v>12048</v>
      </c>
      <c r="G636" s="25">
        <v>0.8</v>
      </c>
    </row>
    <row r="637" spans="1:7" x14ac:dyDescent="0.35">
      <c r="A637">
        <v>19</v>
      </c>
      <c r="B637" t="s">
        <v>11085</v>
      </c>
      <c r="C637">
        <v>143</v>
      </c>
      <c r="D637">
        <v>1</v>
      </c>
      <c r="E637">
        <v>12</v>
      </c>
      <c r="F637" t="s">
        <v>12048</v>
      </c>
      <c r="G637" s="25">
        <v>0.8</v>
      </c>
    </row>
    <row r="638" spans="1:7" x14ac:dyDescent="0.35">
      <c r="A638">
        <v>19</v>
      </c>
      <c r="B638" t="s">
        <v>11085</v>
      </c>
      <c r="C638">
        <v>144</v>
      </c>
      <c r="D638">
        <v>1</v>
      </c>
      <c r="E638">
        <v>15</v>
      </c>
      <c r="F638" t="s">
        <v>12048</v>
      </c>
      <c r="G638" s="25">
        <v>0.8</v>
      </c>
    </row>
    <row r="639" spans="1:7" x14ac:dyDescent="0.35">
      <c r="A639">
        <v>19</v>
      </c>
      <c r="B639" t="s">
        <v>11085</v>
      </c>
      <c r="C639">
        <v>145</v>
      </c>
      <c r="D639">
        <v>1</v>
      </c>
      <c r="E639">
        <v>21</v>
      </c>
      <c r="F639" t="s">
        <v>12048</v>
      </c>
      <c r="G639" s="25">
        <v>0.8</v>
      </c>
    </row>
    <row r="640" spans="1:7" x14ac:dyDescent="0.35">
      <c r="A640">
        <v>19</v>
      </c>
      <c r="B640" t="s">
        <v>11085</v>
      </c>
      <c r="C640">
        <v>146</v>
      </c>
      <c r="D640">
        <v>1</v>
      </c>
      <c r="E640">
        <v>10</v>
      </c>
      <c r="F640" t="s">
        <v>12048</v>
      </c>
      <c r="G640" s="25">
        <v>0.8</v>
      </c>
    </row>
    <row r="641" spans="1:7" x14ac:dyDescent="0.35">
      <c r="A641">
        <v>19</v>
      </c>
      <c r="B641" t="s">
        <v>11085</v>
      </c>
      <c r="C641">
        <v>147</v>
      </c>
      <c r="D641">
        <v>1</v>
      </c>
      <c r="E641">
        <v>20</v>
      </c>
      <c r="F641" t="s">
        <v>12048</v>
      </c>
      <c r="G641" s="25">
        <v>0.8</v>
      </c>
    </row>
    <row r="642" spans="1:7" x14ac:dyDescent="0.35">
      <c r="A642">
        <v>19</v>
      </c>
      <c r="B642" t="s">
        <v>11085</v>
      </c>
      <c r="C642">
        <v>148</v>
      </c>
      <c r="D642">
        <v>1</v>
      </c>
      <c r="E642">
        <v>14</v>
      </c>
      <c r="F642" t="s">
        <v>12048</v>
      </c>
      <c r="G642" s="25">
        <v>0.8</v>
      </c>
    </row>
    <row r="643" spans="1:7" x14ac:dyDescent="0.35">
      <c r="A643">
        <v>19</v>
      </c>
      <c r="B643" t="s">
        <v>11085</v>
      </c>
      <c r="C643">
        <v>149</v>
      </c>
      <c r="D643">
        <v>1</v>
      </c>
      <c r="E643">
        <v>9</v>
      </c>
      <c r="F643" t="s">
        <v>12048</v>
      </c>
      <c r="G643" s="25">
        <v>0.8</v>
      </c>
    </row>
    <row r="644" spans="1:7" x14ac:dyDescent="0.35">
      <c r="A644">
        <v>19</v>
      </c>
      <c r="B644" t="s">
        <v>11085</v>
      </c>
      <c r="C644">
        <v>150</v>
      </c>
      <c r="D644">
        <v>1</v>
      </c>
      <c r="E644">
        <v>6</v>
      </c>
      <c r="F644" t="s">
        <v>12048</v>
      </c>
      <c r="G644" s="25">
        <v>0.8</v>
      </c>
    </row>
    <row r="645" spans="1:7" x14ac:dyDescent="0.35">
      <c r="A645">
        <v>20</v>
      </c>
      <c r="B645" t="s">
        <v>11087</v>
      </c>
      <c r="C645">
        <v>1</v>
      </c>
      <c r="D645">
        <v>1</v>
      </c>
      <c r="E645">
        <v>33</v>
      </c>
      <c r="F645" t="s">
        <v>12050</v>
      </c>
      <c r="G645" s="25">
        <v>0.8</v>
      </c>
    </row>
    <row r="646" spans="1:7" x14ac:dyDescent="0.35">
      <c r="A646">
        <v>20</v>
      </c>
      <c r="B646" t="s">
        <v>11087</v>
      </c>
      <c r="C646">
        <v>2</v>
      </c>
      <c r="D646">
        <v>1</v>
      </c>
      <c r="E646">
        <v>22</v>
      </c>
      <c r="F646" t="s">
        <v>12050</v>
      </c>
      <c r="G646" s="25">
        <v>0.8</v>
      </c>
    </row>
    <row r="647" spans="1:7" x14ac:dyDescent="0.35">
      <c r="A647">
        <v>20</v>
      </c>
      <c r="B647" t="s">
        <v>11087</v>
      </c>
      <c r="C647">
        <v>3</v>
      </c>
      <c r="D647">
        <v>1</v>
      </c>
      <c r="E647">
        <v>35</v>
      </c>
      <c r="F647" t="s">
        <v>12050</v>
      </c>
      <c r="G647" s="25">
        <v>0.8</v>
      </c>
    </row>
    <row r="648" spans="1:7" x14ac:dyDescent="0.35">
      <c r="A648">
        <v>20</v>
      </c>
      <c r="B648" t="s">
        <v>11087</v>
      </c>
      <c r="C648">
        <v>4</v>
      </c>
      <c r="D648">
        <v>1</v>
      </c>
      <c r="E648">
        <v>27</v>
      </c>
      <c r="F648" t="s">
        <v>12050</v>
      </c>
      <c r="G648" s="25">
        <v>0.8</v>
      </c>
    </row>
    <row r="649" spans="1:7" x14ac:dyDescent="0.35">
      <c r="A649">
        <v>20</v>
      </c>
      <c r="B649" t="s">
        <v>11087</v>
      </c>
      <c r="C649">
        <v>5</v>
      </c>
      <c r="D649">
        <v>1</v>
      </c>
      <c r="E649">
        <v>23</v>
      </c>
      <c r="F649" t="s">
        <v>12050</v>
      </c>
      <c r="G649" s="25">
        <v>0.8</v>
      </c>
    </row>
    <row r="650" spans="1:7" x14ac:dyDescent="0.35">
      <c r="A650">
        <v>20</v>
      </c>
      <c r="B650" t="s">
        <v>11087</v>
      </c>
      <c r="C650">
        <v>6</v>
      </c>
      <c r="D650">
        <v>1</v>
      </c>
      <c r="E650">
        <v>35</v>
      </c>
      <c r="F650" t="s">
        <v>12050</v>
      </c>
      <c r="G650" s="25">
        <v>0.8</v>
      </c>
    </row>
    <row r="651" spans="1:7" x14ac:dyDescent="0.35">
      <c r="A651">
        <v>20</v>
      </c>
      <c r="B651" t="s">
        <v>11087</v>
      </c>
      <c r="C651">
        <v>7</v>
      </c>
      <c r="D651">
        <v>1</v>
      </c>
      <c r="E651">
        <v>27</v>
      </c>
      <c r="F651" t="s">
        <v>12050</v>
      </c>
      <c r="G651" s="25">
        <v>0.8</v>
      </c>
    </row>
    <row r="652" spans="1:7" x14ac:dyDescent="0.35">
      <c r="A652">
        <v>20</v>
      </c>
      <c r="B652" t="s">
        <v>11087</v>
      </c>
      <c r="C652">
        <v>8</v>
      </c>
      <c r="D652">
        <v>1</v>
      </c>
      <c r="E652">
        <v>36</v>
      </c>
      <c r="F652" t="s">
        <v>12050</v>
      </c>
      <c r="G652" s="25">
        <v>0.8</v>
      </c>
    </row>
    <row r="653" spans="1:7" x14ac:dyDescent="0.35">
      <c r="A653">
        <v>20</v>
      </c>
      <c r="B653" t="s">
        <v>11087</v>
      </c>
      <c r="C653">
        <v>9</v>
      </c>
      <c r="D653">
        <v>1</v>
      </c>
      <c r="E653">
        <v>18</v>
      </c>
      <c r="F653" t="s">
        <v>12050</v>
      </c>
      <c r="G653" s="25">
        <v>0.8</v>
      </c>
    </row>
    <row r="654" spans="1:7" x14ac:dyDescent="0.35">
      <c r="A654">
        <v>20</v>
      </c>
      <c r="B654" t="s">
        <v>11087</v>
      </c>
      <c r="C654">
        <v>10</v>
      </c>
      <c r="D654">
        <v>1</v>
      </c>
      <c r="E654">
        <v>32</v>
      </c>
      <c r="F654" t="s">
        <v>12050</v>
      </c>
      <c r="G654" s="25">
        <v>0.8</v>
      </c>
    </row>
    <row r="655" spans="1:7" x14ac:dyDescent="0.35">
      <c r="A655">
        <v>20</v>
      </c>
      <c r="B655" t="s">
        <v>11087</v>
      </c>
      <c r="C655">
        <v>11</v>
      </c>
      <c r="D655">
        <v>1</v>
      </c>
      <c r="E655">
        <v>31</v>
      </c>
      <c r="F655" t="s">
        <v>12050</v>
      </c>
      <c r="G655" s="25">
        <v>0.8</v>
      </c>
    </row>
    <row r="656" spans="1:7" x14ac:dyDescent="0.35">
      <c r="A656">
        <v>20</v>
      </c>
      <c r="B656" t="s">
        <v>11087</v>
      </c>
      <c r="C656">
        <v>12</v>
      </c>
      <c r="D656">
        <v>1</v>
      </c>
      <c r="E656">
        <v>28</v>
      </c>
      <c r="F656" t="s">
        <v>12050</v>
      </c>
      <c r="G656" s="25">
        <v>0.8</v>
      </c>
    </row>
    <row r="657" spans="1:7" x14ac:dyDescent="0.35">
      <c r="A657">
        <v>20</v>
      </c>
      <c r="B657" t="s">
        <v>11087</v>
      </c>
      <c r="C657">
        <v>13</v>
      </c>
      <c r="D657">
        <v>1</v>
      </c>
      <c r="E657">
        <v>25</v>
      </c>
      <c r="F657" t="s">
        <v>12050</v>
      </c>
      <c r="G657" s="25">
        <v>0.8</v>
      </c>
    </row>
    <row r="658" spans="1:7" x14ac:dyDescent="0.35">
      <c r="A658">
        <v>20</v>
      </c>
      <c r="B658" t="s">
        <v>11087</v>
      </c>
      <c r="C658">
        <v>14</v>
      </c>
      <c r="D658">
        <v>1</v>
      </c>
      <c r="E658">
        <v>35</v>
      </c>
      <c r="F658" t="s">
        <v>12050</v>
      </c>
      <c r="G658" s="25">
        <v>0.8</v>
      </c>
    </row>
    <row r="659" spans="1:7" x14ac:dyDescent="0.35">
      <c r="A659">
        <v>20</v>
      </c>
      <c r="B659" t="s">
        <v>11087</v>
      </c>
      <c r="C659">
        <v>15</v>
      </c>
      <c r="D659">
        <v>1</v>
      </c>
      <c r="E659">
        <v>33</v>
      </c>
      <c r="F659" t="s">
        <v>12050</v>
      </c>
      <c r="G659" s="25">
        <v>0.8</v>
      </c>
    </row>
    <row r="660" spans="1:7" x14ac:dyDescent="0.35">
      <c r="A660">
        <v>20</v>
      </c>
      <c r="B660" t="s">
        <v>11087</v>
      </c>
      <c r="C660">
        <v>16</v>
      </c>
      <c r="D660">
        <v>1</v>
      </c>
      <c r="E660">
        <v>33</v>
      </c>
      <c r="F660" t="s">
        <v>12050</v>
      </c>
      <c r="G660" s="25">
        <v>0.8</v>
      </c>
    </row>
    <row r="661" spans="1:7" x14ac:dyDescent="0.35">
      <c r="A661">
        <v>20</v>
      </c>
      <c r="B661" t="s">
        <v>11087</v>
      </c>
      <c r="C661">
        <v>17</v>
      </c>
      <c r="D661">
        <v>1</v>
      </c>
      <c r="E661">
        <v>28</v>
      </c>
      <c r="F661" t="s">
        <v>12050</v>
      </c>
      <c r="G661" s="25">
        <v>0.8</v>
      </c>
    </row>
    <row r="662" spans="1:7" x14ac:dyDescent="0.35">
      <c r="A662">
        <v>20</v>
      </c>
      <c r="B662" t="s">
        <v>11087</v>
      </c>
      <c r="C662">
        <v>18</v>
      </c>
      <c r="D662">
        <v>1</v>
      </c>
      <c r="E662">
        <v>24</v>
      </c>
      <c r="F662" t="s">
        <v>12050</v>
      </c>
      <c r="G662" s="25">
        <v>0.8</v>
      </c>
    </row>
    <row r="663" spans="1:7" x14ac:dyDescent="0.35">
      <c r="A663">
        <v>20</v>
      </c>
      <c r="B663" t="s">
        <v>11087</v>
      </c>
      <c r="C663">
        <v>19</v>
      </c>
      <c r="D663">
        <v>1</v>
      </c>
      <c r="E663">
        <v>29</v>
      </c>
      <c r="F663" t="s">
        <v>12050</v>
      </c>
      <c r="G663" s="25">
        <v>0.8</v>
      </c>
    </row>
    <row r="664" spans="1:7" x14ac:dyDescent="0.35">
      <c r="A664">
        <v>20</v>
      </c>
      <c r="B664" t="s">
        <v>11087</v>
      </c>
      <c r="C664">
        <v>20</v>
      </c>
      <c r="D664">
        <v>1</v>
      </c>
      <c r="E664">
        <v>30</v>
      </c>
      <c r="F664" t="s">
        <v>12050</v>
      </c>
      <c r="G664" s="25">
        <v>0.8</v>
      </c>
    </row>
    <row r="665" spans="1:7" x14ac:dyDescent="0.35">
      <c r="A665">
        <v>20</v>
      </c>
      <c r="B665" t="s">
        <v>11087</v>
      </c>
      <c r="C665">
        <v>21</v>
      </c>
      <c r="D665">
        <v>1</v>
      </c>
      <c r="E665">
        <v>31</v>
      </c>
      <c r="F665" t="s">
        <v>12050</v>
      </c>
      <c r="G665" s="25">
        <v>0.8</v>
      </c>
    </row>
    <row r="666" spans="1:7" x14ac:dyDescent="0.35">
      <c r="A666">
        <v>20</v>
      </c>
      <c r="B666" t="s">
        <v>11087</v>
      </c>
      <c r="C666">
        <v>22</v>
      </c>
      <c r="D666">
        <v>1</v>
      </c>
      <c r="E666">
        <v>29</v>
      </c>
      <c r="F666" t="s">
        <v>12050</v>
      </c>
      <c r="G666" s="25">
        <v>0.8</v>
      </c>
    </row>
    <row r="667" spans="1:7" x14ac:dyDescent="0.35">
      <c r="A667">
        <v>20</v>
      </c>
      <c r="B667" t="s">
        <v>11087</v>
      </c>
      <c r="C667">
        <v>23</v>
      </c>
      <c r="D667">
        <v>1</v>
      </c>
      <c r="E667">
        <v>35</v>
      </c>
      <c r="F667" t="s">
        <v>12050</v>
      </c>
      <c r="G667" s="25">
        <v>0.8</v>
      </c>
    </row>
    <row r="668" spans="1:7" x14ac:dyDescent="0.35">
      <c r="A668">
        <v>20</v>
      </c>
      <c r="B668" t="s">
        <v>11087</v>
      </c>
      <c r="C668">
        <v>24</v>
      </c>
      <c r="D668">
        <v>1</v>
      </c>
      <c r="E668">
        <v>34</v>
      </c>
      <c r="F668" t="s">
        <v>12050</v>
      </c>
      <c r="G668" s="25">
        <v>0.8</v>
      </c>
    </row>
    <row r="669" spans="1:7" x14ac:dyDescent="0.35">
      <c r="A669">
        <v>20</v>
      </c>
      <c r="B669" t="s">
        <v>11087</v>
      </c>
      <c r="C669">
        <v>25</v>
      </c>
      <c r="D669">
        <v>1</v>
      </c>
      <c r="E669">
        <v>28</v>
      </c>
      <c r="F669" t="s">
        <v>12050</v>
      </c>
      <c r="G669" s="25">
        <v>0.8</v>
      </c>
    </row>
    <row r="670" spans="1:7" x14ac:dyDescent="0.35">
      <c r="A670">
        <v>20</v>
      </c>
      <c r="B670" t="s">
        <v>11087</v>
      </c>
      <c r="C670">
        <v>26</v>
      </c>
      <c r="D670">
        <v>1</v>
      </c>
      <c r="E670">
        <v>28</v>
      </c>
      <c r="F670" t="s">
        <v>12050</v>
      </c>
      <c r="G670" s="25">
        <v>0.8</v>
      </c>
    </row>
    <row r="671" spans="1:7" x14ac:dyDescent="0.35">
      <c r="A671">
        <v>20</v>
      </c>
      <c r="B671" t="s">
        <v>11087</v>
      </c>
      <c r="C671">
        <v>27</v>
      </c>
      <c r="D671">
        <v>1</v>
      </c>
      <c r="E671">
        <v>27</v>
      </c>
      <c r="F671" t="s">
        <v>12050</v>
      </c>
      <c r="G671" s="25">
        <v>0.8</v>
      </c>
    </row>
    <row r="672" spans="1:7" x14ac:dyDescent="0.35">
      <c r="A672">
        <v>20</v>
      </c>
      <c r="B672" t="s">
        <v>11087</v>
      </c>
      <c r="C672">
        <v>28</v>
      </c>
      <c r="D672">
        <v>1</v>
      </c>
      <c r="E672">
        <v>28</v>
      </c>
      <c r="F672" t="s">
        <v>12050</v>
      </c>
      <c r="G672" s="25">
        <v>0.8</v>
      </c>
    </row>
    <row r="673" spans="1:7" x14ac:dyDescent="0.35">
      <c r="A673">
        <v>20</v>
      </c>
      <c r="B673" t="s">
        <v>11087</v>
      </c>
      <c r="C673">
        <v>29</v>
      </c>
      <c r="D673">
        <v>1</v>
      </c>
      <c r="E673">
        <v>27</v>
      </c>
      <c r="F673" t="s">
        <v>12050</v>
      </c>
      <c r="G673" s="25">
        <v>0.8</v>
      </c>
    </row>
    <row r="674" spans="1:7" x14ac:dyDescent="0.35">
      <c r="A674">
        <v>20</v>
      </c>
      <c r="B674" t="s">
        <v>11087</v>
      </c>
      <c r="C674">
        <v>30</v>
      </c>
      <c r="D674">
        <v>1</v>
      </c>
      <c r="E674">
        <v>33</v>
      </c>
      <c r="F674" t="s">
        <v>12050</v>
      </c>
      <c r="G674" s="25">
        <v>0.8</v>
      </c>
    </row>
    <row r="675" spans="1:7" x14ac:dyDescent="0.35">
      <c r="A675">
        <v>20</v>
      </c>
      <c r="B675" t="s">
        <v>11087</v>
      </c>
      <c r="C675">
        <v>31</v>
      </c>
      <c r="D675">
        <v>1</v>
      </c>
      <c r="E675">
        <v>31</v>
      </c>
      <c r="F675" t="s">
        <v>12050</v>
      </c>
      <c r="G675" s="25">
        <v>0.8</v>
      </c>
    </row>
    <row r="676" spans="1:7" x14ac:dyDescent="0.35">
      <c r="A676">
        <v>21</v>
      </c>
      <c r="B676" t="s">
        <v>11088</v>
      </c>
      <c r="C676">
        <v>1</v>
      </c>
      <c r="D676">
        <v>1</v>
      </c>
      <c r="E676">
        <v>18</v>
      </c>
      <c r="F676" t="s">
        <v>12050</v>
      </c>
      <c r="G676" s="25">
        <v>0.8</v>
      </c>
    </row>
    <row r="677" spans="1:7" x14ac:dyDescent="0.35">
      <c r="A677">
        <v>21</v>
      </c>
      <c r="B677" t="s">
        <v>11088</v>
      </c>
      <c r="C677">
        <v>2</v>
      </c>
      <c r="D677">
        <v>1</v>
      </c>
      <c r="E677">
        <v>26</v>
      </c>
      <c r="F677" t="s">
        <v>12050</v>
      </c>
      <c r="G677" s="25">
        <v>0.8</v>
      </c>
    </row>
    <row r="678" spans="1:7" x14ac:dyDescent="0.35">
      <c r="A678">
        <v>21</v>
      </c>
      <c r="B678" t="s">
        <v>11088</v>
      </c>
      <c r="C678">
        <v>3</v>
      </c>
      <c r="D678">
        <v>1</v>
      </c>
      <c r="E678">
        <v>22</v>
      </c>
      <c r="F678" t="s">
        <v>12050</v>
      </c>
      <c r="G678" s="25">
        <v>0.8</v>
      </c>
    </row>
    <row r="679" spans="1:7" x14ac:dyDescent="0.35">
      <c r="A679">
        <v>21</v>
      </c>
      <c r="B679" t="s">
        <v>11088</v>
      </c>
      <c r="C679">
        <v>4</v>
      </c>
      <c r="D679">
        <v>1</v>
      </c>
      <c r="E679">
        <v>16</v>
      </c>
      <c r="F679" t="s">
        <v>12050</v>
      </c>
      <c r="G679" s="25">
        <v>0.8</v>
      </c>
    </row>
    <row r="680" spans="1:7" x14ac:dyDescent="0.35">
      <c r="A680">
        <v>21</v>
      </c>
      <c r="B680" t="s">
        <v>11088</v>
      </c>
      <c r="C680">
        <v>5</v>
      </c>
      <c r="D680">
        <v>1</v>
      </c>
      <c r="E680">
        <v>20</v>
      </c>
      <c r="F680" t="s">
        <v>12050</v>
      </c>
      <c r="G680" s="25">
        <v>0.8</v>
      </c>
    </row>
    <row r="681" spans="1:7" x14ac:dyDescent="0.35">
      <c r="A681">
        <v>21</v>
      </c>
      <c r="B681" t="s">
        <v>11088</v>
      </c>
      <c r="C681">
        <v>6</v>
      </c>
      <c r="D681">
        <v>1</v>
      </c>
      <c r="E681">
        <v>12</v>
      </c>
      <c r="F681" t="s">
        <v>12050</v>
      </c>
      <c r="G681" s="25">
        <v>0.8</v>
      </c>
    </row>
    <row r="682" spans="1:7" x14ac:dyDescent="0.35">
      <c r="A682">
        <v>21</v>
      </c>
      <c r="B682" t="s">
        <v>11088</v>
      </c>
      <c r="C682">
        <v>7</v>
      </c>
      <c r="D682">
        <v>1</v>
      </c>
      <c r="E682">
        <v>29</v>
      </c>
      <c r="F682" t="s">
        <v>12050</v>
      </c>
      <c r="G682" s="25">
        <v>0.8</v>
      </c>
    </row>
    <row r="683" spans="1:7" x14ac:dyDescent="0.35">
      <c r="A683">
        <v>21</v>
      </c>
      <c r="B683" t="s">
        <v>11088</v>
      </c>
      <c r="C683">
        <v>8</v>
      </c>
      <c r="D683">
        <v>1</v>
      </c>
      <c r="E683">
        <v>17</v>
      </c>
      <c r="F683" t="s">
        <v>12050</v>
      </c>
      <c r="G683" s="25">
        <v>0.8</v>
      </c>
    </row>
    <row r="684" spans="1:7" x14ac:dyDescent="0.35">
      <c r="A684">
        <v>21</v>
      </c>
      <c r="B684" t="s">
        <v>11088</v>
      </c>
      <c r="C684">
        <v>9</v>
      </c>
      <c r="D684">
        <v>1</v>
      </c>
      <c r="E684">
        <v>18</v>
      </c>
      <c r="F684" t="s">
        <v>12050</v>
      </c>
      <c r="G684" s="25">
        <v>0.8</v>
      </c>
    </row>
    <row r="685" spans="1:7" x14ac:dyDescent="0.35">
      <c r="A685">
        <v>21</v>
      </c>
      <c r="B685" t="s">
        <v>11088</v>
      </c>
      <c r="C685">
        <v>10</v>
      </c>
      <c r="D685">
        <v>1</v>
      </c>
      <c r="E685">
        <v>20</v>
      </c>
      <c r="F685" t="s">
        <v>12050</v>
      </c>
      <c r="G685" s="25">
        <v>0.8</v>
      </c>
    </row>
    <row r="686" spans="1:7" x14ac:dyDescent="0.35">
      <c r="A686">
        <v>21</v>
      </c>
      <c r="B686" t="s">
        <v>11088</v>
      </c>
      <c r="C686">
        <v>11</v>
      </c>
      <c r="D686">
        <v>1</v>
      </c>
      <c r="E686">
        <v>10</v>
      </c>
      <c r="F686" t="s">
        <v>12050</v>
      </c>
      <c r="G686" s="25">
        <v>0.8</v>
      </c>
    </row>
    <row r="687" spans="1:7" x14ac:dyDescent="0.35">
      <c r="A687">
        <v>21</v>
      </c>
      <c r="B687" t="s">
        <v>11088</v>
      </c>
      <c r="C687">
        <v>12</v>
      </c>
      <c r="D687">
        <v>1</v>
      </c>
      <c r="E687">
        <v>14</v>
      </c>
      <c r="F687" t="s">
        <v>12050</v>
      </c>
      <c r="G687" s="25">
        <v>0.8</v>
      </c>
    </row>
    <row r="688" spans="1:7" x14ac:dyDescent="0.35">
      <c r="A688">
        <v>22</v>
      </c>
      <c r="B688" t="s">
        <v>11089</v>
      </c>
      <c r="C688">
        <v>1</v>
      </c>
      <c r="D688">
        <v>1</v>
      </c>
      <c r="E688">
        <v>17</v>
      </c>
      <c r="F688" t="s">
        <v>4662</v>
      </c>
      <c r="G688" s="25">
        <v>0.8</v>
      </c>
    </row>
    <row r="689" spans="1:7" x14ac:dyDescent="0.35">
      <c r="A689">
        <v>22</v>
      </c>
      <c r="B689" t="s">
        <v>11089</v>
      </c>
      <c r="C689">
        <v>2</v>
      </c>
      <c r="D689">
        <v>1</v>
      </c>
      <c r="E689">
        <v>17</v>
      </c>
      <c r="F689" t="s">
        <v>4662</v>
      </c>
      <c r="G689" s="25">
        <v>0.8</v>
      </c>
    </row>
    <row r="690" spans="1:7" x14ac:dyDescent="0.35">
      <c r="A690">
        <v>22</v>
      </c>
      <c r="B690" t="s">
        <v>11089</v>
      </c>
      <c r="C690">
        <v>3</v>
      </c>
      <c r="D690">
        <v>1</v>
      </c>
      <c r="E690">
        <v>11</v>
      </c>
      <c r="F690" t="s">
        <v>4662</v>
      </c>
      <c r="G690" s="25">
        <v>0.8</v>
      </c>
    </row>
    <row r="691" spans="1:7" x14ac:dyDescent="0.35">
      <c r="A691">
        <v>22</v>
      </c>
      <c r="B691" t="s">
        <v>11089</v>
      </c>
      <c r="C691">
        <v>4</v>
      </c>
      <c r="D691">
        <v>1</v>
      </c>
      <c r="E691">
        <v>16</v>
      </c>
      <c r="F691" t="s">
        <v>4662</v>
      </c>
      <c r="G691" s="25">
        <v>0.8</v>
      </c>
    </row>
    <row r="692" spans="1:7" x14ac:dyDescent="0.35">
      <c r="A692">
        <v>22</v>
      </c>
      <c r="B692" t="s">
        <v>11089</v>
      </c>
      <c r="C692">
        <v>5</v>
      </c>
      <c r="D692">
        <v>1</v>
      </c>
      <c r="E692">
        <v>16</v>
      </c>
      <c r="F692" t="s">
        <v>4662</v>
      </c>
      <c r="G692" s="25">
        <v>0.8</v>
      </c>
    </row>
    <row r="693" spans="1:7" x14ac:dyDescent="0.35">
      <c r="A693">
        <v>22</v>
      </c>
      <c r="B693" t="s">
        <v>11089</v>
      </c>
      <c r="C693">
        <v>6</v>
      </c>
      <c r="D693">
        <v>1</v>
      </c>
      <c r="E693">
        <v>13</v>
      </c>
      <c r="F693" t="s">
        <v>4662</v>
      </c>
      <c r="G693" s="25">
        <v>0.8</v>
      </c>
    </row>
    <row r="694" spans="1:7" x14ac:dyDescent="0.35">
      <c r="A694">
        <v>22</v>
      </c>
      <c r="B694" t="s">
        <v>11089</v>
      </c>
      <c r="C694">
        <v>7</v>
      </c>
      <c r="D694">
        <v>1</v>
      </c>
      <c r="E694">
        <v>13</v>
      </c>
      <c r="F694" t="s">
        <v>4662</v>
      </c>
      <c r="G694" s="25">
        <v>0.8</v>
      </c>
    </row>
    <row r="695" spans="1:7" x14ac:dyDescent="0.35">
      <c r="A695">
        <v>22</v>
      </c>
      <c r="B695" t="s">
        <v>11089</v>
      </c>
      <c r="C695">
        <v>8</v>
      </c>
      <c r="D695">
        <v>1</v>
      </c>
      <c r="E695">
        <v>14</v>
      </c>
      <c r="F695" t="s">
        <v>4662</v>
      </c>
      <c r="G695" s="25">
        <v>0.8</v>
      </c>
    </row>
    <row r="696" spans="1:7" x14ac:dyDescent="0.35">
      <c r="A696">
        <v>23</v>
      </c>
      <c r="B696" t="s">
        <v>11091</v>
      </c>
      <c r="C696">
        <v>1</v>
      </c>
      <c r="D696">
        <v>1</v>
      </c>
      <c r="E696">
        <v>31</v>
      </c>
      <c r="F696" t="s">
        <v>4662</v>
      </c>
      <c r="G696" s="25">
        <v>0.9</v>
      </c>
    </row>
    <row r="697" spans="1:7" x14ac:dyDescent="0.35">
      <c r="A697">
        <v>23</v>
      </c>
      <c r="B697" t="s">
        <v>11091</v>
      </c>
      <c r="C697">
        <v>2</v>
      </c>
      <c r="D697">
        <v>1</v>
      </c>
      <c r="E697">
        <v>22</v>
      </c>
      <c r="F697" t="s">
        <v>4662</v>
      </c>
      <c r="G697" s="25">
        <v>0.9</v>
      </c>
    </row>
    <row r="698" spans="1:7" x14ac:dyDescent="0.35">
      <c r="A698">
        <v>23</v>
      </c>
      <c r="B698" t="s">
        <v>11091</v>
      </c>
      <c r="C698">
        <v>3</v>
      </c>
      <c r="D698">
        <v>1</v>
      </c>
      <c r="E698">
        <v>26</v>
      </c>
      <c r="F698" t="s">
        <v>4662</v>
      </c>
      <c r="G698" s="25">
        <v>0.9</v>
      </c>
    </row>
    <row r="699" spans="1:7" x14ac:dyDescent="0.35">
      <c r="A699">
        <v>23</v>
      </c>
      <c r="B699" t="s">
        <v>11091</v>
      </c>
      <c r="C699">
        <v>4</v>
      </c>
      <c r="D699">
        <v>1</v>
      </c>
      <c r="E699">
        <v>6</v>
      </c>
      <c r="F699" t="s">
        <v>4662</v>
      </c>
      <c r="G699" s="25">
        <v>0.9</v>
      </c>
    </row>
    <row r="700" spans="1:7" x14ac:dyDescent="0.35">
      <c r="A700">
        <v>23</v>
      </c>
      <c r="B700" t="s">
        <v>11091</v>
      </c>
      <c r="C700">
        <v>5</v>
      </c>
      <c r="D700">
        <v>1</v>
      </c>
      <c r="E700">
        <v>30</v>
      </c>
      <c r="F700" t="s">
        <v>4662</v>
      </c>
      <c r="G700" s="25">
        <v>0.9</v>
      </c>
    </row>
    <row r="701" spans="1:7" x14ac:dyDescent="0.35">
      <c r="A701">
        <v>23</v>
      </c>
      <c r="B701" t="s">
        <v>11091</v>
      </c>
      <c r="C701">
        <v>6</v>
      </c>
      <c r="D701">
        <v>1</v>
      </c>
      <c r="E701">
        <v>13</v>
      </c>
      <c r="F701" t="s">
        <v>4662</v>
      </c>
      <c r="G701" s="25">
        <v>0.9</v>
      </c>
    </row>
    <row r="702" spans="1:7" x14ac:dyDescent="0.35">
      <c r="A702">
        <v>23</v>
      </c>
      <c r="B702" t="s">
        <v>11091</v>
      </c>
      <c r="C702">
        <v>7</v>
      </c>
      <c r="D702">
        <v>1</v>
      </c>
      <c r="E702">
        <v>25</v>
      </c>
      <c r="F702" t="s">
        <v>4662</v>
      </c>
      <c r="G702" s="25">
        <v>0.9</v>
      </c>
    </row>
    <row r="703" spans="1:7" x14ac:dyDescent="0.35">
      <c r="A703">
        <v>23</v>
      </c>
      <c r="B703" t="s">
        <v>11091</v>
      </c>
      <c r="C703">
        <v>8</v>
      </c>
      <c r="D703">
        <v>1</v>
      </c>
      <c r="E703">
        <v>22</v>
      </c>
      <c r="F703" t="s">
        <v>4662</v>
      </c>
      <c r="G703" s="25">
        <v>0.9</v>
      </c>
    </row>
    <row r="704" spans="1:7" x14ac:dyDescent="0.35">
      <c r="A704">
        <v>23</v>
      </c>
      <c r="B704" t="s">
        <v>11091</v>
      </c>
      <c r="C704">
        <v>9</v>
      </c>
      <c r="D704">
        <v>1</v>
      </c>
      <c r="E704">
        <v>21</v>
      </c>
      <c r="F704" t="s">
        <v>4662</v>
      </c>
      <c r="G704" s="25">
        <v>0.9</v>
      </c>
    </row>
    <row r="705" spans="1:7" x14ac:dyDescent="0.35">
      <c r="A705">
        <v>23</v>
      </c>
      <c r="B705" t="s">
        <v>11091</v>
      </c>
      <c r="C705">
        <v>10</v>
      </c>
      <c r="D705">
        <v>1</v>
      </c>
      <c r="E705">
        <v>34</v>
      </c>
      <c r="F705" t="s">
        <v>12051</v>
      </c>
      <c r="G705" s="25">
        <v>0.85</v>
      </c>
    </row>
    <row r="706" spans="1:7" x14ac:dyDescent="0.35">
      <c r="A706">
        <v>23</v>
      </c>
      <c r="B706" t="s">
        <v>11091</v>
      </c>
      <c r="C706">
        <v>11</v>
      </c>
      <c r="D706">
        <v>1</v>
      </c>
      <c r="E706">
        <v>16</v>
      </c>
      <c r="F706" t="s">
        <v>4662</v>
      </c>
      <c r="G706" s="25">
        <v>0.9</v>
      </c>
    </row>
    <row r="707" spans="1:7" x14ac:dyDescent="0.35">
      <c r="A707">
        <v>23</v>
      </c>
      <c r="B707" t="s">
        <v>11091</v>
      </c>
      <c r="C707">
        <v>12</v>
      </c>
      <c r="D707">
        <v>1</v>
      </c>
      <c r="E707">
        <v>6</v>
      </c>
      <c r="F707" t="s">
        <v>4662</v>
      </c>
      <c r="G707" s="25">
        <v>0.9</v>
      </c>
    </row>
    <row r="708" spans="1:7" x14ac:dyDescent="0.35">
      <c r="A708">
        <v>23</v>
      </c>
      <c r="B708" t="s">
        <v>11091</v>
      </c>
      <c r="C708">
        <v>13</v>
      </c>
      <c r="D708">
        <v>1</v>
      </c>
      <c r="E708">
        <v>22</v>
      </c>
      <c r="F708" t="s">
        <v>3133</v>
      </c>
      <c r="G708" s="25">
        <v>0.85</v>
      </c>
    </row>
    <row r="709" spans="1:7" x14ac:dyDescent="0.35">
      <c r="A709">
        <v>23</v>
      </c>
      <c r="B709" t="s">
        <v>11091</v>
      </c>
      <c r="C709">
        <v>14</v>
      </c>
      <c r="D709">
        <v>1</v>
      </c>
      <c r="E709">
        <v>32</v>
      </c>
      <c r="F709" t="s">
        <v>4573</v>
      </c>
      <c r="G709" s="25">
        <v>0.85</v>
      </c>
    </row>
    <row r="710" spans="1:7" x14ac:dyDescent="0.35">
      <c r="A710">
        <v>23</v>
      </c>
      <c r="B710" t="s">
        <v>11091</v>
      </c>
      <c r="C710">
        <v>15</v>
      </c>
      <c r="D710">
        <v>1</v>
      </c>
      <c r="E710">
        <v>9</v>
      </c>
      <c r="F710" t="s">
        <v>647</v>
      </c>
      <c r="G710" s="25">
        <v>0.85</v>
      </c>
    </row>
    <row r="711" spans="1:7" x14ac:dyDescent="0.35">
      <c r="A711">
        <v>23</v>
      </c>
      <c r="B711" t="s">
        <v>11091</v>
      </c>
      <c r="C711">
        <v>16</v>
      </c>
      <c r="D711">
        <v>1</v>
      </c>
      <c r="E711">
        <v>14</v>
      </c>
      <c r="F711" t="s">
        <v>647</v>
      </c>
      <c r="G711" s="25">
        <v>0.85</v>
      </c>
    </row>
    <row r="712" spans="1:7" x14ac:dyDescent="0.35">
      <c r="A712">
        <v>23</v>
      </c>
      <c r="B712" t="s">
        <v>11091</v>
      </c>
      <c r="C712">
        <v>17</v>
      </c>
      <c r="D712">
        <v>1</v>
      </c>
      <c r="E712">
        <v>14</v>
      </c>
      <c r="F712" t="s">
        <v>12052</v>
      </c>
      <c r="G712" s="25">
        <v>0.85</v>
      </c>
    </row>
    <row r="713" spans="1:7" x14ac:dyDescent="0.35">
      <c r="A713">
        <v>23</v>
      </c>
      <c r="B713" t="s">
        <v>11091</v>
      </c>
      <c r="C713">
        <v>18</v>
      </c>
      <c r="D713">
        <v>1</v>
      </c>
      <c r="E713">
        <v>7</v>
      </c>
      <c r="F713" t="s">
        <v>12053</v>
      </c>
      <c r="G713" s="25">
        <v>0.8</v>
      </c>
    </row>
    <row r="714" spans="1:7" x14ac:dyDescent="0.35">
      <c r="A714">
        <v>23</v>
      </c>
      <c r="B714" t="s">
        <v>11091</v>
      </c>
      <c r="C714">
        <v>19</v>
      </c>
      <c r="D714">
        <v>1</v>
      </c>
      <c r="E714">
        <v>25</v>
      </c>
      <c r="F714" t="s">
        <v>186</v>
      </c>
      <c r="G714" s="25">
        <v>0.9</v>
      </c>
    </row>
    <row r="715" spans="1:7" x14ac:dyDescent="0.35">
      <c r="A715">
        <v>23</v>
      </c>
      <c r="B715" t="s">
        <v>11091</v>
      </c>
      <c r="C715">
        <v>20</v>
      </c>
      <c r="D715">
        <v>1</v>
      </c>
      <c r="E715">
        <v>6</v>
      </c>
      <c r="F715" t="s">
        <v>12054</v>
      </c>
      <c r="G715" s="25">
        <v>0.85</v>
      </c>
    </row>
    <row r="716" spans="1:7" x14ac:dyDescent="0.35">
      <c r="A716">
        <v>23</v>
      </c>
      <c r="B716" t="s">
        <v>11091</v>
      </c>
      <c r="C716">
        <v>21</v>
      </c>
      <c r="D716">
        <v>1</v>
      </c>
      <c r="E716">
        <v>17</v>
      </c>
      <c r="F716" t="s">
        <v>12055</v>
      </c>
      <c r="G716" s="25">
        <v>0.8</v>
      </c>
    </row>
    <row r="717" spans="1:7" x14ac:dyDescent="0.35">
      <c r="A717">
        <v>23</v>
      </c>
      <c r="B717" t="s">
        <v>11091</v>
      </c>
      <c r="C717">
        <v>22</v>
      </c>
      <c r="D717">
        <v>1</v>
      </c>
      <c r="E717">
        <v>25</v>
      </c>
      <c r="F717" t="s">
        <v>1211</v>
      </c>
      <c r="G717" s="25">
        <v>0.9</v>
      </c>
    </row>
    <row r="718" spans="1:7" x14ac:dyDescent="0.35">
      <c r="A718">
        <v>23</v>
      </c>
      <c r="B718" t="s">
        <v>11091</v>
      </c>
      <c r="C718">
        <v>23</v>
      </c>
      <c r="D718">
        <v>1</v>
      </c>
      <c r="E718">
        <v>18</v>
      </c>
      <c r="F718" t="s">
        <v>12056</v>
      </c>
      <c r="G718" s="25">
        <v>0.85</v>
      </c>
    </row>
    <row r="719" spans="1:7" x14ac:dyDescent="0.35">
      <c r="A719">
        <v>23</v>
      </c>
      <c r="B719" t="s">
        <v>11091</v>
      </c>
      <c r="C719">
        <v>24</v>
      </c>
      <c r="D719">
        <v>1</v>
      </c>
      <c r="E719">
        <v>23</v>
      </c>
      <c r="F719" t="s">
        <v>12057</v>
      </c>
      <c r="G719" s="25">
        <v>0.7</v>
      </c>
    </row>
    <row r="720" spans="1:7" x14ac:dyDescent="0.35">
      <c r="A720">
        <v>23</v>
      </c>
      <c r="B720" t="s">
        <v>11091</v>
      </c>
      <c r="C720">
        <v>25</v>
      </c>
      <c r="D720">
        <v>1</v>
      </c>
      <c r="E720">
        <v>12</v>
      </c>
      <c r="F720" t="s">
        <v>12058</v>
      </c>
      <c r="G720" s="25">
        <v>0.75</v>
      </c>
    </row>
    <row r="721" spans="1:7" x14ac:dyDescent="0.35">
      <c r="A721">
        <v>23</v>
      </c>
      <c r="B721" t="s">
        <v>11091</v>
      </c>
      <c r="C721">
        <v>26</v>
      </c>
      <c r="D721">
        <v>1</v>
      </c>
      <c r="E721">
        <v>21</v>
      </c>
      <c r="F721" t="s">
        <v>12058</v>
      </c>
      <c r="G721" s="25">
        <v>0.75</v>
      </c>
    </row>
    <row r="722" spans="1:7" x14ac:dyDescent="0.35">
      <c r="A722">
        <v>23</v>
      </c>
      <c r="B722" t="s">
        <v>11091</v>
      </c>
      <c r="C722">
        <v>27</v>
      </c>
      <c r="D722">
        <v>1</v>
      </c>
      <c r="E722">
        <v>13</v>
      </c>
      <c r="F722" t="s">
        <v>12058</v>
      </c>
      <c r="G722" s="25">
        <v>0.75</v>
      </c>
    </row>
    <row r="723" spans="1:7" x14ac:dyDescent="0.35">
      <c r="A723">
        <v>23</v>
      </c>
      <c r="B723" t="s">
        <v>11091</v>
      </c>
      <c r="C723">
        <v>28</v>
      </c>
      <c r="D723">
        <v>1</v>
      </c>
      <c r="E723">
        <v>29</v>
      </c>
      <c r="F723" t="s">
        <v>1954</v>
      </c>
      <c r="G723" s="25">
        <v>0.9</v>
      </c>
    </row>
    <row r="724" spans="1:7" x14ac:dyDescent="0.35">
      <c r="A724">
        <v>23</v>
      </c>
      <c r="B724" t="s">
        <v>11091</v>
      </c>
      <c r="C724">
        <v>29</v>
      </c>
      <c r="D724">
        <v>1</v>
      </c>
      <c r="E724">
        <v>24</v>
      </c>
      <c r="F724" t="s">
        <v>1211</v>
      </c>
      <c r="G724" s="25">
        <v>0.9</v>
      </c>
    </row>
    <row r="725" spans="1:7" x14ac:dyDescent="0.35">
      <c r="A725">
        <v>23</v>
      </c>
      <c r="B725" t="s">
        <v>11091</v>
      </c>
      <c r="C725">
        <v>30</v>
      </c>
      <c r="D725">
        <v>1</v>
      </c>
      <c r="E725">
        <v>33</v>
      </c>
      <c r="F725" t="s">
        <v>12059</v>
      </c>
      <c r="G725" s="25">
        <v>0.9</v>
      </c>
    </row>
    <row r="726" spans="1:7" x14ac:dyDescent="0.35">
      <c r="A726">
        <v>23</v>
      </c>
      <c r="B726" t="s">
        <v>11091</v>
      </c>
      <c r="C726">
        <v>31</v>
      </c>
      <c r="D726">
        <v>1</v>
      </c>
      <c r="E726">
        <v>9</v>
      </c>
      <c r="F726" t="s">
        <v>12059</v>
      </c>
      <c r="G726" s="25">
        <v>0.9</v>
      </c>
    </row>
    <row r="727" spans="1:7" x14ac:dyDescent="0.35">
      <c r="A727">
        <v>23</v>
      </c>
      <c r="B727" t="s">
        <v>11091</v>
      </c>
      <c r="C727">
        <v>32</v>
      </c>
      <c r="D727">
        <v>1</v>
      </c>
      <c r="E727">
        <v>20</v>
      </c>
      <c r="F727" t="s">
        <v>4662</v>
      </c>
      <c r="G727" s="25">
        <v>0.9</v>
      </c>
    </row>
    <row r="728" spans="1:7" x14ac:dyDescent="0.35">
      <c r="A728">
        <v>23</v>
      </c>
      <c r="B728" t="s">
        <v>11091</v>
      </c>
      <c r="C728">
        <v>33</v>
      </c>
      <c r="D728">
        <v>1</v>
      </c>
      <c r="E728">
        <v>24</v>
      </c>
      <c r="F728" t="s">
        <v>4662</v>
      </c>
      <c r="G728" s="25">
        <v>0.9</v>
      </c>
    </row>
    <row r="729" spans="1:7" x14ac:dyDescent="0.35">
      <c r="A729">
        <v>23</v>
      </c>
      <c r="B729" t="s">
        <v>11091</v>
      </c>
      <c r="C729">
        <v>34</v>
      </c>
      <c r="D729">
        <v>1</v>
      </c>
      <c r="E729">
        <v>17</v>
      </c>
      <c r="F729" t="s">
        <v>635</v>
      </c>
      <c r="G729" s="25">
        <v>0.85</v>
      </c>
    </row>
    <row r="730" spans="1:7" x14ac:dyDescent="0.35">
      <c r="A730">
        <v>23</v>
      </c>
      <c r="B730" t="s">
        <v>11091</v>
      </c>
      <c r="C730">
        <v>35</v>
      </c>
      <c r="D730">
        <v>1</v>
      </c>
      <c r="E730">
        <v>10</v>
      </c>
      <c r="F730" t="s">
        <v>12060</v>
      </c>
      <c r="G730" s="25">
        <v>0.8</v>
      </c>
    </row>
    <row r="731" spans="1:7" x14ac:dyDescent="0.35">
      <c r="A731">
        <v>23</v>
      </c>
      <c r="B731" t="s">
        <v>11091</v>
      </c>
      <c r="C731">
        <v>36</v>
      </c>
      <c r="D731">
        <v>1</v>
      </c>
      <c r="E731">
        <v>22</v>
      </c>
      <c r="F731" t="s">
        <v>1211</v>
      </c>
      <c r="G731" s="25">
        <v>0.9</v>
      </c>
    </row>
    <row r="732" spans="1:7" x14ac:dyDescent="0.35">
      <c r="A732">
        <v>23</v>
      </c>
      <c r="B732" t="s">
        <v>11091</v>
      </c>
      <c r="C732">
        <v>37</v>
      </c>
      <c r="D732">
        <v>1</v>
      </c>
      <c r="E732">
        <v>38</v>
      </c>
      <c r="F732" t="s">
        <v>1211</v>
      </c>
      <c r="G732" s="25">
        <v>0.9</v>
      </c>
    </row>
    <row r="733" spans="1:7" x14ac:dyDescent="0.35">
      <c r="A733">
        <v>23</v>
      </c>
      <c r="B733" t="s">
        <v>11091</v>
      </c>
      <c r="C733">
        <v>38</v>
      </c>
      <c r="D733">
        <v>1</v>
      </c>
      <c r="E733">
        <v>22</v>
      </c>
      <c r="F733" t="s">
        <v>1211</v>
      </c>
      <c r="G733" s="25">
        <v>0.9</v>
      </c>
    </row>
    <row r="734" spans="1:7" x14ac:dyDescent="0.35">
      <c r="A734">
        <v>23</v>
      </c>
      <c r="B734" t="s">
        <v>11091</v>
      </c>
      <c r="C734">
        <v>39</v>
      </c>
      <c r="D734">
        <v>1</v>
      </c>
      <c r="E734">
        <v>8</v>
      </c>
      <c r="F734" t="s">
        <v>4584</v>
      </c>
      <c r="G734" s="25">
        <v>0.9</v>
      </c>
    </row>
    <row r="735" spans="1:7" x14ac:dyDescent="0.35">
      <c r="A735">
        <v>23</v>
      </c>
      <c r="B735" t="s">
        <v>11091</v>
      </c>
      <c r="C735">
        <v>40</v>
      </c>
      <c r="D735">
        <v>1</v>
      </c>
      <c r="E735">
        <v>31</v>
      </c>
      <c r="F735" t="s">
        <v>4573</v>
      </c>
      <c r="G735" s="25">
        <v>0.85</v>
      </c>
    </row>
    <row r="736" spans="1:7" x14ac:dyDescent="0.35">
      <c r="A736">
        <v>23</v>
      </c>
      <c r="B736" t="s">
        <v>11091</v>
      </c>
      <c r="C736">
        <v>41</v>
      </c>
      <c r="D736">
        <v>1</v>
      </c>
      <c r="E736">
        <v>29</v>
      </c>
      <c r="F736" t="s">
        <v>4573</v>
      </c>
      <c r="G736" s="25">
        <v>0.85</v>
      </c>
    </row>
    <row r="737" spans="1:7" x14ac:dyDescent="0.35">
      <c r="A737">
        <v>23</v>
      </c>
      <c r="B737" t="s">
        <v>11091</v>
      </c>
      <c r="C737">
        <v>42</v>
      </c>
      <c r="D737">
        <v>1</v>
      </c>
      <c r="E737">
        <v>25</v>
      </c>
      <c r="F737" t="s">
        <v>4573</v>
      </c>
      <c r="G737" s="25">
        <v>0.85</v>
      </c>
    </row>
    <row r="738" spans="1:7" x14ac:dyDescent="0.35">
      <c r="A738">
        <v>23</v>
      </c>
      <c r="B738" t="s">
        <v>11091</v>
      </c>
      <c r="C738">
        <v>43</v>
      </c>
      <c r="D738">
        <v>1</v>
      </c>
      <c r="E738">
        <v>28</v>
      </c>
      <c r="F738" t="s">
        <v>4573</v>
      </c>
      <c r="G738" s="25">
        <v>0.85</v>
      </c>
    </row>
    <row r="739" spans="1:7" x14ac:dyDescent="0.35">
      <c r="A739">
        <v>23</v>
      </c>
      <c r="B739" t="s">
        <v>11091</v>
      </c>
      <c r="C739">
        <v>44</v>
      </c>
      <c r="D739">
        <v>1</v>
      </c>
      <c r="E739">
        <v>28</v>
      </c>
      <c r="F739" t="s">
        <v>4573</v>
      </c>
      <c r="G739" s="25">
        <v>0.85</v>
      </c>
    </row>
    <row r="740" spans="1:7" x14ac:dyDescent="0.35">
      <c r="A740">
        <v>23</v>
      </c>
      <c r="B740" t="s">
        <v>11091</v>
      </c>
      <c r="C740">
        <v>45</v>
      </c>
      <c r="D740">
        <v>1</v>
      </c>
      <c r="E740">
        <v>25</v>
      </c>
      <c r="F740" t="s">
        <v>4573</v>
      </c>
      <c r="G740" s="25">
        <v>0.85</v>
      </c>
    </row>
    <row r="741" spans="1:7" x14ac:dyDescent="0.35">
      <c r="A741">
        <v>23</v>
      </c>
      <c r="B741" t="s">
        <v>11091</v>
      </c>
      <c r="C741">
        <v>46</v>
      </c>
      <c r="D741">
        <v>1</v>
      </c>
      <c r="E741">
        <v>13</v>
      </c>
      <c r="F741" t="s">
        <v>4573</v>
      </c>
      <c r="G741" s="25">
        <v>0.85</v>
      </c>
    </row>
    <row r="742" spans="1:7" x14ac:dyDescent="0.35">
      <c r="A742">
        <v>23</v>
      </c>
      <c r="B742" t="s">
        <v>11091</v>
      </c>
      <c r="C742">
        <v>47</v>
      </c>
      <c r="D742">
        <v>1</v>
      </c>
      <c r="E742">
        <v>15</v>
      </c>
      <c r="F742" t="s">
        <v>3133</v>
      </c>
      <c r="G742" s="25">
        <v>0.85</v>
      </c>
    </row>
    <row r="743" spans="1:7" x14ac:dyDescent="0.35">
      <c r="A743">
        <v>23</v>
      </c>
      <c r="B743" t="s">
        <v>11091</v>
      </c>
      <c r="C743">
        <v>48</v>
      </c>
      <c r="D743">
        <v>1</v>
      </c>
      <c r="E743">
        <v>22</v>
      </c>
      <c r="F743" t="s">
        <v>4573</v>
      </c>
      <c r="G743" s="25">
        <v>0.85</v>
      </c>
    </row>
    <row r="744" spans="1:7" x14ac:dyDescent="0.35">
      <c r="A744">
        <v>23</v>
      </c>
      <c r="B744" t="s">
        <v>11091</v>
      </c>
      <c r="C744">
        <v>49</v>
      </c>
      <c r="D744">
        <v>1</v>
      </c>
      <c r="E744">
        <v>26</v>
      </c>
      <c r="F744" t="s">
        <v>4573</v>
      </c>
      <c r="G744" s="25">
        <v>0.85</v>
      </c>
    </row>
    <row r="745" spans="1:7" x14ac:dyDescent="0.35">
      <c r="A745">
        <v>23</v>
      </c>
      <c r="B745" t="s">
        <v>11091</v>
      </c>
      <c r="C745">
        <v>50</v>
      </c>
      <c r="D745">
        <v>1</v>
      </c>
      <c r="E745">
        <v>11</v>
      </c>
      <c r="F745" t="s">
        <v>4573</v>
      </c>
      <c r="G745" s="25">
        <v>0.85</v>
      </c>
    </row>
    <row r="746" spans="1:7" x14ac:dyDescent="0.35">
      <c r="A746">
        <v>23</v>
      </c>
      <c r="B746" t="s">
        <v>11091</v>
      </c>
      <c r="C746">
        <v>51</v>
      </c>
      <c r="D746">
        <v>1</v>
      </c>
      <c r="E746">
        <v>23</v>
      </c>
      <c r="F746" t="s">
        <v>4573</v>
      </c>
      <c r="G746" s="25">
        <v>0.85</v>
      </c>
    </row>
    <row r="747" spans="1:7" x14ac:dyDescent="0.35">
      <c r="A747">
        <v>23</v>
      </c>
      <c r="B747" t="s">
        <v>11091</v>
      </c>
      <c r="C747">
        <v>52</v>
      </c>
      <c r="D747">
        <v>1</v>
      </c>
      <c r="E747">
        <v>15</v>
      </c>
      <c r="F747" t="s">
        <v>4573</v>
      </c>
      <c r="G747" s="25">
        <v>0.85</v>
      </c>
    </row>
    <row r="748" spans="1:7" x14ac:dyDescent="0.35">
      <c r="A748">
        <v>23</v>
      </c>
      <c r="B748" t="s">
        <v>11091</v>
      </c>
      <c r="C748">
        <v>53</v>
      </c>
      <c r="D748">
        <v>1</v>
      </c>
      <c r="E748">
        <v>12</v>
      </c>
      <c r="F748" t="s">
        <v>4573</v>
      </c>
      <c r="G748" s="25">
        <v>0.85</v>
      </c>
    </row>
    <row r="749" spans="1:7" x14ac:dyDescent="0.35">
      <c r="A749">
        <v>23</v>
      </c>
      <c r="B749" t="s">
        <v>11091</v>
      </c>
      <c r="C749">
        <v>54</v>
      </c>
      <c r="D749">
        <v>1</v>
      </c>
      <c r="E749">
        <v>17</v>
      </c>
      <c r="F749" t="s">
        <v>4573</v>
      </c>
      <c r="G749" s="25">
        <v>0.85</v>
      </c>
    </row>
    <row r="750" spans="1:7" x14ac:dyDescent="0.35">
      <c r="A750">
        <v>23</v>
      </c>
      <c r="B750" t="s">
        <v>11091</v>
      </c>
      <c r="C750">
        <v>55</v>
      </c>
      <c r="D750">
        <v>1</v>
      </c>
      <c r="E750">
        <v>13</v>
      </c>
      <c r="F750" t="s">
        <v>4573</v>
      </c>
      <c r="G750" s="25">
        <v>0.85</v>
      </c>
    </row>
    <row r="751" spans="1:7" x14ac:dyDescent="0.35">
      <c r="A751">
        <v>23</v>
      </c>
      <c r="B751" t="s">
        <v>11091</v>
      </c>
      <c r="C751">
        <v>56</v>
      </c>
      <c r="D751">
        <v>1</v>
      </c>
      <c r="E751">
        <v>12</v>
      </c>
      <c r="F751" t="s">
        <v>1211</v>
      </c>
      <c r="G751" s="25">
        <v>0.9</v>
      </c>
    </row>
    <row r="752" spans="1:7" x14ac:dyDescent="0.35">
      <c r="A752">
        <v>23</v>
      </c>
      <c r="B752" t="s">
        <v>11091</v>
      </c>
      <c r="C752">
        <v>57</v>
      </c>
      <c r="D752">
        <v>1</v>
      </c>
      <c r="E752">
        <v>21</v>
      </c>
      <c r="F752" t="s">
        <v>1211</v>
      </c>
      <c r="G752" s="25">
        <v>0.9</v>
      </c>
    </row>
    <row r="753" spans="1:7" x14ac:dyDescent="0.35">
      <c r="A753">
        <v>23</v>
      </c>
      <c r="B753" t="s">
        <v>11091</v>
      </c>
      <c r="C753">
        <v>58</v>
      </c>
      <c r="D753">
        <v>1</v>
      </c>
      <c r="E753">
        <v>14</v>
      </c>
      <c r="F753" t="s">
        <v>1211</v>
      </c>
      <c r="G753" s="25">
        <v>0.9</v>
      </c>
    </row>
    <row r="754" spans="1:7" x14ac:dyDescent="0.35">
      <c r="A754">
        <v>23</v>
      </c>
      <c r="B754" t="s">
        <v>11091</v>
      </c>
      <c r="C754">
        <v>59</v>
      </c>
      <c r="D754">
        <v>1</v>
      </c>
      <c r="E754">
        <v>21</v>
      </c>
      <c r="F754" t="s">
        <v>1211</v>
      </c>
      <c r="G754" s="25">
        <v>0.9</v>
      </c>
    </row>
    <row r="755" spans="1:7" x14ac:dyDescent="0.35">
      <c r="A755">
        <v>23</v>
      </c>
      <c r="B755" t="s">
        <v>11091</v>
      </c>
      <c r="C755">
        <v>60</v>
      </c>
      <c r="D755">
        <v>1</v>
      </c>
      <c r="E755">
        <v>22</v>
      </c>
      <c r="F755" t="s">
        <v>1211</v>
      </c>
      <c r="G755" s="25">
        <v>0.9</v>
      </c>
    </row>
    <row r="756" spans="1:7" x14ac:dyDescent="0.35">
      <c r="A756">
        <v>23</v>
      </c>
      <c r="B756" t="s">
        <v>11091</v>
      </c>
      <c r="C756">
        <v>61</v>
      </c>
      <c r="D756">
        <v>1</v>
      </c>
      <c r="E756">
        <v>11</v>
      </c>
      <c r="F756" t="s">
        <v>1211</v>
      </c>
      <c r="G756" s="25">
        <v>0.9</v>
      </c>
    </row>
    <row r="757" spans="1:7" x14ac:dyDescent="0.35">
      <c r="A757">
        <v>23</v>
      </c>
      <c r="B757" t="s">
        <v>11091</v>
      </c>
      <c r="C757">
        <v>62</v>
      </c>
      <c r="D757">
        <v>1</v>
      </c>
      <c r="E757">
        <v>12</v>
      </c>
      <c r="F757" t="s">
        <v>1211</v>
      </c>
      <c r="G757" s="25">
        <v>0.9</v>
      </c>
    </row>
    <row r="758" spans="1:7" x14ac:dyDescent="0.35">
      <c r="A758">
        <v>23</v>
      </c>
      <c r="B758" t="s">
        <v>11091</v>
      </c>
      <c r="C758">
        <v>63</v>
      </c>
      <c r="D758">
        <v>1</v>
      </c>
      <c r="E758">
        <v>19</v>
      </c>
      <c r="F758" t="s">
        <v>12041</v>
      </c>
      <c r="G758" s="25">
        <v>0.85</v>
      </c>
    </row>
    <row r="759" spans="1:7" x14ac:dyDescent="0.35">
      <c r="A759">
        <v>23</v>
      </c>
      <c r="B759" t="s">
        <v>11091</v>
      </c>
      <c r="C759">
        <v>64</v>
      </c>
      <c r="D759">
        <v>1</v>
      </c>
      <c r="E759">
        <v>12</v>
      </c>
      <c r="F759" t="s">
        <v>1211</v>
      </c>
      <c r="G759" s="25">
        <v>0.9</v>
      </c>
    </row>
    <row r="760" spans="1:7" x14ac:dyDescent="0.35">
      <c r="A760">
        <v>23</v>
      </c>
      <c r="B760" t="s">
        <v>11091</v>
      </c>
      <c r="C760">
        <v>65</v>
      </c>
      <c r="D760">
        <v>1</v>
      </c>
      <c r="E760">
        <v>25</v>
      </c>
      <c r="F760" t="s">
        <v>1211</v>
      </c>
      <c r="G760" s="25">
        <v>0.9</v>
      </c>
    </row>
    <row r="761" spans="1:7" x14ac:dyDescent="0.35">
      <c r="A761">
        <v>23</v>
      </c>
      <c r="B761" t="s">
        <v>11091</v>
      </c>
      <c r="C761">
        <v>66</v>
      </c>
      <c r="D761">
        <v>1</v>
      </c>
      <c r="E761">
        <v>24</v>
      </c>
      <c r="F761" t="s">
        <v>1211</v>
      </c>
      <c r="G761" s="25">
        <v>0.9</v>
      </c>
    </row>
    <row r="762" spans="1:7" x14ac:dyDescent="0.35">
      <c r="A762">
        <v>24</v>
      </c>
      <c r="B762" t="s">
        <v>11093</v>
      </c>
      <c r="C762">
        <v>1</v>
      </c>
      <c r="D762">
        <v>1</v>
      </c>
      <c r="E762">
        <v>19</v>
      </c>
      <c r="F762" t="s">
        <v>4662</v>
      </c>
      <c r="G762" s="25">
        <v>0.9</v>
      </c>
    </row>
    <row r="763" spans="1:7" x14ac:dyDescent="0.35">
      <c r="A763">
        <v>24</v>
      </c>
      <c r="B763" t="s">
        <v>11093</v>
      </c>
      <c r="C763">
        <v>2</v>
      </c>
      <c r="D763">
        <v>1</v>
      </c>
      <c r="E763">
        <v>37</v>
      </c>
      <c r="F763" t="s">
        <v>4662</v>
      </c>
      <c r="G763" s="25">
        <v>0.9</v>
      </c>
    </row>
    <row r="764" spans="1:7" x14ac:dyDescent="0.35">
      <c r="A764">
        <v>24</v>
      </c>
      <c r="B764" t="s">
        <v>11093</v>
      </c>
      <c r="C764">
        <v>3</v>
      </c>
      <c r="D764">
        <v>1</v>
      </c>
      <c r="E764">
        <v>25</v>
      </c>
      <c r="F764" t="s">
        <v>4662</v>
      </c>
      <c r="G764" s="25">
        <v>0.9</v>
      </c>
    </row>
    <row r="765" spans="1:7" x14ac:dyDescent="0.35">
      <c r="A765">
        <v>24</v>
      </c>
      <c r="B765" t="s">
        <v>11093</v>
      </c>
      <c r="C765">
        <v>4</v>
      </c>
      <c r="D765">
        <v>1</v>
      </c>
      <c r="E765">
        <v>31</v>
      </c>
      <c r="F765" t="s">
        <v>4662</v>
      </c>
      <c r="G765" s="25">
        <v>0.9</v>
      </c>
    </row>
    <row r="766" spans="1:7" x14ac:dyDescent="0.35">
      <c r="A766">
        <v>24</v>
      </c>
      <c r="B766" t="s">
        <v>11093</v>
      </c>
      <c r="C766">
        <v>5</v>
      </c>
      <c r="D766">
        <v>1</v>
      </c>
      <c r="E766">
        <v>31</v>
      </c>
      <c r="F766" t="s">
        <v>4662</v>
      </c>
      <c r="G766" s="25">
        <v>0.9</v>
      </c>
    </row>
    <row r="767" spans="1:7" x14ac:dyDescent="0.35">
      <c r="A767">
        <v>24</v>
      </c>
      <c r="B767" t="s">
        <v>11093</v>
      </c>
      <c r="C767">
        <v>6</v>
      </c>
      <c r="D767">
        <v>1</v>
      </c>
      <c r="E767">
        <v>30</v>
      </c>
      <c r="F767" t="s">
        <v>4662</v>
      </c>
      <c r="G767" s="25">
        <v>0.9</v>
      </c>
    </row>
    <row r="768" spans="1:7" x14ac:dyDescent="0.35">
      <c r="A768">
        <v>24</v>
      </c>
      <c r="B768" t="s">
        <v>11093</v>
      </c>
      <c r="C768">
        <v>7</v>
      </c>
      <c r="D768">
        <v>1</v>
      </c>
      <c r="E768">
        <v>34</v>
      </c>
      <c r="F768" t="s">
        <v>4662</v>
      </c>
      <c r="G768" s="25">
        <v>0.9</v>
      </c>
    </row>
    <row r="769" spans="1:7" x14ac:dyDescent="0.35">
      <c r="A769">
        <v>24</v>
      </c>
      <c r="B769" t="s">
        <v>11093</v>
      </c>
      <c r="C769">
        <v>8</v>
      </c>
      <c r="D769">
        <v>1</v>
      </c>
      <c r="E769">
        <v>22</v>
      </c>
      <c r="F769" t="s">
        <v>4662</v>
      </c>
      <c r="G769" s="25">
        <v>0.9</v>
      </c>
    </row>
    <row r="770" spans="1:7" x14ac:dyDescent="0.35">
      <c r="A770">
        <v>24</v>
      </c>
      <c r="B770" t="s">
        <v>11093</v>
      </c>
      <c r="C770">
        <v>9</v>
      </c>
      <c r="D770">
        <v>1</v>
      </c>
      <c r="E770">
        <v>26</v>
      </c>
      <c r="F770" t="s">
        <v>4662</v>
      </c>
      <c r="G770" s="25">
        <v>0.9</v>
      </c>
    </row>
    <row r="771" spans="1:7" x14ac:dyDescent="0.35">
      <c r="A771">
        <v>24</v>
      </c>
      <c r="B771" t="s">
        <v>11093</v>
      </c>
      <c r="C771">
        <v>10</v>
      </c>
      <c r="D771">
        <v>1</v>
      </c>
      <c r="E771">
        <v>25</v>
      </c>
      <c r="F771" t="s">
        <v>4662</v>
      </c>
      <c r="G771" s="25">
        <v>0.9</v>
      </c>
    </row>
    <row r="772" spans="1:7" x14ac:dyDescent="0.35">
      <c r="A772">
        <v>24</v>
      </c>
      <c r="B772" t="s">
        <v>11093</v>
      </c>
      <c r="C772">
        <v>11</v>
      </c>
      <c r="D772">
        <v>1</v>
      </c>
      <c r="E772">
        <v>23</v>
      </c>
      <c r="F772" t="s">
        <v>4662</v>
      </c>
      <c r="G772" s="25">
        <v>0.9</v>
      </c>
    </row>
    <row r="773" spans="1:7" x14ac:dyDescent="0.35">
      <c r="A773">
        <v>24</v>
      </c>
      <c r="B773" t="s">
        <v>11093</v>
      </c>
      <c r="C773">
        <v>12</v>
      </c>
      <c r="D773">
        <v>1</v>
      </c>
      <c r="E773">
        <v>17</v>
      </c>
      <c r="F773" t="s">
        <v>4662</v>
      </c>
      <c r="G773" s="25">
        <v>0.9</v>
      </c>
    </row>
    <row r="774" spans="1:7" x14ac:dyDescent="0.35">
      <c r="A774">
        <v>24</v>
      </c>
      <c r="B774" t="s">
        <v>11093</v>
      </c>
      <c r="C774">
        <v>13</v>
      </c>
      <c r="D774">
        <v>1</v>
      </c>
      <c r="E774">
        <v>27</v>
      </c>
      <c r="F774" t="s">
        <v>4662</v>
      </c>
      <c r="G774" s="25">
        <v>0.9</v>
      </c>
    </row>
    <row r="775" spans="1:7" x14ac:dyDescent="0.35">
      <c r="A775">
        <v>24</v>
      </c>
      <c r="B775" t="s">
        <v>11093</v>
      </c>
      <c r="C775">
        <v>14</v>
      </c>
      <c r="D775">
        <v>1</v>
      </c>
      <c r="E775">
        <v>22</v>
      </c>
      <c r="F775" t="s">
        <v>4662</v>
      </c>
      <c r="G775" s="25">
        <v>0.9</v>
      </c>
    </row>
    <row r="776" spans="1:7" x14ac:dyDescent="0.35">
      <c r="A776">
        <v>24</v>
      </c>
      <c r="B776" t="s">
        <v>11093</v>
      </c>
      <c r="C776">
        <v>15</v>
      </c>
      <c r="D776">
        <v>1</v>
      </c>
      <c r="E776">
        <v>21</v>
      </c>
      <c r="F776" t="s">
        <v>4662</v>
      </c>
      <c r="G776" s="25">
        <v>0.9</v>
      </c>
    </row>
    <row r="777" spans="1:7" x14ac:dyDescent="0.35">
      <c r="A777">
        <v>24</v>
      </c>
      <c r="B777" t="s">
        <v>11093</v>
      </c>
      <c r="C777">
        <v>16</v>
      </c>
      <c r="D777">
        <v>1</v>
      </c>
      <c r="E777">
        <v>21</v>
      </c>
      <c r="F777" t="s">
        <v>4662</v>
      </c>
      <c r="G777" s="25">
        <v>0.9</v>
      </c>
    </row>
    <row r="778" spans="1:7" x14ac:dyDescent="0.35">
      <c r="A778">
        <v>24</v>
      </c>
      <c r="B778" t="s">
        <v>11093</v>
      </c>
      <c r="C778">
        <v>17</v>
      </c>
      <c r="D778">
        <v>1</v>
      </c>
      <c r="E778">
        <v>27</v>
      </c>
      <c r="F778" t="s">
        <v>4662</v>
      </c>
      <c r="G778" s="25">
        <v>0.9</v>
      </c>
    </row>
    <row r="779" spans="1:7" x14ac:dyDescent="0.35">
      <c r="A779">
        <v>24</v>
      </c>
      <c r="B779" t="s">
        <v>11093</v>
      </c>
      <c r="C779">
        <v>18</v>
      </c>
      <c r="D779">
        <v>1</v>
      </c>
      <c r="E779">
        <v>23</v>
      </c>
      <c r="F779" t="s">
        <v>4662</v>
      </c>
      <c r="G779" s="25">
        <v>0.9</v>
      </c>
    </row>
    <row r="780" spans="1:7" x14ac:dyDescent="0.35">
      <c r="A780">
        <v>24</v>
      </c>
      <c r="B780" t="s">
        <v>11093</v>
      </c>
      <c r="C780">
        <v>19</v>
      </c>
      <c r="D780">
        <v>1</v>
      </c>
      <c r="E780">
        <v>15</v>
      </c>
      <c r="F780" t="s">
        <v>4662</v>
      </c>
      <c r="G780" s="25">
        <v>0.9</v>
      </c>
    </row>
    <row r="781" spans="1:7" x14ac:dyDescent="0.35">
      <c r="A781">
        <v>24</v>
      </c>
      <c r="B781" t="s">
        <v>11093</v>
      </c>
      <c r="C781">
        <v>20</v>
      </c>
      <c r="D781">
        <v>1</v>
      </c>
      <c r="E781">
        <v>18</v>
      </c>
      <c r="F781" t="s">
        <v>4662</v>
      </c>
      <c r="G781" s="25">
        <v>0.9</v>
      </c>
    </row>
    <row r="782" spans="1:7" x14ac:dyDescent="0.35">
      <c r="A782">
        <v>24</v>
      </c>
      <c r="B782" t="s">
        <v>11093</v>
      </c>
      <c r="C782">
        <v>21</v>
      </c>
      <c r="D782">
        <v>1</v>
      </c>
      <c r="E782">
        <v>14</v>
      </c>
      <c r="F782" t="s">
        <v>4662</v>
      </c>
      <c r="G782" s="25">
        <v>0.9</v>
      </c>
    </row>
    <row r="783" spans="1:7" x14ac:dyDescent="0.35">
      <c r="A783">
        <v>24</v>
      </c>
      <c r="B783" t="s">
        <v>11093</v>
      </c>
      <c r="C783">
        <v>22</v>
      </c>
      <c r="D783">
        <v>1</v>
      </c>
      <c r="E783">
        <v>30</v>
      </c>
      <c r="F783" t="s">
        <v>4662</v>
      </c>
      <c r="G783" s="25">
        <v>0.9</v>
      </c>
    </row>
    <row r="784" spans="1:7" x14ac:dyDescent="0.35">
      <c r="A784">
        <v>24</v>
      </c>
      <c r="B784" t="s">
        <v>11093</v>
      </c>
      <c r="C784">
        <v>23</v>
      </c>
      <c r="D784">
        <v>1</v>
      </c>
      <c r="E784">
        <v>40</v>
      </c>
      <c r="F784" t="s">
        <v>4662</v>
      </c>
      <c r="G784" s="25">
        <v>0.9</v>
      </c>
    </row>
    <row r="785" spans="1:7" x14ac:dyDescent="0.35">
      <c r="A785">
        <v>24</v>
      </c>
      <c r="B785" t="s">
        <v>11093</v>
      </c>
      <c r="C785">
        <v>24</v>
      </c>
      <c r="D785">
        <v>1</v>
      </c>
      <c r="E785">
        <v>10</v>
      </c>
      <c r="F785" t="s">
        <v>4662</v>
      </c>
      <c r="G785" s="25">
        <v>0.9</v>
      </c>
    </row>
    <row r="786" spans="1:7" x14ac:dyDescent="0.35">
      <c r="A786">
        <v>24</v>
      </c>
      <c r="B786" t="s">
        <v>11093</v>
      </c>
      <c r="C786">
        <v>25</v>
      </c>
      <c r="D786">
        <v>1</v>
      </c>
      <c r="E786">
        <v>38</v>
      </c>
      <c r="F786" t="s">
        <v>12061</v>
      </c>
      <c r="G786" s="25">
        <v>0.85</v>
      </c>
    </row>
    <row r="787" spans="1:7" x14ac:dyDescent="0.35">
      <c r="A787">
        <v>24</v>
      </c>
      <c r="B787" t="s">
        <v>11093</v>
      </c>
      <c r="C787">
        <v>26</v>
      </c>
      <c r="D787">
        <v>1</v>
      </c>
      <c r="E787">
        <v>24</v>
      </c>
      <c r="F787" t="s">
        <v>4662</v>
      </c>
      <c r="G787" s="25">
        <v>0.9</v>
      </c>
    </row>
    <row r="788" spans="1:7" x14ac:dyDescent="0.35">
      <c r="A788">
        <v>24</v>
      </c>
      <c r="B788" t="s">
        <v>11093</v>
      </c>
      <c r="C788">
        <v>27</v>
      </c>
      <c r="D788">
        <v>1</v>
      </c>
      <c r="E788">
        <v>22</v>
      </c>
      <c r="F788" t="s">
        <v>4662</v>
      </c>
      <c r="G788" s="25">
        <v>0.9</v>
      </c>
    </row>
    <row r="789" spans="1:7" x14ac:dyDescent="0.35">
      <c r="A789">
        <v>24</v>
      </c>
      <c r="B789" t="s">
        <v>11093</v>
      </c>
      <c r="C789">
        <v>28</v>
      </c>
      <c r="D789">
        <v>1</v>
      </c>
      <c r="E789">
        <v>17</v>
      </c>
      <c r="F789" t="s">
        <v>4662</v>
      </c>
      <c r="G789" s="25">
        <v>0.9</v>
      </c>
    </row>
    <row r="790" spans="1:7" x14ac:dyDescent="0.35">
      <c r="A790">
        <v>24</v>
      </c>
      <c r="B790" t="s">
        <v>11093</v>
      </c>
      <c r="C790">
        <v>29</v>
      </c>
      <c r="D790">
        <v>1</v>
      </c>
      <c r="E790">
        <v>32</v>
      </c>
      <c r="F790" t="s">
        <v>4584</v>
      </c>
      <c r="G790" s="25">
        <v>0.85</v>
      </c>
    </row>
    <row r="791" spans="1:7" x14ac:dyDescent="0.35">
      <c r="A791">
        <v>24</v>
      </c>
      <c r="B791" t="s">
        <v>11093</v>
      </c>
      <c r="C791">
        <v>30</v>
      </c>
      <c r="D791">
        <v>1</v>
      </c>
      <c r="E791">
        <v>24</v>
      </c>
      <c r="F791" t="s">
        <v>4662</v>
      </c>
      <c r="G791" s="25">
        <v>0.9</v>
      </c>
    </row>
    <row r="792" spans="1:7" x14ac:dyDescent="0.35">
      <c r="A792">
        <v>24</v>
      </c>
      <c r="B792" t="s">
        <v>11093</v>
      </c>
      <c r="C792">
        <v>31</v>
      </c>
      <c r="D792">
        <v>1</v>
      </c>
      <c r="E792">
        <v>40</v>
      </c>
      <c r="F792" t="s">
        <v>4662</v>
      </c>
      <c r="G792" s="25">
        <v>0.9</v>
      </c>
    </row>
    <row r="793" spans="1:7" x14ac:dyDescent="0.35">
      <c r="A793">
        <v>24</v>
      </c>
      <c r="B793" t="s">
        <v>11093</v>
      </c>
      <c r="C793">
        <v>32</v>
      </c>
      <c r="D793">
        <v>1</v>
      </c>
      <c r="E793">
        <v>44</v>
      </c>
      <c r="F793" t="s">
        <v>4662</v>
      </c>
      <c r="G793" s="25">
        <v>0.9</v>
      </c>
    </row>
    <row r="794" spans="1:7" x14ac:dyDescent="0.35">
      <c r="A794">
        <v>24</v>
      </c>
      <c r="B794" t="s">
        <v>11093</v>
      </c>
      <c r="C794">
        <v>33</v>
      </c>
      <c r="D794">
        <v>1</v>
      </c>
      <c r="E794">
        <v>26</v>
      </c>
      <c r="F794" t="s">
        <v>4662</v>
      </c>
      <c r="G794" s="25">
        <v>0.9</v>
      </c>
    </row>
    <row r="795" spans="1:7" x14ac:dyDescent="0.35">
      <c r="A795">
        <v>24</v>
      </c>
      <c r="B795" t="s">
        <v>11093</v>
      </c>
      <c r="C795">
        <v>34</v>
      </c>
      <c r="D795">
        <v>1</v>
      </c>
      <c r="E795">
        <v>22</v>
      </c>
      <c r="F795" t="s">
        <v>4662</v>
      </c>
      <c r="G795" s="25">
        <v>0.9</v>
      </c>
    </row>
    <row r="796" spans="1:7" x14ac:dyDescent="0.35">
      <c r="A796">
        <v>24</v>
      </c>
      <c r="B796" t="s">
        <v>11093</v>
      </c>
      <c r="C796">
        <v>35</v>
      </c>
      <c r="D796">
        <v>1</v>
      </c>
      <c r="E796">
        <v>19</v>
      </c>
      <c r="F796" t="s">
        <v>4662</v>
      </c>
      <c r="G796" s="25">
        <v>0.9</v>
      </c>
    </row>
    <row r="797" spans="1:7" x14ac:dyDescent="0.35">
      <c r="A797">
        <v>24</v>
      </c>
      <c r="B797" t="s">
        <v>11093</v>
      </c>
      <c r="C797">
        <v>36</v>
      </c>
      <c r="D797">
        <v>1</v>
      </c>
      <c r="E797">
        <v>32</v>
      </c>
      <c r="F797" t="s">
        <v>4662</v>
      </c>
      <c r="G797" s="25">
        <v>0.9</v>
      </c>
    </row>
    <row r="798" spans="1:7" x14ac:dyDescent="0.35">
      <c r="A798">
        <v>24</v>
      </c>
      <c r="B798" t="s">
        <v>11093</v>
      </c>
      <c r="C798">
        <v>37</v>
      </c>
      <c r="D798">
        <v>1</v>
      </c>
      <c r="E798">
        <v>21</v>
      </c>
      <c r="F798" t="s">
        <v>4662</v>
      </c>
      <c r="G798" s="25">
        <v>0.9</v>
      </c>
    </row>
    <row r="799" spans="1:7" x14ac:dyDescent="0.35">
      <c r="A799">
        <v>24</v>
      </c>
      <c r="B799" t="s">
        <v>11093</v>
      </c>
      <c r="C799">
        <v>38</v>
      </c>
      <c r="D799">
        <v>1</v>
      </c>
      <c r="E799">
        <v>28</v>
      </c>
      <c r="F799" t="s">
        <v>4662</v>
      </c>
      <c r="G799" s="25">
        <v>0.9</v>
      </c>
    </row>
    <row r="800" spans="1:7" x14ac:dyDescent="0.35">
      <c r="A800">
        <v>24</v>
      </c>
      <c r="B800" t="s">
        <v>11093</v>
      </c>
      <c r="C800">
        <v>39</v>
      </c>
      <c r="D800">
        <v>1</v>
      </c>
      <c r="E800">
        <v>18</v>
      </c>
      <c r="F800" t="s">
        <v>4662</v>
      </c>
      <c r="G800" s="25">
        <v>0.9</v>
      </c>
    </row>
    <row r="801" spans="1:7" x14ac:dyDescent="0.35">
      <c r="A801">
        <v>24</v>
      </c>
      <c r="B801" t="s">
        <v>11093</v>
      </c>
      <c r="C801">
        <v>40</v>
      </c>
      <c r="D801">
        <v>1</v>
      </c>
      <c r="E801">
        <v>16</v>
      </c>
      <c r="F801" t="s">
        <v>4662</v>
      </c>
      <c r="G801" s="25">
        <v>0.9</v>
      </c>
    </row>
    <row r="802" spans="1:7" x14ac:dyDescent="0.35">
      <c r="A802">
        <v>24</v>
      </c>
      <c r="B802" t="s">
        <v>11093</v>
      </c>
      <c r="C802">
        <v>41</v>
      </c>
      <c r="D802">
        <v>1</v>
      </c>
      <c r="E802">
        <v>18</v>
      </c>
      <c r="F802" t="s">
        <v>4662</v>
      </c>
      <c r="G802" s="25">
        <v>0.9</v>
      </c>
    </row>
    <row r="803" spans="1:7" x14ac:dyDescent="0.35">
      <c r="A803">
        <v>24</v>
      </c>
      <c r="B803" t="s">
        <v>11093</v>
      </c>
      <c r="C803">
        <v>42</v>
      </c>
      <c r="D803">
        <v>1</v>
      </c>
      <c r="E803">
        <v>22</v>
      </c>
      <c r="F803" t="s">
        <v>4662</v>
      </c>
      <c r="G803" s="25">
        <v>0.9</v>
      </c>
    </row>
    <row r="804" spans="1:7" x14ac:dyDescent="0.35">
      <c r="A804">
        <v>24</v>
      </c>
      <c r="B804" t="s">
        <v>11093</v>
      </c>
      <c r="C804">
        <v>43</v>
      </c>
      <c r="D804">
        <v>1</v>
      </c>
      <c r="E804">
        <v>13</v>
      </c>
      <c r="F804" t="s">
        <v>12062</v>
      </c>
      <c r="G804" s="25">
        <v>0.85</v>
      </c>
    </row>
    <row r="805" spans="1:7" x14ac:dyDescent="0.35">
      <c r="A805">
        <v>24</v>
      </c>
      <c r="B805" t="s">
        <v>11093</v>
      </c>
      <c r="C805">
        <v>44</v>
      </c>
      <c r="D805">
        <v>1</v>
      </c>
      <c r="E805">
        <v>30</v>
      </c>
      <c r="F805" t="s">
        <v>186</v>
      </c>
      <c r="G805" s="25">
        <v>0.9</v>
      </c>
    </row>
    <row r="806" spans="1:7" x14ac:dyDescent="0.35">
      <c r="A806">
        <v>24</v>
      </c>
      <c r="B806" t="s">
        <v>11093</v>
      </c>
      <c r="C806">
        <v>45</v>
      </c>
      <c r="D806">
        <v>1</v>
      </c>
      <c r="E806">
        <v>5</v>
      </c>
      <c r="F806" t="s">
        <v>4662</v>
      </c>
      <c r="G806" s="25">
        <v>0.9</v>
      </c>
    </row>
    <row r="807" spans="1:7" x14ac:dyDescent="0.35">
      <c r="A807">
        <v>24</v>
      </c>
      <c r="B807" t="s">
        <v>11093</v>
      </c>
      <c r="C807">
        <v>46</v>
      </c>
      <c r="D807">
        <v>1</v>
      </c>
      <c r="E807">
        <v>28</v>
      </c>
      <c r="F807" t="s">
        <v>186</v>
      </c>
      <c r="G807" s="25">
        <v>0.9</v>
      </c>
    </row>
    <row r="808" spans="1:7" x14ac:dyDescent="0.35">
      <c r="A808">
        <v>24</v>
      </c>
      <c r="B808" t="s">
        <v>11093</v>
      </c>
      <c r="C808">
        <v>47</v>
      </c>
      <c r="D808">
        <v>1</v>
      </c>
      <c r="E808">
        <v>7</v>
      </c>
      <c r="F808" t="s">
        <v>12063</v>
      </c>
      <c r="G808" s="25">
        <v>0.85</v>
      </c>
    </row>
    <row r="809" spans="1:7" x14ac:dyDescent="0.35">
      <c r="A809">
        <v>24</v>
      </c>
      <c r="B809" t="s">
        <v>11093</v>
      </c>
      <c r="C809">
        <v>48</v>
      </c>
      <c r="D809">
        <v>1</v>
      </c>
      <c r="E809">
        <v>47</v>
      </c>
      <c r="F809" t="s">
        <v>647</v>
      </c>
      <c r="G809" s="25">
        <v>0.85</v>
      </c>
    </row>
    <row r="810" spans="1:7" x14ac:dyDescent="0.35">
      <c r="A810">
        <v>24</v>
      </c>
      <c r="B810" t="s">
        <v>11093</v>
      </c>
      <c r="C810">
        <v>49</v>
      </c>
      <c r="D810">
        <v>1</v>
      </c>
      <c r="E810">
        <v>39</v>
      </c>
      <c r="F810" t="s">
        <v>12064</v>
      </c>
      <c r="G810" s="25">
        <v>0.8</v>
      </c>
    </row>
    <row r="811" spans="1:7" x14ac:dyDescent="0.35">
      <c r="A811">
        <v>24</v>
      </c>
      <c r="B811" t="s">
        <v>11093</v>
      </c>
      <c r="C811">
        <v>50</v>
      </c>
      <c r="D811">
        <v>1</v>
      </c>
      <c r="E811">
        <v>46</v>
      </c>
      <c r="F811" t="s">
        <v>3133</v>
      </c>
      <c r="G811" s="25">
        <v>0.85</v>
      </c>
    </row>
    <row r="812" spans="1:7" x14ac:dyDescent="0.35">
      <c r="A812">
        <v>24</v>
      </c>
      <c r="B812" t="s">
        <v>11093</v>
      </c>
      <c r="C812">
        <v>51</v>
      </c>
      <c r="D812">
        <v>1</v>
      </c>
      <c r="E812">
        <v>64</v>
      </c>
      <c r="F812" t="s">
        <v>3133</v>
      </c>
      <c r="G812" s="25">
        <v>0.85</v>
      </c>
    </row>
    <row r="813" spans="1:7" x14ac:dyDescent="0.35">
      <c r="A813">
        <v>24</v>
      </c>
      <c r="B813" t="s">
        <v>11093</v>
      </c>
      <c r="C813">
        <v>52</v>
      </c>
      <c r="D813">
        <v>1</v>
      </c>
      <c r="E813">
        <v>34</v>
      </c>
      <c r="F813" t="s">
        <v>4584</v>
      </c>
      <c r="G813" s="25">
        <v>0.9</v>
      </c>
    </row>
    <row r="814" spans="1:7" x14ac:dyDescent="0.35">
      <c r="A814">
        <v>25</v>
      </c>
      <c r="B814" t="s">
        <v>11095</v>
      </c>
      <c r="C814">
        <v>1</v>
      </c>
      <c r="D814">
        <v>1</v>
      </c>
      <c r="E814">
        <v>22</v>
      </c>
      <c r="F814" t="s">
        <v>1211</v>
      </c>
      <c r="G814" s="25">
        <v>0.9</v>
      </c>
    </row>
    <row r="815" spans="1:7" x14ac:dyDescent="0.35">
      <c r="A815">
        <v>25</v>
      </c>
      <c r="B815" t="s">
        <v>11095</v>
      </c>
      <c r="C815">
        <v>2</v>
      </c>
      <c r="D815">
        <v>1</v>
      </c>
      <c r="E815">
        <v>22</v>
      </c>
      <c r="F815" t="s">
        <v>1211</v>
      </c>
      <c r="G815" s="25">
        <v>0.9</v>
      </c>
    </row>
    <row r="816" spans="1:7" x14ac:dyDescent="0.35">
      <c r="A816">
        <v>25</v>
      </c>
      <c r="B816" t="s">
        <v>11095</v>
      </c>
      <c r="C816">
        <v>3</v>
      </c>
      <c r="D816">
        <v>1</v>
      </c>
      <c r="E816">
        <v>66</v>
      </c>
      <c r="F816" t="s">
        <v>1211</v>
      </c>
      <c r="G816" s="25">
        <v>0.9</v>
      </c>
    </row>
    <row r="817" spans="1:7" x14ac:dyDescent="0.35">
      <c r="A817">
        <v>25</v>
      </c>
      <c r="B817" t="s">
        <v>11095</v>
      </c>
      <c r="C817">
        <v>4</v>
      </c>
      <c r="D817">
        <v>1</v>
      </c>
      <c r="E817">
        <v>22</v>
      </c>
      <c r="F817" t="s">
        <v>1211</v>
      </c>
      <c r="G817" s="25">
        <v>0.9</v>
      </c>
    </row>
    <row r="818" spans="1:7" x14ac:dyDescent="0.35">
      <c r="A818">
        <v>25</v>
      </c>
      <c r="B818" t="s">
        <v>11095</v>
      </c>
      <c r="C818">
        <v>5</v>
      </c>
      <c r="D818">
        <v>1</v>
      </c>
      <c r="E818">
        <v>22</v>
      </c>
      <c r="F818" t="s">
        <v>1211</v>
      </c>
      <c r="G818" s="25">
        <v>0.9</v>
      </c>
    </row>
    <row r="819" spans="1:7" x14ac:dyDescent="0.35">
      <c r="A819">
        <v>26</v>
      </c>
      <c r="B819" t="s">
        <v>11097</v>
      </c>
      <c r="C819">
        <v>1</v>
      </c>
      <c r="D819">
        <v>1</v>
      </c>
      <c r="E819">
        <v>28</v>
      </c>
      <c r="F819" t="s">
        <v>12065</v>
      </c>
      <c r="G819" s="25">
        <v>0.9</v>
      </c>
    </row>
    <row r="820" spans="1:7" x14ac:dyDescent="0.35">
      <c r="A820">
        <v>26</v>
      </c>
      <c r="B820" t="s">
        <v>11097</v>
      </c>
      <c r="C820">
        <v>2</v>
      </c>
      <c r="D820">
        <v>1</v>
      </c>
      <c r="E820">
        <v>10</v>
      </c>
      <c r="F820" t="s">
        <v>12065</v>
      </c>
      <c r="G820" s="25">
        <v>0.9</v>
      </c>
    </row>
    <row r="821" spans="1:7" x14ac:dyDescent="0.35">
      <c r="A821">
        <v>26</v>
      </c>
      <c r="B821" t="s">
        <v>11097</v>
      </c>
      <c r="C821">
        <v>3</v>
      </c>
      <c r="D821">
        <v>1</v>
      </c>
      <c r="E821">
        <v>27</v>
      </c>
      <c r="F821" t="s">
        <v>12065</v>
      </c>
      <c r="G821" s="25">
        <v>0.9</v>
      </c>
    </row>
    <row r="822" spans="1:7" x14ac:dyDescent="0.35">
      <c r="A822">
        <v>26</v>
      </c>
      <c r="B822" t="s">
        <v>11097</v>
      </c>
      <c r="C822">
        <v>4</v>
      </c>
      <c r="D822">
        <v>1</v>
      </c>
      <c r="E822">
        <v>17</v>
      </c>
      <c r="F822" t="s">
        <v>12066</v>
      </c>
      <c r="G822" s="25">
        <v>0.85</v>
      </c>
    </row>
    <row r="823" spans="1:7" x14ac:dyDescent="0.35">
      <c r="A823">
        <v>26</v>
      </c>
      <c r="B823" t="s">
        <v>11097</v>
      </c>
      <c r="C823">
        <v>5</v>
      </c>
      <c r="D823">
        <v>1</v>
      </c>
      <c r="E823">
        <v>17</v>
      </c>
      <c r="F823" t="s">
        <v>12066</v>
      </c>
      <c r="G823" s="25">
        <v>0.85</v>
      </c>
    </row>
    <row r="824" spans="1:7" x14ac:dyDescent="0.35">
      <c r="A824">
        <v>26</v>
      </c>
      <c r="B824" t="s">
        <v>11097</v>
      </c>
      <c r="C824">
        <v>6</v>
      </c>
      <c r="D824">
        <v>1</v>
      </c>
      <c r="E824">
        <v>14</v>
      </c>
      <c r="F824" t="s">
        <v>12066</v>
      </c>
      <c r="G824" s="25">
        <v>0.85</v>
      </c>
    </row>
    <row r="825" spans="1:7" x14ac:dyDescent="0.35">
      <c r="A825">
        <v>26</v>
      </c>
      <c r="B825" t="s">
        <v>11097</v>
      </c>
      <c r="C825">
        <v>7</v>
      </c>
      <c r="D825">
        <v>1</v>
      </c>
      <c r="E825">
        <v>27</v>
      </c>
      <c r="F825" t="s">
        <v>12066</v>
      </c>
      <c r="G825" s="25">
        <v>0.85</v>
      </c>
    </row>
    <row r="826" spans="1:7" x14ac:dyDescent="0.35">
      <c r="A826">
        <v>26</v>
      </c>
      <c r="B826" t="s">
        <v>11097</v>
      </c>
      <c r="C826">
        <v>8</v>
      </c>
      <c r="D826">
        <v>1</v>
      </c>
      <c r="E826">
        <v>18</v>
      </c>
      <c r="F826" t="s">
        <v>12067</v>
      </c>
      <c r="G826" s="25">
        <v>0.85</v>
      </c>
    </row>
    <row r="827" spans="1:7" x14ac:dyDescent="0.35">
      <c r="A827">
        <v>26</v>
      </c>
      <c r="B827" t="s">
        <v>11097</v>
      </c>
      <c r="C827">
        <v>9</v>
      </c>
      <c r="D827">
        <v>1</v>
      </c>
      <c r="E827">
        <v>11</v>
      </c>
      <c r="F827" t="s">
        <v>12067</v>
      </c>
      <c r="G827" s="25">
        <v>0.85</v>
      </c>
    </row>
    <row r="828" spans="1:7" x14ac:dyDescent="0.35">
      <c r="A828">
        <v>26</v>
      </c>
      <c r="B828" t="s">
        <v>11097</v>
      </c>
      <c r="C828">
        <v>10</v>
      </c>
      <c r="D828">
        <v>1</v>
      </c>
      <c r="E828">
        <v>22</v>
      </c>
      <c r="F828" t="s">
        <v>12067</v>
      </c>
      <c r="G828" s="25">
        <v>0.85</v>
      </c>
    </row>
    <row r="829" spans="1:7" x14ac:dyDescent="0.35">
      <c r="A829">
        <v>26</v>
      </c>
      <c r="B829" t="s">
        <v>11097</v>
      </c>
      <c r="C829">
        <v>11</v>
      </c>
      <c r="D829">
        <v>1</v>
      </c>
      <c r="E829">
        <v>25</v>
      </c>
      <c r="F829" t="s">
        <v>12066</v>
      </c>
      <c r="G829" s="25">
        <v>0.85</v>
      </c>
    </row>
    <row r="830" spans="1:7" x14ac:dyDescent="0.35">
      <c r="A830">
        <v>26</v>
      </c>
      <c r="B830" t="s">
        <v>11097</v>
      </c>
      <c r="C830">
        <v>12</v>
      </c>
      <c r="D830">
        <v>1</v>
      </c>
      <c r="E830">
        <v>28</v>
      </c>
      <c r="F830" t="s">
        <v>12066</v>
      </c>
      <c r="G830" s="25">
        <v>0.85</v>
      </c>
    </row>
    <row r="831" spans="1:7" x14ac:dyDescent="0.35">
      <c r="A831">
        <v>26</v>
      </c>
      <c r="B831" t="s">
        <v>11097</v>
      </c>
      <c r="C831">
        <v>13</v>
      </c>
      <c r="D831">
        <v>1</v>
      </c>
      <c r="E831">
        <v>23</v>
      </c>
      <c r="F831" t="s">
        <v>12066</v>
      </c>
      <c r="G831" s="25">
        <v>0.85</v>
      </c>
    </row>
    <row r="832" spans="1:7" x14ac:dyDescent="0.35">
      <c r="A832">
        <v>26</v>
      </c>
      <c r="B832" t="s">
        <v>11097</v>
      </c>
      <c r="C832">
        <v>14</v>
      </c>
      <c r="D832">
        <v>1</v>
      </c>
      <c r="E832">
        <v>23</v>
      </c>
      <c r="F832" t="s">
        <v>12066</v>
      </c>
      <c r="G832" s="25">
        <v>0.85</v>
      </c>
    </row>
    <row r="833" spans="1:7" x14ac:dyDescent="0.35">
      <c r="A833">
        <v>26</v>
      </c>
      <c r="B833" t="s">
        <v>11097</v>
      </c>
      <c r="C833">
        <v>15</v>
      </c>
      <c r="D833">
        <v>1</v>
      </c>
      <c r="E833">
        <v>8</v>
      </c>
      <c r="F833" t="s">
        <v>12066</v>
      </c>
      <c r="G833" s="25">
        <v>0.85</v>
      </c>
    </row>
    <row r="834" spans="1:7" x14ac:dyDescent="0.35">
      <c r="A834">
        <v>26</v>
      </c>
      <c r="B834" t="s">
        <v>11097</v>
      </c>
      <c r="C834">
        <v>16</v>
      </c>
      <c r="D834">
        <v>1</v>
      </c>
      <c r="E834">
        <v>63</v>
      </c>
      <c r="F834" t="s">
        <v>12066</v>
      </c>
      <c r="G834" s="25">
        <v>0.85</v>
      </c>
    </row>
    <row r="835" spans="1:7" x14ac:dyDescent="0.35">
      <c r="A835">
        <v>26</v>
      </c>
      <c r="B835" t="s">
        <v>11097</v>
      </c>
      <c r="C835">
        <v>17</v>
      </c>
      <c r="D835">
        <v>1</v>
      </c>
      <c r="E835">
        <v>24</v>
      </c>
      <c r="F835" t="s">
        <v>12068</v>
      </c>
      <c r="G835" s="25">
        <v>0.85</v>
      </c>
    </row>
    <row r="836" spans="1:7" x14ac:dyDescent="0.35">
      <c r="A836">
        <v>26</v>
      </c>
      <c r="B836" t="s">
        <v>11097</v>
      </c>
      <c r="C836">
        <v>18</v>
      </c>
      <c r="D836">
        <v>1</v>
      </c>
      <c r="E836">
        <v>32</v>
      </c>
      <c r="F836" t="s">
        <v>12066</v>
      </c>
      <c r="G836" s="25">
        <v>0.85</v>
      </c>
    </row>
    <row r="837" spans="1:7" x14ac:dyDescent="0.35">
      <c r="A837">
        <v>26</v>
      </c>
      <c r="B837" t="s">
        <v>11097</v>
      </c>
      <c r="C837">
        <v>19</v>
      </c>
      <c r="D837">
        <v>1</v>
      </c>
      <c r="E837">
        <v>14</v>
      </c>
      <c r="F837" t="s">
        <v>12066</v>
      </c>
      <c r="G837" s="25">
        <v>0.85</v>
      </c>
    </row>
    <row r="838" spans="1:7" x14ac:dyDescent="0.35">
      <c r="A838">
        <v>26</v>
      </c>
      <c r="B838" t="s">
        <v>11097</v>
      </c>
      <c r="C838">
        <v>20</v>
      </c>
      <c r="D838">
        <v>1</v>
      </c>
      <c r="E838">
        <v>49</v>
      </c>
      <c r="F838" t="s">
        <v>12066</v>
      </c>
      <c r="G838" s="25">
        <v>0.85</v>
      </c>
    </row>
    <row r="839" spans="1:7" x14ac:dyDescent="0.35">
      <c r="A839">
        <v>26</v>
      </c>
      <c r="B839" t="s">
        <v>11097</v>
      </c>
      <c r="C839">
        <v>21</v>
      </c>
      <c r="D839">
        <v>1</v>
      </c>
      <c r="E839">
        <v>32</v>
      </c>
      <c r="F839" t="s">
        <v>12066</v>
      </c>
      <c r="G839" s="25">
        <v>0.85</v>
      </c>
    </row>
    <row r="840" spans="1:7" x14ac:dyDescent="0.35">
      <c r="A840">
        <v>26</v>
      </c>
      <c r="B840" t="s">
        <v>11097</v>
      </c>
      <c r="C840">
        <v>22</v>
      </c>
      <c r="D840">
        <v>1</v>
      </c>
      <c r="E840">
        <v>31</v>
      </c>
      <c r="F840" t="s">
        <v>12066</v>
      </c>
      <c r="G840" s="25">
        <v>0.85</v>
      </c>
    </row>
    <row r="841" spans="1:7" x14ac:dyDescent="0.35">
      <c r="A841">
        <v>26</v>
      </c>
      <c r="B841" t="s">
        <v>11097</v>
      </c>
      <c r="C841">
        <v>23</v>
      </c>
      <c r="D841">
        <v>1</v>
      </c>
      <c r="E841">
        <v>49</v>
      </c>
      <c r="F841" t="s">
        <v>12069</v>
      </c>
      <c r="G841" s="25">
        <v>0.85</v>
      </c>
    </row>
    <row r="842" spans="1:7" x14ac:dyDescent="0.35">
      <c r="A842">
        <v>26</v>
      </c>
      <c r="B842" t="s">
        <v>11097</v>
      </c>
      <c r="C842">
        <v>24</v>
      </c>
      <c r="D842">
        <v>1</v>
      </c>
      <c r="E842">
        <v>27</v>
      </c>
      <c r="F842" t="s">
        <v>12066</v>
      </c>
      <c r="G842" s="25">
        <v>0.85</v>
      </c>
    </row>
    <row r="843" spans="1:7" x14ac:dyDescent="0.35">
      <c r="A843">
        <v>26</v>
      </c>
      <c r="B843" t="s">
        <v>11097</v>
      </c>
      <c r="C843">
        <v>25</v>
      </c>
      <c r="D843">
        <v>1</v>
      </c>
      <c r="E843">
        <v>17</v>
      </c>
      <c r="F843" t="s">
        <v>12070</v>
      </c>
      <c r="G843" s="25">
        <v>0.8</v>
      </c>
    </row>
    <row r="844" spans="1:7" x14ac:dyDescent="0.35">
      <c r="A844">
        <v>26</v>
      </c>
      <c r="B844" t="s">
        <v>11097</v>
      </c>
      <c r="C844">
        <v>26</v>
      </c>
      <c r="D844">
        <v>1</v>
      </c>
      <c r="E844">
        <v>21</v>
      </c>
      <c r="F844" t="s">
        <v>12071</v>
      </c>
      <c r="G844" s="25">
        <v>0.8</v>
      </c>
    </row>
    <row r="845" spans="1:7" x14ac:dyDescent="0.35">
      <c r="A845">
        <v>26</v>
      </c>
      <c r="B845" t="s">
        <v>11097</v>
      </c>
      <c r="C845">
        <v>27</v>
      </c>
      <c r="D845">
        <v>1</v>
      </c>
      <c r="E845">
        <v>36</v>
      </c>
      <c r="F845" t="s">
        <v>12071</v>
      </c>
      <c r="G845" s="25">
        <v>0.8</v>
      </c>
    </row>
    <row r="846" spans="1:7" x14ac:dyDescent="0.35">
      <c r="A846">
        <v>26</v>
      </c>
      <c r="B846" t="s">
        <v>11097</v>
      </c>
      <c r="C846">
        <v>28</v>
      </c>
      <c r="D846">
        <v>1</v>
      </c>
      <c r="E846">
        <v>26</v>
      </c>
      <c r="F846" t="s">
        <v>12072</v>
      </c>
      <c r="G846" s="25">
        <v>0.8</v>
      </c>
    </row>
    <row r="847" spans="1:7" x14ac:dyDescent="0.35">
      <c r="A847">
        <v>26</v>
      </c>
      <c r="B847" t="s">
        <v>11097</v>
      </c>
      <c r="C847">
        <v>29</v>
      </c>
      <c r="D847">
        <v>1</v>
      </c>
      <c r="E847">
        <v>21</v>
      </c>
      <c r="F847" t="s">
        <v>12073</v>
      </c>
      <c r="G847" s="25">
        <v>0.8</v>
      </c>
    </row>
    <row r="848" spans="1:7" x14ac:dyDescent="0.35">
      <c r="A848">
        <v>26</v>
      </c>
      <c r="B848" t="s">
        <v>11097</v>
      </c>
      <c r="C848">
        <v>30</v>
      </c>
      <c r="D848">
        <v>1</v>
      </c>
      <c r="E848">
        <v>26</v>
      </c>
      <c r="F848" t="s">
        <v>12073</v>
      </c>
      <c r="G848" s="25">
        <v>0.8</v>
      </c>
    </row>
    <row r="849" spans="1:7" x14ac:dyDescent="0.35">
      <c r="A849">
        <v>26</v>
      </c>
      <c r="B849" t="s">
        <v>11097</v>
      </c>
      <c r="C849">
        <v>31</v>
      </c>
      <c r="D849">
        <v>1</v>
      </c>
      <c r="E849">
        <v>18</v>
      </c>
      <c r="F849" t="s">
        <v>12073</v>
      </c>
      <c r="G849" s="25">
        <v>0.8</v>
      </c>
    </row>
    <row r="850" spans="1:7" x14ac:dyDescent="0.35">
      <c r="A850">
        <v>26</v>
      </c>
      <c r="B850" t="s">
        <v>11097</v>
      </c>
      <c r="C850">
        <v>32</v>
      </c>
      <c r="D850">
        <v>1</v>
      </c>
      <c r="E850">
        <v>32</v>
      </c>
      <c r="F850" t="s">
        <v>12073</v>
      </c>
      <c r="G850" s="25">
        <v>0.8</v>
      </c>
    </row>
    <row r="851" spans="1:7" x14ac:dyDescent="0.35">
      <c r="A851">
        <v>26</v>
      </c>
      <c r="B851" t="s">
        <v>11097</v>
      </c>
      <c r="C851">
        <v>33</v>
      </c>
      <c r="D851">
        <v>1</v>
      </c>
      <c r="E851">
        <v>33</v>
      </c>
      <c r="F851" t="s">
        <v>12074</v>
      </c>
      <c r="G851" s="25">
        <v>0.85</v>
      </c>
    </row>
    <row r="852" spans="1:7" x14ac:dyDescent="0.35">
      <c r="A852">
        <v>26</v>
      </c>
      <c r="B852" t="s">
        <v>11097</v>
      </c>
      <c r="C852">
        <v>34</v>
      </c>
      <c r="D852">
        <v>1</v>
      </c>
      <c r="E852">
        <v>31</v>
      </c>
      <c r="F852" t="s">
        <v>12075</v>
      </c>
      <c r="G852" s="25">
        <v>0.85</v>
      </c>
    </row>
    <row r="853" spans="1:7" x14ac:dyDescent="0.35">
      <c r="A853">
        <v>26</v>
      </c>
      <c r="B853" t="s">
        <v>11097</v>
      </c>
      <c r="C853">
        <v>35</v>
      </c>
      <c r="D853">
        <v>1</v>
      </c>
      <c r="E853">
        <v>15</v>
      </c>
      <c r="F853" t="s">
        <v>12076</v>
      </c>
      <c r="G853" s="25">
        <v>0.8</v>
      </c>
    </row>
    <row r="854" spans="1:7" x14ac:dyDescent="0.35">
      <c r="A854">
        <v>26</v>
      </c>
      <c r="B854" t="s">
        <v>11097</v>
      </c>
      <c r="C854">
        <v>36</v>
      </c>
      <c r="D854">
        <v>1</v>
      </c>
      <c r="E854">
        <v>38</v>
      </c>
      <c r="F854" t="s">
        <v>12077</v>
      </c>
      <c r="G854" s="25">
        <v>0.85</v>
      </c>
    </row>
    <row r="855" spans="1:7" x14ac:dyDescent="0.35">
      <c r="A855">
        <v>26</v>
      </c>
      <c r="B855" t="s">
        <v>11097</v>
      </c>
      <c r="C855">
        <v>37</v>
      </c>
      <c r="D855">
        <v>1</v>
      </c>
      <c r="E855">
        <v>28</v>
      </c>
      <c r="F855" t="s">
        <v>12077</v>
      </c>
      <c r="G855" s="25">
        <v>0.85</v>
      </c>
    </row>
    <row r="856" spans="1:7" x14ac:dyDescent="0.35">
      <c r="A856">
        <v>26</v>
      </c>
      <c r="B856" t="s">
        <v>11097</v>
      </c>
      <c r="C856">
        <v>38</v>
      </c>
      <c r="D856">
        <v>1</v>
      </c>
      <c r="E856">
        <v>23</v>
      </c>
      <c r="F856" t="s">
        <v>12078</v>
      </c>
      <c r="G856" s="25">
        <v>0.75</v>
      </c>
    </row>
    <row r="857" spans="1:7" x14ac:dyDescent="0.35">
      <c r="A857">
        <v>26</v>
      </c>
      <c r="B857" t="s">
        <v>11097</v>
      </c>
      <c r="C857">
        <v>39</v>
      </c>
      <c r="D857">
        <v>1</v>
      </c>
      <c r="E857">
        <v>29</v>
      </c>
      <c r="F857" t="s">
        <v>12078</v>
      </c>
      <c r="G857" s="25">
        <v>0.75</v>
      </c>
    </row>
    <row r="858" spans="1:7" x14ac:dyDescent="0.35">
      <c r="A858">
        <v>26</v>
      </c>
      <c r="B858" t="s">
        <v>11097</v>
      </c>
      <c r="C858">
        <v>40</v>
      </c>
      <c r="D858">
        <v>1</v>
      </c>
      <c r="E858">
        <v>49</v>
      </c>
      <c r="F858" t="s">
        <v>12079</v>
      </c>
      <c r="G858" s="25">
        <v>0.8</v>
      </c>
    </row>
    <row r="859" spans="1:7" x14ac:dyDescent="0.35">
      <c r="A859">
        <v>26</v>
      </c>
      <c r="B859" t="s">
        <v>11097</v>
      </c>
      <c r="C859">
        <v>41</v>
      </c>
      <c r="D859">
        <v>1</v>
      </c>
      <c r="E859">
        <v>26</v>
      </c>
      <c r="F859" t="s">
        <v>12079</v>
      </c>
      <c r="G859" s="25">
        <v>0.8</v>
      </c>
    </row>
    <row r="860" spans="1:7" x14ac:dyDescent="0.35">
      <c r="A860">
        <v>26</v>
      </c>
      <c r="B860" t="s">
        <v>11097</v>
      </c>
      <c r="C860">
        <v>42</v>
      </c>
      <c r="D860">
        <v>1</v>
      </c>
      <c r="E860">
        <v>20</v>
      </c>
      <c r="F860" t="s">
        <v>12079</v>
      </c>
      <c r="G860" s="25">
        <v>0.8</v>
      </c>
    </row>
    <row r="861" spans="1:7" x14ac:dyDescent="0.35">
      <c r="A861">
        <v>26</v>
      </c>
      <c r="B861" t="s">
        <v>11097</v>
      </c>
      <c r="C861">
        <v>43</v>
      </c>
      <c r="D861">
        <v>1</v>
      </c>
      <c r="E861">
        <v>27</v>
      </c>
      <c r="F861" t="s">
        <v>12079</v>
      </c>
      <c r="G861" s="25">
        <v>0.8</v>
      </c>
    </row>
    <row r="862" spans="1:7" x14ac:dyDescent="0.35">
      <c r="A862">
        <v>26</v>
      </c>
      <c r="B862" t="s">
        <v>11097</v>
      </c>
      <c r="C862">
        <v>44</v>
      </c>
      <c r="D862">
        <v>1</v>
      </c>
      <c r="E862">
        <v>31</v>
      </c>
      <c r="F862" t="s">
        <v>12079</v>
      </c>
      <c r="G862" s="25">
        <v>0.8</v>
      </c>
    </row>
    <row r="863" spans="1:7" x14ac:dyDescent="0.35">
      <c r="A863">
        <v>26</v>
      </c>
      <c r="B863" t="s">
        <v>11097</v>
      </c>
      <c r="C863">
        <v>45</v>
      </c>
      <c r="D863">
        <v>1</v>
      </c>
      <c r="E863">
        <v>25</v>
      </c>
      <c r="F863" t="s">
        <v>12079</v>
      </c>
      <c r="G863" s="25">
        <v>0.8</v>
      </c>
    </row>
    <row r="864" spans="1:7" x14ac:dyDescent="0.35">
      <c r="A864">
        <v>26</v>
      </c>
      <c r="B864" t="s">
        <v>11097</v>
      </c>
      <c r="C864">
        <v>46</v>
      </c>
      <c r="D864">
        <v>1</v>
      </c>
      <c r="E864">
        <v>24</v>
      </c>
      <c r="F864" t="s">
        <v>12079</v>
      </c>
      <c r="G864" s="25">
        <v>0.8</v>
      </c>
    </row>
    <row r="865" spans="1:7" x14ac:dyDescent="0.35">
      <c r="A865">
        <v>26</v>
      </c>
      <c r="B865" t="s">
        <v>11097</v>
      </c>
      <c r="C865">
        <v>47</v>
      </c>
      <c r="D865">
        <v>1</v>
      </c>
      <c r="E865">
        <v>23</v>
      </c>
      <c r="F865" t="s">
        <v>12079</v>
      </c>
      <c r="G865" s="25">
        <v>0.8</v>
      </c>
    </row>
    <row r="866" spans="1:7" x14ac:dyDescent="0.35">
      <c r="A866">
        <v>26</v>
      </c>
      <c r="B866" t="s">
        <v>11097</v>
      </c>
      <c r="C866">
        <v>48</v>
      </c>
      <c r="D866">
        <v>1</v>
      </c>
      <c r="E866">
        <v>35</v>
      </c>
      <c r="F866" t="s">
        <v>12079</v>
      </c>
      <c r="G866" s="25">
        <v>0.8</v>
      </c>
    </row>
    <row r="867" spans="1:7" x14ac:dyDescent="0.35">
      <c r="A867">
        <v>27</v>
      </c>
      <c r="B867" t="s">
        <v>11099</v>
      </c>
      <c r="C867">
        <v>1</v>
      </c>
      <c r="D867">
        <v>1</v>
      </c>
      <c r="E867">
        <v>21</v>
      </c>
      <c r="F867" t="s">
        <v>3133</v>
      </c>
      <c r="G867" s="25">
        <v>0.9</v>
      </c>
    </row>
    <row r="868" spans="1:7" x14ac:dyDescent="0.35">
      <c r="A868">
        <v>27</v>
      </c>
      <c r="B868" t="s">
        <v>11099</v>
      </c>
      <c r="C868">
        <v>2</v>
      </c>
      <c r="D868">
        <v>1</v>
      </c>
      <c r="E868">
        <v>49</v>
      </c>
      <c r="F868" t="s">
        <v>3133</v>
      </c>
      <c r="G868" s="25">
        <v>0.9</v>
      </c>
    </row>
    <row r="869" spans="1:7" x14ac:dyDescent="0.35">
      <c r="A869">
        <v>27</v>
      </c>
      <c r="B869" t="s">
        <v>11099</v>
      </c>
      <c r="C869">
        <v>3</v>
      </c>
      <c r="D869">
        <v>1</v>
      </c>
      <c r="E869">
        <v>30</v>
      </c>
      <c r="F869" t="s">
        <v>3133</v>
      </c>
      <c r="G869" s="25">
        <v>0.9</v>
      </c>
    </row>
    <row r="870" spans="1:7" x14ac:dyDescent="0.35">
      <c r="A870">
        <v>27</v>
      </c>
      <c r="B870" t="s">
        <v>11099</v>
      </c>
      <c r="C870">
        <v>4</v>
      </c>
      <c r="D870">
        <v>1</v>
      </c>
      <c r="E870">
        <v>37</v>
      </c>
      <c r="F870" t="s">
        <v>3133</v>
      </c>
      <c r="G870" s="25">
        <v>0.9</v>
      </c>
    </row>
    <row r="871" spans="1:7" x14ac:dyDescent="0.35">
      <c r="A871">
        <v>27</v>
      </c>
      <c r="B871" t="s">
        <v>11099</v>
      </c>
      <c r="C871">
        <v>5</v>
      </c>
      <c r="D871">
        <v>1</v>
      </c>
      <c r="E871">
        <v>31</v>
      </c>
      <c r="F871" t="s">
        <v>3133</v>
      </c>
      <c r="G871" s="25">
        <v>0.9</v>
      </c>
    </row>
    <row r="872" spans="1:7" x14ac:dyDescent="0.35">
      <c r="A872">
        <v>27</v>
      </c>
      <c r="B872" t="s">
        <v>11099</v>
      </c>
      <c r="C872">
        <v>6</v>
      </c>
      <c r="D872">
        <v>1</v>
      </c>
      <c r="E872">
        <v>28</v>
      </c>
      <c r="F872" t="s">
        <v>12080</v>
      </c>
      <c r="G872" s="25">
        <v>0.9</v>
      </c>
    </row>
    <row r="873" spans="1:7" x14ac:dyDescent="0.35">
      <c r="A873">
        <v>27</v>
      </c>
      <c r="B873" t="s">
        <v>11099</v>
      </c>
      <c r="C873">
        <v>7</v>
      </c>
      <c r="D873">
        <v>1</v>
      </c>
      <c r="E873">
        <v>28</v>
      </c>
      <c r="F873" t="s">
        <v>12080</v>
      </c>
      <c r="G873" s="25">
        <v>0.9</v>
      </c>
    </row>
    <row r="874" spans="1:7" x14ac:dyDescent="0.35">
      <c r="A874">
        <v>27</v>
      </c>
      <c r="B874" t="s">
        <v>11099</v>
      </c>
      <c r="C874">
        <v>8</v>
      </c>
      <c r="D874">
        <v>1</v>
      </c>
      <c r="E874">
        <v>27</v>
      </c>
      <c r="F874" t="s">
        <v>12080</v>
      </c>
      <c r="G874" s="25">
        <v>0.9</v>
      </c>
    </row>
    <row r="875" spans="1:7" x14ac:dyDescent="0.35">
      <c r="A875">
        <v>27</v>
      </c>
      <c r="B875" t="s">
        <v>11099</v>
      </c>
      <c r="C875">
        <v>9</v>
      </c>
      <c r="D875">
        <v>1</v>
      </c>
      <c r="E875">
        <v>27</v>
      </c>
      <c r="F875" t="s">
        <v>12080</v>
      </c>
      <c r="G875" s="25">
        <v>0.9</v>
      </c>
    </row>
    <row r="876" spans="1:7" x14ac:dyDescent="0.35">
      <c r="A876">
        <v>27</v>
      </c>
      <c r="B876" t="s">
        <v>11099</v>
      </c>
      <c r="C876">
        <v>10</v>
      </c>
      <c r="D876">
        <v>1</v>
      </c>
      <c r="E876">
        <v>21</v>
      </c>
      <c r="F876" t="s">
        <v>12080</v>
      </c>
      <c r="G876" s="25">
        <v>0.9</v>
      </c>
    </row>
    <row r="877" spans="1:7" x14ac:dyDescent="0.35">
      <c r="A877">
        <v>27</v>
      </c>
      <c r="B877" t="s">
        <v>11099</v>
      </c>
      <c r="C877">
        <v>11</v>
      </c>
      <c r="D877">
        <v>1</v>
      </c>
      <c r="E877">
        <v>45</v>
      </c>
      <c r="F877" t="s">
        <v>12080</v>
      </c>
      <c r="G877" s="25">
        <v>0.9</v>
      </c>
    </row>
    <row r="878" spans="1:7" x14ac:dyDescent="0.35">
      <c r="A878">
        <v>27</v>
      </c>
      <c r="B878" t="s">
        <v>11099</v>
      </c>
      <c r="C878">
        <v>12</v>
      </c>
      <c r="D878">
        <v>1</v>
      </c>
      <c r="E878">
        <v>13</v>
      </c>
      <c r="F878" t="s">
        <v>12080</v>
      </c>
      <c r="G878" s="25">
        <v>0.9</v>
      </c>
    </row>
    <row r="879" spans="1:7" x14ac:dyDescent="0.35">
      <c r="A879">
        <v>28</v>
      </c>
      <c r="B879" t="s">
        <v>5046</v>
      </c>
      <c r="C879">
        <v>1</v>
      </c>
      <c r="D879">
        <v>1</v>
      </c>
      <c r="E879">
        <v>11</v>
      </c>
      <c r="F879" t="s">
        <v>1682</v>
      </c>
      <c r="G879" s="25">
        <v>0.85</v>
      </c>
    </row>
    <row r="880" spans="1:7" x14ac:dyDescent="0.35">
      <c r="A880">
        <v>28</v>
      </c>
      <c r="B880" t="s">
        <v>5046</v>
      </c>
      <c r="C880">
        <v>2</v>
      </c>
      <c r="D880">
        <v>1</v>
      </c>
      <c r="E880">
        <v>23</v>
      </c>
      <c r="F880" t="s">
        <v>1682</v>
      </c>
      <c r="G880" s="25">
        <v>0.85</v>
      </c>
    </row>
    <row r="881" spans="1:7" x14ac:dyDescent="0.35">
      <c r="A881">
        <v>28</v>
      </c>
      <c r="B881" t="s">
        <v>5046</v>
      </c>
      <c r="C881">
        <v>3</v>
      </c>
      <c r="D881">
        <v>1</v>
      </c>
      <c r="E881">
        <v>5</v>
      </c>
      <c r="F881" t="s">
        <v>1682</v>
      </c>
      <c r="G881" s="25">
        <v>0.85</v>
      </c>
    </row>
    <row r="882" spans="1:7" x14ac:dyDescent="0.35">
      <c r="A882">
        <v>28</v>
      </c>
      <c r="B882" t="s">
        <v>5046</v>
      </c>
      <c r="C882">
        <v>4</v>
      </c>
      <c r="D882">
        <v>1</v>
      </c>
      <c r="E882">
        <v>19</v>
      </c>
      <c r="F882" t="s">
        <v>1682</v>
      </c>
      <c r="G882" s="25">
        <v>0.85</v>
      </c>
    </row>
    <row r="883" spans="1:7" x14ac:dyDescent="0.35">
      <c r="A883">
        <v>28</v>
      </c>
      <c r="B883" t="s">
        <v>5046</v>
      </c>
      <c r="C883">
        <v>5</v>
      </c>
      <c r="D883">
        <v>1</v>
      </c>
      <c r="E883">
        <v>15</v>
      </c>
      <c r="F883" t="s">
        <v>1682</v>
      </c>
      <c r="G883" s="25">
        <v>0.85</v>
      </c>
    </row>
    <row r="884" spans="1:7" x14ac:dyDescent="0.35">
      <c r="A884">
        <v>28</v>
      </c>
      <c r="B884" t="s">
        <v>5046</v>
      </c>
      <c r="C884">
        <v>6</v>
      </c>
      <c r="D884">
        <v>1</v>
      </c>
      <c r="E884">
        <v>11</v>
      </c>
      <c r="F884" t="s">
        <v>1682</v>
      </c>
      <c r="G884" s="25">
        <v>0.85</v>
      </c>
    </row>
    <row r="885" spans="1:7" x14ac:dyDescent="0.35">
      <c r="A885">
        <v>28</v>
      </c>
      <c r="B885" t="s">
        <v>5046</v>
      </c>
      <c r="C885">
        <v>7</v>
      </c>
      <c r="D885">
        <v>1</v>
      </c>
      <c r="E885">
        <v>16</v>
      </c>
      <c r="F885" t="s">
        <v>1682</v>
      </c>
      <c r="G885" s="25">
        <v>0.85</v>
      </c>
    </row>
    <row r="886" spans="1:7" x14ac:dyDescent="0.35">
      <c r="A886">
        <v>28</v>
      </c>
      <c r="B886" t="s">
        <v>5046</v>
      </c>
      <c r="C886">
        <v>8</v>
      </c>
      <c r="D886">
        <v>1</v>
      </c>
      <c r="E886">
        <v>14</v>
      </c>
      <c r="F886" t="s">
        <v>1682</v>
      </c>
      <c r="G886" s="25">
        <v>0.85</v>
      </c>
    </row>
    <row r="887" spans="1:7" x14ac:dyDescent="0.35">
      <c r="A887">
        <v>28</v>
      </c>
      <c r="B887" t="s">
        <v>5046</v>
      </c>
      <c r="C887">
        <v>9</v>
      </c>
      <c r="D887">
        <v>1</v>
      </c>
      <c r="E887">
        <v>17</v>
      </c>
      <c r="F887" t="s">
        <v>1682</v>
      </c>
      <c r="G887" s="25">
        <v>0.85</v>
      </c>
    </row>
    <row r="888" spans="1:7" x14ac:dyDescent="0.35">
      <c r="A888">
        <v>28</v>
      </c>
      <c r="B888" t="s">
        <v>5046</v>
      </c>
      <c r="C888">
        <v>10</v>
      </c>
      <c r="D888">
        <v>1</v>
      </c>
      <c r="E888">
        <v>15</v>
      </c>
      <c r="F888" t="s">
        <v>1682</v>
      </c>
      <c r="G888" s="25">
        <v>0.85</v>
      </c>
    </row>
    <row r="889" spans="1:7" x14ac:dyDescent="0.35">
      <c r="A889">
        <v>28</v>
      </c>
      <c r="B889" t="s">
        <v>5046</v>
      </c>
      <c r="C889">
        <v>11</v>
      </c>
      <c r="D889">
        <v>1</v>
      </c>
      <c r="E889">
        <v>12</v>
      </c>
      <c r="F889" t="s">
        <v>1682</v>
      </c>
      <c r="G889" s="25">
        <v>0.85</v>
      </c>
    </row>
    <row r="890" spans="1:7" x14ac:dyDescent="0.35">
      <c r="A890">
        <v>28</v>
      </c>
      <c r="B890" t="s">
        <v>5046</v>
      </c>
      <c r="C890">
        <v>12</v>
      </c>
      <c r="D890">
        <v>1</v>
      </c>
      <c r="E890">
        <v>14</v>
      </c>
      <c r="F890" t="s">
        <v>1682</v>
      </c>
      <c r="G890" s="25">
        <v>0.85</v>
      </c>
    </row>
    <row r="891" spans="1:7" x14ac:dyDescent="0.35">
      <c r="A891">
        <v>28</v>
      </c>
      <c r="B891" t="s">
        <v>5046</v>
      </c>
      <c r="C891">
        <v>13</v>
      </c>
      <c r="D891">
        <v>1</v>
      </c>
      <c r="E891">
        <v>16</v>
      </c>
      <c r="F891" t="s">
        <v>1682</v>
      </c>
      <c r="G891" s="25">
        <v>0.85</v>
      </c>
    </row>
    <row r="892" spans="1:7" x14ac:dyDescent="0.35">
      <c r="A892">
        <v>28</v>
      </c>
      <c r="B892" t="s">
        <v>5046</v>
      </c>
      <c r="C892">
        <v>14</v>
      </c>
      <c r="D892">
        <v>1</v>
      </c>
      <c r="E892">
        <v>9</v>
      </c>
      <c r="F892" t="s">
        <v>1682</v>
      </c>
      <c r="G892" s="25">
        <v>0.85</v>
      </c>
    </row>
    <row r="893" spans="1:7" x14ac:dyDescent="0.35">
      <c r="A893">
        <v>29</v>
      </c>
      <c r="B893" t="s">
        <v>5113</v>
      </c>
      <c r="C893">
        <v>1</v>
      </c>
      <c r="D893">
        <v>1</v>
      </c>
      <c r="E893">
        <v>20</v>
      </c>
      <c r="F893" t="s">
        <v>5285</v>
      </c>
      <c r="G893" s="25">
        <v>0.85</v>
      </c>
    </row>
    <row r="894" spans="1:7" x14ac:dyDescent="0.35">
      <c r="A894">
        <v>29</v>
      </c>
      <c r="B894" t="s">
        <v>5113</v>
      </c>
      <c r="C894">
        <v>2</v>
      </c>
      <c r="D894">
        <v>1</v>
      </c>
      <c r="E894">
        <v>32</v>
      </c>
      <c r="F894" t="s">
        <v>5285</v>
      </c>
      <c r="G894" s="25">
        <v>0.85</v>
      </c>
    </row>
    <row r="895" spans="1:7" x14ac:dyDescent="0.35">
      <c r="A895">
        <v>29</v>
      </c>
      <c r="B895" t="s">
        <v>5113</v>
      </c>
      <c r="C895">
        <v>3</v>
      </c>
      <c r="D895">
        <v>1</v>
      </c>
      <c r="E895">
        <v>21</v>
      </c>
      <c r="F895" t="s">
        <v>5285</v>
      </c>
      <c r="G895" s="25">
        <v>0.85</v>
      </c>
    </row>
    <row r="896" spans="1:7" x14ac:dyDescent="0.35">
      <c r="A896">
        <v>30</v>
      </c>
      <c r="B896" t="s">
        <v>5182</v>
      </c>
      <c r="C896">
        <v>1</v>
      </c>
      <c r="D896">
        <v>1</v>
      </c>
      <c r="E896">
        <v>15</v>
      </c>
      <c r="F896" t="s">
        <v>12081</v>
      </c>
      <c r="G896" s="25">
        <v>0.85</v>
      </c>
    </row>
    <row r="897" spans="1:7" x14ac:dyDescent="0.35">
      <c r="A897">
        <v>30</v>
      </c>
      <c r="B897" t="s">
        <v>5182</v>
      </c>
      <c r="C897">
        <v>2</v>
      </c>
      <c r="D897">
        <v>1</v>
      </c>
      <c r="E897">
        <v>16</v>
      </c>
      <c r="F897" t="s">
        <v>1682</v>
      </c>
      <c r="G897" s="25">
        <v>0.85</v>
      </c>
    </row>
    <row r="898" spans="1:7" x14ac:dyDescent="0.35">
      <c r="A898">
        <v>30</v>
      </c>
      <c r="B898" t="s">
        <v>5182</v>
      </c>
      <c r="C898">
        <v>3</v>
      </c>
      <c r="D898">
        <v>1</v>
      </c>
      <c r="E898">
        <v>15</v>
      </c>
      <c r="F898" t="s">
        <v>1682</v>
      </c>
      <c r="G898" s="25">
        <v>0.85</v>
      </c>
    </row>
    <row r="899" spans="1:7" x14ac:dyDescent="0.35">
      <c r="A899">
        <v>30</v>
      </c>
      <c r="B899" t="s">
        <v>5182</v>
      </c>
      <c r="C899">
        <v>4</v>
      </c>
      <c r="D899">
        <v>1</v>
      </c>
      <c r="E899">
        <v>13</v>
      </c>
      <c r="F899" t="s">
        <v>1682</v>
      </c>
      <c r="G899" s="25">
        <v>0.85</v>
      </c>
    </row>
    <row r="900" spans="1:7" x14ac:dyDescent="0.35">
      <c r="A900">
        <v>30</v>
      </c>
      <c r="B900" t="s">
        <v>5182</v>
      </c>
      <c r="C900">
        <v>5</v>
      </c>
      <c r="D900">
        <v>1</v>
      </c>
      <c r="E900">
        <v>27</v>
      </c>
      <c r="F900" t="s">
        <v>1682</v>
      </c>
      <c r="G900" s="25">
        <v>0.85</v>
      </c>
    </row>
    <row r="901" spans="1:7" x14ac:dyDescent="0.35">
      <c r="A901">
        <v>30</v>
      </c>
      <c r="B901" t="s">
        <v>5182</v>
      </c>
      <c r="C901">
        <v>6</v>
      </c>
      <c r="D901">
        <v>1</v>
      </c>
      <c r="E901">
        <v>14</v>
      </c>
      <c r="F901" t="s">
        <v>1682</v>
      </c>
      <c r="G901" s="25">
        <v>0.85</v>
      </c>
    </row>
    <row r="902" spans="1:7" x14ac:dyDescent="0.35">
      <c r="A902">
        <v>30</v>
      </c>
      <c r="B902" t="s">
        <v>5182</v>
      </c>
      <c r="C902">
        <v>7</v>
      </c>
      <c r="D902">
        <v>1</v>
      </c>
      <c r="E902">
        <v>17</v>
      </c>
      <c r="F902" t="s">
        <v>1682</v>
      </c>
      <c r="G902" s="25">
        <v>0.85</v>
      </c>
    </row>
    <row r="903" spans="1:7" x14ac:dyDescent="0.35">
      <c r="A903">
        <v>30</v>
      </c>
      <c r="B903" t="s">
        <v>5182</v>
      </c>
      <c r="C903">
        <v>8</v>
      </c>
      <c r="D903">
        <v>1</v>
      </c>
      <c r="E903">
        <v>14</v>
      </c>
      <c r="F903" t="s">
        <v>1682</v>
      </c>
      <c r="G903" s="25">
        <v>0.85</v>
      </c>
    </row>
    <row r="904" spans="1:7" x14ac:dyDescent="0.35">
      <c r="A904">
        <v>30</v>
      </c>
      <c r="B904" t="s">
        <v>5182</v>
      </c>
      <c r="C904">
        <v>9</v>
      </c>
      <c r="D904">
        <v>1</v>
      </c>
      <c r="E904">
        <v>15</v>
      </c>
      <c r="F904" t="s">
        <v>1682</v>
      </c>
      <c r="G904" s="25">
        <v>0.85</v>
      </c>
    </row>
    <row r="905" spans="1:7" x14ac:dyDescent="0.35">
      <c r="A905">
        <v>31</v>
      </c>
      <c r="B905" t="s">
        <v>5287</v>
      </c>
      <c r="C905">
        <v>1</v>
      </c>
      <c r="D905">
        <v>1</v>
      </c>
      <c r="E905">
        <v>21</v>
      </c>
      <c r="F905" t="s">
        <v>635</v>
      </c>
      <c r="G905" s="25">
        <v>0.85</v>
      </c>
    </row>
    <row r="906" spans="1:7" x14ac:dyDescent="0.35">
      <c r="A906">
        <v>32</v>
      </c>
      <c r="B906" t="s">
        <v>5354</v>
      </c>
      <c r="C906">
        <v>1</v>
      </c>
      <c r="D906">
        <v>1</v>
      </c>
      <c r="E906">
        <v>17</v>
      </c>
      <c r="F906" t="s">
        <v>12082</v>
      </c>
      <c r="G906" s="25">
        <v>0.85</v>
      </c>
    </row>
    <row r="907" spans="1:7" x14ac:dyDescent="0.35">
      <c r="A907">
        <v>32</v>
      </c>
      <c r="B907" t="s">
        <v>5354</v>
      </c>
      <c r="C907">
        <v>2</v>
      </c>
      <c r="D907">
        <v>1</v>
      </c>
      <c r="E907">
        <v>10</v>
      </c>
      <c r="F907" t="s">
        <v>12083</v>
      </c>
      <c r="G907" s="25">
        <v>0.8</v>
      </c>
    </row>
    <row r="908" spans="1:7" x14ac:dyDescent="0.35">
      <c r="A908">
        <v>32</v>
      </c>
      <c r="B908" t="s">
        <v>5354</v>
      </c>
      <c r="C908">
        <v>3</v>
      </c>
      <c r="D908">
        <v>1</v>
      </c>
      <c r="E908">
        <v>10</v>
      </c>
      <c r="F908" t="s">
        <v>12084</v>
      </c>
      <c r="G908" s="25">
        <v>0.9</v>
      </c>
    </row>
    <row r="909" spans="1:7" x14ac:dyDescent="0.35">
      <c r="A909">
        <v>32</v>
      </c>
      <c r="B909" t="s">
        <v>5354</v>
      </c>
      <c r="C909">
        <v>4</v>
      </c>
      <c r="D909">
        <v>1</v>
      </c>
      <c r="E909">
        <v>11</v>
      </c>
      <c r="F909" t="s">
        <v>12084</v>
      </c>
      <c r="G909" s="25">
        <v>0.9</v>
      </c>
    </row>
    <row r="910" spans="1:7" x14ac:dyDescent="0.35">
      <c r="A910">
        <v>33</v>
      </c>
      <c r="B910" t="s">
        <v>2999</v>
      </c>
      <c r="C910">
        <v>1</v>
      </c>
      <c r="D910">
        <v>1</v>
      </c>
      <c r="E910">
        <v>16</v>
      </c>
      <c r="F910" t="s">
        <v>5285</v>
      </c>
      <c r="G910" s="25">
        <v>0.9</v>
      </c>
    </row>
    <row r="911" spans="1:7" x14ac:dyDescent="0.35">
      <c r="A911">
        <v>33</v>
      </c>
      <c r="B911" t="s">
        <v>2999</v>
      </c>
      <c r="C911">
        <v>2</v>
      </c>
      <c r="D911">
        <v>1</v>
      </c>
      <c r="E911">
        <v>13</v>
      </c>
      <c r="F911" t="s">
        <v>5285</v>
      </c>
      <c r="G911" s="25">
        <v>0.9</v>
      </c>
    </row>
    <row r="912" spans="1:7" x14ac:dyDescent="0.35">
      <c r="A912">
        <v>33</v>
      </c>
      <c r="B912" t="s">
        <v>2999</v>
      </c>
      <c r="C912">
        <v>3</v>
      </c>
      <c r="D912">
        <v>1</v>
      </c>
      <c r="E912">
        <v>12</v>
      </c>
      <c r="F912" t="s">
        <v>5285</v>
      </c>
      <c r="G912" s="25">
        <v>0.9</v>
      </c>
    </row>
    <row r="913" spans="1:7" x14ac:dyDescent="0.35">
      <c r="A913">
        <v>33</v>
      </c>
      <c r="B913" t="s">
        <v>2999</v>
      </c>
      <c r="C913">
        <v>4</v>
      </c>
      <c r="D913">
        <v>1</v>
      </c>
      <c r="E913">
        <v>13</v>
      </c>
      <c r="F913" t="s">
        <v>4434</v>
      </c>
      <c r="G913" s="25">
        <v>0.9</v>
      </c>
    </row>
    <row r="914" spans="1:7" x14ac:dyDescent="0.35">
      <c r="A914">
        <v>33</v>
      </c>
      <c r="B914" t="s">
        <v>2999</v>
      </c>
      <c r="C914">
        <v>5</v>
      </c>
      <c r="D914">
        <v>1</v>
      </c>
      <c r="E914">
        <v>15</v>
      </c>
      <c r="F914" t="s">
        <v>3046</v>
      </c>
      <c r="G914" s="25">
        <v>0.9</v>
      </c>
    </row>
    <row r="915" spans="1:7" x14ac:dyDescent="0.35">
      <c r="A915">
        <v>33</v>
      </c>
      <c r="B915" t="s">
        <v>2999</v>
      </c>
      <c r="C915">
        <v>6</v>
      </c>
      <c r="D915">
        <v>1</v>
      </c>
      <c r="E915">
        <v>16</v>
      </c>
      <c r="F915" t="s">
        <v>5285</v>
      </c>
      <c r="G915" s="25">
        <v>0.9</v>
      </c>
    </row>
    <row r="916" spans="1:7" x14ac:dyDescent="0.35">
      <c r="A916">
        <v>33</v>
      </c>
      <c r="B916" t="s">
        <v>2999</v>
      </c>
      <c r="C916">
        <v>7</v>
      </c>
      <c r="D916">
        <v>1</v>
      </c>
      <c r="E916">
        <v>20</v>
      </c>
      <c r="F916" t="s">
        <v>5285</v>
      </c>
      <c r="G916" s="25">
        <v>0.9</v>
      </c>
    </row>
    <row r="917" spans="1:7" x14ac:dyDescent="0.35">
      <c r="A917">
        <v>34</v>
      </c>
      <c r="B917" t="s">
        <v>5529</v>
      </c>
      <c r="C917">
        <v>1</v>
      </c>
      <c r="D917">
        <v>1</v>
      </c>
      <c r="E917">
        <v>15</v>
      </c>
      <c r="F917" t="s">
        <v>12085</v>
      </c>
      <c r="G917" s="25">
        <v>0.85</v>
      </c>
    </row>
    <row r="918" spans="1:7" x14ac:dyDescent="0.35">
      <c r="A918">
        <v>34</v>
      </c>
      <c r="B918" t="s">
        <v>5529</v>
      </c>
      <c r="C918">
        <v>2</v>
      </c>
      <c r="D918">
        <v>1</v>
      </c>
      <c r="E918">
        <v>13</v>
      </c>
      <c r="F918" t="s">
        <v>12084</v>
      </c>
      <c r="G918" s="25">
        <v>0.85</v>
      </c>
    </row>
    <row r="919" spans="1:7" x14ac:dyDescent="0.35">
      <c r="A919">
        <v>34</v>
      </c>
      <c r="B919" t="s">
        <v>5529</v>
      </c>
      <c r="C919">
        <v>3</v>
      </c>
      <c r="D919">
        <v>1</v>
      </c>
      <c r="E919">
        <v>19</v>
      </c>
      <c r="F919" t="s">
        <v>12084</v>
      </c>
      <c r="G919" s="25">
        <v>0.85</v>
      </c>
    </row>
    <row r="920" spans="1:7" x14ac:dyDescent="0.35">
      <c r="A920">
        <v>35</v>
      </c>
      <c r="B920" t="s">
        <v>5599</v>
      </c>
      <c r="C920">
        <v>1</v>
      </c>
      <c r="D920">
        <v>1</v>
      </c>
      <c r="E920">
        <v>17</v>
      </c>
      <c r="F920" t="s">
        <v>1750</v>
      </c>
      <c r="G920" s="25">
        <v>0.85</v>
      </c>
    </row>
    <row r="921" spans="1:7" x14ac:dyDescent="0.35">
      <c r="A921">
        <v>35</v>
      </c>
      <c r="B921" t="s">
        <v>5599</v>
      </c>
      <c r="C921">
        <v>2</v>
      </c>
      <c r="D921">
        <v>1</v>
      </c>
      <c r="E921">
        <v>20</v>
      </c>
      <c r="F921" t="s">
        <v>1750</v>
      </c>
      <c r="G921" s="25">
        <v>0.85</v>
      </c>
    </row>
    <row r="922" spans="1:7" x14ac:dyDescent="0.35">
      <c r="A922">
        <v>35</v>
      </c>
      <c r="B922" t="s">
        <v>5599</v>
      </c>
      <c r="C922">
        <v>3</v>
      </c>
      <c r="D922">
        <v>1</v>
      </c>
      <c r="E922">
        <v>19</v>
      </c>
      <c r="F922" t="s">
        <v>1750</v>
      </c>
      <c r="G922" s="25">
        <v>0.85</v>
      </c>
    </row>
    <row r="923" spans="1:7" x14ac:dyDescent="0.35">
      <c r="A923">
        <v>36</v>
      </c>
      <c r="B923" t="s">
        <v>5736</v>
      </c>
      <c r="C923">
        <v>1</v>
      </c>
      <c r="D923">
        <v>1</v>
      </c>
      <c r="E923">
        <v>18</v>
      </c>
      <c r="F923" t="s">
        <v>5285</v>
      </c>
      <c r="G923" s="25">
        <v>0.9</v>
      </c>
    </row>
    <row r="924" spans="1:7" x14ac:dyDescent="0.35">
      <c r="A924">
        <v>36</v>
      </c>
      <c r="B924" t="s">
        <v>5736</v>
      </c>
      <c r="C924">
        <v>2</v>
      </c>
      <c r="D924">
        <v>1</v>
      </c>
      <c r="E924">
        <v>15</v>
      </c>
      <c r="F924" t="s">
        <v>12086</v>
      </c>
      <c r="G924" s="25">
        <v>0.85</v>
      </c>
    </row>
    <row r="925" spans="1:7" x14ac:dyDescent="0.35">
      <c r="A925">
        <v>36</v>
      </c>
      <c r="B925" t="s">
        <v>5736</v>
      </c>
      <c r="C925">
        <v>3</v>
      </c>
      <c r="D925">
        <v>1</v>
      </c>
      <c r="E925">
        <v>20</v>
      </c>
      <c r="F925" t="s">
        <v>4662</v>
      </c>
      <c r="G925" s="25">
        <v>0.9</v>
      </c>
    </row>
    <row r="926" spans="1:7" x14ac:dyDescent="0.35">
      <c r="A926">
        <v>37</v>
      </c>
      <c r="B926" t="s">
        <v>5774</v>
      </c>
      <c r="C926">
        <v>1</v>
      </c>
      <c r="D926">
        <v>1</v>
      </c>
      <c r="E926">
        <v>15</v>
      </c>
      <c r="F926" t="s">
        <v>12087</v>
      </c>
      <c r="G926" s="25">
        <v>0.9</v>
      </c>
    </row>
    <row r="927" spans="1:7" x14ac:dyDescent="0.35">
      <c r="A927">
        <v>37</v>
      </c>
      <c r="B927" t="s">
        <v>5774</v>
      </c>
      <c r="C927">
        <v>2</v>
      </c>
      <c r="D927">
        <v>1</v>
      </c>
      <c r="E927">
        <v>23</v>
      </c>
      <c r="F927" t="s">
        <v>12087</v>
      </c>
      <c r="G927" s="25">
        <v>0.9</v>
      </c>
    </row>
    <row r="928" spans="1:7" x14ac:dyDescent="0.35">
      <c r="A928">
        <v>38</v>
      </c>
      <c r="B928" t="s">
        <v>5773</v>
      </c>
      <c r="C928">
        <v>1</v>
      </c>
      <c r="D928">
        <v>1</v>
      </c>
      <c r="E928">
        <v>21</v>
      </c>
      <c r="F928" t="s">
        <v>12087</v>
      </c>
      <c r="G928" s="25">
        <v>0.9</v>
      </c>
    </row>
    <row r="929" spans="1:7" x14ac:dyDescent="0.35">
      <c r="A929">
        <v>38</v>
      </c>
      <c r="B929" t="s">
        <v>5773</v>
      </c>
      <c r="C929">
        <v>2</v>
      </c>
      <c r="D929">
        <v>1</v>
      </c>
      <c r="E929">
        <v>13</v>
      </c>
      <c r="F929" t="s">
        <v>12087</v>
      </c>
      <c r="G929" s="25">
        <v>0.9</v>
      </c>
    </row>
    <row r="930" spans="1:7" x14ac:dyDescent="0.35">
      <c r="A930">
        <v>38</v>
      </c>
      <c r="B930" t="s">
        <v>5773</v>
      </c>
      <c r="C930">
        <v>3</v>
      </c>
      <c r="D930">
        <v>1</v>
      </c>
      <c r="E930">
        <v>10</v>
      </c>
      <c r="F930" t="s">
        <v>12087</v>
      </c>
      <c r="G930" s="25">
        <v>0.9</v>
      </c>
    </row>
    <row r="931" spans="1:7" x14ac:dyDescent="0.35">
      <c r="A931">
        <v>38</v>
      </c>
      <c r="B931" t="s">
        <v>5773</v>
      </c>
      <c r="C931">
        <v>4</v>
      </c>
      <c r="D931">
        <v>1</v>
      </c>
      <c r="E931">
        <v>14</v>
      </c>
      <c r="F931" t="s">
        <v>12087</v>
      </c>
      <c r="G931" s="25">
        <v>0.9</v>
      </c>
    </row>
    <row r="932" spans="1:7" x14ac:dyDescent="0.35">
      <c r="A932">
        <v>38</v>
      </c>
      <c r="B932" t="s">
        <v>5773</v>
      </c>
      <c r="C932">
        <v>5</v>
      </c>
      <c r="D932">
        <v>1</v>
      </c>
      <c r="E932">
        <v>11</v>
      </c>
      <c r="F932" t="s">
        <v>12087</v>
      </c>
      <c r="G932" s="25">
        <v>0.9</v>
      </c>
    </row>
    <row r="933" spans="1:7" x14ac:dyDescent="0.35">
      <c r="A933">
        <v>38</v>
      </c>
      <c r="B933" t="s">
        <v>5773</v>
      </c>
      <c r="C933">
        <v>6</v>
      </c>
      <c r="D933">
        <v>1</v>
      </c>
      <c r="E933">
        <v>15</v>
      </c>
      <c r="F933" t="s">
        <v>12087</v>
      </c>
      <c r="G933" s="25">
        <v>0.9</v>
      </c>
    </row>
    <row r="934" spans="1:7" x14ac:dyDescent="0.35">
      <c r="A934">
        <v>38</v>
      </c>
      <c r="B934" t="s">
        <v>5773</v>
      </c>
      <c r="C934">
        <v>7</v>
      </c>
      <c r="D934">
        <v>1</v>
      </c>
      <c r="E934">
        <v>14</v>
      </c>
      <c r="F934" t="s">
        <v>12087</v>
      </c>
      <c r="G934" s="25">
        <v>0.9</v>
      </c>
    </row>
    <row r="935" spans="1:7" x14ac:dyDescent="0.35">
      <c r="A935">
        <v>38</v>
      </c>
      <c r="B935" t="s">
        <v>5773</v>
      </c>
      <c r="C935">
        <v>8</v>
      </c>
      <c r="D935">
        <v>1</v>
      </c>
      <c r="E935">
        <v>23</v>
      </c>
      <c r="F935" t="s">
        <v>12087</v>
      </c>
      <c r="G935" s="25">
        <v>0.9</v>
      </c>
    </row>
    <row r="936" spans="1:7" x14ac:dyDescent="0.35">
      <c r="A936">
        <v>38</v>
      </c>
      <c r="B936" t="s">
        <v>5773</v>
      </c>
      <c r="C936">
        <v>9</v>
      </c>
      <c r="D936">
        <v>1</v>
      </c>
      <c r="E936">
        <v>17</v>
      </c>
      <c r="F936" t="s">
        <v>12088</v>
      </c>
      <c r="G936" s="25">
        <v>0.85</v>
      </c>
    </row>
    <row r="937" spans="1:7" x14ac:dyDescent="0.35">
      <c r="A937">
        <v>38</v>
      </c>
      <c r="B937" t="s">
        <v>5773</v>
      </c>
      <c r="C937">
        <v>10</v>
      </c>
      <c r="D937">
        <v>1</v>
      </c>
      <c r="E937">
        <v>12</v>
      </c>
      <c r="F937" t="s">
        <v>12088</v>
      </c>
      <c r="G937" s="25">
        <v>0.85</v>
      </c>
    </row>
    <row r="938" spans="1:7" x14ac:dyDescent="0.35">
      <c r="A938">
        <v>38</v>
      </c>
      <c r="B938" t="s">
        <v>5773</v>
      </c>
      <c r="C938">
        <v>11</v>
      </c>
      <c r="D938">
        <v>1</v>
      </c>
      <c r="E938">
        <v>17</v>
      </c>
      <c r="F938" t="s">
        <v>12088</v>
      </c>
      <c r="G938" s="25">
        <v>0.85</v>
      </c>
    </row>
    <row r="939" spans="1:7" x14ac:dyDescent="0.35">
      <c r="A939">
        <v>38</v>
      </c>
      <c r="B939" t="s">
        <v>5773</v>
      </c>
      <c r="C939">
        <v>12</v>
      </c>
      <c r="D939">
        <v>1</v>
      </c>
      <c r="E939">
        <v>14</v>
      </c>
      <c r="F939" t="s">
        <v>4662</v>
      </c>
      <c r="G939" s="25">
        <v>0.9</v>
      </c>
    </row>
    <row r="940" spans="1:7" x14ac:dyDescent="0.35">
      <c r="A940">
        <v>38</v>
      </c>
      <c r="B940" t="s">
        <v>5773</v>
      </c>
      <c r="C940">
        <v>13</v>
      </c>
      <c r="D940">
        <v>1</v>
      </c>
      <c r="E940">
        <v>9</v>
      </c>
      <c r="F940" t="s">
        <v>4662</v>
      </c>
      <c r="G940" s="25">
        <v>0.9</v>
      </c>
    </row>
    <row r="941" spans="1:7" x14ac:dyDescent="0.35">
      <c r="A941">
        <v>38</v>
      </c>
      <c r="B941" t="s">
        <v>5773</v>
      </c>
      <c r="C941">
        <v>14</v>
      </c>
      <c r="D941">
        <v>1</v>
      </c>
      <c r="E941">
        <v>21</v>
      </c>
      <c r="F941" t="s">
        <v>4662</v>
      </c>
      <c r="G941" s="25">
        <v>0.9</v>
      </c>
    </row>
    <row r="942" spans="1:7" x14ac:dyDescent="0.35">
      <c r="A942">
        <v>39</v>
      </c>
      <c r="B942" t="s">
        <v>5964</v>
      </c>
      <c r="C942">
        <v>1</v>
      </c>
      <c r="D942">
        <v>1</v>
      </c>
      <c r="E942">
        <v>14</v>
      </c>
      <c r="F942" t="s">
        <v>12087</v>
      </c>
      <c r="G942" s="25">
        <v>0.9</v>
      </c>
    </row>
    <row r="943" spans="1:7" x14ac:dyDescent="0.35">
      <c r="A943">
        <v>39</v>
      </c>
      <c r="B943" t="s">
        <v>5964</v>
      </c>
      <c r="C943">
        <v>2</v>
      </c>
      <c r="D943">
        <v>1</v>
      </c>
      <c r="E943">
        <v>17</v>
      </c>
      <c r="F943" t="s">
        <v>12087</v>
      </c>
      <c r="G943" s="25">
        <v>0.9</v>
      </c>
    </row>
    <row r="944" spans="1:7" x14ac:dyDescent="0.35">
      <c r="A944">
        <v>39</v>
      </c>
      <c r="B944" t="s">
        <v>5964</v>
      </c>
      <c r="C944">
        <v>3</v>
      </c>
      <c r="D944">
        <v>1</v>
      </c>
      <c r="E944">
        <v>18</v>
      </c>
      <c r="F944" t="s">
        <v>12087</v>
      </c>
      <c r="G944" s="25">
        <v>0.9</v>
      </c>
    </row>
    <row r="945" spans="1:7" x14ac:dyDescent="0.35">
      <c r="A945">
        <v>39</v>
      </c>
      <c r="B945" t="s">
        <v>5964</v>
      </c>
      <c r="C945">
        <v>4</v>
      </c>
      <c r="D945">
        <v>1</v>
      </c>
      <c r="E945">
        <v>6</v>
      </c>
      <c r="F945" t="s">
        <v>12087</v>
      </c>
      <c r="G945" s="25">
        <v>0.9</v>
      </c>
    </row>
    <row r="946" spans="1:7" x14ac:dyDescent="0.35">
      <c r="A946">
        <v>40</v>
      </c>
      <c r="B946" t="s">
        <v>12089</v>
      </c>
      <c r="C946">
        <v>1</v>
      </c>
      <c r="D946">
        <v>1</v>
      </c>
      <c r="E946">
        <v>58</v>
      </c>
      <c r="F946" t="s">
        <v>4662</v>
      </c>
      <c r="G946" s="25">
        <v>0.85</v>
      </c>
    </row>
    <row r="947" spans="1:7" x14ac:dyDescent="0.35">
      <c r="A947">
        <v>40</v>
      </c>
      <c r="B947" t="s">
        <v>12089</v>
      </c>
      <c r="C947">
        <v>2</v>
      </c>
      <c r="D947">
        <v>1</v>
      </c>
      <c r="E947">
        <v>30</v>
      </c>
      <c r="F947" t="s">
        <v>2769</v>
      </c>
      <c r="G947" s="25">
        <v>0.85</v>
      </c>
    </row>
    <row r="948" spans="1:7" x14ac:dyDescent="0.35">
      <c r="A948">
        <v>40</v>
      </c>
      <c r="B948" t="s">
        <v>12089</v>
      </c>
      <c r="C948">
        <v>3</v>
      </c>
      <c r="D948">
        <v>1</v>
      </c>
      <c r="E948">
        <v>24</v>
      </c>
      <c r="F948" t="s">
        <v>2769</v>
      </c>
      <c r="G948" s="25">
        <v>0.85</v>
      </c>
    </row>
    <row r="949" spans="1:7" x14ac:dyDescent="0.35">
      <c r="A949">
        <v>40</v>
      </c>
      <c r="B949" t="s">
        <v>12089</v>
      </c>
      <c r="C949">
        <v>4</v>
      </c>
      <c r="D949">
        <v>1</v>
      </c>
      <c r="E949">
        <v>63</v>
      </c>
      <c r="F949" t="s">
        <v>2769</v>
      </c>
      <c r="G949" s="25">
        <v>0.85</v>
      </c>
    </row>
    <row r="950" spans="1:7" x14ac:dyDescent="0.35">
      <c r="A950">
        <v>40</v>
      </c>
      <c r="B950" t="s">
        <v>12089</v>
      </c>
      <c r="C950">
        <v>5</v>
      </c>
      <c r="D950">
        <v>1</v>
      </c>
      <c r="E950">
        <v>73</v>
      </c>
      <c r="F950" t="s">
        <v>12090</v>
      </c>
      <c r="G950" s="25">
        <v>0.8</v>
      </c>
    </row>
    <row r="951" spans="1:7" x14ac:dyDescent="0.35">
      <c r="A951">
        <v>40</v>
      </c>
      <c r="B951" t="s">
        <v>12089</v>
      </c>
      <c r="C951">
        <v>6</v>
      </c>
      <c r="D951">
        <v>1</v>
      </c>
      <c r="E951">
        <v>34</v>
      </c>
      <c r="F951" t="s">
        <v>1211</v>
      </c>
      <c r="G951" s="25">
        <v>0.9</v>
      </c>
    </row>
    <row r="952" spans="1:7" x14ac:dyDescent="0.35">
      <c r="A952">
        <v>40</v>
      </c>
      <c r="B952" t="s">
        <v>12089</v>
      </c>
      <c r="C952">
        <v>7</v>
      </c>
      <c r="D952">
        <v>1</v>
      </c>
      <c r="E952">
        <v>15</v>
      </c>
      <c r="F952" t="s">
        <v>1211</v>
      </c>
      <c r="G952" s="25">
        <v>0.9</v>
      </c>
    </row>
    <row r="953" spans="1:7" x14ac:dyDescent="0.35">
      <c r="A953">
        <v>40</v>
      </c>
      <c r="B953" t="s">
        <v>12089</v>
      </c>
      <c r="C953">
        <v>8</v>
      </c>
      <c r="D953">
        <v>1</v>
      </c>
      <c r="E953">
        <v>96</v>
      </c>
      <c r="F953" t="s">
        <v>1211</v>
      </c>
      <c r="G953" s="25">
        <v>0.9</v>
      </c>
    </row>
    <row r="954" spans="1:7" x14ac:dyDescent="0.35">
      <c r="A954">
        <v>40</v>
      </c>
      <c r="B954" t="s">
        <v>12089</v>
      </c>
      <c r="C954">
        <v>9</v>
      </c>
      <c r="D954">
        <v>1</v>
      </c>
      <c r="E954">
        <v>55</v>
      </c>
      <c r="F954" t="s">
        <v>1211</v>
      </c>
      <c r="G954" s="25">
        <v>0.9</v>
      </c>
    </row>
    <row r="955" spans="1:7" x14ac:dyDescent="0.35">
      <c r="A955">
        <v>41</v>
      </c>
      <c r="B955" t="s">
        <v>12091</v>
      </c>
      <c r="C955">
        <v>1</v>
      </c>
      <c r="D955">
        <v>1</v>
      </c>
      <c r="E955">
        <v>40</v>
      </c>
      <c r="F955" t="s">
        <v>4662</v>
      </c>
      <c r="G955" s="25">
        <v>0.85</v>
      </c>
    </row>
    <row r="956" spans="1:7" x14ac:dyDescent="0.35">
      <c r="A956">
        <v>41</v>
      </c>
      <c r="B956" t="s">
        <v>12091</v>
      </c>
      <c r="C956">
        <v>2</v>
      </c>
      <c r="D956">
        <v>1</v>
      </c>
      <c r="E956">
        <v>48</v>
      </c>
      <c r="F956" t="s">
        <v>4662</v>
      </c>
      <c r="G956" s="25">
        <v>0.85</v>
      </c>
    </row>
    <row r="957" spans="1:7" x14ac:dyDescent="0.35">
      <c r="A957">
        <v>41</v>
      </c>
      <c r="B957" t="s">
        <v>12091</v>
      </c>
      <c r="C957">
        <v>3</v>
      </c>
      <c r="D957">
        <v>1</v>
      </c>
      <c r="E957">
        <v>36</v>
      </c>
      <c r="F957" t="s">
        <v>3133</v>
      </c>
      <c r="G957" s="25">
        <v>0.85</v>
      </c>
    </row>
    <row r="958" spans="1:7" x14ac:dyDescent="0.35">
      <c r="A958">
        <v>41</v>
      </c>
      <c r="B958" t="s">
        <v>12091</v>
      </c>
      <c r="C958">
        <v>4</v>
      </c>
      <c r="D958">
        <v>1</v>
      </c>
      <c r="E958">
        <v>52</v>
      </c>
      <c r="F958" t="s">
        <v>3133</v>
      </c>
      <c r="G958" s="25">
        <v>0.85</v>
      </c>
    </row>
    <row r="959" spans="1:7" x14ac:dyDescent="0.35">
      <c r="A959">
        <v>41</v>
      </c>
      <c r="B959" t="s">
        <v>12091</v>
      </c>
      <c r="C959">
        <v>5</v>
      </c>
      <c r="D959">
        <v>1</v>
      </c>
      <c r="E959">
        <v>56</v>
      </c>
      <c r="F959" t="s">
        <v>3133</v>
      </c>
      <c r="G959" s="25">
        <v>0.85</v>
      </c>
    </row>
    <row r="960" spans="1:7" x14ac:dyDescent="0.35">
      <c r="A960">
        <v>41</v>
      </c>
      <c r="B960" t="s">
        <v>12091</v>
      </c>
      <c r="C960">
        <v>6</v>
      </c>
      <c r="D960">
        <v>1</v>
      </c>
      <c r="E960">
        <v>59</v>
      </c>
      <c r="F960" t="s">
        <v>3133</v>
      </c>
      <c r="G960" s="25">
        <v>0.85</v>
      </c>
    </row>
    <row r="961" spans="1:7" x14ac:dyDescent="0.35">
      <c r="A961">
        <v>41</v>
      </c>
      <c r="B961" t="s">
        <v>12091</v>
      </c>
      <c r="C961">
        <v>7</v>
      </c>
      <c r="D961">
        <v>1</v>
      </c>
      <c r="E961">
        <v>140</v>
      </c>
      <c r="F961" t="s">
        <v>3133</v>
      </c>
      <c r="G961" s="25">
        <v>0.85</v>
      </c>
    </row>
    <row r="962" spans="1:7" x14ac:dyDescent="0.35">
      <c r="A962">
        <v>41</v>
      </c>
      <c r="B962" t="s">
        <v>12091</v>
      </c>
      <c r="C962">
        <v>8</v>
      </c>
      <c r="D962">
        <v>1</v>
      </c>
      <c r="E962">
        <v>62</v>
      </c>
      <c r="F962" t="s">
        <v>3133</v>
      </c>
      <c r="G962" s="25">
        <v>0.85</v>
      </c>
    </row>
    <row r="963" spans="1:7" x14ac:dyDescent="0.35">
      <c r="A963">
        <v>41</v>
      </c>
      <c r="B963" t="s">
        <v>12091</v>
      </c>
      <c r="C963">
        <v>9</v>
      </c>
      <c r="D963">
        <v>1</v>
      </c>
      <c r="E963">
        <v>47</v>
      </c>
      <c r="F963" t="s">
        <v>3133</v>
      </c>
      <c r="G963" s="25">
        <v>0.85</v>
      </c>
    </row>
    <row r="964" spans="1:7" x14ac:dyDescent="0.35">
      <c r="A964">
        <v>41</v>
      </c>
      <c r="B964" t="s">
        <v>12091</v>
      </c>
      <c r="C964">
        <v>10</v>
      </c>
      <c r="D964">
        <v>1</v>
      </c>
      <c r="E964">
        <v>59</v>
      </c>
      <c r="F964" t="s">
        <v>3133</v>
      </c>
      <c r="G964" s="25">
        <v>0.85</v>
      </c>
    </row>
    <row r="965" spans="1:7" x14ac:dyDescent="0.35">
      <c r="A965">
        <v>41</v>
      </c>
      <c r="B965" t="s">
        <v>12091</v>
      </c>
      <c r="C965">
        <v>11</v>
      </c>
      <c r="D965">
        <v>1</v>
      </c>
      <c r="E965">
        <v>46</v>
      </c>
      <c r="F965" t="s">
        <v>3133</v>
      </c>
      <c r="G965" s="25">
        <v>0.85</v>
      </c>
    </row>
    <row r="966" spans="1:7" x14ac:dyDescent="0.35">
      <c r="A966">
        <v>41</v>
      </c>
      <c r="B966" t="s">
        <v>12091</v>
      </c>
      <c r="C966">
        <v>12</v>
      </c>
      <c r="D966">
        <v>1</v>
      </c>
      <c r="E966">
        <v>51</v>
      </c>
      <c r="F966" t="s">
        <v>3133</v>
      </c>
      <c r="G966" s="25">
        <v>0.85</v>
      </c>
    </row>
    <row r="967" spans="1:7" x14ac:dyDescent="0.35">
      <c r="A967">
        <v>41</v>
      </c>
      <c r="B967" t="s">
        <v>12091</v>
      </c>
      <c r="C967">
        <v>13</v>
      </c>
      <c r="D967">
        <v>1</v>
      </c>
      <c r="E967">
        <v>58</v>
      </c>
      <c r="F967" t="s">
        <v>3133</v>
      </c>
      <c r="G967" s="25">
        <v>0.85</v>
      </c>
    </row>
    <row r="968" spans="1:7" x14ac:dyDescent="0.35">
      <c r="A968">
        <v>41</v>
      </c>
      <c r="B968" t="s">
        <v>12091</v>
      </c>
      <c r="C968">
        <v>14</v>
      </c>
      <c r="D968">
        <v>1</v>
      </c>
      <c r="E968">
        <v>48</v>
      </c>
      <c r="F968" t="s">
        <v>3133</v>
      </c>
      <c r="G968" s="25">
        <v>0.85</v>
      </c>
    </row>
    <row r="969" spans="1:7" x14ac:dyDescent="0.35">
      <c r="A969">
        <v>41</v>
      </c>
      <c r="B969" t="s">
        <v>12091</v>
      </c>
      <c r="C969">
        <v>15</v>
      </c>
      <c r="D969">
        <v>1</v>
      </c>
      <c r="E969">
        <v>63</v>
      </c>
      <c r="F969" t="s">
        <v>1112</v>
      </c>
      <c r="G969" s="25">
        <v>0.75</v>
      </c>
    </row>
    <row r="970" spans="1:7" x14ac:dyDescent="0.35">
      <c r="A970">
        <v>41</v>
      </c>
      <c r="B970" t="s">
        <v>12091</v>
      </c>
      <c r="C970">
        <v>16</v>
      </c>
      <c r="D970">
        <v>1</v>
      </c>
      <c r="E970">
        <v>78</v>
      </c>
      <c r="F970" t="s">
        <v>1112</v>
      </c>
      <c r="G970" s="25">
        <v>0.75</v>
      </c>
    </row>
    <row r="971" spans="1:7" x14ac:dyDescent="0.35">
      <c r="A971">
        <v>42</v>
      </c>
      <c r="B971" t="s">
        <v>12092</v>
      </c>
      <c r="C971">
        <v>1</v>
      </c>
      <c r="D971">
        <v>1</v>
      </c>
      <c r="E971">
        <v>22</v>
      </c>
      <c r="F971" t="s">
        <v>5705</v>
      </c>
      <c r="G971" s="25">
        <v>0.85</v>
      </c>
    </row>
    <row r="972" spans="1:7" x14ac:dyDescent="0.35">
      <c r="A972">
        <v>42</v>
      </c>
      <c r="B972" t="s">
        <v>12092</v>
      </c>
      <c r="C972">
        <v>2</v>
      </c>
      <c r="D972">
        <v>1</v>
      </c>
      <c r="E972">
        <v>14</v>
      </c>
      <c r="F972" t="s">
        <v>5705</v>
      </c>
      <c r="G972" s="25">
        <v>0.85</v>
      </c>
    </row>
    <row r="973" spans="1:7" x14ac:dyDescent="0.35">
      <c r="A973">
        <v>42</v>
      </c>
      <c r="B973" t="s">
        <v>12092</v>
      </c>
      <c r="C973">
        <v>3</v>
      </c>
      <c r="D973">
        <v>1</v>
      </c>
      <c r="E973">
        <v>17</v>
      </c>
      <c r="F973" t="s">
        <v>12093</v>
      </c>
      <c r="G973" s="25">
        <v>0.85</v>
      </c>
    </row>
    <row r="974" spans="1:7" x14ac:dyDescent="0.35">
      <c r="A974">
        <v>42</v>
      </c>
      <c r="B974" t="s">
        <v>12092</v>
      </c>
      <c r="C974">
        <v>4</v>
      </c>
      <c r="D974">
        <v>1</v>
      </c>
      <c r="E974">
        <v>21</v>
      </c>
      <c r="F974" t="s">
        <v>5705</v>
      </c>
      <c r="G974" s="25">
        <v>0.85</v>
      </c>
    </row>
    <row r="975" spans="1:7" x14ac:dyDescent="0.35">
      <c r="A975">
        <v>42</v>
      </c>
      <c r="B975" t="s">
        <v>12092</v>
      </c>
      <c r="C975">
        <v>5</v>
      </c>
      <c r="D975">
        <v>1</v>
      </c>
      <c r="E975">
        <v>22</v>
      </c>
      <c r="F975" t="s">
        <v>12094</v>
      </c>
      <c r="G975" s="25">
        <v>0.8</v>
      </c>
    </row>
    <row r="976" spans="1:7" x14ac:dyDescent="0.35">
      <c r="A976">
        <v>42</v>
      </c>
      <c r="B976" t="s">
        <v>12092</v>
      </c>
      <c r="C976">
        <v>6</v>
      </c>
      <c r="D976">
        <v>1</v>
      </c>
      <c r="E976">
        <v>19</v>
      </c>
      <c r="F976" t="s">
        <v>12095</v>
      </c>
      <c r="G976" s="25">
        <v>0.8</v>
      </c>
    </row>
    <row r="977" spans="1:7" x14ac:dyDescent="0.35">
      <c r="A977">
        <v>42</v>
      </c>
      <c r="B977" t="s">
        <v>12092</v>
      </c>
      <c r="C977">
        <v>7</v>
      </c>
      <c r="D977">
        <v>1</v>
      </c>
      <c r="E977">
        <v>17</v>
      </c>
      <c r="F977" t="s">
        <v>12096</v>
      </c>
      <c r="G977" s="25">
        <v>0.85</v>
      </c>
    </row>
    <row r="978" spans="1:7" x14ac:dyDescent="0.35">
      <c r="A978">
        <v>42</v>
      </c>
      <c r="B978" t="s">
        <v>12092</v>
      </c>
      <c r="C978">
        <v>8</v>
      </c>
      <c r="D978">
        <v>1</v>
      </c>
      <c r="E978">
        <v>21</v>
      </c>
      <c r="F978" t="s">
        <v>12096</v>
      </c>
      <c r="G978" s="25">
        <v>0.85</v>
      </c>
    </row>
    <row r="979" spans="1:7" x14ac:dyDescent="0.35">
      <c r="A979">
        <v>42</v>
      </c>
      <c r="B979" t="s">
        <v>12092</v>
      </c>
      <c r="C979">
        <v>9</v>
      </c>
      <c r="D979">
        <v>1</v>
      </c>
      <c r="E979">
        <v>6</v>
      </c>
      <c r="F979" t="s">
        <v>12096</v>
      </c>
      <c r="G979" s="25">
        <v>0.85</v>
      </c>
    </row>
    <row r="980" spans="1:7" x14ac:dyDescent="0.35">
      <c r="A980">
        <v>42</v>
      </c>
      <c r="B980" t="s">
        <v>12092</v>
      </c>
      <c r="C980">
        <v>10</v>
      </c>
      <c r="D980">
        <v>1</v>
      </c>
      <c r="E980">
        <v>14</v>
      </c>
      <c r="F980" t="s">
        <v>12096</v>
      </c>
      <c r="G980" s="25">
        <v>0.85</v>
      </c>
    </row>
    <row r="981" spans="1:7" x14ac:dyDescent="0.35">
      <c r="A981">
        <v>42</v>
      </c>
      <c r="B981" t="s">
        <v>12092</v>
      </c>
      <c r="C981">
        <v>11</v>
      </c>
      <c r="D981">
        <v>1</v>
      </c>
      <c r="E981">
        <v>19</v>
      </c>
      <c r="F981" t="s">
        <v>12097</v>
      </c>
      <c r="G981" s="25">
        <v>0.8</v>
      </c>
    </row>
    <row r="982" spans="1:7" x14ac:dyDescent="0.35">
      <c r="A982">
        <v>42</v>
      </c>
      <c r="B982" t="s">
        <v>12092</v>
      </c>
      <c r="C982">
        <v>12</v>
      </c>
      <c r="D982">
        <v>1</v>
      </c>
      <c r="E982">
        <v>22</v>
      </c>
      <c r="F982" t="s">
        <v>5705</v>
      </c>
      <c r="G982" s="25">
        <v>0.85</v>
      </c>
    </row>
    <row r="983" spans="1:7" x14ac:dyDescent="0.35">
      <c r="A983">
        <v>42</v>
      </c>
      <c r="B983" t="s">
        <v>12092</v>
      </c>
      <c r="C983">
        <v>13</v>
      </c>
      <c r="D983">
        <v>1</v>
      </c>
      <c r="E983">
        <v>18</v>
      </c>
      <c r="F983" t="s">
        <v>5705</v>
      </c>
      <c r="G983" s="25">
        <v>0.85</v>
      </c>
    </row>
    <row r="984" spans="1:7" x14ac:dyDescent="0.35">
      <c r="A984">
        <v>42</v>
      </c>
      <c r="B984" t="s">
        <v>12092</v>
      </c>
      <c r="C984">
        <v>14</v>
      </c>
      <c r="D984">
        <v>1</v>
      </c>
      <c r="E984">
        <v>15</v>
      </c>
      <c r="F984" t="s">
        <v>12093</v>
      </c>
      <c r="G984" s="25">
        <v>0.85</v>
      </c>
    </row>
    <row r="985" spans="1:7" x14ac:dyDescent="0.35">
      <c r="A985">
        <v>43</v>
      </c>
      <c r="B985" t="s">
        <v>12098</v>
      </c>
      <c r="C985">
        <v>1</v>
      </c>
      <c r="D985">
        <v>1</v>
      </c>
      <c r="E985">
        <v>16</v>
      </c>
      <c r="F985" t="s">
        <v>5705</v>
      </c>
      <c r="G985" s="25">
        <v>0.85</v>
      </c>
    </row>
    <row r="986" spans="1:7" x14ac:dyDescent="0.35">
      <c r="A986">
        <v>43</v>
      </c>
      <c r="B986" t="s">
        <v>12098</v>
      </c>
      <c r="C986">
        <v>2</v>
      </c>
      <c r="D986">
        <v>1</v>
      </c>
      <c r="E986">
        <v>28</v>
      </c>
      <c r="F986" t="s">
        <v>12099</v>
      </c>
      <c r="G986" s="25">
        <v>0.8</v>
      </c>
    </row>
    <row r="987" spans="1:7" x14ac:dyDescent="0.35">
      <c r="A987">
        <v>43</v>
      </c>
      <c r="B987" t="s">
        <v>12098</v>
      </c>
      <c r="C987">
        <v>3</v>
      </c>
      <c r="D987">
        <v>1</v>
      </c>
      <c r="E987">
        <v>10</v>
      </c>
      <c r="F987" t="s">
        <v>12099</v>
      </c>
      <c r="G987" s="25">
        <v>0.8</v>
      </c>
    </row>
    <row r="988" spans="1:7" x14ac:dyDescent="0.35">
      <c r="A988">
        <v>43</v>
      </c>
      <c r="B988" t="s">
        <v>12098</v>
      </c>
      <c r="C988">
        <v>4</v>
      </c>
      <c r="D988">
        <v>1</v>
      </c>
      <c r="E988">
        <v>15</v>
      </c>
      <c r="F988" t="s">
        <v>5285</v>
      </c>
      <c r="G988" s="25">
        <v>0.9</v>
      </c>
    </row>
    <row r="989" spans="1:7" x14ac:dyDescent="0.35">
      <c r="A989">
        <v>43</v>
      </c>
      <c r="B989" t="s">
        <v>12098</v>
      </c>
      <c r="C989">
        <v>5</v>
      </c>
      <c r="D989">
        <v>1</v>
      </c>
      <c r="E989">
        <v>24</v>
      </c>
      <c r="F989" t="s">
        <v>5285</v>
      </c>
      <c r="G989" s="25">
        <v>0.9</v>
      </c>
    </row>
    <row r="990" spans="1:7" x14ac:dyDescent="0.35">
      <c r="A990">
        <v>43</v>
      </c>
      <c r="B990" t="s">
        <v>12098</v>
      </c>
      <c r="C990">
        <v>6</v>
      </c>
      <c r="D990">
        <v>1</v>
      </c>
      <c r="E990">
        <v>21</v>
      </c>
      <c r="F990" t="s">
        <v>5285</v>
      </c>
      <c r="G990" s="25">
        <v>0.9</v>
      </c>
    </row>
    <row r="991" spans="1:7" x14ac:dyDescent="0.35">
      <c r="A991">
        <v>43</v>
      </c>
      <c r="B991" t="s">
        <v>12098</v>
      </c>
      <c r="C991">
        <v>7</v>
      </c>
      <c r="D991">
        <v>1</v>
      </c>
      <c r="E991">
        <v>32</v>
      </c>
      <c r="F991" t="s">
        <v>12100</v>
      </c>
      <c r="G991" s="25">
        <v>0.85</v>
      </c>
    </row>
    <row r="992" spans="1:7" x14ac:dyDescent="0.35">
      <c r="A992">
        <v>43</v>
      </c>
      <c r="B992" t="s">
        <v>12098</v>
      </c>
      <c r="C992">
        <v>8</v>
      </c>
      <c r="D992">
        <v>1</v>
      </c>
      <c r="E992">
        <v>36</v>
      </c>
      <c r="F992" t="s">
        <v>12100</v>
      </c>
      <c r="G992" s="25">
        <v>0.85</v>
      </c>
    </row>
    <row r="993" spans="1:7" x14ac:dyDescent="0.35">
      <c r="A993">
        <v>43</v>
      </c>
      <c r="B993" t="s">
        <v>12098</v>
      </c>
      <c r="C993">
        <v>9</v>
      </c>
      <c r="D993">
        <v>1</v>
      </c>
      <c r="E993">
        <v>14</v>
      </c>
      <c r="F993" t="s">
        <v>12100</v>
      </c>
      <c r="G993" s="25">
        <v>0.85</v>
      </c>
    </row>
    <row r="994" spans="1:7" x14ac:dyDescent="0.35">
      <c r="A994">
        <v>43</v>
      </c>
      <c r="B994" t="s">
        <v>12098</v>
      </c>
      <c r="C994">
        <v>10</v>
      </c>
      <c r="D994">
        <v>1</v>
      </c>
      <c r="E994">
        <v>23</v>
      </c>
      <c r="F994" t="s">
        <v>12101</v>
      </c>
      <c r="G994" s="25">
        <v>0.85</v>
      </c>
    </row>
    <row r="995" spans="1:7" x14ac:dyDescent="0.35">
      <c r="A995">
        <v>43</v>
      </c>
      <c r="B995" t="s">
        <v>12098</v>
      </c>
      <c r="C995">
        <v>11</v>
      </c>
      <c r="D995">
        <v>1</v>
      </c>
      <c r="E995">
        <v>23</v>
      </c>
      <c r="F995" t="s">
        <v>2253</v>
      </c>
      <c r="G995" s="25">
        <v>0.85</v>
      </c>
    </row>
    <row r="996" spans="1:7" x14ac:dyDescent="0.35">
      <c r="A996">
        <v>43</v>
      </c>
      <c r="B996" t="s">
        <v>12098</v>
      </c>
      <c r="C996">
        <v>12</v>
      </c>
      <c r="D996">
        <v>1</v>
      </c>
      <c r="E996">
        <v>20</v>
      </c>
      <c r="F996" t="s">
        <v>2253</v>
      </c>
      <c r="G996" s="25">
        <v>0.85</v>
      </c>
    </row>
    <row r="997" spans="1:7" x14ac:dyDescent="0.35">
      <c r="A997">
        <v>43</v>
      </c>
      <c r="B997" t="s">
        <v>12098</v>
      </c>
      <c r="C997">
        <v>13</v>
      </c>
      <c r="D997">
        <v>1</v>
      </c>
      <c r="E997">
        <v>20</v>
      </c>
      <c r="F997" t="s">
        <v>2253</v>
      </c>
      <c r="G997" s="25">
        <v>0.85</v>
      </c>
    </row>
    <row r="998" spans="1:7" x14ac:dyDescent="0.35">
      <c r="A998">
        <v>43</v>
      </c>
      <c r="B998" t="s">
        <v>12098</v>
      </c>
      <c r="C998">
        <v>14</v>
      </c>
      <c r="D998">
        <v>1</v>
      </c>
      <c r="E998">
        <v>19</v>
      </c>
      <c r="F998" t="s">
        <v>12101</v>
      </c>
      <c r="G998" s="25">
        <v>0.85</v>
      </c>
    </row>
    <row r="999" spans="1:7" x14ac:dyDescent="0.35">
      <c r="A999">
        <v>43</v>
      </c>
      <c r="B999" t="s">
        <v>12098</v>
      </c>
      <c r="C999">
        <v>15</v>
      </c>
      <c r="D999">
        <v>1</v>
      </c>
      <c r="E999">
        <v>14</v>
      </c>
      <c r="F999" t="s">
        <v>12102</v>
      </c>
      <c r="G999" s="25">
        <v>0.85</v>
      </c>
    </row>
    <row r="1000" spans="1:7" x14ac:dyDescent="0.35">
      <c r="A1000">
        <v>43</v>
      </c>
      <c r="B1000" t="s">
        <v>12098</v>
      </c>
      <c r="C1000">
        <v>16</v>
      </c>
      <c r="D1000">
        <v>1</v>
      </c>
      <c r="E1000">
        <v>25</v>
      </c>
      <c r="F1000" t="s">
        <v>4662</v>
      </c>
      <c r="G1000" s="25">
        <v>0.9</v>
      </c>
    </row>
    <row r="1001" spans="1:7" x14ac:dyDescent="0.35">
      <c r="A1001">
        <v>44</v>
      </c>
      <c r="B1001" t="s">
        <v>12103</v>
      </c>
      <c r="C1001">
        <v>1</v>
      </c>
      <c r="D1001">
        <v>1</v>
      </c>
      <c r="E1001">
        <v>22</v>
      </c>
      <c r="F1001" t="s">
        <v>12104</v>
      </c>
      <c r="G1001" s="25">
        <v>0.9</v>
      </c>
    </row>
    <row r="1002" spans="1:7" x14ac:dyDescent="0.35">
      <c r="A1002">
        <v>44</v>
      </c>
      <c r="B1002" t="s">
        <v>12103</v>
      </c>
      <c r="C1002">
        <v>2</v>
      </c>
      <c r="D1002">
        <v>1</v>
      </c>
      <c r="E1002">
        <v>23</v>
      </c>
      <c r="F1002" t="s">
        <v>12104</v>
      </c>
      <c r="G1002" s="25">
        <v>0.9</v>
      </c>
    </row>
    <row r="1003" spans="1:7" x14ac:dyDescent="0.35">
      <c r="A1003">
        <v>44</v>
      </c>
      <c r="B1003" t="s">
        <v>12103</v>
      </c>
      <c r="C1003">
        <v>3</v>
      </c>
      <c r="D1003">
        <v>1</v>
      </c>
      <c r="E1003">
        <v>15</v>
      </c>
      <c r="F1003" t="s">
        <v>12105</v>
      </c>
      <c r="G1003" s="25">
        <v>0.9</v>
      </c>
    </row>
    <row r="1004" spans="1:7" x14ac:dyDescent="0.35">
      <c r="A1004">
        <v>44</v>
      </c>
      <c r="B1004" t="s">
        <v>12103</v>
      </c>
      <c r="C1004">
        <v>4</v>
      </c>
      <c r="D1004">
        <v>1</v>
      </c>
      <c r="E1004">
        <v>17</v>
      </c>
      <c r="F1004" t="s">
        <v>12105</v>
      </c>
      <c r="G1004" s="25">
        <v>0.9</v>
      </c>
    </row>
    <row r="1005" spans="1:7" x14ac:dyDescent="0.35">
      <c r="A1005">
        <v>44</v>
      </c>
      <c r="B1005" t="s">
        <v>12103</v>
      </c>
      <c r="C1005">
        <v>5</v>
      </c>
      <c r="D1005">
        <v>1</v>
      </c>
      <c r="E1005">
        <v>14</v>
      </c>
      <c r="F1005" t="s">
        <v>12104</v>
      </c>
      <c r="G1005" s="25">
        <v>0.9</v>
      </c>
    </row>
    <row r="1006" spans="1:7" x14ac:dyDescent="0.35">
      <c r="A1006">
        <v>44</v>
      </c>
      <c r="B1006" t="s">
        <v>12103</v>
      </c>
      <c r="C1006">
        <v>6</v>
      </c>
      <c r="D1006">
        <v>1</v>
      </c>
      <c r="E1006">
        <v>14</v>
      </c>
      <c r="F1006" t="s">
        <v>12104</v>
      </c>
      <c r="G1006" s="25">
        <v>0.9</v>
      </c>
    </row>
    <row r="1007" spans="1:7" x14ac:dyDescent="0.35">
      <c r="A1007">
        <v>44</v>
      </c>
      <c r="B1007" t="s">
        <v>12103</v>
      </c>
      <c r="C1007">
        <v>7</v>
      </c>
      <c r="D1007">
        <v>1</v>
      </c>
      <c r="E1007">
        <v>10</v>
      </c>
      <c r="F1007" t="s">
        <v>12104</v>
      </c>
      <c r="G1007" s="25">
        <v>0.9</v>
      </c>
    </row>
    <row r="1008" spans="1:7" x14ac:dyDescent="0.35">
      <c r="A1008">
        <v>44</v>
      </c>
      <c r="B1008" t="s">
        <v>12103</v>
      </c>
      <c r="C1008">
        <v>8</v>
      </c>
      <c r="D1008">
        <v>1</v>
      </c>
      <c r="E1008">
        <v>17</v>
      </c>
      <c r="F1008" t="s">
        <v>12105</v>
      </c>
      <c r="G1008" s="25">
        <v>0.9</v>
      </c>
    </row>
    <row r="1009" spans="1:7" x14ac:dyDescent="0.35">
      <c r="A1009">
        <v>44</v>
      </c>
      <c r="B1009" t="s">
        <v>12103</v>
      </c>
      <c r="C1009">
        <v>9</v>
      </c>
      <c r="D1009">
        <v>1</v>
      </c>
      <c r="E1009">
        <v>32</v>
      </c>
      <c r="F1009" t="s">
        <v>12105</v>
      </c>
      <c r="G1009" s="25">
        <v>0.9</v>
      </c>
    </row>
    <row r="1010" spans="1:7" x14ac:dyDescent="0.35">
      <c r="A1010">
        <v>44</v>
      </c>
      <c r="B1010" t="s">
        <v>12103</v>
      </c>
      <c r="C1010">
        <v>10</v>
      </c>
      <c r="D1010">
        <v>1</v>
      </c>
      <c r="E1010">
        <v>13</v>
      </c>
      <c r="F1010" t="s">
        <v>12105</v>
      </c>
      <c r="G1010" s="25">
        <v>0.9</v>
      </c>
    </row>
    <row r="1011" spans="1:7" x14ac:dyDescent="0.35">
      <c r="A1011">
        <v>44</v>
      </c>
      <c r="B1011" t="s">
        <v>12103</v>
      </c>
      <c r="C1011">
        <v>11</v>
      </c>
      <c r="D1011">
        <v>1</v>
      </c>
      <c r="E1011">
        <v>12</v>
      </c>
      <c r="F1011" t="s">
        <v>12105</v>
      </c>
      <c r="G1011" s="25">
        <v>0.9</v>
      </c>
    </row>
    <row r="1012" spans="1:7" x14ac:dyDescent="0.35">
      <c r="A1012">
        <v>44</v>
      </c>
      <c r="B1012" t="s">
        <v>12103</v>
      </c>
      <c r="C1012">
        <v>12</v>
      </c>
      <c r="D1012">
        <v>1</v>
      </c>
      <c r="E1012">
        <v>6</v>
      </c>
      <c r="F1012" t="s">
        <v>12105</v>
      </c>
      <c r="G1012" s="25">
        <v>0.9</v>
      </c>
    </row>
    <row r="1013" spans="1:7" x14ac:dyDescent="0.35">
      <c r="A1013">
        <v>44</v>
      </c>
      <c r="B1013" t="s">
        <v>12103</v>
      </c>
      <c r="C1013">
        <v>13</v>
      </c>
      <c r="D1013">
        <v>1</v>
      </c>
      <c r="E1013">
        <v>18</v>
      </c>
      <c r="F1013" t="s">
        <v>12106</v>
      </c>
      <c r="G1013" s="25">
        <v>0.85</v>
      </c>
    </row>
    <row r="1014" spans="1:7" x14ac:dyDescent="0.35">
      <c r="A1014">
        <v>44</v>
      </c>
      <c r="B1014" t="s">
        <v>12103</v>
      </c>
      <c r="C1014">
        <v>14</v>
      </c>
      <c r="D1014">
        <v>1</v>
      </c>
      <c r="E1014">
        <v>19</v>
      </c>
      <c r="F1014" t="s">
        <v>12104</v>
      </c>
      <c r="G1014" s="25">
        <v>0.9</v>
      </c>
    </row>
    <row r="1015" spans="1:7" x14ac:dyDescent="0.35">
      <c r="A1015">
        <v>44</v>
      </c>
      <c r="B1015" t="s">
        <v>12103</v>
      </c>
      <c r="C1015">
        <v>15</v>
      </c>
      <c r="D1015">
        <v>1</v>
      </c>
      <c r="E1015">
        <v>16</v>
      </c>
      <c r="F1015" t="s">
        <v>12104</v>
      </c>
      <c r="G1015" s="25">
        <v>0.9</v>
      </c>
    </row>
    <row r="1016" spans="1:7" x14ac:dyDescent="0.35">
      <c r="A1016">
        <v>44</v>
      </c>
      <c r="B1016" t="s">
        <v>12103</v>
      </c>
      <c r="C1016">
        <v>16</v>
      </c>
      <c r="D1016">
        <v>1</v>
      </c>
      <c r="E1016">
        <v>24</v>
      </c>
      <c r="F1016" t="s">
        <v>12106</v>
      </c>
      <c r="G1016" s="25">
        <v>0.85</v>
      </c>
    </row>
    <row r="1017" spans="1:7" x14ac:dyDescent="0.35">
      <c r="A1017">
        <v>45</v>
      </c>
      <c r="B1017" t="s">
        <v>5964</v>
      </c>
      <c r="C1017">
        <v>1</v>
      </c>
      <c r="D1017">
        <v>1</v>
      </c>
      <c r="E1017">
        <v>14</v>
      </c>
      <c r="F1017" t="s">
        <v>4662</v>
      </c>
      <c r="G1017" s="25">
        <v>0.85</v>
      </c>
    </row>
    <row r="1018" spans="1:7" x14ac:dyDescent="0.35">
      <c r="A1018">
        <v>45</v>
      </c>
      <c r="B1018" t="s">
        <v>5964</v>
      </c>
      <c r="C1018">
        <v>2</v>
      </c>
      <c r="D1018">
        <v>1</v>
      </c>
      <c r="E1018">
        <v>17</v>
      </c>
      <c r="F1018" t="s">
        <v>4662</v>
      </c>
      <c r="G1018" s="25">
        <v>0.85</v>
      </c>
    </row>
    <row r="1019" spans="1:7" x14ac:dyDescent="0.35">
      <c r="A1019">
        <v>45</v>
      </c>
      <c r="B1019" t="s">
        <v>5964</v>
      </c>
      <c r="C1019">
        <v>3</v>
      </c>
      <c r="D1019">
        <v>1</v>
      </c>
      <c r="E1019">
        <v>18</v>
      </c>
      <c r="F1019" t="s">
        <v>4662</v>
      </c>
      <c r="G1019" s="25">
        <v>0.85</v>
      </c>
    </row>
    <row r="1020" spans="1:7" x14ac:dyDescent="0.35">
      <c r="A1020">
        <v>45</v>
      </c>
      <c r="B1020" t="s">
        <v>5964</v>
      </c>
      <c r="C1020">
        <v>4</v>
      </c>
      <c r="D1020">
        <v>1</v>
      </c>
      <c r="E1020">
        <v>6</v>
      </c>
      <c r="F1020" t="s">
        <v>4662</v>
      </c>
      <c r="G1020" s="25">
        <v>0.85</v>
      </c>
    </row>
    <row r="1021" spans="1:7" x14ac:dyDescent="0.35">
      <c r="A1021">
        <v>46</v>
      </c>
      <c r="B1021" t="s">
        <v>11059</v>
      </c>
      <c r="C1021">
        <v>1</v>
      </c>
      <c r="D1021">
        <v>1</v>
      </c>
      <c r="E1021">
        <v>25</v>
      </c>
      <c r="F1021" t="s">
        <v>6033</v>
      </c>
      <c r="G1021" s="25">
        <v>0.9</v>
      </c>
    </row>
    <row r="1022" spans="1:7" x14ac:dyDescent="0.35">
      <c r="A1022">
        <v>46</v>
      </c>
      <c r="B1022" t="s">
        <v>11059</v>
      </c>
      <c r="C1022">
        <v>2</v>
      </c>
      <c r="D1022">
        <v>1</v>
      </c>
      <c r="E1022">
        <v>12</v>
      </c>
      <c r="F1022" t="s">
        <v>1102</v>
      </c>
      <c r="G1022" s="25">
        <v>0.9</v>
      </c>
    </row>
    <row r="1023" spans="1:7" x14ac:dyDescent="0.35">
      <c r="A1023">
        <v>46</v>
      </c>
      <c r="B1023" t="s">
        <v>11059</v>
      </c>
      <c r="C1023">
        <v>2</v>
      </c>
      <c r="D1023">
        <v>13</v>
      </c>
      <c r="E1023">
        <v>15</v>
      </c>
      <c r="F1023" t="s">
        <v>186</v>
      </c>
      <c r="G1023" s="25">
        <v>0.95</v>
      </c>
    </row>
    <row r="1024" spans="1:7" x14ac:dyDescent="0.35">
      <c r="A1024">
        <v>46</v>
      </c>
      <c r="B1024" t="s">
        <v>11059</v>
      </c>
      <c r="C1024">
        <v>2</v>
      </c>
      <c r="D1024">
        <v>16</v>
      </c>
      <c r="E1024">
        <v>18</v>
      </c>
      <c r="F1024" t="s">
        <v>1102</v>
      </c>
      <c r="G1024" s="25">
        <v>0.9</v>
      </c>
    </row>
    <row r="1025" spans="1:7" x14ac:dyDescent="0.35">
      <c r="A1025">
        <v>46</v>
      </c>
      <c r="B1025" t="s">
        <v>11059</v>
      </c>
      <c r="C1025">
        <v>2</v>
      </c>
      <c r="D1025">
        <v>19</v>
      </c>
      <c r="E1025">
        <v>23</v>
      </c>
      <c r="F1025" t="s">
        <v>12107</v>
      </c>
      <c r="G1025" s="25">
        <v>0.9</v>
      </c>
    </row>
    <row r="1026" spans="1:7" x14ac:dyDescent="0.35">
      <c r="A1026">
        <v>46</v>
      </c>
      <c r="B1026" t="s">
        <v>11059</v>
      </c>
      <c r="C1026">
        <v>3</v>
      </c>
      <c r="D1026">
        <v>1</v>
      </c>
      <c r="E1026">
        <v>17</v>
      </c>
      <c r="F1026" t="s">
        <v>988</v>
      </c>
      <c r="G1026" s="25">
        <v>0.85</v>
      </c>
    </row>
    <row r="1027" spans="1:7" x14ac:dyDescent="0.35">
      <c r="A1027">
        <v>46</v>
      </c>
      <c r="B1027" t="s">
        <v>11059</v>
      </c>
      <c r="C1027">
        <v>4</v>
      </c>
      <c r="D1027">
        <v>1</v>
      </c>
      <c r="E1027">
        <v>11</v>
      </c>
      <c r="F1027" t="s">
        <v>12108</v>
      </c>
      <c r="G1027" s="25">
        <v>0.8</v>
      </c>
    </row>
    <row r="1028" spans="1:7" x14ac:dyDescent="0.35">
      <c r="A1028">
        <v>46</v>
      </c>
      <c r="B1028" t="s">
        <v>11059</v>
      </c>
      <c r="C1028">
        <v>4</v>
      </c>
      <c r="D1028">
        <v>12</v>
      </c>
      <c r="E1028">
        <v>17</v>
      </c>
      <c r="F1028" t="s">
        <v>12109</v>
      </c>
      <c r="G1028" s="25">
        <v>0.9</v>
      </c>
    </row>
    <row r="1029" spans="1:7" x14ac:dyDescent="0.35">
      <c r="A1029">
        <v>46</v>
      </c>
      <c r="B1029" t="s">
        <v>11059</v>
      </c>
      <c r="C1029">
        <v>4</v>
      </c>
      <c r="D1029">
        <v>18</v>
      </c>
      <c r="E1029">
        <v>25</v>
      </c>
      <c r="F1029" t="s">
        <v>12110</v>
      </c>
      <c r="G1029" s="25">
        <v>0.9</v>
      </c>
    </row>
    <row r="1030" spans="1:7" x14ac:dyDescent="0.35">
      <c r="A1030">
        <v>46</v>
      </c>
      <c r="B1030" t="s">
        <v>11059</v>
      </c>
      <c r="C1030">
        <v>5</v>
      </c>
      <c r="D1030">
        <v>1</v>
      </c>
      <c r="E1030">
        <v>48</v>
      </c>
      <c r="F1030" t="s">
        <v>12111</v>
      </c>
      <c r="G1030" s="25">
        <v>0.85</v>
      </c>
    </row>
    <row r="1031" spans="1:7" x14ac:dyDescent="0.35">
      <c r="A1031">
        <v>46</v>
      </c>
      <c r="B1031" t="s">
        <v>11059</v>
      </c>
      <c r="C1031">
        <v>6</v>
      </c>
      <c r="D1031">
        <v>1</v>
      </c>
      <c r="E1031">
        <v>34</v>
      </c>
      <c r="F1031" t="s">
        <v>12111</v>
      </c>
      <c r="G1031" s="25">
        <v>0.85</v>
      </c>
    </row>
    <row r="1032" spans="1:7" x14ac:dyDescent="0.35">
      <c r="A1032">
        <v>46</v>
      </c>
      <c r="B1032" t="s">
        <v>11059</v>
      </c>
      <c r="C1032">
        <v>7</v>
      </c>
      <c r="D1032">
        <v>1</v>
      </c>
      <c r="E1032">
        <v>29</v>
      </c>
      <c r="F1032" t="s">
        <v>12111</v>
      </c>
      <c r="G1032" s="25">
        <v>0.85</v>
      </c>
    </row>
    <row r="1033" spans="1:7" x14ac:dyDescent="0.35">
      <c r="A1033">
        <v>46</v>
      </c>
      <c r="B1033" t="s">
        <v>11059</v>
      </c>
      <c r="C1033">
        <v>8</v>
      </c>
      <c r="D1033">
        <v>1</v>
      </c>
      <c r="E1033">
        <v>34</v>
      </c>
      <c r="F1033" t="s">
        <v>12112</v>
      </c>
      <c r="G1033" s="25">
        <v>0.9</v>
      </c>
    </row>
    <row r="1034" spans="1:7" x14ac:dyDescent="0.35">
      <c r="A1034">
        <v>46</v>
      </c>
      <c r="B1034" t="s">
        <v>11059</v>
      </c>
      <c r="C1034">
        <v>9</v>
      </c>
      <c r="D1034">
        <v>1</v>
      </c>
      <c r="E1034">
        <v>38</v>
      </c>
      <c r="F1034" t="s">
        <v>12112</v>
      </c>
      <c r="G1034" s="25">
        <v>0.9</v>
      </c>
    </row>
    <row r="1035" spans="1:7" x14ac:dyDescent="0.35">
      <c r="A1035">
        <v>46</v>
      </c>
      <c r="B1035" t="s">
        <v>11059</v>
      </c>
      <c r="C1035">
        <v>10</v>
      </c>
      <c r="D1035">
        <v>1</v>
      </c>
      <c r="E1035">
        <v>42</v>
      </c>
      <c r="F1035" t="s">
        <v>12113</v>
      </c>
      <c r="G1035" s="25">
        <v>0.9</v>
      </c>
    </row>
    <row r="1036" spans="1:7" x14ac:dyDescent="0.35">
      <c r="A1036">
        <v>46</v>
      </c>
      <c r="B1036" t="s">
        <v>11059</v>
      </c>
      <c r="C1036">
        <v>11</v>
      </c>
      <c r="D1036">
        <v>1</v>
      </c>
      <c r="E1036">
        <v>30</v>
      </c>
      <c r="F1036" t="s">
        <v>12113</v>
      </c>
      <c r="G1036" s="25">
        <v>0.9</v>
      </c>
    </row>
    <row r="1037" spans="1:7" x14ac:dyDescent="0.35">
      <c r="A1037">
        <v>46</v>
      </c>
      <c r="B1037" t="s">
        <v>11059</v>
      </c>
      <c r="C1037">
        <v>12</v>
      </c>
      <c r="D1037">
        <v>1</v>
      </c>
      <c r="E1037">
        <v>50</v>
      </c>
      <c r="F1037" t="s">
        <v>12113</v>
      </c>
      <c r="G1037" s="25">
        <v>0.9</v>
      </c>
    </row>
    <row r="1038" spans="1:7" x14ac:dyDescent="0.35">
      <c r="A1038">
        <v>46</v>
      </c>
      <c r="B1038" t="s">
        <v>11059</v>
      </c>
      <c r="C1038">
        <v>13</v>
      </c>
      <c r="D1038">
        <v>1</v>
      </c>
      <c r="E1038">
        <v>58</v>
      </c>
      <c r="F1038" t="s">
        <v>12113</v>
      </c>
      <c r="G1038" s="25">
        <v>0.9</v>
      </c>
    </row>
    <row r="1039" spans="1:7" x14ac:dyDescent="0.35">
      <c r="A1039">
        <v>46</v>
      </c>
      <c r="B1039" t="s">
        <v>11059</v>
      </c>
      <c r="C1039">
        <v>14</v>
      </c>
      <c r="D1039">
        <v>1</v>
      </c>
      <c r="E1039">
        <v>36</v>
      </c>
      <c r="F1039" t="s">
        <v>12113</v>
      </c>
      <c r="G1039" s="25">
        <v>0.9</v>
      </c>
    </row>
    <row r="1040" spans="1:7" x14ac:dyDescent="0.35">
      <c r="A1040">
        <v>46</v>
      </c>
      <c r="B1040" t="s">
        <v>11059</v>
      </c>
      <c r="C1040">
        <v>15</v>
      </c>
      <c r="D1040">
        <v>1</v>
      </c>
      <c r="E1040">
        <v>39</v>
      </c>
      <c r="F1040" t="s">
        <v>12114</v>
      </c>
      <c r="G1040" s="25">
        <v>0.85</v>
      </c>
    </row>
    <row r="1041" spans="1:7" x14ac:dyDescent="0.35">
      <c r="A1041">
        <v>46</v>
      </c>
      <c r="B1041" t="s">
        <v>11059</v>
      </c>
      <c r="C1041">
        <v>16</v>
      </c>
      <c r="D1041">
        <v>1</v>
      </c>
      <c r="E1041">
        <v>28</v>
      </c>
      <c r="F1041" t="s">
        <v>12115</v>
      </c>
      <c r="G1041" s="25">
        <v>0.85</v>
      </c>
    </row>
    <row r="1042" spans="1:7" x14ac:dyDescent="0.35">
      <c r="A1042">
        <v>46</v>
      </c>
      <c r="B1042" t="s">
        <v>11059</v>
      </c>
      <c r="C1042">
        <v>17</v>
      </c>
      <c r="D1042">
        <v>1</v>
      </c>
      <c r="E1042">
        <v>27</v>
      </c>
      <c r="F1042" t="s">
        <v>12116</v>
      </c>
      <c r="G1042" s="25">
        <v>0.8</v>
      </c>
    </row>
    <row r="1043" spans="1:7" x14ac:dyDescent="0.35">
      <c r="A1043">
        <v>46</v>
      </c>
      <c r="B1043" t="s">
        <v>11059</v>
      </c>
      <c r="C1043">
        <v>18</v>
      </c>
      <c r="D1043">
        <v>1</v>
      </c>
      <c r="E1043">
        <v>35</v>
      </c>
      <c r="F1043" t="s">
        <v>6072</v>
      </c>
      <c r="G1043" s="25">
        <v>0.9</v>
      </c>
    </row>
    <row r="1044" spans="1:7" x14ac:dyDescent="0.35">
      <c r="A1044">
        <v>46</v>
      </c>
      <c r="B1044" t="s">
        <v>11059</v>
      </c>
      <c r="C1044">
        <v>19</v>
      </c>
      <c r="D1044">
        <v>1</v>
      </c>
      <c r="E1044">
        <v>30</v>
      </c>
      <c r="F1044" t="s">
        <v>12117</v>
      </c>
      <c r="G1044" s="25">
        <v>0.85</v>
      </c>
    </row>
    <row r="1045" spans="1:7" x14ac:dyDescent="0.35">
      <c r="A1045">
        <v>46</v>
      </c>
      <c r="B1045" t="s">
        <v>11059</v>
      </c>
      <c r="C1045">
        <v>20</v>
      </c>
      <c r="D1045">
        <v>1</v>
      </c>
      <c r="E1045">
        <v>34</v>
      </c>
      <c r="F1045" t="s">
        <v>3140</v>
      </c>
      <c r="G1045" s="25">
        <v>0.8</v>
      </c>
    </row>
    <row r="1046" spans="1:7" x14ac:dyDescent="0.35">
      <c r="A1046">
        <v>46</v>
      </c>
      <c r="B1046" t="s">
        <v>11059</v>
      </c>
      <c r="C1046">
        <v>21</v>
      </c>
      <c r="D1046">
        <v>1</v>
      </c>
      <c r="E1046">
        <v>46</v>
      </c>
      <c r="F1046" t="s">
        <v>1211</v>
      </c>
      <c r="G1046" s="25">
        <v>0.95</v>
      </c>
    </row>
    <row r="1047" spans="1:7" x14ac:dyDescent="0.35">
      <c r="A1047">
        <v>46</v>
      </c>
      <c r="B1047" t="s">
        <v>11059</v>
      </c>
      <c r="C1047">
        <v>22</v>
      </c>
      <c r="D1047">
        <v>1</v>
      </c>
      <c r="E1047">
        <v>46</v>
      </c>
      <c r="F1047" t="s">
        <v>1211</v>
      </c>
      <c r="G1047" s="25">
        <v>0.95</v>
      </c>
    </row>
    <row r="1048" spans="1:7" x14ac:dyDescent="0.35">
      <c r="A1048">
        <v>46</v>
      </c>
      <c r="B1048" t="s">
        <v>11059</v>
      </c>
      <c r="C1048">
        <v>23</v>
      </c>
      <c r="D1048">
        <v>1</v>
      </c>
      <c r="E1048">
        <v>39</v>
      </c>
      <c r="F1048" t="s">
        <v>1211</v>
      </c>
      <c r="G1048" s="25">
        <v>0.95</v>
      </c>
    </row>
    <row r="1049" spans="1:7" x14ac:dyDescent="0.35">
      <c r="A1049">
        <v>46</v>
      </c>
      <c r="B1049" t="s">
        <v>11059</v>
      </c>
      <c r="C1049">
        <v>24</v>
      </c>
      <c r="D1049">
        <v>1</v>
      </c>
      <c r="E1049">
        <v>51</v>
      </c>
      <c r="F1049" t="s">
        <v>12118</v>
      </c>
      <c r="G1049" s="25">
        <v>0.9</v>
      </c>
    </row>
    <row r="1050" spans="1:7" x14ac:dyDescent="0.35">
      <c r="A1050">
        <v>46</v>
      </c>
      <c r="B1050" t="s">
        <v>11059</v>
      </c>
      <c r="C1050">
        <v>25</v>
      </c>
      <c r="D1050">
        <v>1</v>
      </c>
      <c r="E1050">
        <v>46</v>
      </c>
      <c r="F1050" t="s">
        <v>12118</v>
      </c>
      <c r="G1050" s="25">
        <v>0.9</v>
      </c>
    </row>
    <row r="1051" spans="1:7" x14ac:dyDescent="0.35">
      <c r="A1051">
        <v>46</v>
      </c>
      <c r="B1051" t="s">
        <v>11059</v>
      </c>
      <c r="C1051">
        <v>26</v>
      </c>
      <c r="D1051">
        <v>1</v>
      </c>
      <c r="E1051">
        <v>75</v>
      </c>
      <c r="F1051" t="s">
        <v>12119</v>
      </c>
      <c r="G1051" s="25">
        <v>0.9</v>
      </c>
    </row>
    <row r="1052" spans="1:7" x14ac:dyDescent="0.35">
      <c r="A1052">
        <v>46</v>
      </c>
      <c r="B1052" t="s">
        <v>11059</v>
      </c>
      <c r="C1052">
        <v>27</v>
      </c>
      <c r="D1052">
        <v>1</v>
      </c>
      <c r="E1052">
        <v>66</v>
      </c>
      <c r="F1052" t="s">
        <v>12120</v>
      </c>
      <c r="G1052" s="25">
        <v>0.9</v>
      </c>
    </row>
    <row r="1053" spans="1:7" x14ac:dyDescent="0.35">
      <c r="A1053">
        <v>46</v>
      </c>
      <c r="B1053" t="s">
        <v>11059</v>
      </c>
      <c r="C1053">
        <v>28</v>
      </c>
      <c r="D1053">
        <v>1</v>
      </c>
      <c r="E1053">
        <v>20</v>
      </c>
      <c r="F1053" t="s">
        <v>12121</v>
      </c>
      <c r="G1053" s="25">
        <v>0.85</v>
      </c>
    </row>
    <row r="1054" spans="1:7" x14ac:dyDescent="0.35">
      <c r="A1054">
        <v>47</v>
      </c>
      <c r="B1054" t="s">
        <v>11061</v>
      </c>
      <c r="C1054">
        <v>1</v>
      </c>
      <c r="D1054">
        <v>1</v>
      </c>
      <c r="E1054">
        <v>45</v>
      </c>
      <c r="F1054" t="s">
        <v>12122</v>
      </c>
      <c r="G1054" s="25">
        <v>0.85</v>
      </c>
    </row>
    <row r="1055" spans="1:7" x14ac:dyDescent="0.35">
      <c r="A1055">
        <v>47</v>
      </c>
      <c r="B1055" t="s">
        <v>11061</v>
      </c>
      <c r="C1055">
        <v>2</v>
      </c>
      <c r="D1055">
        <v>1</v>
      </c>
      <c r="E1055">
        <v>28</v>
      </c>
      <c r="F1055" t="s">
        <v>6072</v>
      </c>
      <c r="G1055" s="25">
        <v>0.9</v>
      </c>
    </row>
    <row r="1056" spans="1:7" x14ac:dyDescent="0.35">
      <c r="A1056">
        <v>47</v>
      </c>
      <c r="B1056" t="s">
        <v>11061</v>
      </c>
      <c r="C1056">
        <v>3</v>
      </c>
      <c r="D1056">
        <v>1</v>
      </c>
      <c r="E1056">
        <v>35</v>
      </c>
      <c r="F1056" t="s">
        <v>12113</v>
      </c>
      <c r="G1056" s="25">
        <v>0.9</v>
      </c>
    </row>
    <row r="1057" spans="1:7" x14ac:dyDescent="0.35">
      <c r="A1057">
        <v>47</v>
      </c>
      <c r="B1057" t="s">
        <v>11061</v>
      </c>
      <c r="C1057">
        <v>4</v>
      </c>
      <c r="D1057">
        <v>1</v>
      </c>
      <c r="E1057">
        <v>41</v>
      </c>
      <c r="F1057" t="s">
        <v>6079</v>
      </c>
      <c r="G1057" s="25">
        <v>0.9</v>
      </c>
    </row>
    <row r="1058" spans="1:7" x14ac:dyDescent="0.35">
      <c r="A1058">
        <v>47</v>
      </c>
      <c r="B1058" t="s">
        <v>11061</v>
      </c>
      <c r="C1058">
        <v>5</v>
      </c>
      <c r="D1058">
        <v>1</v>
      </c>
      <c r="E1058">
        <v>43</v>
      </c>
      <c r="F1058" t="s">
        <v>12123</v>
      </c>
      <c r="G1058" s="25">
        <v>0.85</v>
      </c>
    </row>
    <row r="1059" spans="1:7" x14ac:dyDescent="0.35">
      <c r="A1059">
        <v>47</v>
      </c>
      <c r="B1059" t="s">
        <v>11061</v>
      </c>
      <c r="C1059">
        <v>6</v>
      </c>
      <c r="D1059">
        <v>1</v>
      </c>
      <c r="E1059">
        <v>56</v>
      </c>
      <c r="F1059" t="s">
        <v>12113</v>
      </c>
      <c r="G1059" s="25">
        <v>0.9</v>
      </c>
    </row>
    <row r="1060" spans="1:7" x14ac:dyDescent="0.35">
      <c r="A1060">
        <v>47</v>
      </c>
      <c r="B1060" t="s">
        <v>11061</v>
      </c>
      <c r="C1060">
        <v>7</v>
      </c>
      <c r="D1060">
        <v>1</v>
      </c>
      <c r="E1060">
        <v>37</v>
      </c>
      <c r="F1060" t="s">
        <v>12124</v>
      </c>
      <c r="G1060" s="25">
        <v>0.85</v>
      </c>
    </row>
    <row r="1061" spans="1:7" x14ac:dyDescent="0.35">
      <c r="A1061">
        <v>47</v>
      </c>
      <c r="B1061" t="s">
        <v>11061</v>
      </c>
      <c r="C1061">
        <v>8</v>
      </c>
      <c r="D1061">
        <v>1</v>
      </c>
      <c r="E1061">
        <v>38</v>
      </c>
      <c r="F1061" t="s">
        <v>12113</v>
      </c>
      <c r="G1061" s="25">
        <v>0.9</v>
      </c>
    </row>
    <row r="1062" spans="1:7" x14ac:dyDescent="0.35">
      <c r="A1062">
        <v>47</v>
      </c>
      <c r="B1062" t="s">
        <v>11061</v>
      </c>
      <c r="C1062">
        <v>9</v>
      </c>
      <c r="D1062">
        <v>1</v>
      </c>
      <c r="E1062">
        <v>50</v>
      </c>
      <c r="F1062" t="s">
        <v>12113</v>
      </c>
      <c r="G1062" s="25">
        <v>0.9</v>
      </c>
    </row>
    <row r="1063" spans="1:7" x14ac:dyDescent="0.35">
      <c r="A1063">
        <v>47</v>
      </c>
      <c r="B1063" t="s">
        <v>11061</v>
      </c>
      <c r="C1063">
        <v>10</v>
      </c>
      <c r="D1063">
        <v>1</v>
      </c>
      <c r="E1063">
        <v>52</v>
      </c>
      <c r="F1063" t="s">
        <v>12125</v>
      </c>
      <c r="G1063" s="25">
        <v>0.85</v>
      </c>
    </row>
    <row r="1064" spans="1:7" x14ac:dyDescent="0.35">
      <c r="A1064">
        <v>47</v>
      </c>
      <c r="B1064" t="s">
        <v>11061</v>
      </c>
      <c r="C1064">
        <v>11</v>
      </c>
      <c r="D1064">
        <v>1</v>
      </c>
      <c r="E1064">
        <v>33</v>
      </c>
      <c r="F1064" t="s">
        <v>1211</v>
      </c>
      <c r="G1064" s="25">
        <v>0.95</v>
      </c>
    </row>
    <row r="1065" spans="1:7" x14ac:dyDescent="0.35">
      <c r="A1065">
        <v>47</v>
      </c>
      <c r="B1065" t="s">
        <v>11061</v>
      </c>
      <c r="C1065">
        <v>12</v>
      </c>
      <c r="D1065">
        <v>1</v>
      </c>
      <c r="E1065">
        <v>44</v>
      </c>
      <c r="F1065" t="s">
        <v>1211</v>
      </c>
      <c r="G1065" s="25">
        <v>0.95</v>
      </c>
    </row>
    <row r="1066" spans="1:7" x14ac:dyDescent="0.35">
      <c r="A1066">
        <v>47</v>
      </c>
      <c r="B1066" t="s">
        <v>11061</v>
      </c>
      <c r="C1066">
        <v>13</v>
      </c>
      <c r="D1066">
        <v>1</v>
      </c>
      <c r="E1066">
        <v>37</v>
      </c>
      <c r="F1066" t="s">
        <v>12118</v>
      </c>
      <c r="G1066" s="25">
        <v>0.9</v>
      </c>
    </row>
    <row r="1067" spans="1:7" x14ac:dyDescent="0.35">
      <c r="A1067">
        <v>47</v>
      </c>
      <c r="B1067" t="s">
        <v>11061</v>
      </c>
      <c r="C1067">
        <v>14</v>
      </c>
      <c r="D1067">
        <v>1</v>
      </c>
      <c r="E1067">
        <v>72</v>
      </c>
      <c r="F1067" t="s">
        <v>12119</v>
      </c>
      <c r="G1067" s="25">
        <v>0.9</v>
      </c>
    </row>
    <row r="1068" spans="1:7" x14ac:dyDescent="0.35">
      <c r="A1068">
        <v>47</v>
      </c>
      <c r="B1068" t="s">
        <v>11061</v>
      </c>
      <c r="C1068">
        <v>15</v>
      </c>
      <c r="D1068">
        <v>1</v>
      </c>
      <c r="E1068">
        <v>47</v>
      </c>
      <c r="F1068" t="s">
        <v>12120</v>
      </c>
      <c r="G1068" s="25">
        <v>0.9</v>
      </c>
    </row>
    <row r="1069" spans="1:7" x14ac:dyDescent="0.35">
      <c r="A1069">
        <v>47</v>
      </c>
      <c r="B1069" t="s">
        <v>11061</v>
      </c>
      <c r="C1069">
        <v>16</v>
      </c>
      <c r="D1069">
        <v>1</v>
      </c>
      <c r="E1069">
        <v>20</v>
      </c>
      <c r="F1069" t="s">
        <v>12121</v>
      </c>
      <c r="G1069" s="25">
        <v>0.85</v>
      </c>
    </row>
    <row r="1070" spans="1:7" x14ac:dyDescent="0.35">
      <c r="A1070">
        <v>48</v>
      </c>
      <c r="B1070" t="s">
        <v>11063</v>
      </c>
      <c r="C1070">
        <v>1</v>
      </c>
      <c r="D1070">
        <v>1</v>
      </c>
      <c r="E1070">
        <v>80</v>
      </c>
      <c r="F1070" t="s">
        <v>12126</v>
      </c>
      <c r="G1070" s="25">
        <v>0.85</v>
      </c>
    </row>
    <row r="1071" spans="1:7" x14ac:dyDescent="0.35">
      <c r="A1071">
        <v>48</v>
      </c>
      <c r="B1071" t="s">
        <v>11063</v>
      </c>
      <c r="C1071">
        <v>2</v>
      </c>
      <c r="D1071">
        <v>1</v>
      </c>
      <c r="E1071">
        <v>52</v>
      </c>
      <c r="F1071" t="s">
        <v>12127</v>
      </c>
      <c r="G1071" s="25">
        <v>0.9</v>
      </c>
    </row>
    <row r="1072" spans="1:7" x14ac:dyDescent="0.35">
      <c r="A1072">
        <v>48</v>
      </c>
      <c r="B1072" t="s">
        <v>11063</v>
      </c>
      <c r="C1072">
        <v>3</v>
      </c>
      <c r="D1072">
        <v>1</v>
      </c>
      <c r="E1072">
        <v>38</v>
      </c>
      <c r="F1072" t="s">
        <v>988</v>
      </c>
      <c r="G1072" s="25">
        <v>0.85</v>
      </c>
    </row>
    <row r="1073" spans="1:7" x14ac:dyDescent="0.35">
      <c r="A1073">
        <v>48</v>
      </c>
      <c r="B1073" t="s">
        <v>11063</v>
      </c>
      <c r="C1073">
        <v>4</v>
      </c>
      <c r="D1073">
        <v>1</v>
      </c>
      <c r="E1073">
        <v>44</v>
      </c>
      <c r="F1073" t="s">
        <v>12128</v>
      </c>
      <c r="G1073" s="25">
        <v>0.85</v>
      </c>
    </row>
    <row r="1074" spans="1:7" x14ac:dyDescent="0.35">
      <c r="A1074">
        <v>48</v>
      </c>
      <c r="B1074" t="s">
        <v>11063</v>
      </c>
      <c r="C1074">
        <v>5</v>
      </c>
      <c r="D1074">
        <v>1</v>
      </c>
      <c r="E1074">
        <v>39</v>
      </c>
      <c r="F1074" t="s">
        <v>12113</v>
      </c>
      <c r="G1074" s="25">
        <v>0.9</v>
      </c>
    </row>
    <row r="1075" spans="1:7" x14ac:dyDescent="0.35">
      <c r="A1075">
        <v>48</v>
      </c>
      <c r="B1075" t="s">
        <v>11063</v>
      </c>
      <c r="C1075">
        <v>6</v>
      </c>
      <c r="D1075">
        <v>1</v>
      </c>
      <c r="E1075">
        <v>49</v>
      </c>
      <c r="F1075" t="s">
        <v>12113</v>
      </c>
      <c r="G1075" s="25">
        <v>0.9</v>
      </c>
    </row>
    <row r="1076" spans="1:7" x14ac:dyDescent="0.35">
      <c r="A1076">
        <v>48</v>
      </c>
      <c r="B1076" t="s">
        <v>11063</v>
      </c>
      <c r="C1076">
        <v>7</v>
      </c>
      <c r="D1076">
        <v>1</v>
      </c>
      <c r="E1076">
        <v>50</v>
      </c>
      <c r="F1076" t="s">
        <v>12113</v>
      </c>
      <c r="G1076" s="25">
        <v>0.9</v>
      </c>
    </row>
    <row r="1077" spans="1:7" x14ac:dyDescent="0.35">
      <c r="A1077">
        <v>48</v>
      </c>
      <c r="B1077" t="s">
        <v>11063</v>
      </c>
      <c r="C1077">
        <v>8</v>
      </c>
      <c r="D1077">
        <v>1</v>
      </c>
      <c r="E1077">
        <v>56</v>
      </c>
      <c r="F1077" t="s">
        <v>12113</v>
      </c>
      <c r="G1077" s="25">
        <v>0.9</v>
      </c>
    </row>
    <row r="1078" spans="1:7" x14ac:dyDescent="0.35">
      <c r="A1078">
        <v>48</v>
      </c>
      <c r="B1078" t="s">
        <v>11063</v>
      </c>
      <c r="C1078">
        <v>9</v>
      </c>
      <c r="D1078">
        <v>1</v>
      </c>
      <c r="E1078">
        <v>62</v>
      </c>
      <c r="F1078" t="s">
        <v>12113</v>
      </c>
      <c r="G1078" s="25">
        <v>0.9</v>
      </c>
    </row>
    <row r="1079" spans="1:7" x14ac:dyDescent="0.35">
      <c r="A1079">
        <v>48</v>
      </c>
      <c r="B1079" t="s">
        <v>11063</v>
      </c>
      <c r="C1079">
        <v>10</v>
      </c>
      <c r="D1079">
        <v>1</v>
      </c>
      <c r="E1079">
        <v>42</v>
      </c>
      <c r="F1079" t="s">
        <v>12129</v>
      </c>
      <c r="G1079" s="25">
        <v>0.85</v>
      </c>
    </row>
    <row r="1080" spans="1:7" x14ac:dyDescent="0.35">
      <c r="A1080">
        <v>48</v>
      </c>
      <c r="B1080" t="s">
        <v>11063</v>
      </c>
      <c r="C1080">
        <v>11</v>
      </c>
      <c r="D1080">
        <v>1</v>
      </c>
      <c r="E1080">
        <v>54</v>
      </c>
      <c r="F1080" t="s">
        <v>12129</v>
      </c>
      <c r="G1080" s="25">
        <v>0.85</v>
      </c>
    </row>
    <row r="1081" spans="1:7" x14ac:dyDescent="0.35">
      <c r="A1081">
        <v>48</v>
      </c>
      <c r="B1081" t="s">
        <v>11063</v>
      </c>
      <c r="C1081">
        <v>12</v>
      </c>
      <c r="D1081">
        <v>1</v>
      </c>
      <c r="E1081">
        <v>59</v>
      </c>
      <c r="F1081" t="s">
        <v>12129</v>
      </c>
      <c r="G1081" s="25">
        <v>0.85</v>
      </c>
    </row>
    <row r="1082" spans="1:7" x14ac:dyDescent="0.35">
      <c r="A1082">
        <v>48</v>
      </c>
      <c r="B1082" t="s">
        <v>11063</v>
      </c>
      <c r="C1082">
        <v>13</v>
      </c>
      <c r="D1082">
        <v>1</v>
      </c>
      <c r="E1082">
        <v>35</v>
      </c>
      <c r="F1082" t="s">
        <v>12129</v>
      </c>
      <c r="G1082" s="25">
        <v>0.85</v>
      </c>
    </row>
    <row r="1083" spans="1:7" x14ac:dyDescent="0.35">
      <c r="A1083">
        <v>48</v>
      </c>
      <c r="B1083" t="s">
        <v>11063</v>
      </c>
      <c r="C1083">
        <v>14</v>
      </c>
      <c r="D1083">
        <v>1</v>
      </c>
      <c r="E1083">
        <v>35</v>
      </c>
      <c r="F1083" t="s">
        <v>12129</v>
      </c>
      <c r="G1083" s="25">
        <v>0.85</v>
      </c>
    </row>
    <row r="1084" spans="1:7" x14ac:dyDescent="0.35">
      <c r="A1084">
        <v>48</v>
      </c>
      <c r="B1084" t="s">
        <v>11063</v>
      </c>
      <c r="C1084">
        <v>15</v>
      </c>
      <c r="D1084">
        <v>1</v>
      </c>
      <c r="E1084">
        <v>32</v>
      </c>
      <c r="F1084" t="s">
        <v>12129</v>
      </c>
      <c r="G1084" s="25">
        <v>0.85</v>
      </c>
    </row>
    <row r="1085" spans="1:7" x14ac:dyDescent="0.35">
      <c r="A1085">
        <v>48</v>
      </c>
      <c r="B1085" t="s">
        <v>11063</v>
      </c>
      <c r="C1085">
        <v>16</v>
      </c>
      <c r="D1085">
        <v>1</v>
      </c>
      <c r="E1085">
        <v>31</v>
      </c>
      <c r="F1085" t="s">
        <v>12129</v>
      </c>
      <c r="G1085" s="25">
        <v>0.85</v>
      </c>
    </row>
    <row r="1086" spans="1:7" x14ac:dyDescent="0.35">
      <c r="A1086">
        <v>48</v>
      </c>
      <c r="B1086" t="s">
        <v>11063</v>
      </c>
      <c r="C1086">
        <v>17</v>
      </c>
      <c r="D1086">
        <v>1</v>
      </c>
      <c r="E1086">
        <v>37</v>
      </c>
      <c r="F1086" t="s">
        <v>12129</v>
      </c>
      <c r="G1086" s="25">
        <v>0.85</v>
      </c>
    </row>
    <row r="1087" spans="1:7" x14ac:dyDescent="0.35">
      <c r="A1087">
        <v>48</v>
      </c>
      <c r="B1087" t="s">
        <v>11063</v>
      </c>
      <c r="C1087">
        <v>18</v>
      </c>
      <c r="D1087">
        <v>1</v>
      </c>
      <c r="E1087">
        <v>43</v>
      </c>
      <c r="F1087" t="s">
        <v>12130</v>
      </c>
      <c r="G1087" s="25">
        <v>0.85</v>
      </c>
    </row>
    <row r="1088" spans="1:7" x14ac:dyDescent="0.35">
      <c r="A1088">
        <v>48</v>
      </c>
      <c r="B1088" t="s">
        <v>11063</v>
      </c>
      <c r="C1088">
        <v>19</v>
      </c>
      <c r="D1088">
        <v>1</v>
      </c>
      <c r="E1088">
        <v>48</v>
      </c>
      <c r="F1088" t="s">
        <v>12131</v>
      </c>
      <c r="G1088" s="25">
        <v>0.9</v>
      </c>
    </row>
    <row r="1089" spans="1:7" x14ac:dyDescent="0.35">
      <c r="A1089">
        <v>48</v>
      </c>
      <c r="B1089" t="s">
        <v>11063</v>
      </c>
      <c r="C1089">
        <v>20</v>
      </c>
      <c r="D1089">
        <v>1</v>
      </c>
      <c r="E1089">
        <v>47</v>
      </c>
      <c r="F1089" t="s">
        <v>1211</v>
      </c>
      <c r="G1089" s="25">
        <v>0.95</v>
      </c>
    </row>
    <row r="1090" spans="1:7" x14ac:dyDescent="0.35">
      <c r="A1090">
        <v>48</v>
      </c>
      <c r="B1090" t="s">
        <v>11063</v>
      </c>
      <c r="C1090">
        <v>21</v>
      </c>
      <c r="D1090">
        <v>1</v>
      </c>
      <c r="E1090">
        <v>38</v>
      </c>
      <c r="F1090" t="s">
        <v>1211</v>
      </c>
      <c r="G1090" s="25">
        <v>0.95</v>
      </c>
    </row>
    <row r="1091" spans="1:7" x14ac:dyDescent="0.35">
      <c r="A1091">
        <v>48</v>
      </c>
      <c r="B1091" t="s">
        <v>11063</v>
      </c>
      <c r="C1091">
        <v>22</v>
      </c>
      <c r="D1091">
        <v>1</v>
      </c>
      <c r="E1091">
        <v>71</v>
      </c>
      <c r="F1091" t="s">
        <v>1211</v>
      </c>
      <c r="G1091" s="25">
        <v>0.95</v>
      </c>
    </row>
    <row r="1092" spans="1:7" x14ac:dyDescent="0.35">
      <c r="A1092">
        <v>48</v>
      </c>
      <c r="B1092" t="s">
        <v>11063</v>
      </c>
      <c r="C1092">
        <v>23</v>
      </c>
      <c r="D1092">
        <v>1</v>
      </c>
      <c r="E1092">
        <v>56</v>
      </c>
      <c r="F1092" t="s">
        <v>12120</v>
      </c>
      <c r="G1092" s="25">
        <v>0.9</v>
      </c>
    </row>
    <row r="1093" spans="1:7" x14ac:dyDescent="0.35">
      <c r="A1093">
        <v>48</v>
      </c>
      <c r="B1093" t="s">
        <v>11063</v>
      </c>
      <c r="C1093">
        <v>24</v>
      </c>
      <c r="D1093">
        <v>1</v>
      </c>
      <c r="E1093">
        <v>53</v>
      </c>
      <c r="F1093" t="s">
        <v>12132</v>
      </c>
      <c r="G1093" s="25">
        <v>0.85</v>
      </c>
    </row>
    <row r="1094" spans="1:7" x14ac:dyDescent="0.35">
      <c r="A1094">
        <v>49</v>
      </c>
      <c r="B1094" t="s">
        <v>9055</v>
      </c>
      <c r="C1094">
        <v>1</v>
      </c>
      <c r="D1094">
        <v>1</v>
      </c>
      <c r="E1094">
        <v>51</v>
      </c>
      <c r="F1094" t="s">
        <v>12122</v>
      </c>
      <c r="G1094" s="25">
        <v>0.85</v>
      </c>
    </row>
    <row r="1095" spans="1:7" x14ac:dyDescent="0.35">
      <c r="A1095">
        <v>49</v>
      </c>
      <c r="B1095" t="s">
        <v>9055</v>
      </c>
      <c r="C1095">
        <v>2</v>
      </c>
      <c r="D1095">
        <v>1</v>
      </c>
      <c r="E1095">
        <v>25</v>
      </c>
      <c r="F1095" t="s">
        <v>12133</v>
      </c>
      <c r="G1095" s="25">
        <v>0.9</v>
      </c>
    </row>
    <row r="1096" spans="1:7" x14ac:dyDescent="0.35">
      <c r="A1096">
        <v>49</v>
      </c>
      <c r="B1096" t="s">
        <v>9055</v>
      </c>
      <c r="C1096">
        <v>3</v>
      </c>
      <c r="D1096">
        <v>1</v>
      </c>
      <c r="E1096">
        <v>36</v>
      </c>
      <c r="F1096" t="s">
        <v>12117</v>
      </c>
      <c r="G1096" s="25">
        <v>0.85</v>
      </c>
    </row>
    <row r="1097" spans="1:7" x14ac:dyDescent="0.35">
      <c r="A1097">
        <v>49</v>
      </c>
      <c r="B1097" t="s">
        <v>9055</v>
      </c>
      <c r="C1097">
        <v>4</v>
      </c>
      <c r="D1097">
        <v>1</v>
      </c>
      <c r="E1097">
        <v>54</v>
      </c>
      <c r="F1097" t="s">
        <v>12134</v>
      </c>
      <c r="G1097" s="25">
        <v>0.85</v>
      </c>
    </row>
    <row r="1098" spans="1:7" x14ac:dyDescent="0.35">
      <c r="A1098">
        <v>49</v>
      </c>
      <c r="B1098" t="s">
        <v>9055</v>
      </c>
      <c r="C1098">
        <v>5</v>
      </c>
      <c r="D1098">
        <v>1</v>
      </c>
      <c r="E1098">
        <v>47</v>
      </c>
      <c r="F1098" t="s">
        <v>1211</v>
      </c>
      <c r="G1098" s="25">
        <v>0.95</v>
      </c>
    </row>
    <row r="1099" spans="1:7" x14ac:dyDescent="0.35">
      <c r="A1099">
        <v>49</v>
      </c>
      <c r="B1099" t="s">
        <v>9055</v>
      </c>
      <c r="C1099">
        <v>6</v>
      </c>
      <c r="D1099">
        <v>1</v>
      </c>
      <c r="E1099">
        <v>71</v>
      </c>
      <c r="F1099" t="s">
        <v>12113</v>
      </c>
      <c r="G1099" s="25">
        <v>0.9</v>
      </c>
    </row>
    <row r="1100" spans="1:7" x14ac:dyDescent="0.35">
      <c r="A1100">
        <v>49</v>
      </c>
      <c r="B1100" t="s">
        <v>9055</v>
      </c>
      <c r="C1100">
        <v>7</v>
      </c>
      <c r="D1100">
        <v>1</v>
      </c>
      <c r="E1100">
        <v>53</v>
      </c>
      <c r="F1100" t="s">
        <v>1211</v>
      </c>
      <c r="G1100" s="25">
        <v>0.95</v>
      </c>
    </row>
    <row r="1101" spans="1:7" x14ac:dyDescent="0.35">
      <c r="A1101">
        <v>49</v>
      </c>
      <c r="B1101" t="s">
        <v>9055</v>
      </c>
      <c r="C1101">
        <v>8</v>
      </c>
      <c r="D1101">
        <v>1</v>
      </c>
      <c r="E1101">
        <v>59</v>
      </c>
      <c r="F1101" t="s">
        <v>1211</v>
      </c>
      <c r="G1101" s="25">
        <v>0.95</v>
      </c>
    </row>
    <row r="1102" spans="1:7" x14ac:dyDescent="0.35">
      <c r="A1102">
        <v>49</v>
      </c>
      <c r="B1102" t="s">
        <v>9055</v>
      </c>
      <c r="C1102">
        <v>9</v>
      </c>
      <c r="D1102">
        <v>1</v>
      </c>
      <c r="E1102">
        <v>41</v>
      </c>
      <c r="F1102" t="s">
        <v>1211</v>
      </c>
      <c r="G1102" s="25">
        <v>0.95</v>
      </c>
    </row>
    <row r="1103" spans="1:7" x14ac:dyDescent="0.35">
      <c r="A1103">
        <v>49</v>
      </c>
      <c r="B1103" t="s">
        <v>9055</v>
      </c>
      <c r="C1103">
        <v>10</v>
      </c>
      <c r="D1103">
        <v>1</v>
      </c>
      <c r="E1103">
        <v>42</v>
      </c>
      <c r="F1103" t="s">
        <v>12135</v>
      </c>
      <c r="G1103" s="25">
        <v>0.9</v>
      </c>
    </row>
    <row r="1104" spans="1:7" x14ac:dyDescent="0.35">
      <c r="A1104">
        <v>49</v>
      </c>
      <c r="B1104" t="s">
        <v>9055</v>
      </c>
      <c r="C1104">
        <v>11</v>
      </c>
      <c r="D1104">
        <v>1</v>
      </c>
      <c r="E1104">
        <v>57</v>
      </c>
      <c r="F1104" t="s">
        <v>12136</v>
      </c>
      <c r="G1104" s="25">
        <v>0.9</v>
      </c>
    </row>
    <row r="1105" spans="1:7" x14ac:dyDescent="0.35">
      <c r="A1105">
        <v>49</v>
      </c>
      <c r="B1105" t="s">
        <v>9055</v>
      </c>
      <c r="C1105">
        <v>12</v>
      </c>
      <c r="D1105">
        <v>1</v>
      </c>
      <c r="E1105">
        <v>50</v>
      </c>
      <c r="F1105" t="s">
        <v>1211</v>
      </c>
      <c r="G1105" s="25">
        <v>0.95</v>
      </c>
    </row>
    <row r="1106" spans="1:7" x14ac:dyDescent="0.35">
      <c r="A1106">
        <v>49</v>
      </c>
      <c r="B1106" t="s">
        <v>9055</v>
      </c>
      <c r="C1106">
        <v>13</v>
      </c>
      <c r="D1106">
        <v>1</v>
      </c>
      <c r="E1106">
        <v>38</v>
      </c>
      <c r="F1106" t="s">
        <v>1211</v>
      </c>
      <c r="G1106" s="25">
        <v>0.95</v>
      </c>
    </row>
    <row r="1107" spans="1:7" x14ac:dyDescent="0.35">
      <c r="A1107">
        <v>49</v>
      </c>
      <c r="B1107" t="s">
        <v>9055</v>
      </c>
      <c r="C1107">
        <v>14</v>
      </c>
      <c r="D1107">
        <v>1</v>
      </c>
      <c r="E1107">
        <v>31</v>
      </c>
      <c r="F1107" t="s">
        <v>1211</v>
      </c>
      <c r="G1107" s="25">
        <v>0.95</v>
      </c>
    </row>
    <row r="1108" spans="1:7" x14ac:dyDescent="0.35">
      <c r="A1108">
        <v>49</v>
      </c>
      <c r="B1108" t="s">
        <v>9055</v>
      </c>
      <c r="C1108">
        <v>15</v>
      </c>
      <c r="D1108">
        <v>1</v>
      </c>
      <c r="E1108">
        <v>27</v>
      </c>
      <c r="F1108" t="s">
        <v>1211</v>
      </c>
      <c r="G1108" s="25">
        <v>0.95</v>
      </c>
    </row>
    <row r="1109" spans="1:7" x14ac:dyDescent="0.35">
      <c r="A1109">
        <v>49</v>
      </c>
      <c r="B1109" t="s">
        <v>9055</v>
      </c>
      <c r="C1109">
        <v>16</v>
      </c>
      <c r="D1109">
        <v>1</v>
      </c>
      <c r="E1109">
        <v>33</v>
      </c>
      <c r="F1109" t="s">
        <v>1211</v>
      </c>
      <c r="G1109" s="25">
        <v>0.95</v>
      </c>
    </row>
    <row r="1110" spans="1:7" x14ac:dyDescent="0.35">
      <c r="A1110">
        <v>49</v>
      </c>
      <c r="B1110" t="s">
        <v>9055</v>
      </c>
      <c r="C1110">
        <v>17</v>
      </c>
      <c r="D1110">
        <v>1</v>
      </c>
      <c r="E1110">
        <v>26</v>
      </c>
      <c r="F1110" t="s">
        <v>1211</v>
      </c>
      <c r="G1110" s="25">
        <v>0.95</v>
      </c>
    </row>
    <row r="1111" spans="1:7" x14ac:dyDescent="0.35">
      <c r="A1111">
        <v>49</v>
      </c>
      <c r="B1111" t="s">
        <v>9055</v>
      </c>
      <c r="C1111">
        <v>18</v>
      </c>
      <c r="D1111">
        <v>1</v>
      </c>
      <c r="E1111">
        <v>40</v>
      </c>
      <c r="F1111" t="s">
        <v>12119</v>
      </c>
      <c r="G1111" s="25">
        <v>0.9</v>
      </c>
    </row>
    <row r="1112" spans="1:7" x14ac:dyDescent="0.35">
      <c r="A1112">
        <v>49</v>
      </c>
      <c r="B1112" t="s">
        <v>9055</v>
      </c>
      <c r="C1112">
        <v>19</v>
      </c>
      <c r="D1112">
        <v>1</v>
      </c>
      <c r="E1112">
        <v>42</v>
      </c>
      <c r="F1112" t="s">
        <v>12120</v>
      </c>
      <c r="G1112" s="25">
        <v>0.9</v>
      </c>
    </row>
    <row r="1113" spans="1:7" x14ac:dyDescent="0.35">
      <c r="A1113">
        <v>49</v>
      </c>
      <c r="B1113" t="s">
        <v>9055</v>
      </c>
      <c r="C1113">
        <v>20</v>
      </c>
      <c r="D1113">
        <v>1</v>
      </c>
      <c r="E1113">
        <v>31</v>
      </c>
      <c r="F1113" t="s">
        <v>1211</v>
      </c>
      <c r="G1113" s="25">
        <v>0.95</v>
      </c>
    </row>
    <row r="1114" spans="1:7" x14ac:dyDescent="0.35">
      <c r="A1114">
        <v>49</v>
      </c>
      <c r="B1114" t="s">
        <v>9055</v>
      </c>
      <c r="C1114">
        <v>21</v>
      </c>
      <c r="D1114">
        <v>1</v>
      </c>
      <c r="E1114">
        <v>25</v>
      </c>
      <c r="F1114" t="s">
        <v>6079</v>
      </c>
      <c r="G1114" s="25">
        <v>0.9</v>
      </c>
    </row>
    <row r="1115" spans="1:7" x14ac:dyDescent="0.35">
      <c r="A1115">
        <v>50</v>
      </c>
      <c r="B1115" t="s">
        <v>11066</v>
      </c>
      <c r="C1115">
        <v>1</v>
      </c>
      <c r="D1115">
        <v>1</v>
      </c>
      <c r="E1115">
        <v>26</v>
      </c>
      <c r="F1115" t="s">
        <v>1211</v>
      </c>
      <c r="G1115" s="25">
        <v>0.95</v>
      </c>
    </row>
    <row r="1116" spans="1:7" x14ac:dyDescent="0.35">
      <c r="A1116">
        <v>50</v>
      </c>
      <c r="B1116" t="s">
        <v>11066</v>
      </c>
      <c r="C1116">
        <v>2</v>
      </c>
      <c r="D1116">
        <v>1</v>
      </c>
      <c r="E1116">
        <v>47</v>
      </c>
      <c r="F1116" t="s">
        <v>1211</v>
      </c>
      <c r="G1116" s="25">
        <v>0.95</v>
      </c>
    </row>
    <row r="1117" spans="1:7" x14ac:dyDescent="0.35">
      <c r="A1117">
        <v>50</v>
      </c>
      <c r="B1117" t="s">
        <v>11066</v>
      </c>
      <c r="C1117">
        <v>3</v>
      </c>
      <c r="D1117">
        <v>1</v>
      </c>
      <c r="E1117">
        <v>26</v>
      </c>
      <c r="F1117" t="s">
        <v>1211</v>
      </c>
      <c r="G1117" s="25">
        <v>0.95</v>
      </c>
    </row>
    <row r="1118" spans="1:7" x14ac:dyDescent="0.35">
      <c r="A1118">
        <v>50</v>
      </c>
      <c r="B1118" t="s">
        <v>11066</v>
      </c>
      <c r="C1118">
        <v>4</v>
      </c>
      <c r="D1118">
        <v>1</v>
      </c>
      <c r="E1118">
        <v>37</v>
      </c>
      <c r="F1118" t="s">
        <v>1211</v>
      </c>
      <c r="G1118" s="25">
        <v>0.95</v>
      </c>
    </row>
    <row r="1119" spans="1:7" x14ac:dyDescent="0.35">
      <c r="A1119">
        <v>50</v>
      </c>
      <c r="B1119" t="s">
        <v>11066</v>
      </c>
      <c r="C1119">
        <v>5</v>
      </c>
      <c r="D1119">
        <v>1</v>
      </c>
      <c r="E1119">
        <v>42</v>
      </c>
      <c r="F1119" t="s">
        <v>1211</v>
      </c>
      <c r="G1119" s="25">
        <v>0.95</v>
      </c>
    </row>
    <row r="1120" spans="1:7" x14ac:dyDescent="0.35">
      <c r="A1120">
        <v>50</v>
      </c>
      <c r="B1120" t="s">
        <v>11066</v>
      </c>
      <c r="C1120">
        <v>6</v>
      </c>
      <c r="D1120">
        <v>1</v>
      </c>
      <c r="E1120">
        <v>15</v>
      </c>
      <c r="F1120" t="s">
        <v>1211</v>
      </c>
      <c r="G1120" s="25">
        <v>0.95</v>
      </c>
    </row>
    <row r="1121" spans="1:7" x14ac:dyDescent="0.35">
      <c r="A1121">
        <v>50</v>
      </c>
      <c r="B1121" t="s">
        <v>11066</v>
      </c>
      <c r="C1121">
        <v>7</v>
      </c>
      <c r="D1121">
        <v>1</v>
      </c>
      <c r="E1121">
        <v>60</v>
      </c>
      <c r="F1121" t="s">
        <v>1211</v>
      </c>
      <c r="G1121" s="25">
        <v>0.95</v>
      </c>
    </row>
    <row r="1122" spans="1:7" x14ac:dyDescent="0.35">
      <c r="A1122">
        <v>50</v>
      </c>
      <c r="B1122" t="s">
        <v>11066</v>
      </c>
      <c r="C1122">
        <v>8</v>
      </c>
      <c r="D1122">
        <v>1</v>
      </c>
      <c r="E1122">
        <v>8</v>
      </c>
      <c r="F1122" t="s">
        <v>12137</v>
      </c>
      <c r="G1122" s="25">
        <v>0.9</v>
      </c>
    </row>
    <row r="1123" spans="1:7" x14ac:dyDescent="0.35">
      <c r="A1123">
        <v>50</v>
      </c>
      <c r="B1123" t="s">
        <v>11066</v>
      </c>
      <c r="C1123">
        <v>8</v>
      </c>
      <c r="D1123">
        <v>9</v>
      </c>
      <c r="E1123">
        <v>25</v>
      </c>
      <c r="F1123" t="s">
        <v>1787</v>
      </c>
      <c r="G1123" s="25">
        <v>0.85</v>
      </c>
    </row>
    <row r="1124" spans="1:7" x14ac:dyDescent="0.35">
      <c r="A1124">
        <v>50</v>
      </c>
      <c r="B1124" t="s">
        <v>11066</v>
      </c>
      <c r="C1124">
        <v>8</v>
      </c>
      <c r="D1124">
        <v>26</v>
      </c>
      <c r="E1124">
        <v>40</v>
      </c>
      <c r="F1124" t="s">
        <v>12138</v>
      </c>
      <c r="G1124" s="25">
        <v>0.85</v>
      </c>
    </row>
    <row r="1125" spans="1:7" x14ac:dyDescent="0.35">
      <c r="A1125">
        <v>50</v>
      </c>
      <c r="B1125" t="s">
        <v>11066</v>
      </c>
      <c r="C1125">
        <v>9</v>
      </c>
      <c r="D1125">
        <v>1</v>
      </c>
      <c r="E1125">
        <v>9</v>
      </c>
      <c r="F1125" t="s">
        <v>7055</v>
      </c>
      <c r="G1125" s="25">
        <v>0.85</v>
      </c>
    </row>
    <row r="1126" spans="1:7" x14ac:dyDescent="0.35">
      <c r="A1126">
        <v>50</v>
      </c>
      <c r="B1126" t="s">
        <v>11066</v>
      </c>
      <c r="C1126">
        <v>9</v>
      </c>
      <c r="D1126">
        <v>10</v>
      </c>
      <c r="E1126">
        <v>25</v>
      </c>
      <c r="F1126" t="s">
        <v>2128</v>
      </c>
      <c r="G1126" s="25">
        <v>0.9</v>
      </c>
    </row>
    <row r="1127" spans="1:7" x14ac:dyDescent="0.35">
      <c r="A1127">
        <v>50</v>
      </c>
      <c r="B1127" t="s">
        <v>11066</v>
      </c>
      <c r="C1127">
        <v>9</v>
      </c>
      <c r="D1127">
        <v>26</v>
      </c>
      <c r="E1127">
        <v>31</v>
      </c>
      <c r="F1127" t="s">
        <v>1211</v>
      </c>
      <c r="G1127" s="25">
        <v>0.95</v>
      </c>
    </row>
    <row r="1128" spans="1:7" x14ac:dyDescent="0.35">
      <c r="A1128">
        <v>50</v>
      </c>
      <c r="B1128" t="s">
        <v>11066</v>
      </c>
      <c r="C1128">
        <v>9</v>
      </c>
      <c r="D1128">
        <v>32</v>
      </c>
      <c r="E1128">
        <v>43</v>
      </c>
      <c r="F1128" t="s">
        <v>12139</v>
      </c>
      <c r="G1128" s="25">
        <v>0.85</v>
      </c>
    </row>
    <row r="1129" spans="1:7" x14ac:dyDescent="0.35">
      <c r="A1129">
        <v>50</v>
      </c>
      <c r="B1129" t="s">
        <v>11066</v>
      </c>
      <c r="C1129">
        <v>10</v>
      </c>
      <c r="D1129">
        <v>1</v>
      </c>
      <c r="E1129">
        <v>48</v>
      </c>
      <c r="F1129" t="s">
        <v>6758</v>
      </c>
      <c r="G1129" s="25">
        <v>0.85</v>
      </c>
    </row>
    <row r="1130" spans="1:7" x14ac:dyDescent="0.35">
      <c r="A1130">
        <v>50</v>
      </c>
      <c r="B1130" t="s">
        <v>11066</v>
      </c>
      <c r="C1130">
        <v>11</v>
      </c>
      <c r="D1130">
        <v>1</v>
      </c>
      <c r="E1130">
        <v>18</v>
      </c>
      <c r="F1130" t="s">
        <v>1211</v>
      </c>
      <c r="G1130" s="25">
        <v>0.95</v>
      </c>
    </row>
    <row r="1131" spans="1:7" x14ac:dyDescent="0.35">
      <c r="A1131">
        <v>50</v>
      </c>
      <c r="B1131" t="s">
        <v>11066</v>
      </c>
      <c r="C1131">
        <v>11</v>
      </c>
      <c r="D1131">
        <v>19</v>
      </c>
      <c r="E1131">
        <v>30</v>
      </c>
      <c r="F1131" t="s">
        <v>6796</v>
      </c>
      <c r="G1131" s="25">
        <v>0.85</v>
      </c>
    </row>
    <row r="1132" spans="1:7" x14ac:dyDescent="0.35">
      <c r="A1132">
        <v>50</v>
      </c>
      <c r="B1132" t="s">
        <v>11066</v>
      </c>
      <c r="C1132">
        <v>12</v>
      </c>
      <c r="D1132">
        <v>1</v>
      </c>
      <c r="E1132">
        <v>25</v>
      </c>
      <c r="F1132" t="s">
        <v>1211</v>
      </c>
      <c r="G1132" s="25">
        <v>0.95</v>
      </c>
    </row>
    <row r="1133" spans="1:7" x14ac:dyDescent="0.35">
      <c r="A1133">
        <v>50</v>
      </c>
      <c r="B1133" t="s">
        <v>11066</v>
      </c>
      <c r="C1133">
        <v>13</v>
      </c>
      <c r="D1133">
        <v>1</v>
      </c>
      <c r="E1133">
        <v>12</v>
      </c>
      <c r="F1133" t="s">
        <v>12140</v>
      </c>
      <c r="G1133" s="25">
        <v>0.85</v>
      </c>
    </row>
    <row r="1134" spans="1:7" x14ac:dyDescent="0.35">
      <c r="A1134">
        <v>50</v>
      </c>
      <c r="B1134" t="s">
        <v>11066</v>
      </c>
      <c r="C1134">
        <v>13</v>
      </c>
      <c r="D1134">
        <v>13</v>
      </c>
      <c r="E1134">
        <v>52</v>
      </c>
      <c r="F1134" t="s">
        <v>12141</v>
      </c>
      <c r="G1134" s="25">
        <v>0.8</v>
      </c>
    </row>
    <row r="1135" spans="1:7" x14ac:dyDescent="0.35">
      <c r="A1135">
        <v>50</v>
      </c>
      <c r="B1135" t="s">
        <v>11066</v>
      </c>
      <c r="C1135">
        <v>14</v>
      </c>
      <c r="D1135">
        <v>1</v>
      </c>
      <c r="E1135">
        <v>28</v>
      </c>
      <c r="F1135" t="s">
        <v>12142</v>
      </c>
      <c r="G1135" s="25">
        <v>0.8</v>
      </c>
    </row>
    <row r="1136" spans="1:7" x14ac:dyDescent="0.35">
      <c r="A1136">
        <v>50</v>
      </c>
      <c r="B1136" t="s">
        <v>11066</v>
      </c>
      <c r="C1136">
        <v>15</v>
      </c>
      <c r="D1136">
        <v>1</v>
      </c>
      <c r="E1136">
        <v>35</v>
      </c>
      <c r="F1136" t="s">
        <v>12143</v>
      </c>
      <c r="G1136" s="25">
        <v>0.9</v>
      </c>
    </row>
    <row r="1137" spans="1:7" x14ac:dyDescent="0.35">
      <c r="A1137">
        <v>50</v>
      </c>
      <c r="B1137" t="s">
        <v>11066</v>
      </c>
      <c r="C1137">
        <v>15</v>
      </c>
      <c r="D1137">
        <v>36</v>
      </c>
      <c r="E1137">
        <v>41</v>
      </c>
      <c r="F1137" t="s">
        <v>6796</v>
      </c>
      <c r="G1137" s="25">
        <v>0.85</v>
      </c>
    </row>
    <row r="1138" spans="1:7" x14ac:dyDescent="0.35">
      <c r="A1138">
        <v>50</v>
      </c>
      <c r="B1138" t="s">
        <v>11066</v>
      </c>
      <c r="C1138">
        <v>16</v>
      </c>
      <c r="D1138">
        <v>1</v>
      </c>
      <c r="E1138">
        <v>10</v>
      </c>
      <c r="F1138" t="s">
        <v>12144</v>
      </c>
      <c r="G1138" s="25">
        <v>0.8</v>
      </c>
    </row>
    <row r="1139" spans="1:7" x14ac:dyDescent="0.35">
      <c r="A1139">
        <v>50</v>
      </c>
      <c r="B1139" t="s">
        <v>11066</v>
      </c>
      <c r="C1139">
        <v>16</v>
      </c>
      <c r="D1139">
        <v>11</v>
      </c>
      <c r="E1139">
        <v>40</v>
      </c>
      <c r="F1139" t="s">
        <v>6773</v>
      </c>
      <c r="G1139" s="25">
        <v>0.85</v>
      </c>
    </row>
    <row r="1140" spans="1:7" x14ac:dyDescent="0.35">
      <c r="A1140">
        <v>50</v>
      </c>
      <c r="B1140" t="s">
        <v>11066</v>
      </c>
      <c r="C1140">
        <v>17</v>
      </c>
      <c r="D1140">
        <v>1</v>
      </c>
      <c r="E1140">
        <v>15</v>
      </c>
      <c r="F1140" t="s">
        <v>12145</v>
      </c>
      <c r="G1140" s="25">
        <v>0.8</v>
      </c>
    </row>
    <row r="1141" spans="1:7" x14ac:dyDescent="0.35">
      <c r="A1141">
        <v>50</v>
      </c>
      <c r="B1141" t="s">
        <v>11066</v>
      </c>
      <c r="C1141">
        <v>17</v>
      </c>
      <c r="D1141">
        <v>16</v>
      </c>
      <c r="E1141">
        <v>34</v>
      </c>
      <c r="F1141" t="s">
        <v>12146</v>
      </c>
      <c r="G1141" s="25">
        <v>0.85</v>
      </c>
    </row>
    <row r="1142" spans="1:7" x14ac:dyDescent="0.35">
      <c r="A1142">
        <v>50</v>
      </c>
      <c r="B1142" t="s">
        <v>11066</v>
      </c>
      <c r="C1142">
        <v>18</v>
      </c>
      <c r="D1142">
        <v>1</v>
      </c>
      <c r="E1142">
        <v>22</v>
      </c>
      <c r="F1142" t="s">
        <v>7035</v>
      </c>
      <c r="G1142" s="25">
        <v>0.85</v>
      </c>
    </row>
    <row r="1143" spans="1:7" x14ac:dyDescent="0.35">
      <c r="A1143">
        <v>50</v>
      </c>
      <c r="B1143" t="s">
        <v>11066</v>
      </c>
      <c r="C1143">
        <v>18</v>
      </c>
      <c r="D1143">
        <v>23</v>
      </c>
      <c r="E1143">
        <v>28</v>
      </c>
      <c r="F1143" t="s">
        <v>6766</v>
      </c>
      <c r="G1143" s="25">
        <v>0.85</v>
      </c>
    </row>
    <row r="1144" spans="1:7" x14ac:dyDescent="0.35">
      <c r="A1144">
        <v>50</v>
      </c>
      <c r="B1144" t="s">
        <v>11066</v>
      </c>
      <c r="C1144">
        <v>19</v>
      </c>
      <c r="D1144">
        <v>1</v>
      </c>
      <c r="E1144">
        <v>41</v>
      </c>
      <c r="F1144" t="s">
        <v>6766</v>
      </c>
      <c r="G1144" s="25">
        <v>0.85</v>
      </c>
    </row>
    <row r="1145" spans="1:7" x14ac:dyDescent="0.35">
      <c r="A1145">
        <v>50</v>
      </c>
      <c r="B1145" t="s">
        <v>11066</v>
      </c>
      <c r="C1145">
        <v>20</v>
      </c>
      <c r="D1145">
        <v>1</v>
      </c>
      <c r="E1145">
        <v>16</v>
      </c>
      <c r="F1145" t="s">
        <v>12147</v>
      </c>
      <c r="G1145" s="25">
        <v>0.8</v>
      </c>
    </row>
    <row r="1146" spans="1:7" x14ac:dyDescent="0.35">
      <c r="A1146">
        <v>50</v>
      </c>
      <c r="B1146" t="s">
        <v>11066</v>
      </c>
      <c r="C1146">
        <v>20</v>
      </c>
      <c r="D1146">
        <v>17</v>
      </c>
      <c r="E1146">
        <v>38</v>
      </c>
      <c r="F1146" t="s">
        <v>12148</v>
      </c>
      <c r="G1146" s="25">
        <v>0.8</v>
      </c>
    </row>
    <row r="1147" spans="1:7" x14ac:dyDescent="0.35">
      <c r="A1147">
        <v>50</v>
      </c>
      <c r="B1147" t="s">
        <v>11066</v>
      </c>
      <c r="C1147">
        <v>21</v>
      </c>
      <c r="D1147">
        <v>1</v>
      </c>
      <c r="E1147">
        <v>17</v>
      </c>
      <c r="F1147" t="s">
        <v>12149</v>
      </c>
      <c r="G1147" s="25">
        <v>0.85</v>
      </c>
    </row>
    <row r="1148" spans="1:7" x14ac:dyDescent="0.35">
      <c r="A1148">
        <v>50</v>
      </c>
      <c r="B1148" t="s">
        <v>11066</v>
      </c>
      <c r="C1148">
        <v>21</v>
      </c>
      <c r="D1148">
        <v>18</v>
      </c>
      <c r="E1148">
        <v>40</v>
      </c>
      <c r="F1148" t="s">
        <v>1211</v>
      </c>
      <c r="G1148" s="25">
        <v>0.95</v>
      </c>
    </row>
    <row r="1149" spans="1:7" x14ac:dyDescent="0.35">
      <c r="A1149">
        <v>50</v>
      </c>
      <c r="B1149" t="s">
        <v>11066</v>
      </c>
      <c r="C1149">
        <v>22</v>
      </c>
      <c r="D1149">
        <v>1</v>
      </c>
      <c r="E1149">
        <v>30</v>
      </c>
      <c r="F1149" t="s">
        <v>1211</v>
      </c>
      <c r="G1149" s="25">
        <v>0.95</v>
      </c>
    </row>
    <row r="1150" spans="1:7" x14ac:dyDescent="0.35">
      <c r="A1150">
        <v>50</v>
      </c>
      <c r="B1150" t="s">
        <v>11066</v>
      </c>
      <c r="C1150">
        <v>23</v>
      </c>
      <c r="D1150">
        <v>1</v>
      </c>
      <c r="E1150">
        <v>35</v>
      </c>
      <c r="F1150" t="s">
        <v>12150</v>
      </c>
      <c r="G1150" s="25">
        <v>0.9</v>
      </c>
    </row>
    <row r="1151" spans="1:7" x14ac:dyDescent="0.35">
      <c r="A1151">
        <v>50</v>
      </c>
      <c r="B1151" t="s">
        <v>11066</v>
      </c>
      <c r="C1151">
        <v>24</v>
      </c>
      <c r="D1151">
        <v>1</v>
      </c>
      <c r="E1151">
        <v>27</v>
      </c>
      <c r="F1151" t="s">
        <v>6758</v>
      </c>
      <c r="G1151" s="25">
        <v>0.85</v>
      </c>
    </row>
    <row r="1152" spans="1:7" x14ac:dyDescent="0.35">
      <c r="A1152">
        <v>50</v>
      </c>
      <c r="B1152" t="s">
        <v>11066</v>
      </c>
      <c r="C1152">
        <v>25</v>
      </c>
      <c r="D1152">
        <v>1</v>
      </c>
      <c r="E1152">
        <v>27</v>
      </c>
      <c r="F1152" t="s">
        <v>6758</v>
      </c>
      <c r="G1152" s="25">
        <v>0.85</v>
      </c>
    </row>
    <row r="1153" spans="1:7" x14ac:dyDescent="0.35">
      <c r="A1153">
        <v>50</v>
      </c>
      <c r="B1153" t="s">
        <v>11066</v>
      </c>
      <c r="C1153">
        <v>26</v>
      </c>
      <c r="D1153">
        <v>1</v>
      </c>
      <c r="E1153">
        <v>32</v>
      </c>
      <c r="F1153" t="s">
        <v>6758</v>
      </c>
      <c r="G1153" s="25">
        <v>0.85</v>
      </c>
    </row>
    <row r="1154" spans="1:7" x14ac:dyDescent="0.35">
      <c r="A1154">
        <v>50</v>
      </c>
      <c r="B1154" t="s">
        <v>11066</v>
      </c>
      <c r="C1154">
        <v>27</v>
      </c>
      <c r="D1154">
        <v>1</v>
      </c>
      <c r="E1154">
        <v>44</v>
      </c>
      <c r="F1154" t="s">
        <v>12151</v>
      </c>
      <c r="G1154" s="25">
        <v>0.75</v>
      </c>
    </row>
    <row r="1155" spans="1:7" x14ac:dyDescent="0.35">
      <c r="A1155">
        <v>50</v>
      </c>
      <c r="B1155" t="s">
        <v>11066</v>
      </c>
      <c r="C1155">
        <v>28</v>
      </c>
      <c r="D1155">
        <v>1</v>
      </c>
      <c r="E1155">
        <v>31</v>
      </c>
      <c r="F1155" t="s">
        <v>12152</v>
      </c>
      <c r="G1155" s="25">
        <v>0.8</v>
      </c>
    </row>
    <row r="1156" spans="1:7" x14ac:dyDescent="0.35">
      <c r="A1156">
        <v>51</v>
      </c>
      <c r="B1156" t="s">
        <v>11067</v>
      </c>
      <c r="C1156">
        <v>1</v>
      </c>
      <c r="D1156">
        <v>1</v>
      </c>
      <c r="E1156">
        <v>32</v>
      </c>
      <c r="F1156" t="s">
        <v>7566</v>
      </c>
      <c r="G1156" s="25">
        <v>0.9</v>
      </c>
    </row>
    <row r="1157" spans="1:7" x14ac:dyDescent="0.35">
      <c r="A1157">
        <v>51</v>
      </c>
      <c r="B1157" t="s">
        <v>11067</v>
      </c>
      <c r="C1157">
        <v>2</v>
      </c>
      <c r="D1157">
        <v>1</v>
      </c>
      <c r="E1157">
        <v>29</v>
      </c>
      <c r="F1157" t="s">
        <v>7566</v>
      </c>
      <c r="G1157" s="25">
        <v>0.9</v>
      </c>
    </row>
    <row r="1158" spans="1:7" x14ac:dyDescent="0.35">
      <c r="A1158">
        <v>51</v>
      </c>
      <c r="B1158" t="s">
        <v>11067</v>
      </c>
      <c r="C1158">
        <v>3</v>
      </c>
      <c r="D1158">
        <v>1</v>
      </c>
      <c r="E1158">
        <v>31</v>
      </c>
      <c r="F1158" t="s">
        <v>7566</v>
      </c>
      <c r="G1158" s="25">
        <v>0.9</v>
      </c>
    </row>
    <row r="1159" spans="1:7" x14ac:dyDescent="0.35">
      <c r="A1159">
        <v>51</v>
      </c>
      <c r="B1159" t="s">
        <v>11067</v>
      </c>
      <c r="C1159">
        <v>4</v>
      </c>
      <c r="D1159">
        <v>1</v>
      </c>
      <c r="E1159">
        <v>25</v>
      </c>
      <c r="F1159" t="s">
        <v>7566</v>
      </c>
      <c r="G1159" s="25">
        <v>0.9</v>
      </c>
    </row>
    <row r="1160" spans="1:7" x14ac:dyDescent="0.35">
      <c r="A1160">
        <v>51</v>
      </c>
      <c r="B1160" t="s">
        <v>11067</v>
      </c>
      <c r="C1160">
        <v>5</v>
      </c>
      <c r="D1160">
        <v>1</v>
      </c>
      <c r="E1160">
        <v>21</v>
      </c>
      <c r="F1160" t="s">
        <v>7566</v>
      </c>
      <c r="G1160" s="25">
        <v>0.9</v>
      </c>
    </row>
    <row r="1161" spans="1:7" x14ac:dyDescent="0.35">
      <c r="A1161">
        <v>51</v>
      </c>
      <c r="B1161" t="s">
        <v>11067</v>
      </c>
      <c r="C1161">
        <v>6</v>
      </c>
      <c r="D1161">
        <v>1</v>
      </c>
      <c r="E1161">
        <v>23</v>
      </c>
      <c r="F1161" t="s">
        <v>7566</v>
      </c>
      <c r="G1161" s="25">
        <v>0.9</v>
      </c>
    </row>
    <row r="1162" spans="1:7" x14ac:dyDescent="0.35">
      <c r="A1162">
        <v>51</v>
      </c>
      <c r="B1162" t="s">
        <v>11067</v>
      </c>
      <c r="C1162">
        <v>7</v>
      </c>
      <c r="D1162">
        <v>1</v>
      </c>
      <c r="E1162">
        <v>25</v>
      </c>
      <c r="F1162" t="s">
        <v>7566</v>
      </c>
      <c r="G1162" s="25">
        <v>0.9</v>
      </c>
    </row>
    <row r="1163" spans="1:7" x14ac:dyDescent="0.35">
      <c r="A1163">
        <v>51</v>
      </c>
      <c r="B1163" t="s">
        <v>11067</v>
      </c>
      <c r="C1163">
        <v>8</v>
      </c>
      <c r="D1163">
        <v>1</v>
      </c>
      <c r="E1163">
        <v>39</v>
      </c>
      <c r="F1163" t="s">
        <v>7566</v>
      </c>
      <c r="G1163" s="25">
        <v>0.9</v>
      </c>
    </row>
    <row r="1164" spans="1:7" x14ac:dyDescent="0.35">
      <c r="A1164">
        <v>51</v>
      </c>
      <c r="B1164" t="s">
        <v>11067</v>
      </c>
      <c r="C1164">
        <v>9</v>
      </c>
      <c r="D1164">
        <v>1</v>
      </c>
      <c r="E1164">
        <v>33</v>
      </c>
      <c r="F1164" t="s">
        <v>7566</v>
      </c>
      <c r="G1164" s="25">
        <v>0.9</v>
      </c>
    </row>
    <row r="1165" spans="1:7" x14ac:dyDescent="0.35">
      <c r="A1165">
        <v>51</v>
      </c>
      <c r="B1165" t="s">
        <v>11067</v>
      </c>
      <c r="C1165">
        <v>10</v>
      </c>
      <c r="D1165">
        <v>1</v>
      </c>
      <c r="E1165">
        <v>21</v>
      </c>
      <c r="F1165" t="s">
        <v>7566</v>
      </c>
      <c r="G1165" s="25">
        <v>0.9</v>
      </c>
    </row>
    <row r="1166" spans="1:7" x14ac:dyDescent="0.35">
      <c r="A1166">
        <v>51</v>
      </c>
      <c r="B1166" t="s">
        <v>11067</v>
      </c>
      <c r="C1166">
        <v>11</v>
      </c>
      <c r="D1166">
        <v>1</v>
      </c>
      <c r="E1166">
        <v>36</v>
      </c>
      <c r="F1166" t="s">
        <v>7566</v>
      </c>
      <c r="G1166" s="25">
        <v>0.9</v>
      </c>
    </row>
    <row r="1167" spans="1:7" x14ac:dyDescent="0.35">
      <c r="A1167">
        <v>51</v>
      </c>
      <c r="B1167" t="s">
        <v>11067</v>
      </c>
      <c r="C1167">
        <v>12</v>
      </c>
      <c r="D1167">
        <v>1</v>
      </c>
      <c r="E1167">
        <v>21</v>
      </c>
      <c r="F1167" t="s">
        <v>7566</v>
      </c>
      <c r="G1167" s="25">
        <v>0.9</v>
      </c>
    </row>
    <row r="1168" spans="1:7" x14ac:dyDescent="0.35">
      <c r="A1168">
        <v>51</v>
      </c>
      <c r="B1168" t="s">
        <v>11067</v>
      </c>
      <c r="C1168">
        <v>13</v>
      </c>
      <c r="D1168">
        <v>1</v>
      </c>
      <c r="E1168">
        <v>14</v>
      </c>
      <c r="F1168" t="s">
        <v>7566</v>
      </c>
      <c r="G1168" s="25">
        <v>0.9</v>
      </c>
    </row>
    <row r="1169" spans="1:7" x14ac:dyDescent="0.35">
      <c r="A1169">
        <v>51</v>
      </c>
      <c r="B1169" t="s">
        <v>11067</v>
      </c>
      <c r="C1169">
        <v>14</v>
      </c>
      <c r="D1169">
        <v>1</v>
      </c>
      <c r="E1169">
        <v>23</v>
      </c>
      <c r="F1169" t="s">
        <v>7566</v>
      </c>
      <c r="G1169" s="25">
        <v>0.9</v>
      </c>
    </row>
    <row r="1170" spans="1:7" x14ac:dyDescent="0.35">
      <c r="A1170">
        <v>51</v>
      </c>
      <c r="B1170" t="s">
        <v>11067</v>
      </c>
      <c r="C1170">
        <v>15</v>
      </c>
      <c r="D1170">
        <v>1</v>
      </c>
      <c r="E1170">
        <v>33</v>
      </c>
      <c r="F1170" t="s">
        <v>7566</v>
      </c>
      <c r="G1170" s="25">
        <v>0.9</v>
      </c>
    </row>
    <row r="1171" spans="1:7" x14ac:dyDescent="0.35">
      <c r="A1171">
        <v>51</v>
      </c>
      <c r="B1171" t="s">
        <v>11067</v>
      </c>
      <c r="C1171">
        <v>16</v>
      </c>
      <c r="D1171">
        <v>1</v>
      </c>
      <c r="E1171">
        <v>27</v>
      </c>
      <c r="F1171" t="s">
        <v>7566</v>
      </c>
      <c r="G1171" s="25">
        <v>0.9</v>
      </c>
    </row>
    <row r="1172" spans="1:7" x14ac:dyDescent="0.35">
      <c r="A1172">
        <v>52</v>
      </c>
      <c r="B1172" t="s">
        <v>11069</v>
      </c>
      <c r="C1172">
        <v>1</v>
      </c>
      <c r="D1172">
        <v>1</v>
      </c>
      <c r="E1172">
        <v>31</v>
      </c>
      <c r="F1172" t="s">
        <v>7035</v>
      </c>
      <c r="G1172" s="25">
        <v>0.9</v>
      </c>
    </row>
    <row r="1173" spans="1:7" x14ac:dyDescent="0.35">
      <c r="A1173">
        <v>52</v>
      </c>
      <c r="B1173" t="s">
        <v>11069</v>
      </c>
      <c r="C1173">
        <v>2</v>
      </c>
      <c r="D1173">
        <v>1</v>
      </c>
      <c r="E1173">
        <v>16</v>
      </c>
      <c r="F1173" t="s">
        <v>7035</v>
      </c>
      <c r="G1173" s="25">
        <v>0.9</v>
      </c>
    </row>
    <row r="1174" spans="1:7" x14ac:dyDescent="0.35">
      <c r="A1174">
        <v>52</v>
      </c>
      <c r="B1174" t="s">
        <v>11069</v>
      </c>
      <c r="C1174">
        <v>3</v>
      </c>
      <c r="D1174">
        <v>1</v>
      </c>
      <c r="E1174">
        <v>23</v>
      </c>
      <c r="F1174" t="s">
        <v>7035</v>
      </c>
      <c r="G1174" s="25">
        <v>0.9</v>
      </c>
    </row>
    <row r="1175" spans="1:7" x14ac:dyDescent="0.35">
      <c r="A1175">
        <v>52</v>
      </c>
      <c r="B1175" t="s">
        <v>11069</v>
      </c>
      <c r="C1175">
        <v>4</v>
      </c>
      <c r="D1175">
        <v>1</v>
      </c>
      <c r="E1175">
        <v>21</v>
      </c>
      <c r="F1175" t="s">
        <v>7035</v>
      </c>
      <c r="G1175" s="25">
        <v>0.9</v>
      </c>
    </row>
    <row r="1176" spans="1:7" x14ac:dyDescent="0.35">
      <c r="A1176">
        <v>52</v>
      </c>
      <c r="B1176" t="s">
        <v>11069</v>
      </c>
      <c r="C1176">
        <v>5</v>
      </c>
      <c r="D1176">
        <v>1</v>
      </c>
      <c r="E1176">
        <v>13</v>
      </c>
      <c r="F1176" t="s">
        <v>7035</v>
      </c>
      <c r="G1176" s="25">
        <v>0.9</v>
      </c>
    </row>
    <row r="1177" spans="1:7" x14ac:dyDescent="0.35">
      <c r="A1177">
        <v>52</v>
      </c>
      <c r="B1177" t="s">
        <v>11069</v>
      </c>
      <c r="C1177">
        <v>6</v>
      </c>
      <c r="D1177">
        <v>1</v>
      </c>
      <c r="E1177">
        <v>20</v>
      </c>
      <c r="F1177" t="s">
        <v>7035</v>
      </c>
      <c r="G1177" s="25">
        <v>0.9</v>
      </c>
    </row>
    <row r="1178" spans="1:7" x14ac:dyDescent="0.35">
      <c r="A1178">
        <v>52</v>
      </c>
      <c r="B1178" t="s">
        <v>11069</v>
      </c>
      <c r="C1178">
        <v>7</v>
      </c>
      <c r="D1178">
        <v>1</v>
      </c>
      <c r="E1178">
        <v>40</v>
      </c>
      <c r="F1178" t="s">
        <v>7035</v>
      </c>
      <c r="G1178" s="25">
        <v>0.9</v>
      </c>
    </row>
    <row r="1179" spans="1:7" x14ac:dyDescent="0.35">
      <c r="A1179">
        <v>52</v>
      </c>
      <c r="B1179" t="s">
        <v>11069</v>
      </c>
      <c r="C1179">
        <v>8</v>
      </c>
      <c r="D1179">
        <v>1</v>
      </c>
      <c r="E1179">
        <v>13</v>
      </c>
      <c r="F1179" t="s">
        <v>7035</v>
      </c>
      <c r="G1179" s="25">
        <v>0.9</v>
      </c>
    </row>
    <row r="1180" spans="1:7" x14ac:dyDescent="0.35">
      <c r="A1180">
        <v>52</v>
      </c>
      <c r="B1180" t="s">
        <v>11069</v>
      </c>
      <c r="C1180">
        <v>9</v>
      </c>
      <c r="D1180">
        <v>1</v>
      </c>
      <c r="E1180">
        <v>27</v>
      </c>
      <c r="F1180" t="s">
        <v>7035</v>
      </c>
      <c r="G1180" s="25">
        <v>0.9</v>
      </c>
    </row>
    <row r="1181" spans="1:7" x14ac:dyDescent="0.35">
      <c r="A1181">
        <v>52</v>
      </c>
      <c r="B1181" t="s">
        <v>11069</v>
      </c>
      <c r="C1181">
        <v>10</v>
      </c>
      <c r="D1181">
        <v>1</v>
      </c>
      <c r="E1181">
        <v>33</v>
      </c>
      <c r="F1181" t="s">
        <v>7035</v>
      </c>
      <c r="G1181" s="25">
        <v>0.9</v>
      </c>
    </row>
    <row r="1182" spans="1:7" x14ac:dyDescent="0.35">
      <c r="A1182">
        <v>52</v>
      </c>
      <c r="B1182" t="s">
        <v>11069</v>
      </c>
      <c r="C1182">
        <v>11</v>
      </c>
      <c r="D1182">
        <v>1</v>
      </c>
      <c r="E1182">
        <v>34</v>
      </c>
      <c r="F1182" t="s">
        <v>7035</v>
      </c>
      <c r="G1182" s="25">
        <v>0.9</v>
      </c>
    </row>
    <row r="1183" spans="1:7" x14ac:dyDescent="0.35">
      <c r="A1183">
        <v>52</v>
      </c>
      <c r="B1183" t="s">
        <v>11069</v>
      </c>
      <c r="C1183">
        <v>12</v>
      </c>
      <c r="D1183">
        <v>1</v>
      </c>
      <c r="E1183">
        <v>31</v>
      </c>
      <c r="F1183" t="s">
        <v>7035</v>
      </c>
      <c r="G1183" s="25">
        <v>0.9</v>
      </c>
    </row>
    <row r="1184" spans="1:7" x14ac:dyDescent="0.35">
      <c r="A1184">
        <v>52</v>
      </c>
      <c r="B1184" t="s">
        <v>11069</v>
      </c>
      <c r="C1184">
        <v>13</v>
      </c>
      <c r="D1184">
        <v>1</v>
      </c>
      <c r="E1184">
        <v>13</v>
      </c>
      <c r="F1184" t="s">
        <v>7035</v>
      </c>
      <c r="G1184" s="25">
        <v>0.9</v>
      </c>
    </row>
    <row r="1185" spans="1:7" x14ac:dyDescent="0.35">
      <c r="A1185">
        <v>52</v>
      </c>
      <c r="B1185" t="s">
        <v>11069</v>
      </c>
      <c r="C1185">
        <v>14</v>
      </c>
      <c r="D1185">
        <v>1</v>
      </c>
      <c r="E1185">
        <v>40</v>
      </c>
      <c r="F1185" t="s">
        <v>7035</v>
      </c>
      <c r="G1185" s="25">
        <v>0.9</v>
      </c>
    </row>
    <row r="1186" spans="1:7" x14ac:dyDescent="0.35">
      <c r="A1186">
        <v>52</v>
      </c>
      <c r="B1186" t="s">
        <v>11069</v>
      </c>
      <c r="C1186">
        <v>15</v>
      </c>
      <c r="D1186">
        <v>1</v>
      </c>
      <c r="E1186">
        <v>58</v>
      </c>
      <c r="F1186" t="s">
        <v>7035</v>
      </c>
      <c r="G1186" s="25">
        <v>0.9</v>
      </c>
    </row>
    <row r="1187" spans="1:7" x14ac:dyDescent="0.35">
      <c r="A1187">
        <v>52</v>
      </c>
      <c r="B1187" t="s">
        <v>11069</v>
      </c>
      <c r="C1187">
        <v>16</v>
      </c>
      <c r="D1187">
        <v>1</v>
      </c>
      <c r="E1187">
        <v>24</v>
      </c>
      <c r="F1187" t="s">
        <v>7035</v>
      </c>
      <c r="G1187" s="25">
        <v>0.9</v>
      </c>
    </row>
    <row r="1188" spans="1:7" x14ac:dyDescent="0.35">
      <c r="A1188">
        <v>53</v>
      </c>
      <c r="B1188" t="s">
        <v>11070</v>
      </c>
      <c r="C1188">
        <v>1</v>
      </c>
      <c r="D1188">
        <v>1</v>
      </c>
      <c r="E1188">
        <v>24</v>
      </c>
      <c r="F1188" t="s">
        <v>7035</v>
      </c>
      <c r="G1188" s="25">
        <v>0.9</v>
      </c>
    </row>
    <row r="1189" spans="1:7" x14ac:dyDescent="0.35">
      <c r="A1189">
        <v>53</v>
      </c>
      <c r="B1189" t="s">
        <v>11070</v>
      </c>
      <c r="C1189">
        <v>2</v>
      </c>
      <c r="D1189">
        <v>1</v>
      </c>
      <c r="E1189">
        <v>17</v>
      </c>
      <c r="F1189" t="s">
        <v>7035</v>
      </c>
      <c r="G1189" s="25">
        <v>0.9</v>
      </c>
    </row>
    <row r="1190" spans="1:7" x14ac:dyDescent="0.35">
      <c r="A1190">
        <v>53</v>
      </c>
      <c r="B1190" t="s">
        <v>11070</v>
      </c>
      <c r="C1190">
        <v>3</v>
      </c>
      <c r="D1190">
        <v>1</v>
      </c>
      <c r="E1190">
        <v>18</v>
      </c>
      <c r="F1190" t="s">
        <v>7035</v>
      </c>
      <c r="G1190" s="25">
        <v>0.9</v>
      </c>
    </row>
    <row r="1191" spans="1:7" x14ac:dyDescent="0.35">
      <c r="A1191">
        <v>53</v>
      </c>
      <c r="B1191" t="s">
        <v>11070</v>
      </c>
      <c r="C1191">
        <v>4</v>
      </c>
      <c r="D1191">
        <v>1</v>
      </c>
      <c r="E1191">
        <v>18</v>
      </c>
      <c r="F1191" t="s">
        <v>7035</v>
      </c>
      <c r="G1191" s="25">
        <v>0.9</v>
      </c>
    </row>
    <row r="1192" spans="1:7" x14ac:dyDescent="0.35">
      <c r="A1192">
        <v>53</v>
      </c>
      <c r="B1192" t="s">
        <v>11070</v>
      </c>
      <c r="C1192">
        <v>5</v>
      </c>
      <c r="D1192">
        <v>1</v>
      </c>
      <c r="E1192">
        <v>21</v>
      </c>
      <c r="F1192" t="s">
        <v>7035</v>
      </c>
      <c r="G1192" s="25">
        <v>0.9</v>
      </c>
    </row>
    <row r="1193" spans="1:7" x14ac:dyDescent="0.35">
      <c r="A1193">
        <v>53</v>
      </c>
      <c r="B1193" t="s">
        <v>11070</v>
      </c>
      <c r="C1193">
        <v>6</v>
      </c>
      <c r="D1193">
        <v>1</v>
      </c>
      <c r="E1193">
        <v>18</v>
      </c>
      <c r="F1193" t="s">
        <v>7035</v>
      </c>
      <c r="G1193" s="25">
        <v>0.9</v>
      </c>
    </row>
    <row r="1194" spans="1:7" x14ac:dyDescent="0.35">
      <c r="A1194">
        <v>53</v>
      </c>
      <c r="B1194" t="s">
        <v>11070</v>
      </c>
      <c r="C1194">
        <v>7</v>
      </c>
      <c r="D1194">
        <v>1</v>
      </c>
      <c r="E1194">
        <v>16</v>
      </c>
      <c r="F1194" t="s">
        <v>7035</v>
      </c>
      <c r="G1194" s="25">
        <v>0.9</v>
      </c>
    </row>
    <row r="1195" spans="1:7" x14ac:dyDescent="0.35">
      <c r="A1195">
        <v>53</v>
      </c>
      <c r="B1195" t="s">
        <v>11070</v>
      </c>
      <c r="C1195">
        <v>8</v>
      </c>
      <c r="D1195">
        <v>1</v>
      </c>
      <c r="E1195">
        <v>24</v>
      </c>
      <c r="F1195" t="s">
        <v>7035</v>
      </c>
      <c r="G1195" s="25">
        <v>0.9</v>
      </c>
    </row>
    <row r="1196" spans="1:7" x14ac:dyDescent="0.35">
      <c r="A1196">
        <v>53</v>
      </c>
      <c r="B1196" t="s">
        <v>11070</v>
      </c>
      <c r="C1196">
        <v>9</v>
      </c>
      <c r="D1196">
        <v>1</v>
      </c>
      <c r="E1196">
        <v>15</v>
      </c>
      <c r="F1196" t="s">
        <v>7035</v>
      </c>
      <c r="G1196" s="25">
        <v>0.9</v>
      </c>
    </row>
    <row r="1197" spans="1:7" x14ac:dyDescent="0.35">
      <c r="A1197">
        <v>53</v>
      </c>
      <c r="B1197" t="s">
        <v>11070</v>
      </c>
      <c r="C1197">
        <v>10</v>
      </c>
      <c r="D1197">
        <v>1</v>
      </c>
      <c r="E1197">
        <v>18</v>
      </c>
      <c r="F1197" t="s">
        <v>7035</v>
      </c>
      <c r="G1197" s="25">
        <v>0.9</v>
      </c>
    </row>
    <row r="1198" spans="1:7" x14ac:dyDescent="0.35">
      <c r="A1198">
        <v>53</v>
      </c>
      <c r="B1198" t="s">
        <v>11070</v>
      </c>
      <c r="C1198">
        <v>11</v>
      </c>
      <c r="D1198">
        <v>1</v>
      </c>
      <c r="E1198">
        <v>33</v>
      </c>
      <c r="F1198" t="s">
        <v>7035</v>
      </c>
      <c r="G1198" s="25">
        <v>0.9</v>
      </c>
    </row>
    <row r="1199" spans="1:7" x14ac:dyDescent="0.35">
      <c r="A1199">
        <v>53</v>
      </c>
      <c r="B1199" t="s">
        <v>11070</v>
      </c>
      <c r="C1199">
        <v>12</v>
      </c>
      <c r="D1199">
        <v>1</v>
      </c>
      <c r="E1199">
        <v>21</v>
      </c>
      <c r="F1199" t="s">
        <v>7035</v>
      </c>
      <c r="G1199" s="25">
        <v>0.9</v>
      </c>
    </row>
    <row r="1200" spans="1:7" x14ac:dyDescent="0.35">
      <c r="A1200">
        <v>53</v>
      </c>
      <c r="B1200" t="s">
        <v>11070</v>
      </c>
      <c r="C1200">
        <v>13</v>
      </c>
      <c r="D1200">
        <v>1</v>
      </c>
      <c r="E1200">
        <v>13</v>
      </c>
      <c r="F1200" t="s">
        <v>7035</v>
      </c>
      <c r="G1200" s="25">
        <v>0.9</v>
      </c>
    </row>
    <row r="1201" spans="1:7" x14ac:dyDescent="0.35">
      <c r="A1201">
        <v>54</v>
      </c>
      <c r="B1201" t="s">
        <v>11072</v>
      </c>
      <c r="C1201">
        <v>1</v>
      </c>
      <c r="D1201">
        <v>1</v>
      </c>
      <c r="E1201">
        <v>24</v>
      </c>
      <c r="F1201" t="s">
        <v>7328</v>
      </c>
      <c r="G1201" s="25">
        <v>0.85</v>
      </c>
    </row>
    <row r="1202" spans="1:7" x14ac:dyDescent="0.35">
      <c r="A1202">
        <v>54</v>
      </c>
      <c r="B1202" t="s">
        <v>11072</v>
      </c>
      <c r="C1202">
        <v>2</v>
      </c>
      <c r="D1202">
        <v>1</v>
      </c>
      <c r="E1202">
        <v>21</v>
      </c>
      <c r="F1202" t="s">
        <v>7328</v>
      </c>
      <c r="G1202" s="25">
        <v>0.85</v>
      </c>
    </row>
    <row r="1203" spans="1:7" x14ac:dyDescent="0.35">
      <c r="A1203">
        <v>54</v>
      </c>
      <c r="B1203" t="s">
        <v>11072</v>
      </c>
      <c r="C1203">
        <v>3</v>
      </c>
      <c r="D1203">
        <v>1</v>
      </c>
      <c r="E1203">
        <v>29</v>
      </c>
      <c r="F1203" t="s">
        <v>7328</v>
      </c>
      <c r="G1203" s="25">
        <v>0.85</v>
      </c>
    </row>
    <row r="1204" spans="1:7" x14ac:dyDescent="0.35">
      <c r="A1204">
        <v>54</v>
      </c>
      <c r="B1204" t="s">
        <v>11072</v>
      </c>
      <c r="C1204">
        <v>4</v>
      </c>
      <c r="D1204">
        <v>1</v>
      </c>
      <c r="E1204">
        <v>31</v>
      </c>
      <c r="F1204" t="s">
        <v>7328</v>
      </c>
      <c r="G1204" s="25">
        <v>0.85</v>
      </c>
    </row>
    <row r="1205" spans="1:7" x14ac:dyDescent="0.35">
      <c r="A1205">
        <v>54</v>
      </c>
      <c r="B1205" t="s">
        <v>11072</v>
      </c>
      <c r="C1205">
        <v>5</v>
      </c>
      <c r="D1205">
        <v>1</v>
      </c>
      <c r="E1205">
        <v>26</v>
      </c>
      <c r="F1205" t="s">
        <v>7328</v>
      </c>
      <c r="G1205" s="25">
        <v>0.85</v>
      </c>
    </row>
    <row r="1206" spans="1:7" x14ac:dyDescent="0.35">
      <c r="A1206">
        <v>54</v>
      </c>
      <c r="B1206" t="s">
        <v>11072</v>
      </c>
      <c r="C1206">
        <v>6</v>
      </c>
      <c r="D1206">
        <v>1</v>
      </c>
      <c r="E1206">
        <v>18</v>
      </c>
      <c r="F1206" t="s">
        <v>7328</v>
      </c>
      <c r="G1206" s="25">
        <v>0.85</v>
      </c>
    </row>
    <row r="1207" spans="1:7" x14ac:dyDescent="0.35">
      <c r="A1207">
        <v>55</v>
      </c>
      <c r="B1207" t="s">
        <v>11074</v>
      </c>
      <c r="C1207">
        <v>1</v>
      </c>
      <c r="D1207">
        <v>1</v>
      </c>
      <c r="E1207">
        <v>23</v>
      </c>
      <c r="F1207" t="s">
        <v>6766</v>
      </c>
      <c r="G1207" s="25">
        <v>0.85</v>
      </c>
    </row>
    <row r="1208" spans="1:7" x14ac:dyDescent="0.35">
      <c r="A1208">
        <v>55</v>
      </c>
      <c r="B1208" t="s">
        <v>11074</v>
      </c>
      <c r="C1208">
        <v>2</v>
      </c>
      <c r="D1208">
        <v>1</v>
      </c>
      <c r="E1208">
        <v>22</v>
      </c>
      <c r="F1208" t="s">
        <v>6766</v>
      </c>
      <c r="G1208" s="25">
        <v>0.85</v>
      </c>
    </row>
    <row r="1209" spans="1:7" x14ac:dyDescent="0.35">
      <c r="A1209">
        <v>55</v>
      </c>
      <c r="B1209" t="s">
        <v>11074</v>
      </c>
      <c r="C1209">
        <v>3</v>
      </c>
      <c r="D1209">
        <v>1</v>
      </c>
      <c r="E1209">
        <v>21</v>
      </c>
      <c r="F1209" t="s">
        <v>6766</v>
      </c>
      <c r="G1209" s="25">
        <v>0.85</v>
      </c>
    </row>
    <row r="1210" spans="1:7" x14ac:dyDescent="0.35">
      <c r="A1210">
        <v>55</v>
      </c>
      <c r="B1210" t="s">
        <v>11074</v>
      </c>
      <c r="C1210">
        <v>4</v>
      </c>
      <c r="D1210">
        <v>1</v>
      </c>
      <c r="E1210">
        <v>32</v>
      </c>
      <c r="F1210" t="s">
        <v>6766</v>
      </c>
      <c r="G1210" s="25">
        <v>0.85</v>
      </c>
    </row>
    <row r="1211" spans="1:7" x14ac:dyDescent="0.35">
      <c r="A1211">
        <v>55</v>
      </c>
      <c r="B1211" t="s">
        <v>11074</v>
      </c>
      <c r="C1211">
        <v>5</v>
      </c>
      <c r="D1211">
        <v>1</v>
      </c>
      <c r="E1211">
        <v>33</v>
      </c>
      <c r="F1211" t="s">
        <v>6766</v>
      </c>
      <c r="G1211" s="25">
        <v>0.85</v>
      </c>
    </row>
    <row r="1212" spans="1:7" x14ac:dyDescent="0.35">
      <c r="A1212">
        <v>55</v>
      </c>
      <c r="B1212" t="s">
        <v>11074</v>
      </c>
      <c r="C1212">
        <v>6</v>
      </c>
      <c r="D1212">
        <v>1</v>
      </c>
      <c r="E1212">
        <v>24</v>
      </c>
      <c r="F1212" t="s">
        <v>6766</v>
      </c>
      <c r="G1212" s="25">
        <v>0.85</v>
      </c>
    </row>
    <row r="1213" spans="1:7" x14ac:dyDescent="0.35">
      <c r="A1213">
        <v>56</v>
      </c>
      <c r="B1213" t="s">
        <v>11082</v>
      </c>
      <c r="C1213">
        <v>1</v>
      </c>
      <c r="D1213">
        <v>1</v>
      </c>
      <c r="E1213">
        <v>16</v>
      </c>
      <c r="F1213" t="s">
        <v>8133</v>
      </c>
      <c r="G1213" s="25">
        <v>0.9</v>
      </c>
    </row>
    <row r="1214" spans="1:7" x14ac:dyDescent="0.35">
      <c r="A1214">
        <v>56</v>
      </c>
      <c r="B1214" t="s">
        <v>11082</v>
      </c>
      <c r="C1214">
        <v>2</v>
      </c>
      <c r="D1214">
        <v>1</v>
      </c>
      <c r="E1214">
        <v>15</v>
      </c>
      <c r="F1214" t="s">
        <v>8133</v>
      </c>
      <c r="G1214" s="25">
        <v>0.9</v>
      </c>
    </row>
    <row r="1215" spans="1:7" x14ac:dyDescent="0.35">
      <c r="A1215">
        <v>56</v>
      </c>
      <c r="B1215" t="s">
        <v>11082</v>
      </c>
      <c r="C1215">
        <v>3</v>
      </c>
      <c r="D1215">
        <v>1</v>
      </c>
      <c r="E1215">
        <v>15</v>
      </c>
      <c r="F1215" t="s">
        <v>8133</v>
      </c>
      <c r="G1215" s="25">
        <v>0.9</v>
      </c>
    </row>
    <row r="1216" spans="1:7" x14ac:dyDescent="0.35">
      <c r="A1216">
        <v>57</v>
      </c>
      <c r="B1216" t="s">
        <v>11084</v>
      </c>
      <c r="C1216">
        <v>1</v>
      </c>
      <c r="D1216">
        <v>1</v>
      </c>
      <c r="E1216">
        <v>25</v>
      </c>
      <c r="F1216" t="s">
        <v>7683</v>
      </c>
      <c r="G1216" s="25">
        <v>0.85</v>
      </c>
    </row>
    <row r="1217" spans="1:7" x14ac:dyDescent="0.35">
      <c r="A1217">
        <v>58</v>
      </c>
      <c r="B1217" t="s">
        <v>11086</v>
      </c>
      <c r="C1217">
        <v>1</v>
      </c>
      <c r="D1217">
        <v>1</v>
      </c>
      <c r="E1217">
        <v>14</v>
      </c>
      <c r="F1217" t="s">
        <v>12153</v>
      </c>
      <c r="G1217" s="25">
        <v>0.7</v>
      </c>
    </row>
    <row r="1218" spans="1:7" x14ac:dyDescent="0.35">
      <c r="A1218">
        <v>58</v>
      </c>
      <c r="B1218" t="s">
        <v>11086</v>
      </c>
      <c r="C1218">
        <v>2</v>
      </c>
      <c r="D1218">
        <v>1</v>
      </c>
      <c r="E1218">
        <v>18</v>
      </c>
      <c r="F1218" t="s">
        <v>12153</v>
      </c>
      <c r="G1218" s="25">
        <v>0.7</v>
      </c>
    </row>
    <row r="1219" spans="1:7" x14ac:dyDescent="0.35">
      <c r="A1219">
        <v>58</v>
      </c>
      <c r="B1219" t="s">
        <v>11086</v>
      </c>
      <c r="C1219">
        <v>3</v>
      </c>
      <c r="D1219">
        <v>1</v>
      </c>
      <c r="E1219">
        <v>19</v>
      </c>
      <c r="F1219" t="s">
        <v>12153</v>
      </c>
      <c r="G1219" s="25">
        <v>0.7</v>
      </c>
    </row>
    <row r="1220" spans="1:7" x14ac:dyDescent="0.35">
      <c r="A1220">
        <v>58</v>
      </c>
      <c r="B1220" t="s">
        <v>11086</v>
      </c>
      <c r="C1220">
        <v>4</v>
      </c>
      <c r="D1220">
        <v>1</v>
      </c>
      <c r="E1220">
        <v>16</v>
      </c>
      <c r="F1220" t="s">
        <v>12153</v>
      </c>
      <c r="G1220" s="25">
        <v>0.7</v>
      </c>
    </row>
    <row r="1221" spans="1:7" x14ac:dyDescent="0.35">
      <c r="A1221">
        <v>58</v>
      </c>
      <c r="B1221" t="s">
        <v>11086</v>
      </c>
      <c r="C1221">
        <v>5</v>
      </c>
      <c r="D1221">
        <v>1</v>
      </c>
      <c r="E1221">
        <v>14</v>
      </c>
      <c r="F1221" t="s">
        <v>12153</v>
      </c>
      <c r="G1221" s="25">
        <v>0.7</v>
      </c>
    </row>
    <row r="1222" spans="1:7" x14ac:dyDescent="0.35">
      <c r="A1222">
        <v>58</v>
      </c>
      <c r="B1222" t="s">
        <v>11086</v>
      </c>
      <c r="C1222">
        <v>6</v>
      </c>
      <c r="D1222">
        <v>1</v>
      </c>
      <c r="E1222">
        <v>20</v>
      </c>
      <c r="F1222" t="s">
        <v>12153</v>
      </c>
      <c r="G1222" s="25">
        <v>0.7</v>
      </c>
    </row>
    <row r="1223" spans="1:7" x14ac:dyDescent="0.35">
      <c r="A1223">
        <v>58</v>
      </c>
      <c r="B1223" t="s">
        <v>11086</v>
      </c>
      <c r="C1223">
        <v>7</v>
      </c>
      <c r="D1223">
        <v>1</v>
      </c>
      <c r="E1223">
        <v>28</v>
      </c>
      <c r="F1223" t="s">
        <v>12153</v>
      </c>
      <c r="G1223" s="25">
        <v>0.7</v>
      </c>
    </row>
    <row r="1224" spans="1:7" x14ac:dyDescent="0.35">
      <c r="A1224">
        <v>58</v>
      </c>
      <c r="B1224" t="s">
        <v>11086</v>
      </c>
      <c r="C1224">
        <v>8</v>
      </c>
      <c r="D1224">
        <v>1</v>
      </c>
      <c r="E1224">
        <v>13</v>
      </c>
      <c r="F1224" t="s">
        <v>12153</v>
      </c>
      <c r="G1224" s="25">
        <v>0.7</v>
      </c>
    </row>
    <row r="1225" spans="1:7" x14ac:dyDescent="0.35">
      <c r="A1225">
        <v>58</v>
      </c>
      <c r="B1225" t="s">
        <v>11086</v>
      </c>
      <c r="C1225">
        <v>9</v>
      </c>
      <c r="D1225">
        <v>1</v>
      </c>
      <c r="E1225">
        <v>28</v>
      </c>
      <c r="F1225" t="s">
        <v>12153</v>
      </c>
      <c r="G1225" s="25">
        <v>0.7</v>
      </c>
    </row>
    <row r="1226" spans="1:7" x14ac:dyDescent="0.35">
      <c r="A1226">
        <v>58</v>
      </c>
      <c r="B1226" t="s">
        <v>11086</v>
      </c>
      <c r="C1226">
        <v>10</v>
      </c>
      <c r="D1226">
        <v>1</v>
      </c>
      <c r="E1226">
        <v>39</v>
      </c>
      <c r="F1226" t="s">
        <v>12153</v>
      </c>
      <c r="G1226" s="25">
        <v>0.7</v>
      </c>
    </row>
    <row r="1227" spans="1:7" x14ac:dyDescent="0.35">
      <c r="A1227">
        <v>58</v>
      </c>
      <c r="B1227" t="s">
        <v>11086</v>
      </c>
      <c r="C1227">
        <v>11</v>
      </c>
      <c r="D1227">
        <v>1</v>
      </c>
      <c r="E1227">
        <v>40</v>
      </c>
      <c r="F1227" t="s">
        <v>12153</v>
      </c>
      <c r="G1227" s="25">
        <v>0.7</v>
      </c>
    </row>
    <row r="1228" spans="1:7" x14ac:dyDescent="0.35">
      <c r="A1228">
        <v>58</v>
      </c>
      <c r="B1228" t="s">
        <v>11086</v>
      </c>
      <c r="C1228">
        <v>12</v>
      </c>
      <c r="D1228">
        <v>1</v>
      </c>
      <c r="E1228">
        <v>29</v>
      </c>
      <c r="F1228" t="s">
        <v>12153</v>
      </c>
      <c r="G1228" s="25">
        <v>0.7</v>
      </c>
    </row>
    <row r="1229" spans="1:7" x14ac:dyDescent="0.35">
      <c r="A1229">
        <v>58</v>
      </c>
      <c r="B1229" t="s">
        <v>11086</v>
      </c>
      <c r="C1229">
        <v>13</v>
      </c>
      <c r="D1229">
        <v>1</v>
      </c>
      <c r="E1229">
        <v>25</v>
      </c>
      <c r="F1229" t="s">
        <v>12153</v>
      </c>
      <c r="G1229" s="25">
        <v>0.7</v>
      </c>
    </row>
    <row r="1230" spans="1:7" x14ac:dyDescent="0.35">
      <c r="A1230">
        <v>59</v>
      </c>
      <c r="B1230" t="s">
        <v>8459</v>
      </c>
      <c r="C1230">
        <v>1</v>
      </c>
      <c r="D1230">
        <v>1</v>
      </c>
      <c r="E1230">
        <v>27</v>
      </c>
      <c r="F1230" t="s">
        <v>12154</v>
      </c>
      <c r="G1230" s="25">
        <v>0.65</v>
      </c>
    </row>
    <row r="1231" spans="1:7" x14ac:dyDescent="0.35">
      <c r="A1231">
        <v>59</v>
      </c>
      <c r="B1231" t="s">
        <v>8459</v>
      </c>
      <c r="C1231">
        <v>2</v>
      </c>
      <c r="D1231">
        <v>1</v>
      </c>
      <c r="E1231">
        <v>26</v>
      </c>
      <c r="F1231" t="s">
        <v>12154</v>
      </c>
      <c r="G1231" s="25">
        <v>0.65</v>
      </c>
    </row>
    <row r="1232" spans="1:7" x14ac:dyDescent="0.35">
      <c r="A1232">
        <v>59</v>
      </c>
      <c r="B1232" t="s">
        <v>8459</v>
      </c>
      <c r="C1232">
        <v>3</v>
      </c>
      <c r="D1232">
        <v>1</v>
      </c>
      <c r="E1232">
        <v>18</v>
      </c>
      <c r="F1232" t="s">
        <v>12154</v>
      </c>
      <c r="G1232" s="25">
        <v>0.65</v>
      </c>
    </row>
    <row r="1233" spans="1:7" x14ac:dyDescent="0.35">
      <c r="A1233">
        <v>59</v>
      </c>
      <c r="B1233" t="s">
        <v>8459</v>
      </c>
      <c r="C1233">
        <v>4</v>
      </c>
      <c r="D1233">
        <v>1</v>
      </c>
      <c r="E1233">
        <v>17</v>
      </c>
      <c r="F1233" t="s">
        <v>12154</v>
      </c>
      <c r="G1233" s="25">
        <v>0.65</v>
      </c>
    </row>
    <row r="1234" spans="1:7" x14ac:dyDescent="0.35">
      <c r="A1234">
        <v>59</v>
      </c>
      <c r="B1234" t="s">
        <v>8459</v>
      </c>
      <c r="C1234">
        <v>5</v>
      </c>
      <c r="D1234">
        <v>1</v>
      </c>
      <c r="E1234">
        <v>20</v>
      </c>
      <c r="F1234" t="s">
        <v>12154</v>
      </c>
      <c r="G1234" s="25">
        <v>0.65</v>
      </c>
    </row>
    <row r="1235" spans="1:7" x14ac:dyDescent="0.35">
      <c r="A1235">
        <v>60</v>
      </c>
      <c r="B1235" t="s">
        <v>8505</v>
      </c>
      <c r="C1235">
        <v>1</v>
      </c>
      <c r="D1235">
        <v>1</v>
      </c>
      <c r="E1235">
        <v>25</v>
      </c>
      <c r="F1235" t="s">
        <v>12155</v>
      </c>
      <c r="G1235" s="25">
        <v>0.7</v>
      </c>
    </row>
    <row r="1236" spans="1:7" x14ac:dyDescent="0.35">
      <c r="A1236">
        <v>60</v>
      </c>
      <c r="B1236" t="s">
        <v>8505</v>
      </c>
      <c r="C1236">
        <v>2</v>
      </c>
      <c r="D1236">
        <v>1</v>
      </c>
      <c r="E1236">
        <v>25</v>
      </c>
      <c r="F1236" t="s">
        <v>12155</v>
      </c>
      <c r="G1236" s="25">
        <v>0.7</v>
      </c>
    </row>
    <row r="1237" spans="1:7" x14ac:dyDescent="0.35">
      <c r="A1237">
        <v>60</v>
      </c>
      <c r="B1237" t="s">
        <v>8505</v>
      </c>
      <c r="C1237">
        <v>3</v>
      </c>
      <c r="D1237">
        <v>1</v>
      </c>
      <c r="E1237">
        <v>22</v>
      </c>
      <c r="F1237" t="s">
        <v>12155</v>
      </c>
      <c r="G1237" s="25">
        <v>0.7</v>
      </c>
    </row>
    <row r="1238" spans="1:7" x14ac:dyDescent="0.35">
      <c r="A1238">
        <v>60</v>
      </c>
      <c r="B1238" t="s">
        <v>8505</v>
      </c>
      <c r="C1238">
        <v>4</v>
      </c>
      <c r="D1238">
        <v>1</v>
      </c>
      <c r="E1238">
        <v>19</v>
      </c>
      <c r="F1238" t="s">
        <v>12155</v>
      </c>
      <c r="G1238" s="25">
        <v>0.7</v>
      </c>
    </row>
    <row r="1239" spans="1:7" x14ac:dyDescent="0.35">
      <c r="A1239">
        <v>60</v>
      </c>
      <c r="B1239" t="s">
        <v>8505</v>
      </c>
      <c r="C1239">
        <v>5</v>
      </c>
      <c r="D1239">
        <v>1</v>
      </c>
      <c r="E1239">
        <v>14</v>
      </c>
      <c r="F1239" t="s">
        <v>12156</v>
      </c>
      <c r="G1239" s="25">
        <v>0.75</v>
      </c>
    </row>
    <row r="1240" spans="1:7" x14ac:dyDescent="0.35">
      <c r="A1240">
        <v>61</v>
      </c>
      <c r="B1240" t="s">
        <v>11090</v>
      </c>
      <c r="C1240">
        <v>1</v>
      </c>
      <c r="D1240">
        <v>1</v>
      </c>
      <c r="E1240">
        <v>21</v>
      </c>
      <c r="F1240" t="s">
        <v>12157</v>
      </c>
      <c r="G1240" s="25">
        <v>0.65</v>
      </c>
    </row>
    <row r="1241" spans="1:7" x14ac:dyDescent="0.35">
      <c r="A1241">
        <v>61</v>
      </c>
      <c r="B1241" t="s">
        <v>11090</v>
      </c>
      <c r="C1241">
        <v>2</v>
      </c>
      <c r="D1241">
        <v>1</v>
      </c>
      <c r="E1241">
        <v>22</v>
      </c>
      <c r="F1241" t="s">
        <v>12157</v>
      </c>
      <c r="G1241" s="25">
        <v>0.65</v>
      </c>
    </row>
    <row r="1242" spans="1:7" x14ac:dyDescent="0.35">
      <c r="A1242">
        <v>61</v>
      </c>
      <c r="B1242" t="s">
        <v>11090</v>
      </c>
      <c r="C1242">
        <v>3</v>
      </c>
      <c r="D1242">
        <v>1</v>
      </c>
      <c r="E1242">
        <v>18</v>
      </c>
      <c r="F1242" t="s">
        <v>12157</v>
      </c>
      <c r="G1242" s="25">
        <v>0.65</v>
      </c>
    </row>
    <row r="1243" spans="1:7" x14ac:dyDescent="0.35">
      <c r="A1243">
        <v>62</v>
      </c>
      <c r="B1243" t="s">
        <v>11092</v>
      </c>
      <c r="C1243">
        <v>1</v>
      </c>
      <c r="D1243">
        <v>1</v>
      </c>
      <c r="E1243">
        <v>10</v>
      </c>
      <c r="F1243" t="s">
        <v>12158</v>
      </c>
      <c r="G1243" s="25">
        <v>0.7</v>
      </c>
    </row>
    <row r="1244" spans="1:7" x14ac:dyDescent="0.35">
      <c r="A1244">
        <v>62</v>
      </c>
      <c r="B1244" t="s">
        <v>11092</v>
      </c>
      <c r="C1244">
        <v>2</v>
      </c>
      <c r="D1244">
        <v>1</v>
      </c>
      <c r="E1244">
        <v>29</v>
      </c>
      <c r="F1244" t="s">
        <v>12158</v>
      </c>
      <c r="G1244" s="25">
        <v>0.7</v>
      </c>
    </row>
    <row r="1245" spans="1:7" x14ac:dyDescent="0.35">
      <c r="A1245">
        <v>62</v>
      </c>
      <c r="B1245" t="s">
        <v>11092</v>
      </c>
      <c r="C1245">
        <v>3</v>
      </c>
      <c r="D1245">
        <v>1</v>
      </c>
      <c r="E1245">
        <v>24</v>
      </c>
      <c r="F1245" t="s">
        <v>12158</v>
      </c>
      <c r="G1245" s="25">
        <v>0.7</v>
      </c>
    </row>
    <row r="1246" spans="1:7" x14ac:dyDescent="0.35">
      <c r="A1246">
        <v>62</v>
      </c>
      <c r="B1246" t="s">
        <v>11092</v>
      </c>
      <c r="C1246">
        <v>4</v>
      </c>
      <c r="D1246">
        <v>1</v>
      </c>
      <c r="E1246">
        <v>21</v>
      </c>
      <c r="F1246" t="s">
        <v>12158</v>
      </c>
      <c r="G1246" s="25">
        <v>0.7</v>
      </c>
    </row>
    <row r="1247" spans="1:7" x14ac:dyDescent="0.35">
      <c r="A1247">
        <v>62</v>
      </c>
      <c r="B1247" t="s">
        <v>11092</v>
      </c>
      <c r="C1247">
        <v>5</v>
      </c>
      <c r="D1247">
        <v>1</v>
      </c>
      <c r="E1247">
        <v>21</v>
      </c>
      <c r="F1247" t="s">
        <v>12158</v>
      </c>
      <c r="G1247" s="25">
        <v>0.7</v>
      </c>
    </row>
    <row r="1248" spans="1:7" x14ac:dyDescent="0.35">
      <c r="A1248">
        <v>63</v>
      </c>
      <c r="B1248" t="s">
        <v>11094</v>
      </c>
      <c r="C1248">
        <v>1</v>
      </c>
      <c r="D1248">
        <v>1</v>
      </c>
      <c r="E1248">
        <v>13</v>
      </c>
      <c r="F1248" t="s">
        <v>12158</v>
      </c>
      <c r="G1248" s="25">
        <v>0.7</v>
      </c>
    </row>
    <row r="1249" spans="1:7" x14ac:dyDescent="0.35">
      <c r="A1249">
        <v>64</v>
      </c>
      <c r="B1249" t="s">
        <v>11096</v>
      </c>
      <c r="C1249">
        <v>1</v>
      </c>
      <c r="D1249">
        <v>1</v>
      </c>
      <c r="E1249">
        <v>14</v>
      </c>
      <c r="F1249" t="s">
        <v>12158</v>
      </c>
      <c r="G1249" s="25">
        <v>0.7</v>
      </c>
    </row>
    <row r="1250" spans="1:7" x14ac:dyDescent="0.35">
      <c r="A1250">
        <v>65</v>
      </c>
      <c r="B1250" t="s">
        <v>11098</v>
      </c>
      <c r="C1250">
        <v>1</v>
      </c>
      <c r="D1250">
        <v>1</v>
      </c>
      <c r="E1250">
        <v>25</v>
      </c>
      <c r="F1250" t="s">
        <v>12159</v>
      </c>
      <c r="G1250" s="25">
        <v>0.65</v>
      </c>
    </row>
    <row r="1251" spans="1:7" x14ac:dyDescent="0.35">
      <c r="A1251">
        <v>66</v>
      </c>
      <c r="B1251" t="s">
        <v>10048</v>
      </c>
      <c r="C1251">
        <v>1</v>
      </c>
      <c r="D1251">
        <v>1</v>
      </c>
      <c r="E1251">
        <v>20</v>
      </c>
      <c r="F1251" t="s">
        <v>12160</v>
      </c>
      <c r="G1251" s="25">
        <v>0.95</v>
      </c>
    </row>
    <row r="1252" spans="1:7" x14ac:dyDescent="0.35">
      <c r="A1252">
        <v>66</v>
      </c>
      <c r="B1252" t="s">
        <v>10048</v>
      </c>
      <c r="C1252">
        <v>2</v>
      </c>
      <c r="D1252">
        <v>1</v>
      </c>
      <c r="E1252">
        <v>29</v>
      </c>
      <c r="F1252" t="s">
        <v>12161</v>
      </c>
      <c r="G1252" s="25">
        <v>0.9</v>
      </c>
    </row>
    <row r="1253" spans="1:7" x14ac:dyDescent="0.35">
      <c r="A1253">
        <v>66</v>
      </c>
      <c r="B1253" t="s">
        <v>10048</v>
      </c>
      <c r="C1253">
        <v>3</v>
      </c>
      <c r="D1253">
        <v>1</v>
      </c>
      <c r="E1253">
        <v>22</v>
      </c>
      <c r="F1253" t="s">
        <v>12161</v>
      </c>
      <c r="G1253" s="25">
        <v>0.9</v>
      </c>
    </row>
    <row r="1254" spans="1:7" x14ac:dyDescent="0.35">
      <c r="A1254">
        <v>66</v>
      </c>
      <c r="B1254" t="s">
        <v>10048</v>
      </c>
      <c r="C1254">
        <v>4</v>
      </c>
      <c r="D1254">
        <v>1</v>
      </c>
      <c r="E1254">
        <v>11</v>
      </c>
      <c r="F1254" t="s">
        <v>12162</v>
      </c>
      <c r="G1254" s="25">
        <v>0.85</v>
      </c>
    </row>
    <row r="1255" spans="1:7" x14ac:dyDescent="0.35">
      <c r="A1255">
        <v>66</v>
      </c>
      <c r="B1255" t="s">
        <v>10048</v>
      </c>
      <c r="C1255">
        <v>5</v>
      </c>
      <c r="D1255">
        <v>1</v>
      </c>
      <c r="E1255">
        <v>14</v>
      </c>
      <c r="F1255" t="s">
        <v>12162</v>
      </c>
      <c r="G1255" s="25">
        <v>0.85</v>
      </c>
    </row>
    <row r="1256" spans="1:7" x14ac:dyDescent="0.35">
      <c r="A1256">
        <v>66</v>
      </c>
      <c r="B1256" t="s">
        <v>10048</v>
      </c>
      <c r="C1256">
        <v>6</v>
      </c>
      <c r="D1256">
        <v>1</v>
      </c>
      <c r="E1256">
        <v>17</v>
      </c>
      <c r="F1256" t="s">
        <v>12162</v>
      </c>
      <c r="G1256" s="25">
        <v>0.85</v>
      </c>
    </row>
    <row r="1257" spans="1:7" x14ac:dyDescent="0.35">
      <c r="A1257">
        <v>66</v>
      </c>
      <c r="B1257" t="s">
        <v>10048</v>
      </c>
      <c r="C1257">
        <v>7</v>
      </c>
      <c r="D1257">
        <v>1</v>
      </c>
      <c r="E1257">
        <v>17</v>
      </c>
      <c r="F1257" t="s">
        <v>12162</v>
      </c>
      <c r="G1257" s="25">
        <v>0.85</v>
      </c>
    </row>
    <row r="1258" spans="1:7" x14ac:dyDescent="0.35">
      <c r="A1258">
        <v>66</v>
      </c>
      <c r="B1258" t="s">
        <v>10048</v>
      </c>
      <c r="C1258">
        <v>8</v>
      </c>
      <c r="D1258">
        <v>1</v>
      </c>
      <c r="E1258">
        <v>13</v>
      </c>
      <c r="F1258" t="s">
        <v>12162</v>
      </c>
      <c r="G1258" s="25">
        <v>0.85</v>
      </c>
    </row>
    <row r="1259" spans="1:7" x14ac:dyDescent="0.35">
      <c r="A1259">
        <v>66</v>
      </c>
      <c r="B1259" t="s">
        <v>10048</v>
      </c>
      <c r="C1259">
        <v>9</v>
      </c>
      <c r="D1259">
        <v>1</v>
      </c>
      <c r="E1259">
        <v>21</v>
      </c>
      <c r="F1259" t="s">
        <v>12162</v>
      </c>
      <c r="G1259" s="25">
        <v>0.85</v>
      </c>
    </row>
    <row r="1260" spans="1:7" x14ac:dyDescent="0.35">
      <c r="A1260">
        <v>66</v>
      </c>
      <c r="B1260" t="s">
        <v>10048</v>
      </c>
      <c r="C1260">
        <v>10</v>
      </c>
      <c r="D1260">
        <v>1</v>
      </c>
      <c r="E1260">
        <v>11</v>
      </c>
      <c r="F1260" t="s">
        <v>12162</v>
      </c>
      <c r="G1260" s="25">
        <v>0.85</v>
      </c>
    </row>
    <row r="1261" spans="1:7" x14ac:dyDescent="0.35">
      <c r="A1261">
        <v>66</v>
      </c>
      <c r="B1261" t="s">
        <v>10048</v>
      </c>
      <c r="C1261">
        <v>11</v>
      </c>
      <c r="D1261">
        <v>1</v>
      </c>
      <c r="E1261">
        <v>19</v>
      </c>
      <c r="F1261" t="s">
        <v>12163</v>
      </c>
      <c r="G1261" s="25">
        <v>0.8</v>
      </c>
    </row>
    <row r="1262" spans="1:7" x14ac:dyDescent="0.35">
      <c r="A1262">
        <v>66</v>
      </c>
      <c r="B1262" t="s">
        <v>10048</v>
      </c>
      <c r="C1262">
        <v>12</v>
      </c>
      <c r="D1262">
        <v>1</v>
      </c>
      <c r="E1262">
        <v>17</v>
      </c>
      <c r="F1262" t="s">
        <v>12162</v>
      </c>
      <c r="G1262" s="25">
        <v>0.85</v>
      </c>
    </row>
    <row r="1263" spans="1:7" x14ac:dyDescent="0.35">
      <c r="A1263">
        <v>66</v>
      </c>
      <c r="B1263" t="s">
        <v>10048</v>
      </c>
      <c r="C1263">
        <v>13</v>
      </c>
      <c r="D1263">
        <v>1</v>
      </c>
      <c r="E1263">
        <v>18</v>
      </c>
      <c r="F1263" t="s">
        <v>12164</v>
      </c>
      <c r="G1263" s="25">
        <v>0.85</v>
      </c>
    </row>
    <row r="1264" spans="1:7" x14ac:dyDescent="0.35">
      <c r="A1264">
        <v>66</v>
      </c>
      <c r="B1264" t="s">
        <v>10048</v>
      </c>
      <c r="C1264">
        <v>14</v>
      </c>
      <c r="D1264">
        <v>1</v>
      </c>
      <c r="E1264">
        <v>20</v>
      </c>
      <c r="F1264" t="s">
        <v>12165</v>
      </c>
      <c r="G1264" s="25">
        <v>0.8</v>
      </c>
    </row>
    <row r="1265" spans="1:7" x14ac:dyDescent="0.35">
      <c r="A1265">
        <v>66</v>
      </c>
      <c r="B1265" t="s">
        <v>10048</v>
      </c>
      <c r="C1265">
        <v>15</v>
      </c>
      <c r="D1265">
        <v>1</v>
      </c>
      <c r="E1265">
        <v>8</v>
      </c>
      <c r="F1265" t="s">
        <v>12162</v>
      </c>
      <c r="G1265" s="25">
        <v>0.85</v>
      </c>
    </row>
    <row r="1266" spans="1:7" x14ac:dyDescent="0.35">
      <c r="A1266">
        <v>66</v>
      </c>
      <c r="B1266" t="s">
        <v>10048</v>
      </c>
      <c r="C1266">
        <v>16</v>
      </c>
      <c r="D1266">
        <v>1</v>
      </c>
      <c r="E1266">
        <v>21</v>
      </c>
      <c r="F1266" t="s">
        <v>12166</v>
      </c>
      <c r="G1266" s="25">
        <v>0.8</v>
      </c>
    </row>
    <row r="1267" spans="1:7" x14ac:dyDescent="0.35">
      <c r="A1267">
        <v>66</v>
      </c>
      <c r="B1267" t="s">
        <v>10048</v>
      </c>
      <c r="C1267">
        <v>17</v>
      </c>
      <c r="D1267">
        <v>1</v>
      </c>
      <c r="E1267">
        <v>18</v>
      </c>
      <c r="F1267" t="s">
        <v>12167</v>
      </c>
      <c r="G1267" s="25">
        <v>0.85</v>
      </c>
    </row>
    <row r="1268" spans="1:7" x14ac:dyDescent="0.35">
      <c r="A1268">
        <v>66</v>
      </c>
      <c r="B1268" t="s">
        <v>10048</v>
      </c>
      <c r="C1268">
        <v>18</v>
      </c>
      <c r="D1268">
        <v>1</v>
      </c>
      <c r="E1268">
        <v>24</v>
      </c>
      <c r="F1268" t="s">
        <v>12167</v>
      </c>
      <c r="G1268" s="25">
        <v>0.85</v>
      </c>
    </row>
    <row r="1269" spans="1:7" x14ac:dyDescent="0.35">
      <c r="A1269">
        <v>66</v>
      </c>
      <c r="B1269" t="s">
        <v>10048</v>
      </c>
      <c r="C1269">
        <v>19</v>
      </c>
      <c r="D1269">
        <v>1</v>
      </c>
      <c r="E1269">
        <v>21</v>
      </c>
      <c r="F1269" t="s">
        <v>12162</v>
      </c>
      <c r="G1269" s="25">
        <v>0.85</v>
      </c>
    </row>
    <row r="1270" spans="1:7" x14ac:dyDescent="0.35">
      <c r="A1270">
        <v>66</v>
      </c>
      <c r="B1270" t="s">
        <v>10048</v>
      </c>
      <c r="C1270">
        <v>20</v>
      </c>
      <c r="D1270">
        <v>1</v>
      </c>
      <c r="E1270">
        <v>15</v>
      </c>
      <c r="F1270" t="s">
        <v>12168</v>
      </c>
      <c r="G1270" s="25">
        <v>0.85</v>
      </c>
    </row>
    <row r="1271" spans="1:7" x14ac:dyDescent="0.35">
      <c r="A1271">
        <v>66</v>
      </c>
      <c r="B1271" t="s">
        <v>10048</v>
      </c>
      <c r="C1271">
        <v>21</v>
      </c>
      <c r="D1271">
        <v>1</v>
      </c>
      <c r="E1271">
        <v>27</v>
      </c>
      <c r="F1271" t="s">
        <v>12169</v>
      </c>
      <c r="G1271" s="25">
        <v>0.8</v>
      </c>
    </row>
    <row r="1272" spans="1:7" x14ac:dyDescent="0.35">
      <c r="A1272">
        <v>66</v>
      </c>
      <c r="B1272" t="s">
        <v>10048</v>
      </c>
      <c r="C1272">
        <v>22</v>
      </c>
      <c r="D1272">
        <v>1</v>
      </c>
      <c r="E1272">
        <v>21</v>
      </c>
      <c r="F1272" t="s">
        <v>12169</v>
      </c>
      <c r="G1272" s="25">
        <v>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B8C6A-A273-4A40-87DD-F9272068963F}">
  <sheetPr codeName="Sheet11"/>
  <dimension ref="A1:A3"/>
  <sheetViews>
    <sheetView workbookViewId="0"/>
  </sheetViews>
  <sheetFormatPr defaultRowHeight="14.5" x14ac:dyDescent="0.35"/>
  <cols>
    <col min="1" max="1" width="97.1796875" customWidth="1"/>
  </cols>
  <sheetData>
    <row r="1" spans="1:1" x14ac:dyDescent="0.35">
      <c r="A1" t="s">
        <v>11896</v>
      </c>
    </row>
    <row r="3" spans="1:1" x14ac:dyDescent="0.35">
      <c r="A3" t="s">
        <v>12170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FCFD-C64E-4461-8A91-0B32A889B42D}">
  <sheetPr codeName="Sheet3"/>
  <dimension ref="A1:G241"/>
  <sheetViews>
    <sheetView topLeftCell="B19" workbookViewId="0">
      <selection activeCell="A8" sqref="A8"/>
    </sheetView>
  </sheetViews>
  <sheetFormatPr defaultRowHeight="14.5" x14ac:dyDescent="0.35"/>
  <cols>
    <col min="1" max="1" width="38.54296875" bestFit="1" customWidth="1"/>
    <col min="2" max="2" width="56.36328125" bestFit="1" customWidth="1"/>
    <col min="3" max="3" width="26.81640625" bestFit="1" customWidth="1"/>
    <col min="4" max="4" width="11.90625" bestFit="1" customWidth="1"/>
    <col min="5" max="5" width="21.6328125" bestFit="1" customWidth="1"/>
    <col min="6" max="6" width="26.90625" bestFit="1" customWidth="1"/>
    <col min="7" max="7" width="49.81640625" bestFit="1" customWidth="1"/>
  </cols>
  <sheetData>
    <row r="1" spans="1:7" x14ac:dyDescent="0.35">
      <c r="A1" s="6" t="s">
        <v>10036</v>
      </c>
      <c r="B1" s="6" t="s">
        <v>10035</v>
      </c>
      <c r="C1" s="6" t="s">
        <v>1589</v>
      </c>
      <c r="D1" s="6" t="s">
        <v>6538</v>
      </c>
      <c r="E1" s="6" t="s">
        <v>6536</v>
      </c>
      <c r="F1" s="6" t="s">
        <v>5073</v>
      </c>
      <c r="G1" s="6" t="s">
        <v>10012</v>
      </c>
    </row>
    <row r="2" spans="1:7" x14ac:dyDescent="0.35">
      <c r="A2" s="6" t="s">
        <v>10034</v>
      </c>
      <c r="B2" s="6" t="s">
        <v>6041</v>
      </c>
      <c r="C2" s="6" t="s">
        <v>6039</v>
      </c>
      <c r="D2" s="6" t="s">
        <v>6034</v>
      </c>
      <c r="E2" s="6" t="s">
        <v>6536</v>
      </c>
      <c r="F2" s="6" t="s">
        <v>5073</v>
      </c>
      <c r="G2" s="6" t="s">
        <v>10033</v>
      </c>
    </row>
    <row r="3" spans="1:7" x14ac:dyDescent="0.35">
      <c r="A3" s="6" t="s">
        <v>10032</v>
      </c>
      <c r="B3" s="6" t="s">
        <v>10031</v>
      </c>
      <c r="C3" s="6" t="s">
        <v>10014</v>
      </c>
      <c r="D3" s="6" t="s">
        <v>6034</v>
      </c>
      <c r="E3" s="6" t="s">
        <v>10030</v>
      </c>
      <c r="F3" s="6" t="s">
        <v>10029</v>
      </c>
      <c r="G3" s="6" t="s">
        <v>6146</v>
      </c>
    </row>
    <row r="4" spans="1:7" x14ac:dyDescent="0.35">
      <c r="A4" s="6" t="s">
        <v>10028</v>
      </c>
      <c r="B4" s="6" t="s">
        <v>10027</v>
      </c>
      <c r="C4" s="6" t="s">
        <v>10014</v>
      </c>
      <c r="D4" s="6" t="s">
        <v>6034</v>
      </c>
      <c r="E4" s="6" t="s">
        <v>10026</v>
      </c>
      <c r="F4" s="6" t="s">
        <v>9056</v>
      </c>
      <c r="G4" s="6" t="s">
        <v>6146</v>
      </c>
    </row>
    <row r="5" spans="1:7" x14ac:dyDescent="0.35">
      <c r="A5" s="6" t="s">
        <v>6527</v>
      </c>
      <c r="B5" s="6" t="s">
        <v>6526</v>
      </c>
      <c r="C5" s="6" t="s">
        <v>10014</v>
      </c>
      <c r="D5" s="6" t="s">
        <v>6034</v>
      </c>
      <c r="E5" s="6" t="s">
        <v>10009</v>
      </c>
      <c r="F5" s="6" t="s">
        <v>6443</v>
      </c>
      <c r="G5" s="6" t="s">
        <v>10025</v>
      </c>
    </row>
    <row r="6" spans="1:7" x14ac:dyDescent="0.35">
      <c r="A6" s="6" t="s">
        <v>10024</v>
      </c>
      <c r="B6" s="6" t="s">
        <v>6038</v>
      </c>
      <c r="C6" s="6" t="s">
        <v>6039</v>
      </c>
      <c r="D6" s="6" t="s">
        <v>6034</v>
      </c>
      <c r="E6" s="6" t="s">
        <v>6035</v>
      </c>
      <c r="F6" s="6" t="s">
        <v>6040</v>
      </c>
      <c r="G6" s="6" t="s">
        <v>6041</v>
      </c>
    </row>
    <row r="7" spans="1:7" x14ac:dyDescent="0.35">
      <c r="A7" s="6" t="s">
        <v>10023</v>
      </c>
      <c r="B7" s="6" t="s">
        <v>10022</v>
      </c>
      <c r="C7" s="6" t="s">
        <v>6039</v>
      </c>
      <c r="D7" s="6" t="s">
        <v>6034</v>
      </c>
      <c r="E7" s="6" t="s">
        <v>10021</v>
      </c>
      <c r="F7" s="6" t="s">
        <v>10020</v>
      </c>
      <c r="G7" s="6" t="s">
        <v>6146</v>
      </c>
    </row>
    <row r="8" spans="1:7" x14ac:dyDescent="0.35">
      <c r="A8" s="6" t="s">
        <v>10019</v>
      </c>
      <c r="B8" s="6" t="s">
        <v>10018</v>
      </c>
      <c r="C8" s="6" t="s">
        <v>10014</v>
      </c>
      <c r="D8" s="6" t="s">
        <v>6034</v>
      </c>
      <c r="E8" s="6" t="s">
        <v>10017</v>
      </c>
      <c r="F8" s="6" t="s">
        <v>10008</v>
      </c>
      <c r="G8" s="6" t="s">
        <v>6146</v>
      </c>
    </row>
    <row r="9" spans="1:7" x14ac:dyDescent="0.35">
      <c r="A9" s="6" t="s">
        <v>10016</v>
      </c>
      <c r="B9" s="6" t="s">
        <v>10015</v>
      </c>
      <c r="C9" s="6" t="s">
        <v>10014</v>
      </c>
      <c r="D9" s="6" t="s">
        <v>6034</v>
      </c>
      <c r="E9" s="6" t="s">
        <v>5773</v>
      </c>
      <c r="F9" s="6" t="s">
        <v>10013</v>
      </c>
      <c r="G9" s="6" t="s">
        <v>10012</v>
      </c>
    </row>
    <row r="10" spans="1:7" x14ac:dyDescent="0.35">
      <c r="A10" s="6" t="s">
        <v>10011</v>
      </c>
      <c r="B10" s="6" t="s">
        <v>10010</v>
      </c>
      <c r="C10" s="6" t="s">
        <v>1102</v>
      </c>
      <c r="D10" s="6" t="s">
        <v>6034</v>
      </c>
      <c r="E10" s="6" t="s">
        <v>10009</v>
      </c>
      <c r="F10" s="6" t="s">
        <v>10008</v>
      </c>
      <c r="G10" s="6" t="s">
        <v>10007</v>
      </c>
    </row>
    <row r="11" spans="1:7" x14ac:dyDescent="0.35">
      <c r="A11" s="6" t="s">
        <v>6516</v>
      </c>
      <c r="B11" s="6" t="s">
        <v>6515</v>
      </c>
      <c r="C11" s="6" t="s">
        <v>3059</v>
      </c>
      <c r="D11" s="6" t="s">
        <v>6034</v>
      </c>
      <c r="E11" s="6" t="s">
        <v>6035</v>
      </c>
      <c r="F11" s="6" t="s">
        <v>5073</v>
      </c>
      <c r="G11" s="6" t="s">
        <v>10006</v>
      </c>
    </row>
    <row r="12" spans="1:7" x14ac:dyDescent="0.35">
      <c r="A12" s="6" t="s">
        <v>10005</v>
      </c>
      <c r="B12" s="6" t="s">
        <v>6513</v>
      </c>
      <c r="C12" s="6" t="s">
        <v>3059</v>
      </c>
      <c r="D12" s="6" t="s">
        <v>6034</v>
      </c>
      <c r="E12" s="6" t="s">
        <v>10004</v>
      </c>
      <c r="F12" s="6" t="s">
        <v>44</v>
      </c>
      <c r="G12" s="6" t="s">
        <v>10003</v>
      </c>
    </row>
    <row r="13" spans="1:7" x14ac:dyDescent="0.35">
      <c r="A13" s="6" t="s">
        <v>10002</v>
      </c>
      <c r="B13" s="6" t="s">
        <v>10001</v>
      </c>
      <c r="C13" s="6" t="s">
        <v>1102</v>
      </c>
      <c r="D13" s="6" t="s">
        <v>6034</v>
      </c>
      <c r="E13" s="6" t="s">
        <v>10000</v>
      </c>
      <c r="F13" s="6" t="s">
        <v>9701</v>
      </c>
      <c r="G13" s="6" t="s">
        <v>6146</v>
      </c>
    </row>
    <row r="14" spans="1:7" x14ac:dyDescent="0.35">
      <c r="A14" s="6" t="s">
        <v>9999</v>
      </c>
      <c r="B14" s="6" t="s">
        <v>9998</v>
      </c>
      <c r="C14" s="6" t="s">
        <v>1102</v>
      </c>
      <c r="D14" s="6" t="s">
        <v>6034</v>
      </c>
      <c r="E14" s="6" t="s">
        <v>9990</v>
      </c>
      <c r="F14" s="6" t="s">
        <v>9989</v>
      </c>
      <c r="G14" s="6" t="s">
        <v>9997</v>
      </c>
    </row>
    <row r="15" spans="1:7" x14ac:dyDescent="0.35">
      <c r="A15" s="6" t="s">
        <v>9996</v>
      </c>
      <c r="B15" s="6" t="s">
        <v>9995</v>
      </c>
      <c r="C15" s="6" t="s">
        <v>9994</v>
      </c>
      <c r="D15" s="6" t="s">
        <v>6034</v>
      </c>
      <c r="E15" s="6" t="s">
        <v>53</v>
      </c>
      <c r="F15" s="6" t="s">
        <v>6044</v>
      </c>
      <c r="G15" s="6" t="s">
        <v>9993</v>
      </c>
    </row>
    <row r="16" spans="1:7" x14ac:dyDescent="0.35">
      <c r="A16" s="6" t="s">
        <v>9992</v>
      </c>
      <c r="B16" s="6" t="s">
        <v>9991</v>
      </c>
      <c r="C16" s="6" t="s">
        <v>1589</v>
      </c>
      <c r="D16" s="6" t="s">
        <v>6034</v>
      </c>
      <c r="E16" s="6" t="s">
        <v>9990</v>
      </c>
      <c r="F16" s="6" t="s">
        <v>9989</v>
      </c>
      <c r="G16" s="6" t="s">
        <v>9988</v>
      </c>
    </row>
    <row r="17" spans="1:7" x14ac:dyDescent="0.35">
      <c r="A17" s="6" t="s">
        <v>9987</v>
      </c>
      <c r="B17" s="6" t="s">
        <v>6510</v>
      </c>
      <c r="C17" s="6" t="s">
        <v>1589</v>
      </c>
      <c r="D17" s="6" t="s">
        <v>6034</v>
      </c>
      <c r="E17" s="6" t="s">
        <v>9986</v>
      </c>
      <c r="F17" s="6" t="s">
        <v>6443</v>
      </c>
      <c r="G17" s="6" t="s">
        <v>9985</v>
      </c>
    </row>
    <row r="18" spans="1:7" x14ac:dyDescent="0.35">
      <c r="A18" s="6" t="s">
        <v>9984</v>
      </c>
      <c r="B18" s="6" t="s">
        <v>6507</v>
      </c>
      <c r="C18" s="6" t="s">
        <v>1589</v>
      </c>
      <c r="D18" s="6" t="s">
        <v>6034</v>
      </c>
      <c r="E18" s="6" t="s">
        <v>9983</v>
      </c>
      <c r="F18" s="6" t="s">
        <v>6443</v>
      </c>
      <c r="G18" s="6" t="s">
        <v>9982</v>
      </c>
    </row>
    <row r="19" spans="1:7" x14ac:dyDescent="0.35">
      <c r="A19" s="6" t="s">
        <v>9981</v>
      </c>
      <c r="B19" s="6" t="s">
        <v>9980</v>
      </c>
      <c r="C19" s="6" t="s">
        <v>1102</v>
      </c>
      <c r="D19" s="6" t="s">
        <v>6034</v>
      </c>
      <c r="E19" s="6" t="s">
        <v>9979</v>
      </c>
      <c r="F19" s="6" t="s">
        <v>9701</v>
      </c>
      <c r="G19" s="6" t="s">
        <v>9978</v>
      </c>
    </row>
    <row r="20" spans="1:7" x14ac:dyDescent="0.35">
      <c r="A20" s="6" t="s">
        <v>6046</v>
      </c>
      <c r="B20" s="6" t="s">
        <v>6047</v>
      </c>
      <c r="C20" s="6" t="s">
        <v>1102</v>
      </c>
      <c r="D20" s="6" t="s">
        <v>6048</v>
      </c>
      <c r="E20" s="6" t="s">
        <v>6035</v>
      </c>
      <c r="F20" s="6" t="s">
        <v>6040</v>
      </c>
      <c r="G20" s="6" t="s">
        <v>5068</v>
      </c>
    </row>
    <row r="21" spans="1:7" x14ac:dyDescent="0.35">
      <c r="A21" s="6" t="s">
        <v>9977</v>
      </c>
      <c r="B21" s="6" t="s">
        <v>9976</v>
      </c>
      <c r="C21" s="6" t="s">
        <v>186</v>
      </c>
      <c r="D21" s="6" t="s">
        <v>6048</v>
      </c>
      <c r="E21" s="6" t="s">
        <v>9965</v>
      </c>
      <c r="F21" s="6" t="s">
        <v>9573</v>
      </c>
      <c r="G21" s="6" t="s">
        <v>5068</v>
      </c>
    </row>
    <row r="22" spans="1:7" x14ac:dyDescent="0.35">
      <c r="A22" s="6" t="s">
        <v>9975</v>
      </c>
      <c r="B22" s="6" t="s">
        <v>9974</v>
      </c>
      <c r="C22" s="6" t="s">
        <v>1102</v>
      </c>
      <c r="D22" s="6" t="s">
        <v>6048</v>
      </c>
      <c r="E22" s="6" t="s">
        <v>9968</v>
      </c>
      <c r="F22" s="6" t="s">
        <v>9973</v>
      </c>
      <c r="G22" s="6" t="s">
        <v>9972</v>
      </c>
    </row>
    <row r="23" spans="1:7" x14ac:dyDescent="0.35">
      <c r="A23" s="6" t="s">
        <v>9971</v>
      </c>
      <c r="B23" s="6" t="s">
        <v>9970</v>
      </c>
      <c r="C23" s="6" t="s">
        <v>865</v>
      </c>
      <c r="D23" s="6" t="s">
        <v>9969</v>
      </c>
      <c r="E23" s="6" t="s">
        <v>9968</v>
      </c>
      <c r="F23" s="6" t="s">
        <v>4260</v>
      </c>
      <c r="G23" s="6" t="s">
        <v>6146</v>
      </c>
    </row>
    <row r="24" spans="1:7" x14ac:dyDescent="0.35">
      <c r="A24" s="6" t="s">
        <v>6049</v>
      </c>
      <c r="B24" s="6" t="s">
        <v>6050</v>
      </c>
      <c r="C24" s="6" t="s">
        <v>186</v>
      </c>
      <c r="D24" s="6" t="s">
        <v>6048</v>
      </c>
      <c r="E24" s="6" t="s">
        <v>6035</v>
      </c>
      <c r="F24" s="6" t="s">
        <v>6040</v>
      </c>
      <c r="G24" s="6" t="s">
        <v>6146</v>
      </c>
    </row>
    <row r="25" spans="1:7" x14ac:dyDescent="0.35">
      <c r="A25" s="6" t="s">
        <v>9967</v>
      </c>
      <c r="B25" s="6" t="s">
        <v>9966</v>
      </c>
      <c r="C25" s="6" t="s">
        <v>6039</v>
      </c>
      <c r="D25" s="6" t="s">
        <v>6048</v>
      </c>
      <c r="E25" s="6" t="s">
        <v>9965</v>
      </c>
      <c r="F25" s="6" t="s">
        <v>9573</v>
      </c>
      <c r="G25" s="6" t="s">
        <v>9964</v>
      </c>
    </row>
    <row r="26" spans="1:7" x14ac:dyDescent="0.35">
      <c r="A26" s="6" t="s">
        <v>9963</v>
      </c>
      <c r="B26" s="6" t="s">
        <v>9962</v>
      </c>
      <c r="C26" s="6" t="s">
        <v>6039</v>
      </c>
      <c r="D26" s="6" t="s">
        <v>9961</v>
      </c>
      <c r="E26" s="6" t="s">
        <v>59</v>
      </c>
      <c r="F26" s="6" t="s">
        <v>9960</v>
      </c>
      <c r="G26" s="6" t="s">
        <v>9953</v>
      </c>
    </row>
    <row r="27" spans="1:7" x14ac:dyDescent="0.35">
      <c r="A27" s="6" t="s">
        <v>9959</v>
      </c>
      <c r="B27" s="6" t="s">
        <v>9958</v>
      </c>
      <c r="C27" s="6" t="s">
        <v>1589</v>
      </c>
      <c r="D27" s="6" t="s">
        <v>9955</v>
      </c>
      <c r="E27" s="6" t="s">
        <v>59</v>
      </c>
      <c r="F27" s="6" t="s">
        <v>9578</v>
      </c>
      <c r="G27" s="6" t="s">
        <v>6146</v>
      </c>
    </row>
    <row r="28" spans="1:7" x14ac:dyDescent="0.35">
      <c r="A28" s="6" t="s">
        <v>9957</v>
      </c>
      <c r="B28" s="6" t="s">
        <v>9956</v>
      </c>
      <c r="C28" s="6" t="s">
        <v>6039</v>
      </c>
      <c r="D28" s="6" t="s">
        <v>9955</v>
      </c>
      <c r="E28" s="6" t="s">
        <v>59</v>
      </c>
      <c r="F28" s="6" t="s">
        <v>9954</v>
      </c>
      <c r="G28" s="6" t="s">
        <v>9953</v>
      </c>
    </row>
    <row r="29" spans="1:7" x14ac:dyDescent="0.35">
      <c r="A29" s="6" t="s">
        <v>9952</v>
      </c>
      <c r="B29" s="6" t="s">
        <v>9951</v>
      </c>
      <c r="C29" s="6" t="s">
        <v>6060</v>
      </c>
      <c r="D29" s="6" t="s">
        <v>9950</v>
      </c>
      <c r="E29" s="6" t="s">
        <v>6530</v>
      </c>
      <c r="F29" s="6" t="s">
        <v>9949</v>
      </c>
      <c r="G29" s="6" t="s">
        <v>9948</v>
      </c>
    </row>
    <row r="30" spans="1:7" x14ac:dyDescent="0.35">
      <c r="A30" s="6" t="s">
        <v>9947</v>
      </c>
      <c r="B30" s="6" t="s">
        <v>9946</v>
      </c>
      <c r="C30" s="6" t="s">
        <v>874</v>
      </c>
      <c r="D30" s="6" t="s">
        <v>9945</v>
      </c>
      <c r="E30" s="6" t="s">
        <v>6530</v>
      </c>
      <c r="F30" s="6" t="s">
        <v>9906</v>
      </c>
      <c r="G30" s="6" t="s">
        <v>6146</v>
      </c>
    </row>
    <row r="31" spans="1:7" x14ac:dyDescent="0.35">
      <c r="A31" s="6" t="s">
        <v>9944</v>
      </c>
      <c r="B31" s="6" t="s">
        <v>9943</v>
      </c>
      <c r="C31" s="6" t="s">
        <v>874</v>
      </c>
      <c r="D31" s="6" t="s">
        <v>6053</v>
      </c>
      <c r="E31" s="6" t="s">
        <v>6530</v>
      </c>
      <c r="F31" s="6" t="s">
        <v>9906</v>
      </c>
      <c r="G31" s="6" t="s">
        <v>9941</v>
      </c>
    </row>
    <row r="32" spans="1:7" x14ac:dyDescent="0.35">
      <c r="A32" s="6" t="s">
        <v>6051</v>
      </c>
      <c r="B32" s="6" t="s">
        <v>9942</v>
      </c>
      <c r="C32" s="6" t="s">
        <v>874</v>
      </c>
      <c r="D32" s="6" t="s">
        <v>6053</v>
      </c>
      <c r="E32" s="6" t="s">
        <v>60</v>
      </c>
      <c r="F32" s="6" t="s">
        <v>5073</v>
      </c>
      <c r="G32" s="6" t="s">
        <v>9941</v>
      </c>
    </row>
    <row r="33" spans="1:7" x14ac:dyDescent="0.35">
      <c r="A33" s="6" t="s">
        <v>9940</v>
      </c>
      <c r="B33" s="6" t="s">
        <v>9939</v>
      </c>
      <c r="C33" s="6" t="s">
        <v>874</v>
      </c>
      <c r="D33" s="6" t="s">
        <v>6053</v>
      </c>
      <c r="E33" s="6" t="s">
        <v>61</v>
      </c>
      <c r="F33" s="6" t="s">
        <v>44</v>
      </c>
      <c r="G33" s="6" t="s">
        <v>9938</v>
      </c>
    </row>
    <row r="34" spans="1:7" x14ac:dyDescent="0.35">
      <c r="A34" s="6" t="s">
        <v>6503</v>
      </c>
      <c r="B34" s="6" t="s">
        <v>9937</v>
      </c>
      <c r="C34" s="6" t="s">
        <v>6060</v>
      </c>
      <c r="D34" s="6" t="s">
        <v>6053</v>
      </c>
      <c r="E34" s="6" t="s">
        <v>61</v>
      </c>
      <c r="F34" s="6" t="s">
        <v>6501</v>
      </c>
      <c r="G34" s="6" t="s">
        <v>6146</v>
      </c>
    </row>
    <row r="35" spans="1:7" x14ac:dyDescent="0.35">
      <c r="A35" s="6" t="s">
        <v>9936</v>
      </c>
      <c r="B35" s="6" t="s">
        <v>9935</v>
      </c>
      <c r="C35" s="6" t="s">
        <v>6060</v>
      </c>
      <c r="D35" s="6" t="s">
        <v>6053</v>
      </c>
      <c r="E35" s="6" t="s">
        <v>6061</v>
      </c>
      <c r="F35" s="6" t="s">
        <v>6062</v>
      </c>
      <c r="G35" s="6" t="s">
        <v>9934</v>
      </c>
    </row>
    <row r="36" spans="1:7" x14ac:dyDescent="0.35">
      <c r="A36" s="6" t="s">
        <v>9933</v>
      </c>
      <c r="B36" s="6" t="s">
        <v>9932</v>
      </c>
      <c r="C36" s="6" t="s">
        <v>6060</v>
      </c>
      <c r="D36" s="6" t="s">
        <v>6053</v>
      </c>
      <c r="E36" s="6" t="s">
        <v>207</v>
      </c>
      <c r="F36" s="6" t="s">
        <v>9931</v>
      </c>
      <c r="G36" s="6" t="s">
        <v>9930</v>
      </c>
    </row>
    <row r="37" spans="1:7" x14ac:dyDescent="0.35">
      <c r="A37" s="6" t="s">
        <v>9929</v>
      </c>
      <c r="B37" s="6" t="s">
        <v>9928</v>
      </c>
      <c r="C37" s="6" t="s">
        <v>9927</v>
      </c>
      <c r="D37" s="6" t="s">
        <v>6053</v>
      </c>
      <c r="E37" s="6" t="s">
        <v>6530</v>
      </c>
      <c r="F37" s="6" t="s">
        <v>9902</v>
      </c>
      <c r="G37" s="6" t="s">
        <v>9926</v>
      </c>
    </row>
    <row r="38" spans="1:7" x14ac:dyDescent="0.35">
      <c r="A38" s="6" t="s">
        <v>9925</v>
      </c>
      <c r="B38" s="6" t="s">
        <v>9924</v>
      </c>
      <c r="C38" s="6" t="s">
        <v>9923</v>
      </c>
      <c r="D38" s="6" t="s">
        <v>6053</v>
      </c>
      <c r="E38" s="6" t="s">
        <v>59</v>
      </c>
      <c r="F38" s="6" t="s">
        <v>9862</v>
      </c>
      <c r="G38" s="6" t="s">
        <v>6146</v>
      </c>
    </row>
    <row r="39" spans="1:7" x14ac:dyDescent="0.35">
      <c r="A39" s="6" t="s">
        <v>9922</v>
      </c>
      <c r="B39" s="6" t="s">
        <v>9921</v>
      </c>
      <c r="C39" s="6" t="s">
        <v>9918</v>
      </c>
      <c r="D39" s="6" t="s">
        <v>6053</v>
      </c>
      <c r="E39" s="6" t="s">
        <v>59</v>
      </c>
      <c r="F39" s="6" t="s">
        <v>9920</v>
      </c>
      <c r="G39" s="6" t="s">
        <v>6146</v>
      </c>
    </row>
    <row r="40" spans="1:7" x14ac:dyDescent="0.35">
      <c r="A40" s="6" t="s">
        <v>9919</v>
      </c>
      <c r="B40" s="6" t="s">
        <v>1</v>
      </c>
      <c r="C40" s="6" t="s">
        <v>9918</v>
      </c>
      <c r="D40" s="6" t="s">
        <v>6053</v>
      </c>
      <c r="E40" s="6" t="s">
        <v>59</v>
      </c>
      <c r="F40" s="6" t="s">
        <v>6080</v>
      </c>
      <c r="G40" s="6" t="s">
        <v>6146</v>
      </c>
    </row>
    <row r="41" spans="1:7" x14ac:dyDescent="0.35">
      <c r="A41" s="6" t="s">
        <v>9917</v>
      </c>
      <c r="B41" s="6" t="s">
        <v>9916</v>
      </c>
      <c r="C41" s="6" t="s">
        <v>6072</v>
      </c>
      <c r="D41" s="6" t="s">
        <v>6053</v>
      </c>
      <c r="E41" s="6" t="s">
        <v>59</v>
      </c>
      <c r="F41" s="6" t="s">
        <v>9573</v>
      </c>
      <c r="G41" s="6" t="s">
        <v>6146</v>
      </c>
    </row>
    <row r="42" spans="1:7" x14ac:dyDescent="0.35">
      <c r="A42" s="6" t="s">
        <v>9915</v>
      </c>
      <c r="B42" s="6" t="s">
        <v>9914</v>
      </c>
      <c r="C42" s="6" t="s">
        <v>1589</v>
      </c>
      <c r="D42" s="6" t="s">
        <v>6053</v>
      </c>
      <c r="E42" s="6" t="s">
        <v>59</v>
      </c>
      <c r="F42" s="6" t="s">
        <v>8577</v>
      </c>
      <c r="G42" s="6" t="s">
        <v>9913</v>
      </c>
    </row>
    <row r="43" spans="1:7" x14ac:dyDescent="0.35">
      <c r="A43" s="6" t="s">
        <v>9912</v>
      </c>
      <c r="B43" s="6" t="s">
        <v>6600</v>
      </c>
      <c r="C43" s="6" t="s">
        <v>1211</v>
      </c>
      <c r="D43" s="6" t="s">
        <v>6053</v>
      </c>
      <c r="E43" s="6" t="s">
        <v>59</v>
      </c>
      <c r="F43" s="6" t="s">
        <v>9578</v>
      </c>
      <c r="G43" s="6" t="s">
        <v>9911</v>
      </c>
    </row>
    <row r="44" spans="1:7" x14ac:dyDescent="0.35">
      <c r="A44" s="6" t="s">
        <v>9910</v>
      </c>
      <c r="B44" s="6" t="s">
        <v>9909</v>
      </c>
      <c r="C44" s="6" t="s">
        <v>9908</v>
      </c>
      <c r="D44" s="6" t="s">
        <v>6053</v>
      </c>
      <c r="E44" s="6" t="s">
        <v>9907</v>
      </c>
      <c r="F44" s="6" t="s">
        <v>9906</v>
      </c>
      <c r="G44" s="6" t="s">
        <v>6146</v>
      </c>
    </row>
    <row r="45" spans="1:7" x14ac:dyDescent="0.35">
      <c r="A45" s="6" t="s">
        <v>9905</v>
      </c>
      <c r="B45" s="6" t="s">
        <v>9904</v>
      </c>
      <c r="C45" s="6" t="s">
        <v>9903</v>
      </c>
      <c r="D45" s="6" t="s">
        <v>6053</v>
      </c>
      <c r="E45" s="6" t="s">
        <v>6530</v>
      </c>
      <c r="F45" s="6" t="s">
        <v>9902</v>
      </c>
      <c r="G45" s="6" t="s">
        <v>6146</v>
      </c>
    </row>
    <row r="46" spans="1:7" x14ac:dyDescent="0.35">
      <c r="A46" s="6" t="s">
        <v>9901</v>
      </c>
      <c r="B46" s="6" t="s">
        <v>9900</v>
      </c>
      <c r="C46" s="6" t="s">
        <v>9896</v>
      </c>
      <c r="D46" s="6" t="s">
        <v>6053</v>
      </c>
      <c r="E46" s="6" t="s">
        <v>59</v>
      </c>
      <c r="F46" s="6" t="s">
        <v>9899</v>
      </c>
      <c r="G46" s="6" t="s">
        <v>6146</v>
      </c>
    </row>
    <row r="47" spans="1:7" x14ac:dyDescent="0.35">
      <c r="A47" s="6" t="s">
        <v>9898</v>
      </c>
      <c r="B47" s="6" t="s">
        <v>9897</v>
      </c>
      <c r="C47" s="6" t="s">
        <v>9896</v>
      </c>
      <c r="D47" s="6" t="s">
        <v>6053</v>
      </c>
      <c r="E47" s="6" t="s">
        <v>9895</v>
      </c>
      <c r="F47" s="6" t="s">
        <v>9894</v>
      </c>
      <c r="G47" s="6" t="s">
        <v>6146</v>
      </c>
    </row>
    <row r="48" spans="1:7" x14ac:dyDescent="0.35">
      <c r="A48" s="6" t="s">
        <v>9893</v>
      </c>
      <c r="B48" s="6" t="s">
        <v>2</v>
      </c>
      <c r="C48" s="6" t="s">
        <v>6072</v>
      </c>
      <c r="D48" s="6" t="s">
        <v>6053</v>
      </c>
      <c r="E48" s="6" t="s">
        <v>59</v>
      </c>
      <c r="F48" s="6" t="s">
        <v>6068</v>
      </c>
      <c r="G48" s="6" t="s">
        <v>6605</v>
      </c>
    </row>
    <row r="49" spans="1:7" x14ac:dyDescent="0.35">
      <c r="A49" s="6" t="s">
        <v>9892</v>
      </c>
      <c r="B49" s="6" t="s">
        <v>9891</v>
      </c>
      <c r="C49" s="6" t="s">
        <v>6066</v>
      </c>
      <c r="D49" s="6" t="s">
        <v>6053</v>
      </c>
      <c r="E49" s="6" t="s">
        <v>59</v>
      </c>
      <c r="F49" s="6" t="s">
        <v>9890</v>
      </c>
      <c r="G49" s="6" t="s">
        <v>9883</v>
      </c>
    </row>
    <row r="50" spans="1:7" x14ac:dyDescent="0.35">
      <c r="A50" s="6" t="s">
        <v>9889</v>
      </c>
      <c r="B50" s="6" t="s">
        <v>9888</v>
      </c>
      <c r="C50" s="6" t="s">
        <v>6039</v>
      </c>
      <c r="D50" s="6" t="s">
        <v>6053</v>
      </c>
      <c r="E50" s="6" t="s">
        <v>59</v>
      </c>
      <c r="F50" s="6" t="s">
        <v>9793</v>
      </c>
      <c r="G50" s="6" t="s">
        <v>9887</v>
      </c>
    </row>
    <row r="51" spans="1:7" x14ac:dyDescent="0.35">
      <c r="A51" s="6" t="s">
        <v>9886</v>
      </c>
      <c r="B51" s="6" t="s">
        <v>9885</v>
      </c>
      <c r="C51" s="6" t="s">
        <v>6072</v>
      </c>
      <c r="D51" s="6" t="s">
        <v>6053</v>
      </c>
      <c r="E51" s="6" t="s">
        <v>59</v>
      </c>
      <c r="F51" s="6" t="s">
        <v>9884</v>
      </c>
      <c r="G51" s="6" t="s">
        <v>9883</v>
      </c>
    </row>
    <row r="52" spans="1:7" x14ac:dyDescent="0.35">
      <c r="A52" s="6" t="s">
        <v>9882</v>
      </c>
      <c r="B52" s="6" t="s">
        <v>9881</v>
      </c>
      <c r="C52" s="6" t="s">
        <v>6079</v>
      </c>
      <c r="D52" s="6" t="s">
        <v>6053</v>
      </c>
      <c r="E52" s="6" t="s">
        <v>59</v>
      </c>
      <c r="F52" s="6" t="s">
        <v>9862</v>
      </c>
      <c r="G52" s="6" t="s">
        <v>6146</v>
      </c>
    </row>
    <row r="53" spans="1:7" x14ac:dyDescent="0.35">
      <c r="A53" s="6" t="s">
        <v>9880</v>
      </c>
      <c r="B53" s="6" t="s">
        <v>9879</v>
      </c>
      <c r="C53" s="6" t="s">
        <v>6079</v>
      </c>
      <c r="D53" s="6" t="s">
        <v>6053</v>
      </c>
      <c r="E53" s="6" t="s">
        <v>59</v>
      </c>
      <c r="F53" s="6" t="s">
        <v>6080</v>
      </c>
      <c r="G53" s="6" t="s">
        <v>12</v>
      </c>
    </row>
    <row r="54" spans="1:7" x14ac:dyDescent="0.35">
      <c r="A54" s="6" t="s">
        <v>9878</v>
      </c>
      <c r="B54" s="6" t="s">
        <v>9877</v>
      </c>
      <c r="C54" s="6" t="s">
        <v>6079</v>
      </c>
      <c r="D54" s="6" t="s">
        <v>6053</v>
      </c>
      <c r="E54" s="6" t="s">
        <v>59</v>
      </c>
      <c r="F54" s="6" t="s">
        <v>9862</v>
      </c>
      <c r="G54" s="6" t="s">
        <v>6146</v>
      </c>
    </row>
    <row r="55" spans="1:7" x14ac:dyDescent="0.35">
      <c r="A55" s="6" t="s">
        <v>9876</v>
      </c>
      <c r="B55" s="6" t="s">
        <v>9875</v>
      </c>
      <c r="C55" s="6" t="s">
        <v>9773</v>
      </c>
      <c r="D55" s="6" t="s">
        <v>6053</v>
      </c>
      <c r="E55" s="6" t="s">
        <v>59</v>
      </c>
      <c r="F55" s="6" t="s">
        <v>6085</v>
      </c>
      <c r="G55" s="6" t="s">
        <v>6146</v>
      </c>
    </row>
    <row r="56" spans="1:7" x14ac:dyDescent="0.35">
      <c r="A56" s="6" t="s">
        <v>6074</v>
      </c>
      <c r="B56" s="6" t="s">
        <v>3</v>
      </c>
      <c r="C56" s="6" t="s">
        <v>6072</v>
      </c>
      <c r="D56" s="6" t="s">
        <v>6053</v>
      </c>
      <c r="E56" s="6" t="s">
        <v>59</v>
      </c>
      <c r="F56" s="6" t="s">
        <v>6068</v>
      </c>
      <c r="G56" s="6" t="s">
        <v>6146</v>
      </c>
    </row>
    <row r="57" spans="1:7" x14ac:dyDescent="0.35">
      <c r="A57" s="6" t="s">
        <v>9874</v>
      </c>
      <c r="B57" s="6" t="s">
        <v>9873</v>
      </c>
      <c r="C57" s="6" t="s">
        <v>6072</v>
      </c>
      <c r="D57" s="6" t="s">
        <v>6053</v>
      </c>
      <c r="E57" s="6" t="s">
        <v>59</v>
      </c>
      <c r="F57" s="6" t="s">
        <v>6143</v>
      </c>
      <c r="G57" s="6" t="s">
        <v>9872</v>
      </c>
    </row>
    <row r="58" spans="1:7" x14ac:dyDescent="0.35">
      <c r="A58" s="6" t="s">
        <v>9871</v>
      </c>
      <c r="B58" s="6" t="s">
        <v>9870</v>
      </c>
      <c r="C58" s="6" t="s">
        <v>6066</v>
      </c>
      <c r="D58" s="6" t="s">
        <v>6053</v>
      </c>
      <c r="E58" s="6" t="s">
        <v>59</v>
      </c>
      <c r="F58" s="6" t="s">
        <v>9869</v>
      </c>
      <c r="G58" s="6" t="s">
        <v>6146</v>
      </c>
    </row>
    <row r="59" spans="1:7" x14ac:dyDescent="0.35">
      <c r="A59" s="6" t="s">
        <v>6064</v>
      </c>
      <c r="B59" s="6" t="s">
        <v>9868</v>
      </c>
      <c r="C59" s="6" t="s">
        <v>6066</v>
      </c>
      <c r="D59" s="6" t="s">
        <v>6053</v>
      </c>
      <c r="E59" s="6" t="s">
        <v>59</v>
      </c>
      <c r="F59" s="6" t="s">
        <v>6068</v>
      </c>
      <c r="G59" s="6" t="s">
        <v>9686</v>
      </c>
    </row>
    <row r="60" spans="1:7" x14ac:dyDescent="0.35">
      <c r="A60" s="6" t="s">
        <v>9867</v>
      </c>
      <c r="B60" s="6" t="s">
        <v>9866</v>
      </c>
      <c r="C60" s="6" t="s">
        <v>6072</v>
      </c>
      <c r="D60" s="6" t="s">
        <v>6053</v>
      </c>
      <c r="E60" s="6" t="s">
        <v>59</v>
      </c>
      <c r="F60" s="6" t="s">
        <v>6068</v>
      </c>
      <c r="G60" s="6" t="s">
        <v>9865</v>
      </c>
    </row>
    <row r="61" spans="1:7" x14ac:dyDescent="0.35">
      <c r="A61" s="6" t="s">
        <v>9864</v>
      </c>
      <c r="B61" s="6" t="s">
        <v>9863</v>
      </c>
      <c r="C61" s="6" t="s">
        <v>6072</v>
      </c>
      <c r="D61" s="6" t="s">
        <v>6053</v>
      </c>
      <c r="E61" s="6" t="s">
        <v>59</v>
      </c>
      <c r="F61" s="6" t="s">
        <v>9862</v>
      </c>
      <c r="G61" s="6" t="s">
        <v>6146</v>
      </c>
    </row>
    <row r="62" spans="1:7" x14ac:dyDescent="0.35">
      <c r="A62" s="6" t="s">
        <v>9861</v>
      </c>
      <c r="B62" s="6" t="s">
        <v>9860</v>
      </c>
      <c r="C62" s="6" t="s">
        <v>6072</v>
      </c>
      <c r="D62" s="6" t="s">
        <v>6053</v>
      </c>
      <c r="E62" s="6" t="s">
        <v>59</v>
      </c>
      <c r="F62" s="6" t="s">
        <v>9859</v>
      </c>
      <c r="G62" s="6" t="s">
        <v>5066</v>
      </c>
    </row>
    <row r="63" spans="1:7" x14ac:dyDescent="0.35">
      <c r="A63" s="6" t="s">
        <v>9858</v>
      </c>
      <c r="B63" s="6" t="s">
        <v>9857</v>
      </c>
      <c r="C63" s="6" t="s">
        <v>6072</v>
      </c>
      <c r="D63" s="6" t="s">
        <v>6053</v>
      </c>
      <c r="E63" s="6" t="s">
        <v>59</v>
      </c>
      <c r="F63" s="6" t="s">
        <v>9578</v>
      </c>
      <c r="G63" s="6" t="s">
        <v>6146</v>
      </c>
    </row>
    <row r="64" spans="1:7" x14ac:dyDescent="0.35">
      <c r="A64" s="6" t="s">
        <v>9856</v>
      </c>
      <c r="B64" s="6" t="s">
        <v>6607</v>
      </c>
      <c r="C64" s="6" t="s">
        <v>1211</v>
      </c>
      <c r="D64" s="6" t="s">
        <v>9853</v>
      </c>
      <c r="E64" s="6" t="s">
        <v>59</v>
      </c>
      <c r="F64" s="6" t="s">
        <v>6068</v>
      </c>
      <c r="G64" s="6" t="s">
        <v>6146</v>
      </c>
    </row>
    <row r="65" spans="1:7" x14ac:dyDescent="0.35">
      <c r="A65" s="6" t="s">
        <v>9855</v>
      </c>
      <c r="B65" s="6" t="s">
        <v>9854</v>
      </c>
      <c r="C65" s="6" t="s">
        <v>1211</v>
      </c>
      <c r="D65" s="6" t="s">
        <v>9853</v>
      </c>
      <c r="E65" s="6" t="s">
        <v>59</v>
      </c>
      <c r="F65" s="6" t="s">
        <v>9852</v>
      </c>
      <c r="G65" s="6" t="s">
        <v>9851</v>
      </c>
    </row>
    <row r="66" spans="1:7" x14ac:dyDescent="0.35">
      <c r="A66" s="6" t="s">
        <v>9850</v>
      </c>
      <c r="B66" s="6" t="s">
        <v>9849</v>
      </c>
      <c r="C66" s="6" t="s">
        <v>9848</v>
      </c>
      <c r="D66" s="6" t="s">
        <v>6053</v>
      </c>
      <c r="E66" s="6" t="s">
        <v>9847</v>
      </c>
      <c r="F66" s="6" t="s">
        <v>9846</v>
      </c>
      <c r="G66" s="6" t="s">
        <v>9845</v>
      </c>
    </row>
    <row r="67" spans="1:7" x14ac:dyDescent="0.35">
      <c r="A67" s="6" t="s">
        <v>9844</v>
      </c>
      <c r="B67" s="6" t="s">
        <v>9843</v>
      </c>
      <c r="C67" s="6" t="s">
        <v>6257</v>
      </c>
      <c r="D67" s="6" t="s">
        <v>6053</v>
      </c>
      <c r="E67" s="6" t="s">
        <v>59</v>
      </c>
      <c r="F67" s="6" t="s">
        <v>6068</v>
      </c>
      <c r="G67" s="6" t="s">
        <v>6146</v>
      </c>
    </row>
    <row r="68" spans="1:7" x14ac:dyDescent="0.35">
      <c r="A68" s="6" t="s">
        <v>9842</v>
      </c>
      <c r="B68" s="6" t="s">
        <v>9841</v>
      </c>
      <c r="C68" s="6" t="s">
        <v>6079</v>
      </c>
      <c r="D68" s="6" t="s">
        <v>6053</v>
      </c>
      <c r="E68" s="6" t="s">
        <v>59</v>
      </c>
      <c r="F68" s="6" t="s">
        <v>9840</v>
      </c>
      <c r="G68" s="6" t="s">
        <v>9839</v>
      </c>
    </row>
    <row r="69" spans="1:7" x14ac:dyDescent="0.35">
      <c r="A69" s="6" t="s">
        <v>9838</v>
      </c>
      <c r="B69" s="6" t="s">
        <v>9837</v>
      </c>
      <c r="C69" s="6" t="s">
        <v>9836</v>
      </c>
      <c r="D69" s="6" t="s">
        <v>6053</v>
      </c>
      <c r="E69" s="6" t="s">
        <v>59</v>
      </c>
      <c r="F69" s="6" t="s">
        <v>9835</v>
      </c>
      <c r="G69" s="6" t="s">
        <v>6146</v>
      </c>
    </row>
    <row r="70" spans="1:7" x14ac:dyDescent="0.35">
      <c r="A70" s="6" t="s">
        <v>9834</v>
      </c>
      <c r="B70" s="6" t="s">
        <v>9833</v>
      </c>
      <c r="C70" s="6" t="s">
        <v>9832</v>
      </c>
      <c r="D70" s="6" t="s">
        <v>6053</v>
      </c>
      <c r="E70" s="6" t="s">
        <v>59</v>
      </c>
      <c r="F70" s="6" t="s">
        <v>9578</v>
      </c>
      <c r="G70" s="6" t="s">
        <v>6146</v>
      </c>
    </row>
    <row r="71" spans="1:7" x14ac:dyDescent="0.35">
      <c r="A71" s="6" t="s">
        <v>9831</v>
      </c>
      <c r="B71" s="6" t="s">
        <v>6605</v>
      </c>
      <c r="C71" s="6" t="s">
        <v>6072</v>
      </c>
      <c r="D71" s="6" t="s">
        <v>6053</v>
      </c>
      <c r="E71" s="6" t="s">
        <v>59</v>
      </c>
      <c r="F71" s="6" t="s">
        <v>6068</v>
      </c>
      <c r="G71" s="6" t="s">
        <v>2</v>
      </c>
    </row>
    <row r="72" spans="1:7" x14ac:dyDescent="0.35">
      <c r="A72" s="6" t="s">
        <v>9830</v>
      </c>
      <c r="B72" s="6" t="s">
        <v>5</v>
      </c>
      <c r="C72" s="6" t="s">
        <v>6474</v>
      </c>
      <c r="D72" s="6" t="s">
        <v>6053</v>
      </c>
      <c r="E72" s="6" t="s">
        <v>59</v>
      </c>
      <c r="F72" s="6" t="s">
        <v>6092</v>
      </c>
      <c r="G72" s="6" t="s">
        <v>9829</v>
      </c>
    </row>
    <row r="73" spans="1:7" x14ac:dyDescent="0.35">
      <c r="A73" s="6" t="s">
        <v>9828</v>
      </c>
      <c r="B73" s="6" t="s">
        <v>9827</v>
      </c>
      <c r="C73" s="6" t="s">
        <v>9826</v>
      </c>
      <c r="D73" s="6" t="s">
        <v>6053</v>
      </c>
      <c r="E73" s="6" t="s">
        <v>9825</v>
      </c>
      <c r="F73" s="6" t="s">
        <v>9824</v>
      </c>
      <c r="G73" s="6" t="s">
        <v>9823</v>
      </c>
    </row>
    <row r="74" spans="1:7" x14ac:dyDescent="0.35">
      <c r="A74" s="6" t="s">
        <v>9822</v>
      </c>
      <c r="B74" s="6" t="s">
        <v>9821</v>
      </c>
      <c r="C74" s="6" t="s">
        <v>6066</v>
      </c>
      <c r="D74" s="6" t="s">
        <v>6053</v>
      </c>
      <c r="E74" s="6" t="s">
        <v>59</v>
      </c>
      <c r="F74" s="6" t="s">
        <v>9578</v>
      </c>
      <c r="G74" s="6" t="s">
        <v>9820</v>
      </c>
    </row>
    <row r="75" spans="1:7" x14ac:dyDescent="0.35">
      <c r="A75" s="6" t="s">
        <v>9819</v>
      </c>
      <c r="B75" s="6" t="s">
        <v>9818</v>
      </c>
      <c r="C75" s="6" t="s">
        <v>9817</v>
      </c>
      <c r="D75" s="6" t="s">
        <v>6053</v>
      </c>
      <c r="E75" s="6" t="s">
        <v>9816</v>
      </c>
      <c r="F75" s="6" t="s">
        <v>9660</v>
      </c>
      <c r="G75" s="6" t="s">
        <v>6146</v>
      </c>
    </row>
    <row r="76" spans="1:7" x14ac:dyDescent="0.35">
      <c r="A76" s="6" t="s">
        <v>9815</v>
      </c>
      <c r="B76" s="6" t="s">
        <v>9814</v>
      </c>
      <c r="C76" s="6" t="s">
        <v>6066</v>
      </c>
      <c r="D76" s="6" t="s">
        <v>6053</v>
      </c>
      <c r="E76" s="6" t="s">
        <v>9379</v>
      </c>
      <c r="F76" s="6" t="s">
        <v>9813</v>
      </c>
      <c r="G76" s="6" t="s">
        <v>6146</v>
      </c>
    </row>
    <row r="77" spans="1:7" x14ac:dyDescent="0.35">
      <c r="A77" s="6" t="s">
        <v>9812</v>
      </c>
      <c r="B77" s="6" t="s">
        <v>9811</v>
      </c>
      <c r="C77" s="6" t="s">
        <v>6066</v>
      </c>
      <c r="D77" s="6" t="s">
        <v>6053</v>
      </c>
      <c r="E77" s="6" t="s">
        <v>59</v>
      </c>
      <c r="F77" s="6" t="s">
        <v>9810</v>
      </c>
      <c r="G77" s="6" t="s">
        <v>6146</v>
      </c>
    </row>
    <row r="78" spans="1:7" x14ac:dyDescent="0.35">
      <c r="A78" s="6" t="s">
        <v>9809</v>
      </c>
      <c r="B78" s="6" t="s">
        <v>9808</v>
      </c>
      <c r="C78" s="6" t="s">
        <v>6066</v>
      </c>
      <c r="D78" s="6" t="s">
        <v>6053</v>
      </c>
      <c r="E78" s="6" t="s">
        <v>59</v>
      </c>
      <c r="F78" s="6" t="s">
        <v>9578</v>
      </c>
      <c r="G78" s="6" t="s">
        <v>6146</v>
      </c>
    </row>
    <row r="79" spans="1:7" x14ac:dyDescent="0.35">
      <c r="A79" s="6" t="s">
        <v>9807</v>
      </c>
      <c r="B79" s="6" t="s">
        <v>9806</v>
      </c>
      <c r="C79" s="6" t="s">
        <v>6079</v>
      </c>
      <c r="D79" s="6" t="s">
        <v>6053</v>
      </c>
      <c r="E79" s="6" t="s">
        <v>59</v>
      </c>
      <c r="F79" s="6" t="s">
        <v>9578</v>
      </c>
      <c r="G79" s="6" t="s">
        <v>9805</v>
      </c>
    </row>
    <row r="80" spans="1:7" x14ac:dyDescent="0.35">
      <c r="A80" s="6" t="s">
        <v>6077</v>
      </c>
      <c r="B80" s="6" t="s">
        <v>9804</v>
      </c>
      <c r="C80" s="6" t="s">
        <v>6079</v>
      </c>
      <c r="D80" s="6" t="s">
        <v>6053</v>
      </c>
      <c r="E80" s="6" t="s">
        <v>59</v>
      </c>
      <c r="F80" s="6" t="s">
        <v>6080</v>
      </c>
      <c r="G80" s="6" t="s">
        <v>9803</v>
      </c>
    </row>
    <row r="81" spans="1:7" x14ac:dyDescent="0.35">
      <c r="A81" s="6" t="s">
        <v>9802</v>
      </c>
      <c r="B81" s="6" t="s">
        <v>9801</v>
      </c>
      <c r="C81" s="6" t="s">
        <v>6084</v>
      </c>
      <c r="D81" s="6" t="s">
        <v>6053</v>
      </c>
      <c r="E81" s="6" t="s">
        <v>59</v>
      </c>
      <c r="F81" s="6" t="s">
        <v>6085</v>
      </c>
      <c r="G81" s="6" t="s">
        <v>6146</v>
      </c>
    </row>
    <row r="82" spans="1:7" x14ac:dyDescent="0.35">
      <c r="A82" s="6" t="s">
        <v>6466</v>
      </c>
      <c r="B82" s="6" t="s">
        <v>9800</v>
      </c>
      <c r="C82" s="6" t="s">
        <v>9799</v>
      </c>
      <c r="D82" s="6" t="s">
        <v>6053</v>
      </c>
      <c r="E82" s="6" t="s">
        <v>59</v>
      </c>
      <c r="F82" s="6" t="s">
        <v>6068</v>
      </c>
      <c r="G82" s="6" t="s">
        <v>6146</v>
      </c>
    </row>
    <row r="83" spans="1:7" x14ac:dyDescent="0.35">
      <c r="A83" s="6" t="s">
        <v>9798</v>
      </c>
      <c r="B83" s="6" t="s">
        <v>9797</v>
      </c>
      <c r="C83" s="6" t="s">
        <v>6072</v>
      </c>
      <c r="D83" s="6" t="s">
        <v>6053</v>
      </c>
      <c r="E83" s="6" t="s">
        <v>59</v>
      </c>
      <c r="F83" s="6" t="s">
        <v>6092</v>
      </c>
      <c r="G83" s="6" t="s">
        <v>6146</v>
      </c>
    </row>
    <row r="84" spans="1:7" x14ac:dyDescent="0.35">
      <c r="A84" s="6" t="s">
        <v>6097</v>
      </c>
      <c r="B84" s="6" t="s">
        <v>36</v>
      </c>
      <c r="C84" s="6" t="s">
        <v>6072</v>
      </c>
      <c r="D84" s="6" t="s">
        <v>6053</v>
      </c>
      <c r="E84" s="6" t="s">
        <v>59</v>
      </c>
      <c r="F84" s="6" t="s">
        <v>6068</v>
      </c>
      <c r="G84" s="6" t="s">
        <v>6146</v>
      </c>
    </row>
    <row r="85" spans="1:7" x14ac:dyDescent="0.35">
      <c r="A85" s="6" t="s">
        <v>9796</v>
      </c>
      <c r="B85" s="6" t="s">
        <v>42</v>
      </c>
      <c r="C85" s="6" t="s">
        <v>6066</v>
      </c>
      <c r="D85" s="6" t="s">
        <v>6053</v>
      </c>
      <c r="E85" s="6" t="s">
        <v>59</v>
      </c>
      <c r="F85" s="6" t="s">
        <v>6100</v>
      </c>
      <c r="G85" s="6" t="s">
        <v>6146</v>
      </c>
    </row>
    <row r="86" spans="1:7" x14ac:dyDescent="0.35">
      <c r="A86" s="6" t="s">
        <v>9795</v>
      </c>
      <c r="B86" s="6" t="s">
        <v>9794</v>
      </c>
      <c r="C86" s="6" t="s">
        <v>6039</v>
      </c>
      <c r="D86" s="6" t="s">
        <v>6053</v>
      </c>
      <c r="E86" s="6" t="s">
        <v>59</v>
      </c>
      <c r="F86" s="6" t="s">
        <v>9793</v>
      </c>
      <c r="G86" s="6" t="s">
        <v>6146</v>
      </c>
    </row>
    <row r="87" spans="1:7" x14ac:dyDescent="0.35">
      <c r="A87" s="6" t="s">
        <v>9792</v>
      </c>
      <c r="B87" s="6" t="s">
        <v>9791</v>
      </c>
      <c r="C87" s="6" t="s">
        <v>6066</v>
      </c>
      <c r="D87" s="6" t="s">
        <v>6053</v>
      </c>
      <c r="E87" s="6" t="s">
        <v>59</v>
      </c>
      <c r="F87" s="6" t="s">
        <v>9708</v>
      </c>
      <c r="G87" s="6" t="s">
        <v>6146</v>
      </c>
    </row>
    <row r="88" spans="1:7" x14ac:dyDescent="0.35">
      <c r="A88" s="6" t="s">
        <v>9790</v>
      </c>
      <c r="B88" s="6" t="s">
        <v>9789</v>
      </c>
      <c r="C88" s="6" t="s">
        <v>6066</v>
      </c>
      <c r="D88" s="6" t="s">
        <v>6053</v>
      </c>
      <c r="E88" s="6" t="s">
        <v>9508</v>
      </c>
      <c r="F88" s="6" t="s">
        <v>9788</v>
      </c>
      <c r="G88" s="6" t="s">
        <v>6146</v>
      </c>
    </row>
    <row r="89" spans="1:7" x14ac:dyDescent="0.35">
      <c r="A89" s="6" t="s">
        <v>9787</v>
      </c>
      <c r="B89" s="6" t="s">
        <v>9786</v>
      </c>
      <c r="C89" s="6" t="s">
        <v>9785</v>
      </c>
      <c r="D89" s="6" t="s">
        <v>6053</v>
      </c>
      <c r="E89" s="6" t="s">
        <v>9508</v>
      </c>
      <c r="F89" s="6" t="s">
        <v>9784</v>
      </c>
      <c r="G89" s="6" t="s">
        <v>6146</v>
      </c>
    </row>
    <row r="90" spans="1:7" x14ac:dyDescent="0.35">
      <c r="A90" s="6" t="s">
        <v>9783</v>
      </c>
      <c r="B90" s="6" t="s">
        <v>9782</v>
      </c>
      <c r="C90" s="6" t="s">
        <v>6066</v>
      </c>
      <c r="D90" s="6" t="s">
        <v>6053</v>
      </c>
      <c r="E90" s="6" t="s">
        <v>9781</v>
      </c>
      <c r="F90" s="6" t="s">
        <v>9780</v>
      </c>
      <c r="G90" s="6" t="s">
        <v>6146</v>
      </c>
    </row>
    <row r="91" spans="1:7" x14ac:dyDescent="0.35">
      <c r="A91" s="6" t="s">
        <v>6105</v>
      </c>
      <c r="B91" s="6" t="s">
        <v>9779</v>
      </c>
      <c r="C91" s="6" t="s">
        <v>6107</v>
      </c>
      <c r="D91" s="6" t="s">
        <v>6053</v>
      </c>
      <c r="E91" s="6" t="s">
        <v>59</v>
      </c>
      <c r="F91" s="6" t="s">
        <v>6108</v>
      </c>
      <c r="G91" s="6" t="s">
        <v>9759</v>
      </c>
    </row>
    <row r="92" spans="1:7" x14ac:dyDescent="0.35">
      <c r="A92" s="6" t="s">
        <v>6110</v>
      </c>
      <c r="B92" s="6" t="s">
        <v>9778</v>
      </c>
      <c r="C92" s="6" t="s">
        <v>6079</v>
      </c>
      <c r="D92" s="6" t="s">
        <v>6053</v>
      </c>
      <c r="E92" s="6" t="s">
        <v>59</v>
      </c>
      <c r="F92" s="6" t="s">
        <v>6080</v>
      </c>
      <c r="G92" s="6" t="s">
        <v>9777</v>
      </c>
    </row>
    <row r="93" spans="1:7" x14ac:dyDescent="0.35">
      <c r="A93" s="6" t="s">
        <v>6113</v>
      </c>
      <c r="B93" s="6" t="s">
        <v>6114</v>
      </c>
      <c r="C93" s="6" t="s">
        <v>6079</v>
      </c>
      <c r="D93" s="6" t="s">
        <v>6053</v>
      </c>
      <c r="E93" s="6" t="s">
        <v>6115</v>
      </c>
      <c r="F93" s="6" t="s">
        <v>6080</v>
      </c>
      <c r="G93" s="6" t="s">
        <v>6146</v>
      </c>
    </row>
    <row r="94" spans="1:7" x14ac:dyDescent="0.35">
      <c r="A94" s="6" t="s">
        <v>9776</v>
      </c>
      <c r="B94" s="6" t="s">
        <v>7</v>
      </c>
      <c r="C94" s="6" t="s">
        <v>6119</v>
      </c>
      <c r="D94" s="6" t="s">
        <v>6053</v>
      </c>
      <c r="E94" s="6" t="s">
        <v>59</v>
      </c>
      <c r="F94" s="6" t="s">
        <v>6068</v>
      </c>
      <c r="G94" s="6" t="s">
        <v>6146</v>
      </c>
    </row>
    <row r="95" spans="1:7" x14ac:dyDescent="0.35">
      <c r="A95" s="6" t="s">
        <v>9775</v>
      </c>
      <c r="B95" s="6" t="s">
        <v>9774</v>
      </c>
      <c r="C95" s="6" t="s">
        <v>9773</v>
      </c>
      <c r="D95" s="6" t="s">
        <v>6053</v>
      </c>
      <c r="E95" s="6" t="s">
        <v>59</v>
      </c>
      <c r="F95" s="6" t="s">
        <v>9578</v>
      </c>
      <c r="G95" s="6" t="s">
        <v>9772</v>
      </c>
    </row>
    <row r="96" spans="1:7" x14ac:dyDescent="0.35">
      <c r="A96" s="6" t="s">
        <v>9771</v>
      </c>
      <c r="B96" s="6" t="s">
        <v>9770</v>
      </c>
      <c r="C96" s="6" t="s">
        <v>6072</v>
      </c>
      <c r="D96" s="6" t="s">
        <v>6053</v>
      </c>
      <c r="E96" s="6" t="s">
        <v>9769</v>
      </c>
      <c r="F96" s="6" t="s">
        <v>9554</v>
      </c>
      <c r="G96" s="6" t="s">
        <v>6146</v>
      </c>
    </row>
    <row r="97" spans="1:7" x14ac:dyDescent="0.35">
      <c r="A97" s="6" t="s">
        <v>9768</v>
      </c>
      <c r="B97" s="6" t="s">
        <v>9767</v>
      </c>
      <c r="C97" s="6" t="s">
        <v>6066</v>
      </c>
      <c r="D97" s="6" t="s">
        <v>6053</v>
      </c>
      <c r="E97" s="6" t="s">
        <v>59</v>
      </c>
      <c r="F97" s="6" t="s">
        <v>9578</v>
      </c>
      <c r="G97" s="6" t="s">
        <v>9766</v>
      </c>
    </row>
    <row r="98" spans="1:7" x14ac:dyDescent="0.35">
      <c r="A98" s="6" t="s">
        <v>9765</v>
      </c>
      <c r="B98" s="6" t="s">
        <v>9764</v>
      </c>
      <c r="C98" s="6" t="s">
        <v>6123</v>
      </c>
      <c r="D98" s="6" t="s">
        <v>6053</v>
      </c>
      <c r="E98" s="6" t="s">
        <v>59</v>
      </c>
      <c r="F98" s="6" t="s">
        <v>6143</v>
      </c>
      <c r="G98" s="6" t="s">
        <v>6146</v>
      </c>
    </row>
    <row r="99" spans="1:7" x14ac:dyDescent="0.35">
      <c r="A99" s="6" t="s">
        <v>9763</v>
      </c>
      <c r="B99" s="6" t="s">
        <v>6</v>
      </c>
      <c r="C99" s="6" t="s">
        <v>6282</v>
      </c>
      <c r="D99" s="6" t="s">
        <v>6053</v>
      </c>
      <c r="E99" s="6" t="s">
        <v>59</v>
      </c>
      <c r="F99" s="6" t="s">
        <v>6068</v>
      </c>
      <c r="G99" s="6" t="s">
        <v>9762</v>
      </c>
    </row>
    <row r="100" spans="1:7" x14ac:dyDescent="0.35">
      <c r="A100" s="6" t="s">
        <v>9761</v>
      </c>
      <c r="B100" s="6" t="s">
        <v>62</v>
      </c>
      <c r="C100" s="6" t="s">
        <v>6282</v>
      </c>
      <c r="D100" s="6" t="s">
        <v>6053</v>
      </c>
      <c r="E100" s="6" t="s">
        <v>59</v>
      </c>
      <c r="F100" s="6" t="s">
        <v>6068</v>
      </c>
      <c r="G100" s="6" t="s">
        <v>6146</v>
      </c>
    </row>
    <row r="101" spans="1:7" x14ac:dyDescent="0.35">
      <c r="A101" s="6" t="s">
        <v>6126</v>
      </c>
      <c r="B101" s="6" t="s">
        <v>9760</v>
      </c>
      <c r="C101" s="6" t="s">
        <v>6282</v>
      </c>
      <c r="D101" s="6" t="s">
        <v>6053</v>
      </c>
      <c r="E101" s="6" t="s">
        <v>59</v>
      </c>
      <c r="F101" s="6" t="s">
        <v>6108</v>
      </c>
      <c r="G101" s="6" t="s">
        <v>9759</v>
      </c>
    </row>
    <row r="102" spans="1:7" x14ac:dyDescent="0.35">
      <c r="A102" s="6" t="s">
        <v>9758</v>
      </c>
      <c r="B102" s="6" t="s">
        <v>9757</v>
      </c>
      <c r="C102" s="6" t="s">
        <v>6066</v>
      </c>
      <c r="D102" s="6" t="s">
        <v>6053</v>
      </c>
      <c r="E102" s="6" t="s">
        <v>9756</v>
      </c>
      <c r="F102" s="6" t="s">
        <v>9755</v>
      </c>
      <c r="G102" s="6" t="s">
        <v>5362</v>
      </c>
    </row>
    <row r="103" spans="1:7" x14ac:dyDescent="0.35">
      <c r="A103" s="6" t="s">
        <v>9754</v>
      </c>
      <c r="B103" s="6" t="s">
        <v>9753</v>
      </c>
      <c r="C103" s="6" t="s">
        <v>6079</v>
      </c>
      <c r="D103" s="6" t="s">
        <v>6053</v>
      </c>
      <c r="E103" s="6" t="s">
        <v>59</v>
      </c>
      <c r="F103" s="6" t="s">
        <v>9578</v>
      </c>
      <c r="G103" s="6" t="s">
        <v>6146</v>
      </c>
    </row>
    <row r="104" spans="1:7" x14ac:dyDescent="0.35">
      <c r="A104" s="6" t="s">
        <v>9752</v>
      </c>
      <c r="B104" s="6" t="s">
        <v>8</v>
      </c>
      <c r="C104" s="6" t="s">
        <v>6284</v>
      </c>
      <c r="D104" s="6" t="s">
        <v>6053</v>
      </c>
      <c r="E104" s="6" t="s">
        <v>59</v>
      </c>
      <c r="F104" s="6" t="s">
        <v>6068</v>
      </c>
      <c r="G104" s="6" t="s">
        <v>6146</v>
      </c>
    </row>
    <row r="105" spans="1:7" x14ac:dyDescent="0.35">
      <c r="A105" s="6" t="s">
        <v>9751</v>
      </c>
      <c r="B105" s="6" t="s">
        <v>9750</v>
      </c>
      <c r="C105" s="6" t="s">
        <v>6287</v>
      </c>
      <c r="D105" s="6" t="s">
        <v>9696</v>
      </c>
      <c r="E105" s="6" t="s">
        <v>6818</v>
      </c>
      <c r="F105" s="6" t="s">
        <v>9749</v>
      </c>
      <c r="G105" s="6" t="s">
        <v>6146</v>
      </c>
    </row>
    <row r="106" spans="1:7" x14ac:dyDescent="0.35">
      <c r="A106" s="6" t="s">
        <v>9748</v>
      </c>
      <c r="B106" s="6" t="s">
        <v>9747</v>
      </c>
      <c r="C106" s="6" t="s">
        <v>6287</v>
      </c>
      <c r="D106" s="6" t="s">
        <v>9696</v>
      </c>
      <c r="E106" s="6" t="s">
        <v>59</v>
      </c>
      <c r="F106" s="6" t="s">
        <v>9484</v>
      </c>
      <c r="G106" s="6" t="s">
        <v>6146</v>
      </c>
    </row>
    <row r="107" spans="1:7" x14ac:dyDescent="0.35">
      <c r="A107" s="6" t="s">
        <v>9746</v>
      </c>
      <c r="B107" s="6" t="s">
        <v>8721</v>
      </c>
      <c r="C107" s="6" t="s">
        <v>6131</v>
      </c>
      <c r="D107" s="6" t="s">
        <v>9696</v>
      </c>
      <c r="E107" s="6" t="s">
        <v>59</v>
      </c>
      <c r="F107" s="6" t="s">
        <v>44</v>
      </c>
      <c r="G107" s="6" t="s">
        <v>9745</v>
      </c>
    </row>
    <row r="108" spans="1:7" x14ac:dyDescent="0.35">
      <c r="A108" s="6" t="s">
        <v>6136</v>
      </c>
      <c r="B108" s="6" t="s">
        <v>9744</v>
      </c>
      <c r="C108" s="6" t="s">
        <v>6131</v>
      </c>
      <c r="D108" s="6" t="s">
        <v>9696</v>
      </c>
      <c r="E108" s="6" t="s">
        <v>6138</v>
      </c>
      <c r="F108" s="6" t="s">
        <v>6139</v>
      </c>
      <c r="G108" s="6" t="s">
        <v>6146</v>
      </c>
    </row>
    <row r="109" spans="1:7" x14ac:dyDescent="0.35">
      <c r="A109" s="6" t="s">
        <v>9743</v>
      </c>
      <c r="B109" s="6" t="s">
        <v>9742</v>
      </c>
      <c r="C109" s="6" t="s">
        <v>6131</v>
      </c>
      <c r="D109" s="6" t="s">
        <v>9696</v>
      </c>
      <c r="E109" s="6" t="s">
        <v>60</v>
      </c>
      <c r="F109" s="6" t="s">
        <v>5073</v>
      </c>
      <c r="G109" s="6" t="s">
        <v>9741</v>
      </c>
    </row>
    <row r="110" spans="1:7" x14ac:dyDescent="0.35">
      <c r="A110" s="6" t="s">
        <v>9740</v>
      </c>
      <c r="B110" s="6" t="s">
        <v>9739</v>
      </c>
      <c r="C110" s="6" t="s">
        <v>6066</v>
      </c>
      <c r="D110" s="6" t="s">
        <v>9696</v>
      </c>
      <c r="E110" s="6" t="s">
        <v>59</v>
      </c>
      <c r="F110" s="6" t="s">
        <v>6143</v>
      </c>
      <c r="G110" s="6" t="s">
        <v>6146</v>
      </c>
    </row>
    <row r="111" spans="1:7" x14ac:dyDescent="0.35">
      <c r="A111" s="6" t="s">
        <v>9672</v>
      </c>
      <c r="B111" s="6" t="s">
        <v>9738</v>
      </c>
      <c r="C111" s="6" t="s">
        <v>6066</v>
      </c>
      <c r="D111" s="6" t="s">
        <v>9696</v>
      </c>
      <c r="E111" s="6" t="s">
        <v>59</v>
      </c>
      <c r="F111" s="6" t="s">
        <v>9484</v>
      </c>
      <c r="G111" s="6" t="s">
        <v>6146</v>
      </c>
    </row>
    <row r="112" spans="1:7" x14ac:dyDescent="0.35">
      <c r="A112" s="6" t="s">
        <v>6145</v>
      </c>
      <c r="B112" s="6" t="s">
        <v>37</v>
      </c>
      <c r="C112" s="6" t="s">
        <v>6072</v>
      </c>
      <c r="D112" s="6" t="s">
        <v>9696</v>
      </c>
      <c r="E112" s="6" t="s">
        <v>59</v>
      </c>
      <c r="F112" s="6" t="s">
        <v>6108</v>
      </c>
      <c r="G112" s="6" t="s">
        <v>6146</v>
      </c>
    </row>
    <row r="113" spans="1:7" x14ac:dyDescent="0.35">
      <c r="A113" s="6" t="s">
        <v>9737</v>
      </c>
      <c r="B113" s="6" t="s">
        <v>9736</v>
      </c>
      <c r="C113" s="6" t="s">
        <v>6072</v>
      </c>
      <c r="D113" s="6" t="s">
        <v>9696</v>
      </c>
      <c r="E113" s="6" t="s">
        <v>59</v>
      </c>
      <c r="F113" s="6" t="s">
        <v>9578</v>
      </c>
      <c r="G113" s="6" t="s">
        <v>6146</v>
      </c>
    </row>
    <row r="114" spans="1:7" x14ac:dyDescent="0.35">
      <c r="A114" s="6" t="s">
        <v>9735</v>
      </c>
      <c r="B114" s="6" t="s">
        <v>9734</v>
      </c>
      <c r="C114" s="6" t="s">
        <v>6066</v>
      </c>
      <c r="D114" s="6" t="s">
        <v>9696</v>
      </c>
      <c r="E114" s="6" t="s">
        <v>59</v>
      </c>
      <c r="F114" s="6" t="s">
        <v>9578</v>
      </c>
      <c r="G114" s="6" t="s">
        <v>6146</v>
      </c>
    </row>
    <row r="115" spans="1:7" x14ac:dyDescent="0.35">
      <c r="A115" s="6" t="s">
        <v>9733</v>
      </c>
      <c r="B115" s="6" t="s">
        <v>9732</v>
      </c>
      <c r="C115" s="6" t="s">
        <v>6072</v>
      </c>
      <c r="D115" s="6" t="s">
        <v>9696</v>
      </c>
      <c r="E115" s="6" t="s">
        <v>59</v>
      </c>
      <c r="F115" s="6" t="s">
        <v>9578</v>
      </c>
      <c r="G115" s="6" t="s">
        <v>6146</v>
      </c>
    </row>
    <row r="116" spans="1:7" x14ac:dyDescent="0.35">
      <c r="A116" s="6" t="s">
        <v>9731</v>
      </c>
      <c r="B116" s="6" t="s">
        <v>9730</v>
      </c>
      <c r="C116" s="6" t="s">
        <v>6066</v>
      </c>
      <c r="D116" s="6" t="s">
        <v>9696</v>
      </c>
      <c r="E116" s="6" t="s">
        <v>9729</v>
      </c>
      <c r="F116" s="6" t="s">
        <v>9728</v>
      </c>
      <c r="G116" s="6" t="s">
        <v>6146</v>
      </c>
    </row>
    <row r="117" spans="1:7" x14ac:dyDescent="0.35">
      <c r="A117" s="6" t="s">
        <v>9727</v>
      </c>
      <c r="B117" s="6" t="s">
        <v>9726</v>
      </c>
      <c r="C117" s="6" t="s">
        <v>1211</v>
      </c>
      <c r="D117" s="6" t="s">
        <v>9696</v>
      </c>
      <c r="E117" s="6" t="s">
        <v>59</v>
      </c>
      <c r="F117" s="6" t="s">
        <v>9725</v>
      </c>
      <c r="G117" s="6" t="s">
        <v>6146</v>
      </c>
    </row>
    <row r="118" spans="1:7" x14ac:dyDescent="0.35">
      <c r="A118" s="6" t="s">
        <v>9724</v>
      </c>
      <c r="B118" s="6" t="s">
        <v>9723</v>
      </c>
      <c r="C118" s="6" t="s">
        <v>1589</v>
      </c>
      <c r="D118" s="6" t="s">
        <v>9696</v>
      </c>
      <c r="E118" s="6" t="s">
        <v>59</v>
      </c>
      <c r="F118" s="6" t="s">
        <v>9578</v>
      </c>
      <c r="G118" s="6" t="s">
        <v>9722</v>
      </c>
    </row>
    <row r="119" spans="1:7" x14ac:dyDescent="0.35">
      <c r="A119" s="6" t="s">
        <v>9721</v>
      </c>
      <c r="B119" s="6" t="s">
        <v>9720</v>
      </c>
      <c r="C119" s="6" t="s">
        <v>1589</v>
      </c>
      <c r="D119" s="6" t="s">
        <v>9696</v>
      </c>
      <c r="E119" s="6" t="s">
        <v>59</v>
      </c>
      <c r="F119" s="6" t="s">
        <v>9719</v>
      </c>
      <c r="G119" s="6" t="s">
        <v>9718</v>
      </c>
    </row>
    <row r="120" spans="1:7" x14ac:dyDescent="0.35">
      <c r="A120" s="6" t="s">
        <v>9717</v>
      </c>
      <c r="B120" s="6" t="s">
        <v>9716</v>
      </c>
      <c r="C120" s="6" t="s">
        <v>1589</v>
      </c>
      <c r="D120" s="6" t="s">
        <v>9696</v>
      </c>
      <c r="E120" s="6" t="s">
        <v>59</v>
      </c>
      <c r="F120" s="6" t="s">
        <v>9578</v>
      </c>
      <c r="G120" s="6" t="s">
        <v>9715</v>
      </c>
    </row>
    <row r="121" spans="1:7" x14ac:dyDescent="0.35">
      <c r="A121" s="6" t="s">
        <v>9714</v>
      </c>
      <c r="B121" s="6" t="s">
        <v>38</v>
      </c>
      <c r="C121" s="6" t="s">
        <v>1211</v>
      </c>
      <c r="D121" s="6" t="s">
        <v>9696</v>
      </c>
      <c r="E121" s="6" t="s">
        <v>59</v>
      </c>
      <c r="F121" s="6" t="s">
        <v>6068</v>
      </c>
      <c r="G121" s="6" t="s">
        <v>6146</v>
      </c>
    </row>
    <row r="122" spans="1:7" x14ac:dyDescent="0.35">
      <c r="A122" s="6" t="s">
        <v>9713</v>
      </c>
      <c r="B122" s="6" t="s">
        <v>9712</v>
      </c>
      <c r="C122" s="6" t="s">
        <v>1211</v>
      </c>
      <c r="D122" s="6" t="s">
        <v>9696</v>
      </c>
      <c r="E122" s="6" t="s">
        <v>59</v>
      </c>
      <c r="F122" s="6" t="s">
        <v>9578</v>
      </c>
      <c r="G122" s="6" t="s">
        <v>9711</v>
      </c>
    </row>
    <row r="123" spans="1:7" x14ac:dyDescent="0.35">
      <c r="A123" s="6" t="s">
        <v>9710</v>
      </c>
      <c r="B123" s="6" t="s">
        <v>9709</v>
      </c>
      <c r="C123" s="6" t="s">
        <v>6519</v>
      </c>
      <c r="D123" s="6" t="s">
        <v>9696</v>
      </c>
      <c r="E123" s="6" t="s">
        <v>59</v>
      </c>
      <c r="F123" s="6" t="s">
        <v>9708</v>
      </c>
      <c r="G123" s="6" t="s">
        <v>9707</v>
      </c>
    </row>
    <row r="124" spans="1:7" x14ac:dyDescent="0.35">
      <c r="A124" s="6" t="s">
        <v>9706</v>
      </c>
      <c r="B124" s="6" t="s">
        <v>9705</v>
      </c>
      <c r="C124" s="6" t="s">
        <v>6519</v>
      </c>
      <c r="D124" s="6" t="s">
        <v>9696</v>
      </c>
      <c r="E124" s="6" t="s">
        <v>59</v>
      </c>
      <c r="F124" s="6" t="s">
        <v>9578</v>
      </c>
      <c r="G124" s="6" t="s">
        <v>9704</v>
      </c>
    </row>
    <row r="125" spans="1:7" x14ac:dyDescent="0.35">
      <c r="A125" s="6" t="s">
        <v>9703</v>
      </c>
      <c r="B125" s="6" t="s">
        <v>9702</v>
      </c>
      <c r="C125" s="6" t="s">
        <v>6153</v>
      </c>
      <c r="D125" s="6" t="s">
        <v>9696</v>
      </c>
      <c r="E125" s="6" t="s">
        <v>59</v>
      </c>
      <c r="F125" s="6" t="s">
        <v>9701</v>
      </c>
      <c r="G125" s="6" t="s">
        <v>6146</v>
      </c>
    </row>
    <row r="126" spans="1:7" x14ac:dyDescent="0.35">
      <c r="A126" s="6" t="s">
        <v>9700</v>
      </c>
      <c r="B126" s="6" t="s">
        <v>9699</v>
      </c>
      <c r="C126" s="6" t="s">
        <v>6519</v>
      </c>
      <c r="D126" s="6" t="s">
        <v>9696</v>
      </c>
      <c r="E126" s="6" t="s">
        <v>59</v>
      </c>
      <c r="F126" s="6" t="s">
        <v>9578</v>
      </c>
      <c r="G126" s="6" t="s">
        <v>6146</v>
      </c>
    </row>
    <row r="127" spans="1:7" x14ac:dyDescent="0.35">
      <c r="A127" s="6" t="s">
        <v>9698</v>
      </c>
      <c r="B127" s="6" t="s">
        <v>9697</v>
      </c>
      <c r="C127" s="6" t="s">
        <v>1589</v>
      </c>
      <c r="D127" s="6" t="s">
        <v>9696</v>
      </c>
      <c r="E127" s="6" t="s">
        <v>59</v>
      </c>
      <c r="F127" s="6" t="s">
        <v>9578</v>
      </c>
      <c r="G127" s="6" t="s">
        <v>9695</v>
      </c>
    </row>
    <row r="128" spans="1:7" x14ac:dyDescent="0.35">
      <c r="A128" s="6" t="s">
        <v>9694</v>
      </c>
      <c r="B128" s="6" t="s">
        <v>9693</v>
      </c>
      <c r="C128" s="6" t="s">
        <v>6519</v>
      </c>
      <c r="D128" s="6" t="s">
        <v>9692</v>
      </c>
      <c r="E128" s="6" t="s">
        <v>59</v>
      </c>
      <c r="F128" s="6" t="s">
        <v>9578</v>
      </c>
      <c r="G128" s="6" t="s">
        <v>9691</v>
      </c>
    </row>
    <row r="129" spans="1:7" x14ac:dyDescent="0.35">
      <c r="A129" s="6" t="s">
        <v>9690</v>
      </c>
      <c r="B129" s="6" t="s">
        <v>9689</v>
      </c>
      <c r="C129" s="6" t="s">
        <v>6153</v>
      </c>
      <c r="D129" s="6" t="s">
        <v>6149</v>
      </c>
      <c r="E129" s="6" t="s">
        <v>59</v>
      </c>
      <c r="F129" s="6" t="s">
        <v>6092</v>
      </c>
      <c r="G129" s="6" t="s">
        <v>6146</v>
      </c>
    </row>
    <row r="130" spans="1:7" x14ac:dyDescent="0.35">
      <c r="A130" s="6" t="s">
        <v>9688</v>
      </c>
      <c r="B130" s="6" t="s">
        <v>9687</v>
      </c>
      <c r="C130" s="6" t="s">
        <v>1211</v>
      </c>
      <c r="D130" s="6" t="s">
        <v>6149</v>
      </c>
      <c r="E130" s="6" t="s">
        <v>9596</v>
      </c>
      <c r="F130" s="6" t="s">
        <v>9595</v>
      </c>
      <c r="G130" s="6" t="s">
        <v>6146</v>
      </c>
    </row>
    <row r="131" spans="1:7" x14ac:dyDescent="0.35">
      <c r="A131" s="6" t="s">
        <v>6435</v>
      </c>
      <c r="B131" s="6" t="s">
        <v>11</v>
      </c>
      <c r="C131" s="6" t="s">
        <v>6434</v>
      </c>
      <c r="D131" s="6" t="s">
        <v>6149</v>
      </c>
      <c r="E131" s="6" t="s">
        <v>59</v>
      </c>
      <c r="F131" s="6" t="s">
        <v>6068</v>
      </c>
      <c r="G131" s="6" t="s">
        <v>9686</v>
      </c>
    </row>
    <row r="132" spans="1:7" x14ac:dyDescent="0.35">
      <c r="A132" s="6" t="s">
        <v>9685</v>
      </c>
      <c r="B132" s="6" t="s">
        <v>9684</v>
      </c>
      <c r="C132" s="6" t="s">
        <v>6519</v>
      </c>
      <c r="D132" s="6" t="s">
        <v>6149</v>
      </c>
      <c r="E132" s="6" t="s">
        <v>59</v>
      </c>
      <c r="F132" s="6" t="s">
        <v>9578</v>
      </c>
      <c r="G132" s="6" t="s">
        <v>6146</v>
      </c>
    </row>
    <row r="133" spans="1:7" x14ac:dyDescent="0.35">
      <c r="A133" s="6" t="s">
        <v>9683</v>
      </c>
      <c r="B133" s="6" t="s">
        <v>9682</v>
      </c>
      <c r="C133" s="6" t="s">
        <v>6519</v>
      </c>
      <c r="D133" s="6" t="s">
        <v>6149</v>
      </c>
      <c r="E133" s="6" t="s">
        <v>59</v>
      </c>
      <c r="F133" s="6" t="s">
        <v>9578</v>
      </c>
      <c r="G133" s="6" t="s">
        <v>9681</v>
      </c>
    </row>
    <row r="134" spans="1:7" x14ac:dyDescent="0.35">
      <c r="A134" s="6" t="s">
        <v>9680</v>
      </c>
      <c r="B134" s="6" t="s">
        <v>9679</v>
      </c>
      <c r="C134" s="6" t="s">
        <v>6519</v>
      </c>
      <c r="D134" s="6" t="s">
        <v>6149</v>
      </c>
      <c r="E134" s="6" t="s">
        <v>59</v>
      </c>
      <c r="F134" s="6" t="s">
        <v>9678</v>
      </c>
      <c r="G134" s="6" t="s">
        <v>6146</v>
      </c>
    </row>
    <row r="135" spans="1:7" x14ac:dyDescent="0.35">
      <c r="A135" s="6" t="s">
        <v>9677</v>
      </c>
      <c r="B135" s="6" t="s">
        <v>9676</v>
      </c>
      <c r="C135" s="6" t="s">
        <v>6519</v>
      </c>
      <c r="D135" s="6" t="s">
        <v>6149</v>
      </c>
      <c r="E135" s="6" t="s">
        <v>59</v>
      </c>
      <c r="F135" s="6" t="s">
        <v>9578</v>
      </c>
      <c r="G135" s="6" t="s">
        <v>9675</v>
      </c>
    </row>
    <row r="136" spans="1:7" x14ac:dyDescent="0.35">
      <c r="A136" s="6" t="s">
        <v>9674</v>
      </c>
      <c r="B136" s="6" t="s">
        <v>9673</v>
      </c>
      <c r="C136" s="6" t="s">
        <v>6519</v>
      </c>
      <c r="D136" s="6" t="s">
        <v>6149</v>
      </c>
      <c r="E136" s="6" t="s">
        <v>59</v>
      </c>
      <c r="F136" s="6" t="s">
        <v>9578</v>
      </c>
      <c r="G136" s="6" t="s">
        <v>6146</v>
      </c>
    </row>
    <row r="137" spans="1:7" x14ac:dyDescent="0.35">
      <c r="A137" s="6" t="s">
        <v>9672</v>
      </c>
      <c r="B137" s="6" t="s">
        <v>9671</v>
      </c>
      <c r="C137" s="6" t="s">
        <v>9668</v>
      </c>
      <c r="D137" s="6" t="s">
        <v>6149</v>
      </c>
      <c r="E137" s="6" t="s">
        <v>59</v>
      </c>
      <c r="F137" s="6" t="s">
        <v>9484</v>
      </c>
      <c r="G137" s="6" t="s">
        <v>6146</v>
      </c>
    </row>
    <row r="138" spans="1:7" x14ac:dyDescent="0.35">
      <c r="A138" s="6" t="s">
        <v>9670</v>
      </c>
      <c r="B138" s="6" t="s">
        <v>9669</v>
      </c>
      <c r="C138" s="6" t="s">
        <v>9668</v>
      </c>
      <c r="D138" s="6" t="s">
        <v>6149</v>
      </c>
      <c r="E138" s="6" t="s">
        <v>59</v>
      </c>
      <c r="F138" s="6" t="s">
        <v>9578</v>
      </c>
      <c r="G138" s="6" t="s">
        <v>6146</v>
      </c>
    </row>
    <row r="139" spans="1:7" x14ac:dyDescent="0.35">
      <c r="A139" s="6" t="s">
        <v>6306</v>
      </c>
      <c r="B139" s="6" t="s">
        <v>6098</v>
      </c>
      <c r="C139" s="6" t="s">
        <v>865</v>
      </c>
      <c r="D139" s="6" t="s">
        <v>6149</v>
      </c>
      <c r="E139" s="6" t="s">
        <v>59</v>
      </c>
      <c r="F139" s="6" t="s">
        <v>6068</v>
      </c>
      <c r="G139" s="6" t="s">
        <v>6146</v>
      </c>
    </row>
    <row r="140" spans="1:7" x14ac:dyDescent="0.35">
      <c r="A140" s="6" t="s">
        <v>9667</v>
      </c>
      <c r="B140" s="6" t="s">
        <v>6430</v>
      </c>
      <c r="C140" s="6" t="s">
        <v>865</v>
      </c>
      <c r="D140" s="6" t="s">
        <v>6149</v>
      </c>
      <c r="E140" s="6" t="s">
        <v>59</v>
      </c>
      <c r="F140" s="6" t="s">
        <v>9666</v>
      </c>
      <c r="G140" s="6" t="s">
        <v>6146</v>
      </c>
    </row>
    <row r="141" spans="1:7" x14ac:dyDescent="0.35">
      <c r="A141" s="6" t="s">
        <v>9665</v>
      </c>
      <c r="B141" s="6" t="s">
        <v>9664</v>
      </c>
      <c r="C141" s="6" t="s">
        <v>865</v>
      </c>
      <c r="D141" s="6" t="s">
        <v>6149</v>
      </c>
      <c r="E141" s="6" t="s">
        <v>59</v>
      </c>
      <c r="F141" s="6" t="s">
        <v>9578</v>
      </c>
      <c r="G141" s="6" t="s">
        <v>6146</v>
      </c>
    </row>
    <row r="142" spans="1:7" x14ac:dyDescent="0.35">
      <c r="A142" s="6" t="s">
        <v>9663</v>
      </c>
      <c r="B142" s="6" t="s">
        <v>9662</v>
      </c>
      <c r="C142" s="6" t="s">
        <v>6153</v>
      </c>
      <c r="D142" s="6" t="s">
        <v>6149</v>
      </c>
      <c r="E142" s="6" t="s">
        <v>9661</v>
      </c>
      <c r="F142" s="6" t="s">
        <v>9660</v>
      </c>
      <c r="G142" s="6" t="s">
        <v>6146</v>
      </c>
    </row>
    <row r="143" spans="1:7" x14ac:dyDescent="0.35">
      <c r="A143" s="6" t="s">
        <v>9659</v>
      </c>
      <c r="B143" s="6" t="s">
        <v>9658</v>
      </c>
      <c r="C143" s="6" t="s">
        <v>1211</v>
      </c>
      <c r="D143" s="6" t="s">
        <v>6149</v>
      </c>
      <c r="E143" s="6" t="s">
        <v>59</v>
      </c>
      <c r="F143" s="6" t="s">
        <v>9657</v>
      </c>
      <c r="G143" s="6" t="s">
        <v>9656</v>
      </c>
    </row>
    <row r="144" spans="1:7" x14ac:dyDescent="0.35">
      <c r="A144" s="6" t="s">
        <v>9655</v>
      </c>
      <c r="B144" s="6" t="s">
        <v>9654</v>
      </c>
      <c r="C144" s="6" t="s">
        <v>1211</v>
      </c>
      <c r="D144" s="6" t="s">
        <v>6149</v>
      </c>
      <c r="E144" s="6" t="s">
        <v>59</v>
      </c>
      <c r="F144" s="6" t="s">
        <v>9653</v>
      </c>
      <c r="G144" s="6" t="s">
        <v>9652</v>
      </c>
    </row>
    <row r="145" spans="1:7" x14ac:dyDescent="0.35">
      <c r="A145" s="6" t="s">
        <v>9651</v>
      </c>
      <c r="B145" s="6" t="s">
        <v>9650</v>
      </c>
      <c r="C145" s="6" t="s">
        <v>1211</v>
      </c>
      <c r="D145" s="6" t="s">
        <v>6149</v>
      </c>
      <c r="E145" s="6" t="s">
        <v>9649</v>
      </c>
      <c r="F145" s="6" t="s">
        <v>9411</v>
      </c>
      <c r="G145" s="6" t="s">
        <v>6509</v>
      </c>
    </row>
    <row r="146" spans="1:7" x14ac:dyDescent="0.35">
      <c r="A146" s="6" t="s">
        <v>9648</v>
      </c>
      <c r="B146" s="6" t="s">
        <v>6634</v>
      </c>
      <c r="C146" s="6" t="s">
        <v>1211</v>
      </c>
      <c r="D146" s="6" t="s">
        <v>6149</v>
      </c>
      <c r="E146" s="6" t="s">
        <v>60</v>
      </c>
      <c r="F146" s="6" t="s">
        <v>5073</v>
      </c>
      <c r="G146" s="6" t="s">
        <v>6146</v>
      </c>
    </row>
    <row r="147" spans="1:7" x14ac:dyDescent="0.35">
      <c r="A147" s="6" t="s">
        <v>9647</v>
      </c>
      <c r="B147" s="6" t="s">
        <v>9646</v>
      </c>
      <c r="C147" s="6" t="s">
        <v>1589</v>
      </c>
      <c r="D147" s="6" t="s">
        <v>6149</v>
      </c>
      <c r="E147" s="6" t="s">
        <v>59</v>
      </c>
      <c r="F147" s="6" t="s">
        <v>8577</v>
      </c>
      <c r="G147" s="6" t="s">
        <v>9645</v>
      </c>
    </row>
    <row r="148" spans="1:7" x14ac:dyDescent="0.35">
      <c r="A148" s="6" t="s">
        <v>9644</v>
      </c>
      <c r="B148" s="6" t="s">
        <v>9643</v>
      </c>
      <c r="C148" s="6" t="s">
        <v>6153</v>
      </c>
      <c r="D148" s="6" t="s">
        <v>6149</v>
      </c>
      <c r="E148" s="6" t="s">
        <v>59</v>
      </c>
      <c r="F148" s="6" t="s">
        <v>6080</v>
      </c>
      <c r="G148" s="6" t="s">
        <v>6146</v>
      </c>
    </row>
    <row r="149" spans="1:7" x14ac:dyDescent="0.35">
      <c r="A149" s="6" t="s">
        <v>9642</v>
      </c>
      <c r="B149" s="6" t="s">
        <v>9641</v>
      </c>
      <c r="C149" s="6" t="s">
        <v>1589</v>
      </c>
      <c r="D149" s="6" t="s">
        <v>6149</v>
      </c>
      <c r="E149" s="6" t="s">
        <v>9640</v>
      </c>
      <c r="F149" s="6" t="s">
        <v>9627</v>
      </c>
      <c r="G149" s="6" t="s">
        <v>6146</v>
      </c>
    </row>
    <row r="150" spans="1:7" x14ac:dyDescent="0.35">
      <c r="A150" s="6" t="s">
        <v>9639</v>
      </c>
      <c r="B150" s="6" t="s">
        <v>9638</v>
      </c>
      <c r="C150" s="6" t="s">
        <v>1589</v>
      </c>
      <c r="D150" s="6" t="s">
        <v>6149</v>
      </c>
      <c r="E150" s="6" t="s">
        <v>59</v>
      </c>
      <c r="F150" s="6" t="s">
        <v>9578</v>
      </c>
      <c r="G150" s="6" t="s">
        <v>6146</v>
      </c>
    </row>
    <row r="151" spans="1:7" x14ac:dyDescent="0.35">
      <c r="A151" s="6" t="s">
        <v>9637</v>
      </c>
      <c r="B151" s="6" t="s">
        <v>9636</v>
      </c>
      <c r="C151" s="6" t="s">
        <v>1589</v>
      </c>
      <c r="D151" s="6" t="s">
        <v>6149</v>
      </c>
      <c r="E151" s="6" t="s">
        <v>59</v>
      </c>
      <c r="F151" s="6" t="s">
        <v>9578</v>
      </c>
      <c r="G151" s="6" t="s">
        <v>9635</v>
      </c>
    </row>
    <row r="152" spans="1:7" x14ac:dyDescent="0.35">
      <c r="A152" s="6" t="s">
        <v>9634</v>
      </c>
      <c r="B152" s="6" t="s">
        <v>9633</v>
      </c>
      <c r="C152" s="6" t="s">
        <v>1589</v>
      </c>
      <c r="D152" s="6" t="s">
        <v>6149</v>
      </c>
      <c r="E152" s="6" t="s">
        <v>59</v>
      </c>
      <c r="F152" s="6" t="s">
        <v>9578</v>
      </c>
      <c r="G152" s="6" t="s">
        <v>6146</v>
      </c>
    </row>
    <row r="153" spans="1:7" x14ac:dyDescent="0.35">
      <c r="A153" s="6" t="s">
        <v>9632</v>
      </c>
      <c r="B153" s="6" t="s">
        <v>9631</v>
      </c>
      <c r="C153" s="6" t="s">
        <v>1589</v>
      </c>
      <c r="D153" s="6" t="s">
        <v>6149</v>
      </c>
      <c r="E153" s="6" t="s">
        <v>9623</v>
      </c>
      <c r="F153" s="6" t="s">
        <v>9627</v>
      </c>
      <c r="G153" s="6" t="s">
        <v>6146</v>
      </c>
    </row>
    <row r="154" spans="1:7" x14ac:dyDescent="0.35">
      <c r="A154" s="6" t="s">
        <v>9630</v>
      </c>
      <c r="B154" s="6" t="s">
        <v>9629</v>
      </c>
      <c r="C154" s="6" t="s">
        <v>1589</v>
      </c>
      <c r="D154" s="6" t="s">
        <v>6149</v>
      </c>
      <c r="E154" s="6" t="s">
        <v>9628</v>
      </c>
      <c r="F154" s="6" t="s">
        <v>9627</v>
      </c>
      <c r="G154" s="6" t="s">
        <v>9626</v>
      </c>
    </row>
    <row r="155" spans="1:7" x14ac:dyDescent="0.35">
      <c r="A155" s="6" t="s">
        <v>9625</v>
      </c>
      <c r="B155" s="6" t="s">
        <v>9624</v>
      </c>
      <c r="C155" s="6" t="s">
        <v>1589</v>
      </c>
      <c r="D155" s="6" t="s">
        <v>6149</v>
      </c>
      <c r="E155" s="6" t="s">
        <v>9623</v>
      </c>
      <c r="F155" s="6" t="s">
        <v>9578</v>
      </c>
      <c r="G155" s="6" t="s">
        <v>9622</v>
      </c>
    </row>
    <row r="156" spans="1:7" x14ac:dyDescent="0.35">
      <c r="A156" s="6" t="s">
        <v>9621</v>
      </c>
      <c r="B156" s="6" t="s">
        <v>9620</v>
      </c>
      <c r="C156" s="6" t="s">
        <v>1589</v>
      </c>
      <c r="D156" s="6" t="s">
        <v>6149</v>
      </c>
      <c r="E156" s="6" t="s">
        <v>59</v>
      </c>
      <c r="F156" s="6" t="s">
        <v>9578</v>
      </c>
      <c r="G156" s="6" t="s">
        <v>9619</v>
      </c>
    </row>
    <row r="157" spans="1:7" x14ac:dyDescent="0.35">
      <c r="A157" s="6" t="s">
        <v>9618</v>
      </c>
      <c r="B157" s="6" t="s">
        <v>9617</v>
      </c>
      <c r="C157" s="6" t="s">
        <v>1589</v>
      </c>
      <c r="D157" s="6" t="s">
        <v>6149</v>
      </c>
      <c r="E157" s="6" t="s">
        <v>59</v>
      </c>
      <c r="F157" s="6" t="s">
        <v>9616</v>
      </c>
      <c r="G157" s="6" t="s">
        <v>6146</v>
      </c>
    </row>
    <row r="158" spans="1:7" x14ac:dyDescent="0.35">
      <c r="A158" s="6" t="s">
        <v>9615</v>
      </c>
      <c r="B158" s="6" t="s">
        <v>9614</v>
      </c>
      <c r="C158" s="6" t="s">
        <v>1589</v>
      </c>
      <c r="D158" s="6" t="s">
        <v>6149</v>
      </c>
      <c r="E158" s="6" t="s">
        <v>9613</v>
      </c>
      <c r="F158" s="6" t="s">
        <v>9612</v>
      </c>
      <c r="G158" s="6" t="s">
        <v>6146</v>
      </c>
    </row>
    <row r="159" spans="1:7" x14ac:dyDescent="0.35">
      <c r="A159" s="6" t="s">
        <v>9611</v>
      </c>
      <c r="B159" s="6" t="s">
        <v>9610</v>
      </c>
      <c r="C159" s="6" t="s">
        <v>1589</v>
      </c>
      <c r="D159" s="6" t="s">
        <v>6149</v>
      </c>
      <c r="E159" s="6" t="s">
        <v>59</v>
      </c>
      <c r="F159" s="6" t="s">
        <v>9484</v>
      </c>
      <c r="G159" s="6" t="s">
        <v>9609</v>
      </c>
    </row>
    <row r="160" spans="1:7" x14ac:dyDescent="0.35">
      <c r="A160" s="6" t="s">
        <v>9608</v>
      </c>
      <c r="B160" s="6" t="s">
        <v>9607</v>
      </c>
      <c r="C160" s="6" t="s">
        <v>1351</v>
      </c>
      <c r="D160" s="6" t="s">
        <v>6149</v>
      </c>
      <c r="E160" s="6" t="s">
        <v>59</v>
      </c>
      <c r="F160" s="6" t="s">
        <v>9606</v>
      </c>
      <c r="G160" s="6" t="s">
        <v>9605</v>
      </c>
    </row>
    <row r="161" spans="1:7" x14ac:dyDescent="0.35">
      <c r="A161" s="6" t="s">
        <v>9604</v>
      </c>
      <c r="B161" s="6" t="s">
        <v>9603</v>
      </c>
      <c r="C161" s="6" t="s">
        <v>1351</v>
      </c>
      <c r="D161" s="6" t="s">
        <v>6149</v>
      </c>
      <c r="E161" s="6" t="s">
        <v>59</v>
      </c>
      <c r="F161" s="6" t="s">
        <v>9578</v>
      </c>
      <c r="G161" s="6" t="s">
        <v>6146</v>
      </c>
    </row>
    <row r="162" spans="1:7" x14ac:dyDescent="0.35">
      <c r="A162" s="6" t="s">
        <v>9602</v>
      </c>
      <c r="B162" s="6" t="s">
        <v>9601</v>
      </c>
      <c r="C162" s="6" t="s">
        <v>1351</v>
      </c>
      <c r="D162" s="6" t="s">
        <v>6149</v>
      </c>
      <c r="E162" s="6" t="s">
        <v>59</v>
      </c>
      <c r="F162" s="6" t="s">
        <v>9578</v>
      </c>
      <c r="G162" s="6" t="s">
        <v>6146</v>
      </c>
    </row>
    <row r="163" spans="1:7" x14ac:dyDescent="0.35">
      <c r="A163" s="6" t="s">
        <v>9600</v>
      </c>
      <c r="B163" s="6" t="s">
        <v>9599</v>
      </c>
      <c r="C163" s="6" t="s">
        <v>1351</v>
      </c>
      <c r="D163" s="6" t="s">
        <v>6149</v>
      </c>
      <c r="E163" s="6" t="s">
        <v>59</v>
      </c>
      <c r="F163" s="6" t="s">
        <v>9578</v>
      </c>
      <c r="G163" s="6" t="s">
        <v>4934</v>
      </c>
    </row>
    <row r="164" spans="1:7" x14ac:dyDescent="0.35">
      <c r="A164" s="6" t="s">
        <v>9598</v>
      </c>
      <c r="B164" s="6" t="s">
        <v>9597</v>
      </c>
      <c r="C164" s="6" t="s">
        <v>1211</v>
      </c>
      <c r="D164" s="6" t="s">
        <v>6149</v>
      </c>
      <c r="E164" s="6" t="s">
        <v>9596</v>
      </c>
      <c r="F164" s="6" t="s">
        <v>9595</v>
      </c>
      <c r="G164" s="6" t="s">
        <v>6146</v>
      </c>
    </row>
    <row r="165" spans="1:7" x14ac:dyDescent="0.35">
      <c r="A165" s="6" t="s">
        <v>9594</v>
      </c>
      <c r="B165" s="6" t="s">
        <v>9593</v>
      </c>
      <c r="C165" s="6" t="s">
        <v>1211</v>
      </c>
      <c r="D165" s="6" t="s">
        <v>6149</v>
      </c>
      <c r="E165" s="6" t="s">
        <v>9524</v>
      </c>
      <c r="F165" s="6" t="s">
        <v>9592</v>
      </c>
      <c r="G165" s="6" t="s">
        <v>6146</v>
      </c>
    </row>
    <row r="166" spans="1:7" x14ac:dyDescent="0.35">
      <c r="A166" s="6" t="s">
        <v>9591</v>
      </c>
      <c r="B166" s="6" t="s">
        <v>9590</v>
      </c>
      <c r="C166" s="6" t="s">
        <v>1211</v>
      </c>
      <c r="D166" s="6" t="s">
        <v>6149</v>
      </c>
      <c r="E166" s="6" t="s">
        <v>9589</v>
      </c>
      <c r="F166" s="6" t="s">
        <v>9393</v>
      </c>
      <c r="G166" s="6" t="s">
        <v>6146</v>
      </c>
    </row>
    <row r="167" spans="1:7" x14ac:dyDescent="0.35">
      <c r="A167" s="6" t="s">
        <v>9588</v>
      </c>
      <c r="B167" s="6" t="s">
        <v>9587</v>
      </c>
      <c r="C167" s="6" t="s">
        <v>9577</v>
      </c>
      <c r="D167" s="6" t="s">
        <v>6149</v>
      </c>
      <c r="E167" s="6" t="s">
        <v>59</v>
      </c>
      <c r="F167" s="6" t="s">
        <v>9586</v>
      </c>
      <c r="G167" s="6" t="s">
        <v>6146</v>
      </c>
    </row>
    <row r="168" spans="1:7" x14ac:dyDescent="0.35">
      <c r="A168" s="6" t="s">
        <v>9585</v>
      </c>
      <c r="B168" s="6" t="s">
        <v>9584</v>
      </c>
      <c r="C168" s="6" t="s">
        <v>9577</v>
      </c>
      <c r="D168" s="6" t="s">
        <v>6149</v>
      </c>
      <c r="E168" s="6" t="s">
        <v>59</v>
      </c>
      <c r="F168" s="6" t="s">
        <v>9484</v>
      </c>
      <c r="G168" s="6" t="s">
        <v>9583</v>
      </c>
    </row>
    <row r="169" spans="1:7" x14ac:dyDescent="0.35">
      <c r="A169" s="6" t="s">
        <v>6162</v>
      </c>
      <c r="B169" s="6" t="s">
        <v>7038</v>
      </c>
      <c r="C169" s="6" t="s">
        <v>9577</v>
      </c>
      <c r="D169" s="6" t="s">
        <v>6149</v>
      </c>
      <c r="E169" s="6" t="s">
        <v>59</v>
      </c>
      <c r="F169" s="6" t="s">
        <v>6164</v>
      </c>
      <c r="G169" s="6" t="s">
        <v>9582</v>
      </c>
    </row>
    <row r="170" spans="1:7" x14ac:dyDescent="0.35">
      <c r="A170" s="6" t="s">
        <v>6166</v>
      </c>
      <c r="B170" s="6" t="s">
        <v>9581</v>
      </c>
      <c r="C170" s="6" t="s">
        <v>9577</v>
      </c>
      <c r="D170" s="6" t="s">
        <v>6149</v>
      </c>
      <c r="E170" s="6" t="s">
        <v>59</v>
      </c>
      <c r="F170" s="6" t="s">
        <v>9484</v>
      </c>
      <c r="G170" s="6" t="s">
        <v>5866</v>
      </c>
    </row>
    <row r="171" spans="1:7" x14ac:dyDescent="0.35">
      <c r="A171" s="6" t="s">
        <v>9580</v>
      </c>
      <c r="B171" s="6" t="s">
        <v>9579</v>
      </c>
      <c r="C171" s="6" t="s">
        <v>9577</v>
      </c>
      <c r="D171" s="6" t="s">
        <v>6149</v>
      </c>
      <c r="E171" s="6" t="s">
        <v>59</v>
      </c>
      <c r="F171" s="6" t="s">
        <v>9578</v>
      </c>
      <c r="G171" s="6" t="s">
        <v>6146</v>
      </c>
    </row>
    <row r="172" spans="1:7" x14ac:dyDescent="0.35">
      <c r="A172" s="6" t="s">
        <v>6661</v>
      </c>
      <c r="B172" s="6" t="s">
        <v>6662</v>
      </c>
      <c r="C172" s="6" t="s">
        <v>9577</v>
      </c>
      <c r="D172" s="6" t="s">
        <v>6149</v>
      </c>
      <c r="E172" s="6" t="s">
        <v>59</v>
      </c>
      <c r="F172" s="6" t="s">
        <v>9576</v>
      </c>
      <c r="G172" s="6" t="s">
        <v>6146</v>
      </c>
    </row>
    <row r="173" spans="1:7" x14ac:dyDescent="0.35">
      <c r="A173" s="6" t="s">
        <v>9575</v>
      </c>
      <c r="B173" s="6" t="s">
        <v>9574</v>
      </c>
      <c r="C173" s="6" t="s">
        <v>6171</v>
      </c>
      <c r="D173" s="6" t="s">
        <v>6149</v>
      </c>
      <c r="E173" s="6" t="s">
        <v>59</v>
      </c>
      <c r="F173" s="6" t="s">
        <v>9573</v>
      </c>
      <c r="G173" s="6" t="s">
        <v>6146</v>
      </c>
    </row>
    <row r="174" spans="1:7" x14ac:dyDescent="0.35">
      <c r="A174" s="6" t="s">
        <v>9572</v>
      </c>
      <c r="B174" s="6" t="s">
        <v>9571</v>
      </c>
      <c r="C174" s="6" t="s">
        <v>6171</v>
      </c>
      <c r="D174" s="6" t="s">
        <v>6149</v>
      </c>
      <c r="E174" s="6" t="s">
        <v>59</v>
      </c>
      <c r="F174" s="6" t="s">
        <v>9570</v>
      </c>
      <c r="G174" s="6" t="s">
        <v>6146</v>
      </c>
    </row>
    <row r="175" spans="1:7" x14ac:dyDescent="0.35">
      <c r="A175" s="6" t="s">
        <v>9569</v>
      </c>
      <c r="B175" s="6" t="s">
        <v>9568</v>
      </c>
      <c r="C175" s="6" t="s">
        <v>6171</v>
      </c>
      <c r="D175" s="6" t="s">
        <v>6149</v>
      </c>
      <c r="E175" s="6" t="s">
        <v>59</v>
      </c>
      <c r="F175" s="6" t="s">
        <v>9567</v>
      </c>
      <c r="G175" s="6" t="s">
        <v>6146</v>
      </c>
    </row>
    <row r="176" spans="1:7" x14ac:dyDescent="0.35">
      <c r="A176" s="6" t="s">
        <v>9566</v>
      </c>
      <c r="B176" s="6" t="s">
        <v>9565</v>
      </c>
      <c r="C176" s="6" t="s">
        <v>6171</v>
      </c>
      <c r="D176" s="6" t="s">
        <v>6149</v>
      </c>
      <c r="E176" s="6" t="s">
        <v>4938</v>
      </c>
      <c r="F176" s="6" t="s">
        <v>6172</v>
      </c>
      <c r="G176" s="6" t="s">
        <v>6146</v>
      </c>
    </row>
    <row r="177" spans="1:7" x14ac:dyDescent="0.35">
      <c r="A177" s="6" t="s">
        <v>9564</v>
      </c>
      <c r="B177" s="6" t="s">
        <v>9563</v>
      </c>
      <c r="C177" s="6" t="s">
        <v>6171</v>
      </c>
      <c r="D177" s="6" t="s">
        <v>6149</v>
      </c>
      <c r="E177" s="6" t="s">
        <v>9562</v>
      </c>
      <c r="F177" s="6" t="s">
        <v>9561</v>
      </c>
      <c r="G177" s="6" t="s">
        <v>6146</v>
      </c>
    </row>
    <row r="178" spans="1:7" x14ac:dyDescent="0.35">
      <c r="A178" s="6" t="s">
        <v>9560</v>
      </c>
      <c r="B178" s="6" t="s">
        <v>9559</v>
      </c>
      <c r="C178" s="6" t="s">
        <v>6171</v>
      </c>
      <c r="D178" s="6" t="s">
        <v>6149</v>
      </c>
      <c r="E178" s="6" t="s">
        <v>59</v>
      </c>
      <c r="F178" s="6" t="s">
        <v>6068</v>
      </c>
      <c r="G178" s="6" t="s">
        <v>6146</v>
      </c>
    </row>
    <row r="179" spans="1:7" x14ac:dyDescent="0.35">
      <c r="A179" s="6" t="s">
        <v>9558</v>
      </c>
      <c r="B179" s="6" t="s">
        <v>9557</v>
      </c>
      <c r="C179" s="6" t="s">
        <v>6171</v>
      </c>
      <c r="D179" s="6" t="s">
        <v>6149</v>
      </c>
      <c r="E179" s="6" t="s">
        <v>59</v>
      </c>
      <c r="F179" s="6" t="s">
        <v>6993</v>
      </c>
      <c r="G179" s="6" t="s">
        <v>6146</v>
      </c>
    </row>
    <row r="180" spans="1:7" x14ac:dyDescent="0.35">
      <c r="A180" s="6" t="s">
        <v>9556</v>
      </c>
      <c r="B180" s="6" t="s">
        <v>9555</v>
      </c>
      <c r="C180" s="6" t="s">
        <v>6171</v>
      </c>
      <c r="D180" s="6" t="s">
        <v>6149</v>
      </c>
      <c r="E180" s="6" t="s">
        <v>6358</v>
      </c>
      <c r="F180" s="6" t="s">
        <v>9554</v>
      </c>
      <c r="G180" s="6" t="s">
        <v>6146</v>
      </c>
    </row>
    <row r="181" spans="1:7" x14ac:dyDescent="0.35">
      <c r="A181" s="6" t="s">
        <v>9553</v>
      </c>
      <c r="B181" s="6" t="s">
        <v>9552</v>
      </c>
      <c r="C181" s="6" t="s">
        <v>6171</v>
      </c>
      <c r="D181" s="6" t="s">
        <v>6149</v>
      </c>
      <c r="E181" s="6" t="s">
        <v>9551</v>
      </c>
      <c r="F181" s="6" t="s">
        <v>9550</v>
      </c>
      <c r="G181" s="6" t="s">
        <v>6146</v>
      </c>
    </row>
    <row r="182" spans="1:7" x14ac:dyDescent="0.35">
      <c r="A182" s="6" t="s">
        <v>9549</v>
      </c>
      <c r="B182" s="6" t="s">
        <v>9548</v>
      </c>
      <c r="C182" s="6" t="s">
        <v>1211</v>
      </c>
      <c r="D182" s="6" t="s">
        <v>6149</v>
      </c>
      <c r="E182" s="6" t="s">
        <v>9547</v>
      </c>
      <c r="F182" s="6" t="s">
        <v>9546</v>
      </c>
      <c r="G182" s="6" t="s">
        <v>6146</v>
      </c>
    </row>
    <row r="183" spans="1:7" x14ac:dyDescent="0.35">
      <c r="A183" s="6" t="s">
        <v>9545</v>
      </c>
      <c r="B183" s="6" t="s">
        <v>9544</v>
      </c>
      <c r="C183" s="6" t="s">
        <v>9534</v>
      </c>
      <c r="D183" s="6" t="s">
        <v>6149</v>
      </c>
      <c r="E183" s="6" t="s">
        <v>6818</v>
      </c>
      <c r="F183" s="6" t="s">
        <v>9537</v>
      </c>
      <c r="G183" s="6" t="s">
        <v>6146</v>
      </c>
    </row>
    <row r="184" spans="1:7" x14ac:dyDescent="0.35">
      <c r="A184" s="6" t="s">
        <v>9543</v>
      </c>
      <c r="B184" s="6" t="s">
        <v>9542</v>
      </c>
      <c r="C184" s="6" t="s">
        <v>1211</v>
      </c>
      <c r="D184" s="6" t="s">
        <v>6149</v>
      </c>
      <c r="E184" s="6" t="s">
        <v>9541</v>
      </c>
      <c r="F184" s="6" t="s">
        <v>9514</v>
      </c>
      <c r="G184" s="6" t="s">
        <v>9540</v>
      </c>
    </row>
    <row r="185" spans="1:7" x14ac:dyDescent="0.35">
      <c r="A185" s="6" t="s">
        <v>9539</v>
      </c>
      <c r="B185" s="6" t="s">
        <v>9538</v>
      </c>
      <c r="C185" s="6" t="s">
        <v>9534</v>
      </c>
      <c r="D185" s="6" t="s">
        <v>6149</v>
      </c>
      <c r="E185" s="6" t="s">
        <v>6818</v>
      </c>
      <c r="F185" s="6" t="s">
        <v>9537</v>
      </c>
      <c r="G185" s="6" t="s">
        <v>6146</v>
      </c>
    </row>
    <row r="186" spans="1:7" x14ac:dyDescent="0.35">
      <c r="A186" s="6" t="s">
        <v>9536</v>
      </c>
      <c r="B186" s="6" t="s">
        <v>9535</v>
      </c>
      <c r="C186" s="6" t="s">
        <v>9534</v>
      </c>
      <c r="D186" s="6" t="s">
        <v>6149</v>
      </c>
      <c r="E186" s="6" t="s">
        <v>9533</v>
      </c>
      <c r="F186" s="6" t="s">
        <v>9532</v>
      </c>
      <c r="G186" s="6" t="s">
        <v>6146</v>
      </c>
    </row>
    <row r="187" spans="1:7" x14ac:dyDescent="0.35">
      <c r="A187" s="6" t="s">
        <v>9531</v>
      </c>
      <c r="B187" s="6" t="s">
        <v>9530</v>
      </c>
      <c r="C187" s="6" t="s">
        <v>9529</v>
      </c>
      <c r="D187" s="6" t="s">
        <v>6149</v>
      </c>
      <c r="E187" s="6" t="s">
        <v>9383</v>
      </c>
      <c r="F187" s="6" t="s">
        <v>9528</v>
      </c>
      <c r="G187" s="6" t="s">
        <v>9527</v>
      </c>
    </row>
    <row r="188" spans="1:7" x14ac:dyDescent="0.35">
      <c r="A188" s="6" t="s">
        <v>9526</v>
      </c>
      <c r="B188" s="6" t="s">
        <v>9525</v>
      </c>
      <c r="C188" s="6" t="s">
        <v>1211</v>
      </c>
      <c r="D188" s="6" t="s">
        <v>6149</v>
      </c>
      <c r="E188" s="6" t="s">
        <v>9524</v>
      </c>
      <c r="F188" s="6" t="s">
        <v>9523</v>
      </c>
      <c r="G188" s="6" t="s">
        <v>9522</v>
      </c>
    </row>
    <row r="189" spans="1:7" x14ac:dyDescent="0.35">
      <c r="A189" s="6" t="s">
        <v>9521</v>
      </c>
      <c r="B189" s="6" t="s">
        <v>9520</v>
      </c>
      <c r="C189" s="6" t="s">
        <v>1211</v>
      </c>
      <c r="D189" s="6" t="s">
        <v>6149</v>
      </c>
      <c r="E189" s="6" t="s">
        <v>9519</v>
      </c>
      <c r="F189" s="6" t="s">
        <v>9518</v>
      </c>
      <c r="G189" s="6" t="s">
        <v>9517</v>
      </c>
    </row>
    <row r="190" spans="1:7" x14ac:dyDescent="0.35">
      <c r="A190" s="6" t="s">
        <v>9516</v>
      </c>
      <c r="B190" s="6" t="s">
        <v>9515</v>
      </c>
      <c r="C190" s="6" t="s">
        <v>9493</v>
      </c>
      <c r="D190" s="6" t="s">
        <v>6149</v>
      </c>
      <c r="E190" s="6" t="s">
        <v>9492</v>
      </c>
      <c r="F190" s="6" t="s">
        <v>9514</v>
      </c>
      <c r="G190" s="6" t="s">
        <v>6146</v>
      </c>
    </row>
    <row r="191" spans="1:7" x14ac:dyDescent="0.35">
      <c r="A191" s="6" t="s">
        <v>9513</v>
      </c>
      <c r="B191" s="6" t="s">
        <v>9512</v>
      </c>
      <c r="C191" s="6" t="s">
        <v>1211</v>
      </c>
      <c r="D191" s="6" t="s">
        <v>6149</v>
      </c>
      <c r="E191" s="6" t="s">
        <v>9511</v>
      </c>
      <c r="F191" s="6" t="s">
        <v>6040</v>
      </c>
      <c r="G191" s="6" t="s">
        <v>6146</v>
      </c>
    </row>
    <row r="192" spans="1:7" x14ac:dyDescent="0.35">
      <c r="A192" s="6" t="s">
        <v>9510</v>
      </c>
      <c r="B192" s="6" t="s">
        <v>9509</v>
      </c>
      <c r="C192" s="6" t="s">
        <v>1211</v>
      </c>
      <c r="D192" s="6" t="s">
        <v>6149</v>
      </c>
      <c r="E192" s="6" t="s">
        <v>9508</v>
      </c>
      <c r="F192" s="6" t="s">
        <v>9507</v>
      </c>
      <c r="G192" s="6" t="s">
        <v>6146</v>
      </c>
    </row>
    <row r="193" spans="1:7" x14ac:dyDescent="0.35">
      <c r="A193" s="6" t="s">
        <v>9506</v>
      </c>
      <c r="B193" s="6" t="s">
        <v>9505</v>
      </c>
      <c r="C193" s="6" t="s">
        <v>9493</v>
      </c>
      <c r="D193" s="6" t="s">
        <v>6149</v>
      </c>
      <c r="E193" s="6" t="s">
        <v>9504</v>
      </c>
      <c r="F193" s="6" t="s">
        <v>9503</v>
      </c>
      <c r="G193" s="6" t="s">
        <v>6146</v>
      </c>
    </row>
    <row r="194" spans="1:7" x14ac:dyDescent="0.35">
      <c r="A194" s="6" t="s">
        <v>9502</v>
      </c>
      <c r="B194" s="6" t="s">
        <v>9501</v>
      </c>
      <c r="C194" s="6" t="s">
        <v>9493</v>
      </c>
      <c r="D194" s="6" t="s">
        <v>6149</v>
      </c>
      <c r="E194" s="6" t="s">
        <v>9466</v>
      </c>
      <c r="F194" s="6" t="s">
        <v>9500</v>
      </c>
      <c r="G194" s="6" t="s">
        <v>9499</v>
      </c>
    </row>
    <row r="195" spans="1:7" x14ac:dyDescent="0.35">
      <c r="A195" s="6" t="s">
        <v>9498</v>
      </c>
      <c r="B195" s="6" t="s">
        <v>9497</v>
      </c>
      <c r="C195" s="6" t="s">
        <v>9493</v>
      </c>
      <c r="D195" s="6" t="s">
        <v>6149</v>
      </c>
      <c r="E195" s="6" t="s">
        <v>9492</v>
      </c>
      <c r="F195" s="6" t="s">
        <v>9496</v>
      </c>
      <c r="G195" s="6" t="s">
        <v>6146</v>
      </c>
    </row>
    <row r="196" spans="1:7" x14ac:dyDescent="0.35">
      <c r="A196" s="6" t="s">
        <v>9495</v>
      </c>
      <c r="B196" s="6" t="s">
        <v>9494</v>
      </c>
      <c r="C196" s="6" t="s">
        <v>9493</v>
      </c>
      <c r="D196" s="6" t="s">
        <v>6149</v>
      </c>
      <c r="E196" s="6" t="s">
        <v>9492</v>
      </c>
      <c r="F196" s="6" t="s">
        <v>9491</v>
      </c>
      <c r="G196" s="6" t="s">
        <v>6146</v>
      </c>
    </row>
    <row r="197" spans="1:7" x14ac:dyDescent="0.35">
      <c r="A197" s="6" t="s">
        <v>9490</v>
      </c>
      <c r="B197" s="6" t="s">
        <v>9489</v>
      </c>
      <c r="C197" s="6" t="s">
        <v>1211</v>
      </c>
      <c r="D197" s="6" t="s">
        <v>6149</v>
      </c>
      <c r="E197" s="6" t="s">
        <v>9488</v>
      </c>
      <c r="F197" s="6" t="s">
        <v>9487</v>
      </c>
      <c r="G197" s="6" t="s">
        <v>6146</v>
      </c>
    </row>
    <row r="198" spans="1:7" x14ac:dyDescent="0.35">
      <c r="A198" s="6" t="s">
        <v>9486</v>
      </c>
      <c r="B198" s="6" t="s">
        <v>9485</v>
      </c>
      <c r="C198" s="6" t="s">
        <v>1211</v>
      </c>
      <c r="D198" s="6" t="s">
        <v>6149</v>
      </c>
      <c r="E198" s="6" t="s">
        <v>59</v>
      </c>
      <c r="F198" s="6" t="s">
        <v>9484</v>
      </c>
      <c r="G198" s="6" t="s">
        <v>9483</v>
      </c>
    </row>
    <row r="199" spans="1:7" x14ac:dyDescent="0.35">
      <c r="A199" s="6" t="s">
        <v>9482</v>
      </c>
      <c r="B199" s="6" t="s">
        <v>9481</v>
      </c>
      <c r="C199" s="6" t="s">
        <v>9418</v>
      </c>
      <c r="D199" s="6" t="s">
        <v>6149</v>
      </c>
      <c r="E199" s="6" t="s">
        <v>9480</v>
      </c>
      <c r="F199" s="6" t="s">
        <v>9479</v>
      </c>
      <c r="G199" s="6" t="s">
        <v>6146</v>
      </c>
    </row>
    <row r="200" spans="1:7" x14ac:dyDescent="0.35">
      <c r="A200" s="6" t="s">
        <v>9478</v>
      </c>
      <c r="B200" s="6" t="s">
        <v>9477</v>
      </c>
      <c r="C200" s="6" t="s">
        <v>9418</v>
      </c>
      <c r="D200" s="6" t="s">
        <v>6149</v>
      </c>
      <c r="E200" s="6" t="s">
        <v>59</v>
      </c>
      <c r="F200" s="6" t="s">
        <v>9476</v>
      </c>
      <c r="G200" s="6" t="s">
        <v>9437</v>
      </c>
    </row>
    <row r="201" spans="1:7" x14ac:dyDescent="0.35">
      <c r="A201" s="6" t="s">
        <v>9475</v>
      </c>
      <c r="B201" s="6" t="s">
        <v>9474</v>
      </c>
      <c r="C201" s="6" t="s">
        <v>9418</v>
      </c>
      <c r="D201" s="6" t="s">
        <v>6149</v>
      </c>
      <c r="E201" s="6" t="s">
        <v>9466</v>
      </c>
      <c r="F201" s="6" t="s">
        <v>9473</v>
      </c>
      <c r="G201" s="6" t="s">
        <v>9472</v>
      </c>
    </row>
    <row r="202" spans="1:7" x14ac:dyDescent="0.35">
      <c r="A202" s="6" t="s">
        <v>9471</v>
      </c>
      <c r="B202" s="6" t="s">
        <v>9470</v>
      </c>
      <c r="C202" s="6" t="s">
        <v>9418</v>
      </c>
      <c r="D202" s="6" t="s">
        <v>6149</v>
      </c>
      <c r="E202" s="6" t="s">
        <v>59</v>
      </c>
      <c r="F202" s="6" t="s">
        <v>9469</v>
      </c>
      <c r="G202" s="6" t="s">
        <v>6146</v>
      </c>
    </row>
    <row r="203" spans="1:7" x14ac:dyDescent="0.35">
      <c r="A203" s="6" t="s">
        <v>9468</v>
      </c>
      <c r="B203" s="6" t="s">
        <v>9467</v>
      </c>
      <c r="C203" s="6" t="s">
        <v>9418</v>
      </c>
      <c r="D203" s="6" t="s">
        <v>6149</v>
      </c>
      <c r="E203" s="6" t="s">
        <v>9466</v>
      </c>
      <c r="F203" s="6" t="s">
        <v>9465</v>
      </c>
      <c r="G203" s="6" t="s">
        <v>9464</v>
      </c>
    </row>
    <row r="204" spans="1:7" x14ac:dyDescent="0.35">
      <c r="A204" s="6" t="s">
        <v>9463</v>
      </c>
      <c r="B204" s="6" t="s">
        <v>9462</v>
      </c>
      <c r="C204" s="6" t="s">
        <v>9418</v>
      </c>
      <c r="D204" s="6" t="s">
        <v>6149</v>
      </c>
      <c r="E204" s="6" t="s">
        <v>9461</v>
      </c>
      <c r="F204" s="6" t="s">
        <v>9460</v>
      </c>
      <c r="G204" s="6" t="s">
        <v>9459</v>
      </c>
    </row>
    <row r="205" spans="1:7" x14ac:dyDescent="0.35">
      <c r="A205" s="6" t="s">
        <v>9458</v>
      </c>
      <c r="B205" s="6" t="s">
        <v>9457</v>
      </c>
      <c r="C205" s="6" t="s">
        <v>9418</v>
      </c>
      <c r="D205" s="6" t="s">
        <v>6149</v>
      </c>
      <c r="E205" s="6" t="s">
        <v>59</v>
      </c>
      <c r="F205" s="6" t="s">
        <v>9456</v>
      </c>
      <c r="G205" s="6" t="s">
        <v>6146</v>
      </c>
    </row>
    <row r="206" spans="1:7" x14ac:dyDescent="0.35">
      <c r="A206" s="6" t="s">
        <v>9455</v>
      </c>
      <c r="B206" s="6" t="s">
        <v>9454</v>
      </c>
      <c r="C206" s="6" t="s">
        <v>9418</v>
      </c>
      <c r="D206" s="6" t="s">
        <v>6149</v>
      </c>
      <c r="E206" s="6" t="s">
        <v>59</v>
      </c>
      <c r="F206" s="6" t="s">
        <v>9453</v>
      </c>
      <c r="G206" s="6" t="s">
        <v>6146</v>
      </c>
    </row>
    <row r="207" spans="1:7" x14ac:dyDescent="0.35">
      <c r="A207" s="6" t="s">
        <v>9452</v>
      </c>
      <c r="B207" s="6" t="s">
        <v>9451</v>
      </c>
      <c r="C207" s="6" t="s">
        <v>9425</v>
      </c>
      <c r="D207" s="6" t="s">
        <v>6149</v>
      </c>
      <c r="E207" s="6" t="s">
        <v>53</v>
      </c>
      <c r="F207" s="6" t="s">
        <v>6044</v>
      </c>
      <c r="G207" s="6" t="s">
        <v>9450</v>
      </c>
    </row>
    <row r="208" spans="1:7" x14ac:dyDescent="0.35">
      <c r="A208" s="6" t="s">
        <v>9449</v>
      </c>
      <c r="B208" s="6" t="s">
        <v>9448</v>
      </c>
      <c r="C208" s="6" t="s">
        <v>9418</v>
      </c>
      <c r="D208" s="6" t="s">
        <v>6149</v>
      </c>
      <c r="E208" s="6" t="s">
        <v>59</v>
      </c>
      <c r="F208" s="6" t="s">
        <v>9447</v>
      </c>
      <c r="G208" s="6" t="s">
        <v>9446</v>
      </c>
    </row>
    <row r="209" spans="1:7" x14ac:dyDescent="0.35">
      <c r="A209" s="6" t="s">
        <v>9445</v>
      </c>
      <c r="B209" s="6" t="s">
        <v>9444</v>
      </c>
      <c r="C209" s="6" t="s">
        <v>9418</v>
      </c>
      <c r="D209" s="6" t="s">
        <v>6149</v>
      </c>
      <c r="E209" s="6" t="s">
        <v>59</v>
      </c>
      <c r="F209" s="6" t="s">
        <v>9443</v>
      </c>
      <c r="G209" s="6" t="s">
        <v>9442</v>
      </c>
    </row>
    <row r="210" spans="1:7" x14ac:dyDescent="0.35">
      <c r="A210" s="6" t="s">
        <v>9441</v>
      </c>
      <c r="B210" s="6" t="s">
        <v>9440</v>
      </c>
      <c r="C210" s="6" t="s">
        <v>9418</v>
      </c>
      <c r="D210" s="6" t="s">
        <v>6149</v>
      </c>
      <c r="E210" s="6" t="s">
        <v>9439</v>
      </c>
      <c r="F210" s="6" t="s">
        <v>9438</v>
      </c>
      <c r="G210" s="6" t="s">
        <v>9437</v>
      </c>
    </row>
    <row r="211" spans="1:7" x14ac:dyDescent="0.35">
      <c r="A211" s="6" t="s">
        <v>9436</v>
      </c>
      <c r="B211" s="6" t="s">
        <v>6674</v>
      </c>
      <c r="C211" s="6" t="s">
        <v>9418</v>
      </c>
      <c r="D211" s="6" t="s">
        <v>6149</v>
      </c>
      <c r="E211" s="6" t="s">
        <v>59</v>
      </c>
      <c r="F211" s="6" t="s">
        <v>9435</v>
      </c>
      <c r="G211" s="6" t="s">
        <v>6146</v>
      </c>
    </row>
    <row r="212" spans="1:7" x14ac:dyDescent="0.35">
      <c r="A212" s="6" t="s">
        <v>9434</v>
      </c>
      <c r="B212" s="6" t="s">
        <v>9433</v>
      </c>
      <c r="C212" s="6" t="s">
        <v>9418</v>
      </c>
      <c r="D212" s="6" t="s">
        <v>6149</v>
      </c>
      <c r="E212" s="6" t="s">
        <v>59</v>
      </c>
      <c r="F212" s="6" t="s">
        <v>9432</v>
      </c>
      <c r="G212" s="6" t="s">
        <v>9431</v>
      </c>
    </row>
    <row r="213" spans="1:7" x14ac:dyDescent="0.35">
      <c r="A213" s="6" t="s">
        <v>9430</v>
      </c>
      <c r="B213" s="6" t="s">
        <v>9429</v>
      </c>
      <c r="C213" s="6" t="s">
        <v>9418</v>
      </c>
      <c r="D213" s="6" t="s">
        <v>6149</v>
      </c>
      <c r="E213" s="6" t="s">
        <v>59</v>
      </c>
      <c r="F213" s="6" t="s">
        <v>4260</v>
      </c>
      <c r="G213" s="6" t="s">
        <v>6146</v>
      </c>
    </row>
    <row r="214" spans="1:7" x14ac:dyDescent="0.35">
      <c r="A214" s="6" t="s">
        <v>9428</v>
      </c>
      <c r="B214" s="6" t="s">
        <v>9427</v>
      </c>
      <c r="C214" s="6" t="s">
        <v>1589</v>
      </c>
      <c r="D214" s="6" t="s">
        <v>6149</v>
      </c>
      <c r="E214" s="6" t="s">
        <v>53</v>
      </c>
      <c r="F214" s="6" t="s">
        <v>6044</v>
      </c>
      <c r="G214" s="6" t="s">
        <v>9426</v>
      </c>
    </row>
    <row r="215" spans="1:7" x14ac:dyDescent="0.35">
      <c r="A215" s="6" t="s">
        <v>6179</v>
      </c>
      <c r="B215" s="6" t="s">
        <v>46</v>
      </c>
      <c r="C215" s="6" t="s">
        <v>9425</v>
      </c>
      <c r="D215" s="6" t="s">
        <v>6149</v>
      </c>
      <c r="E215" s="6" t="s">
        <v>53</v>
      </c>
      <c r="F215" s="6" t="s">
        <v>6080</v>
      </c>
      <c r="G215" s="6" t="s">
        <v>6146</v>
      </c>
    </row>
    <row r="216" spans="1:7" x14ac:dyDescent="0.35">
      <c r="A216" s="6" t="s">
        <v>9424</v>
      </c>
      <c r="B216" s="6" t="s">
        <v>47</v>
      </c>
      <c r="C216" s="6" t="s">
        <v>1211</v>
      </c>
      <c r="D216" s="6" t="s">
        <v>6149</v>
      </c>
      <c r="E216" s="6" t="s">
        <v>53</v>
      </c>
      <c r="F216" s="6" t="s">
        <v>6092</v>
      </c>
      <c r="G216" s="6" t="s">
        <v>9423</v>
      </c>
    </row>
    <row r="217" spans="1:7" x14ac:dyDescent="0.35">
      <c r="A217" s="6" t="s">
        <v>9422</v>
      </c>
      <c r="B217" s="6" t="s">
        <v>9421</v>
      </c>
      <c r="C217" s="6" t="s">
        <v>9418</v>
      </c>
      <c r="D217" s="6" t="s">
        <v>6149</v>
      </c>
      <c r="E217" s="6" t="s">
        <v>6183</v>
      </c>
      <c r="F217" s="6" t="s">
        <v>52</v>
      </c>
      <c r="G217" s="6" t="s">
        <v>6146</v>
      </c>
    </row>
    <row r="218" spans="1:7" x14ac:dyDescent="0.35">
      <c r="A218" s="6" t="s">
        <v>9420</v>
      </c>
      <c r="B218" s="6" t="s">
        <v>9419</v>
      </c>
      <c r="C218" s="6" t="s">
        <v>9418</v>
      </c>
      <c r="D218" s="6" t="s">
        <v>6149</v>
      </c>
      <c r="E218" s="6" t="s">
        <v>9417</v>
      </c>
      <c r="F218" s="6" t="s">
        <v>9416</v>
      </c>
      <c r="G218" s="6" t="s">
        <v>9415</v>
      </c>
    </row>
    <row r="219" spans="1:7" x14ac:dyDescent="0.35">
      <c r="A219" s="6" t="s">
        <v>9414</v>
      </c>
      <c r="B219" s="6" t="s">
        <v>9413</v>
      </c>
      <c r="C219" s="6" t="s">
        <v>1211</v>
      </c>
      <c r="D219" s="6" t="s">
        <v>6149</v>
      </c>
      <c r="E219" s="6" t="s">
        <v>9412</v>
      </c>
      <c r="F219" s="6" t="s">
        <v>9411</v>
      </c>
      <c r="G219" s="6" t="s">
        <v>6146</v>
      </c>
    </row>
    <row r="220" spans="1:7" x14ac:dyDescent="0.35">
      <c r="A220" s="6" t="s">
        <v>9410</v>
      </c>
      <c r="B220" s="6" t="s">
        <v>9409</v>
      </c>
      <c r="C220" s="6" t="s">
        <v>1211</v>
      </c>
      <c r="D220" s="6" t="s">
        <v>6149</v>
      </c>
      <c r="E220" s="6" t="s">
        <v>9405</v>
      </c>
      <c r="F220" s="6" t="s">
        <v>9408</v>
      </c>
      <c r="G220" s="6" t="s">
        <v>6146</v>
      </c>
    </row>
    <row r="221" spans="1:7" x14ac:dyDescent="0.35">
      <c r="A221" s="6" t="s">
        <v>9407</v>
      </c>
      <c r="B221" s="6" t="s">
        <v>9406</v>
      </c>
      <c r="C221" s="6" t="s">
        <v>1211</v>
      </c>
      <c r="D221" s="6" t="s">
        <v>6149</v>
      </c>
      <c r="E221" s="6" t="s">
        <v>9405</v>
      </c>
      <c r="F221" s="6" t="s">
        <v>9404</v>
      </c>
      <c r="G221" s="6" t="s">
        <v>9403</v>
      </c>
    </row>
    <row r="222" spans="1:7" x14ac:dyDescent="0.35">
      <c r="A222" s="6" t="s">
        <v>9402</v>
      </c>
      <c r="B222" s="6" t="s">
        <v>9401</v>
      </c>
      <c r="C222" s="6" t="s">
        <v>1211</v>
      </c>
      <c r="D222" s="6" t="s">
        <v>6149</v>
      </c>
      <c r="E222" s="6" t="s">
        <v>9379</v>
      </c>
      <c r="F222" s="6" t="s">
        <v>9400</v>
      </c>
      <c r="G222" s="6" t="s">
        <v>6146</v>
      </c>
    </row>
    <row r="223" spans="1:7" x14ac:dyDescent="0.35">
      <c r="A223" s="6" t="s">
        <v>9399</v>
      </c>
      <c r="B223" s="6" t="s">
        <v>9398</v>
      </c>
      <c r="C223" s="6" t="s">
        <v>1211</v>
      </c>
      <c r="D223" s="6" t="s">
        <v>6149</v>
      </c>
      <c r="E223" s="6" t="s">
        <v>9397</v>
      </c>
      <c r="F223" s="6" t="s">
        <v>9396</v>
      </c>
      <c r="G223" s="6" t="s">
        <v>6146</v>
      </c>
    </row>
    <row r="224" spans="1:7" x14ac:dyDescent="0.35">
      <c r="A224" s="6" t="s">
        <v>9395</v>
      </c>
      <c r="B224" s="6" t="s">
        <v>9394</v>
      </c>
      <c r="C224" s="6" t="s">
        <v>1211</v>
      </c>
      <c r="D224" s="6" t="s">
        <v>6149</v>
      </c>
      <c r="E224" s="6" t="s">
        <v>9379</v>
      </c>
      <c r="F224" s="6" t="s">
        <v>9393</v>
      </c>
      <c r="G224" s="6" t="s">
        <v>6146</v>
      </c>
    </row>
    <row r="225" spans="1:7" x14ac:dyDescent="0.35">
      <c r="A225" s="6" t="s">
        <v>9392</v>
      </c>
      <c r="B225" s="6" t="s">
        <v>9391</v>
      </c>
      <c r="C225" s="6" t="s">
        <v>1211</v>
      </c>
      <c r="D225" s="6" t="s">
        <v>6149</v>
      </c>
      <c r="E225" s="6" t="s">
        <v>9379</v>
      </c>
      <c r="F225" s="6" t="s">
        <v>9390</v>
      </c>
      <c r="G225" s="6" t="s">
        <v>9389</v>
      </c>
    </row>
    <row r="226" spans="1:7" x14ac:dyDescent="0.35">
      <c r="A226" s="6" t="s">
        <v>9388</v>
      </c>
      <c r="B226" s="6" t="s">
        <v>6186</v>
      </c>
      <c r="C226" s="6" t="s">
        <v>1211</v>
      </c>
      <c r="D226" s="6" t="s">
        <v>6149</v>
      </c>
      <c r="E226" s="6" t="s">
        <v>53</v>
      </c>
      <c r="F226" s="6" t="s">
        <v>6080</v>
      </c>
      <c r="G226" s="6" t="s">
        <v>6146</v>
      </c>
    </row>
    <row r="227" spans="1:7" x14ac:dyDescent="0.35">
      <c r="A227" s="6" t="s">
        <v>9387</v>
      </c>
      <c r="B227" s="6" t="s">
        <v>9386</v>
      </c>
      <c r="C227" s="6" t="s">
        <v>1211</v>
      </c>
      <c r="D227" s="6" t="s">
        <v>6149</v>
      </c>
      <c r="E227" s="6" t="s">
        <v>6035</v>
      </c>
      <c r="F227" s="6" t="s">
        <v>6187</v>
      </c>
      <c r="G227" s="6" t="s">
        <v>6146</v>
      </c>
    </row>
    <row r="228" spans="1:7" x14ac:dyDescent="0.35">
      <c r="A228" s="6" t="s">
        <v>9385</v>
      </c>
      <c r="B228" s="6" t="s">
        <v>9384</v>
      </c>
      <c r="C228" s="6" t="s">
        <v>1211</v>
      </c>
      <c r="D228" s="6" t="s">
        <v>6149</v>
      </c>
      <c r="E228" s="6" t="s">
        <v>9383</v>
      </c>
      <c r="F228" s="6" t="s">
        <v>9382</v>
      </c>
      <c r="G228" s="6" t="s">
        <v>6146</v>
      </c>
    </row>
    <row r="229" spans="1:7" x14ac:dyDescent="0.35">
      <c r="A229" s="6" t="s">
        <v>9381</v>
      </c>
      <c r="B229" s="6" t="s">
        <v>9380</v>
      </c>
      <c r="C229" s="6" t="s">
        <v>1211</v>
      </c>
      <c r="D229" s="6" t="s">
        <v>6149</v>
      </c>
      <c r="E229" s="6" t="s">
        <v>9379</v>
      </c>
      <c r="F229" s="6" t="s">
        <v>9378</v>
      </c>
      <c r="G229" s="6" t="s">
        <v>6146</v>
      </c>
    </row>
    <row r="230" spans="1:7" x14ac:dyDescent="0.35">
      <c r="A230" s="6" t="s">
        <v>9377</v>
      </c>
      <c r="B230" s="6" t="s">
        <v>9376</v>
      </c>
      <c r="C230" s="6" t="s">
        <v>1211</v>
      </c>
      <c r="D230" s="6" t="s">
        <v>6149</v>
      </c>
      <c r="E230" s="6" t="s">
        <v>207</v>
      </c>
      <c r="F230" s="6" t="s">
        <v>5073</v>
      </c>
      <c r="G230" s="6" t="s">
        <v>6146</v>
      </c>
    </row>
    <row r="231" spans="1:7" x14ac:dyDescent="0.35">
      <c r="A231" s="6" t="s">
        <v>9375</v>
      </c>
      <c r="B231" s="6" t="s">
        <v>9374</v>
      </c>
      <c r="C231" s="6" t="s">
        <v>1211</v>
      </c>
      <c r="D231" s="6" t="s">
        <v>6149</v>
      </c>
      <c r="E231" s="6" t="s">
        <v>9373</v>
      </c>
      <c r="F231" s="6" t="s">
        <v>9372</v>
      </c>
      <c r="G231" s="6" t="s">
        <v>6146</v>
      </c>
    </row>
    <row r="232" spans="1:7" x14ac:dyDescent="0.35">
      <c r="A232" s="6" t="s">
        <v>6342</v>
      </c>
      <c r="B232" s="6" t="s">
        <v>9371</v>
      </c>
      <c r="C232" s="6" t="s">
        <v>1211</v>
      </c>
      <c r="D232" s="6" t="s">
        <v>6149</v>
      </c>
      <c r="E232" s="6" t="s">
        <v>59</v>
      </c>
      <c r="F232" s="6" t="s">
        <v>6194</v>
      </c>
      <c r="G232" s="6" t="s">
        <v>6146</v>
      </c>
    </row>
    <row r="233" spans="1:7" x14ac:dyDescent="0.35">
      <c r="A233" s="6" t="s">
        <v>9370</v>
      </c>
      <c r="B233" s="6" t="s">
        <v>9369</v>
      </c>
      <c r="C233" s="6" t="s">
        <v>1211</v>
      </c>
      <c r="D233" s="6" t="s">
        <v>6149</v>
      </c>
      <c r="E233" s="6" t="s">
        <v>9368</v>
      </c>
      <c r="F233" s="6" t="s">
        <v>9367</v>
      </c>
      <c r="G233" s="6" t="s">
        <v>6146</v>
      </c>
    </row>
    <row r="234" spans="1:7" x14ac:dyDescent="0.35">
      <c r="A234" s="6" t="s">
        <v>9366</v>
      </c>
      <c r="B234" s="6" t="s">
        <v>9365</v>
      </c>
      <c r="C234" s="6" t="s">
        <v>6413</v>
      </c>
      <c r="D234" s="6" t="s">
        <v>6149</v>
      </c>
      <c r="E234" s="6" t="s">
        <v>59</v>
      </c>
      <c r="F234" s="6" t="s">
        <v>6194</v>
      </c>
      <c r="G234" s="6" t="s">
        <v>6146</v>
      </c>
    </row>
    <row r="235" spans="1:7" x14ac:dyDescent="0.35">
      <c r="A235" s="6" t="s">
        <v>9364</v>
      </c>
      <c r="B235" s="6" t="s">
        <v>9363</v>
      </c>
      <c r="C235" s="6" t="s">
        <v>1211</v>
      </c>
      <c r="D235" s="6" t="s">
        <v>6149</v>
      </c>
      <c r="E235" s="6" t="s">
        <v>59</v>
      </c>
      <c r="F235" s="6" t="s">
        <v>6194</v>
      </c>
      <c r="G235" s="6" t="s">
        <v>6146</v>
      </c>
    </row>
    <row r="236" spans="1:7" x14ac:dyDescent="0.35">
      <c r="A236" s="6" t="s">
        <v>9362</v>
      </c>
      <c r="B236" s="6" t="s">
        <v>6686</v>
      </c>
      <c r="C236" s="6" t="s">
        <v>1211</v>
      </c>
      <c r="D236" s="6" t="s">
        <v>6149</v>
      </c>
      <c r="E236" s="6" t="s">
        <v>59</v>
      </c>
      <c r="F236" s="6" t="s">
        <v>6194</v>
      </c>
      <c r="G236" s="6" t="s">
        <v>6146</v>
      </c>
    </row>
    <row r="237" spans="1:7" x14ac:dyDescent="0.35">
      <c r="A237" s="6" t="s">
        <v>9361</v>
      </c>
      <c r="B237" s="6" t="s">
        <v>12</v>
      </c>
      <c r="C237" s="6" t="s">
        <v>6079</v>
      </c>
      <c r="D237" s="6" t="s">
        <v>6149</v>
      </c>
      <c r="E237" s="6" t="s">
        <v>59</v>
      </c>
      <c r="F237" s="6" t="s">
        <v>6194</v>
      </c>
      <c r="G237" s="6" t="s">
        <v>6146</v>
      </c>
    </row>
    <row r="238" spans="1:7" x14ac:dyDescent="0.35">
      <c r="A238" s="6" t="s">
        <v>9360</v>
      </c>
      <c r="B238" s="6" t="s">
        <v>9359</v>
      </c>
      <c r="C238" s="6" t="s">
        <v>6079</v>
      </c>
      <c r="D238" s="6" t="s">
        <v>6149</v>
      </c>
      <c r="E238" s="6" t="s">
        <v>59</v>
      </c>
      <c r="F238" s="6" t="s">
        <v>9358</v>
      </c>
      <c r="G238" s="6" t="s">
        <v>6146</v>
      </c>
    </row>
    <row r="239" spans="1:7" x14ac:dyDescent="0.35">
      <c r="A239" s="6" t="s">
        <v>9357</v>
      </c>
      <c r="B239" s="6" t="s">
        <v>9356</v>
      </c>
      <c r="C239" s="6" t="s">
        <v>9355</v>
      </c>
      <c r="D239" s="6" t="s">
        <v>6149</v>
      </c>
      <c r="E239" s="6" t="s">
        <v>59</v>
      </c>
      <c r="F239" s="6" t="s">
        <v>9354</v>
      </c>
      <c r="G239" s="6" t="s">
        <v>6146</v>
      </c>
    </row>
    <row r="240" spans="1:7" x14ac:dyDescent="0.35">
      <c r="A240" s="6" t="s">
        <v>9353</v>
      </c>
      <c r="B240" s="6" t="s">
        <v>9352</v>
      </c>
      <c r="C240" s="6" t="s">
        <v>1211</v>
      </c>
      <c r="D240" s="6" t="s">
        <v>6149</v>
      </c>
      <c r="E240" s="6" t="s">
        <v>59</v>
      </c>
      <c r="F240" s="6" t="s">
        <v>9351</v>
      </c>
      <c r="G240" s="6" t="s">
        <v>6146</v>
      </c>
    </row>
    <row r="241" spans="1:7" x14ac:dyDescent="0.35">
      <c r="A241" s="6" t="s">
        <v>6351</v>
      </c>
      <c r="B241" s="6" t="s">
        <v>9350</v>
      </c>
      <c r="C241" s="6" t="s">
        <v>6153</v>
      </c>
      <c r="D241" s="6" t="s">
        <v>6149</v>
      </c>
      <c r="E241" s="6" t="s">
        <v>59</v>
      </c>
      <c r="F241" s="6" t="s">
        <v>6353</v>
      </c>
      <c r="G241" s="6" t="s">
        <v>9349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154C-06AF-4D18-8E20-08D8FBDCB18A}">
  <sheetPr codeName="Sheet4"/>
  <dimension ref="A1:F3916"/>
  <sheetViews>
    <sheetView topLeftCell="A3890" workbookViewId="0">
      <selection activeCell="A3915" sqref="A3915"/>
    </sheetView>
  </sheetViews>
  <sheetFormatPr defaultColWidth="8.90625" defaultRowHeight="14.5" x14ac:dyDescent="0.35"/>
  <cols>
    <col min="1" max="1" width="150.90625" style="5" customWidth="1"/>
    <col min="2" max="16384" width="8.90625" style="5"/>
  </cols>
  <sheetData>
    <row r="1" spans="1:1" ht="29" x14ac:dyDescent="0.35">
      <c r="A1" s="5" t="s">
        <v>274</v>
      </c>
    </row>
    <row r="2" spans="1:1" x14ac:dyDescent="0.35">
      <c r="A2" s="7" t="s">
        <v>276</v>
      </c>
    </row>
    <row r="3" spans="1:1" x14ac:dyDescent="0.35">
      <c r="A3" s="7"/>
    </row>
    <row r="4" spans="1:1" x14ac:dyDescent="0.35">
      <c r="A4" s="11" t="s">
        <v>264</v>
      </c>
    </row>
    <row r="5" spans="1:1" ht="29" x14ac:dyDescent="0.35">
      <c r="A5" s="5" t="s">
        <v>301</v>
      </c>
    </row>
    <row r="6" spans="1:1" ht="29" x14ac:dyDescent="0.35">
      <c r="A6" s="5" t="s">
        <v>300</v>
      </c>
    </row>
    <row r="8" spans="1:1" x14ac:dyDescent="0.35">
      <c r="A8" s="5" t="s">
        <v>265</v>
      </c>
    </row>
    <row r="9" spans="1:1" x14ac:dyDescent="0.35">
      <c r="A9" s="7"/>
    </row>
    <row r="10" spans="1:1" x14ac:dyDescent="0.35">
      <c r="A10" s="8" t="s">
        <v>266</v>
      </c>
    </row>
    <row r="11" spans="1:1" x14ac:dyDescent="0.35">
      <c r="A11" s="8" t="s">
        <v>267</v>
      </c>
    </row>
    <row r="12" spans="1:1" x14ac:dyDescent="0.35">
      <c r="A12" s="8" t="s">
        <v>268</v>
      </c>
    </row>
    <row r="13" spans="1:1" x14ac:dyDescent="0.35">
      <c r="A13" s="8" t="s">
        <v>269</v>
      </c>
    </row>
    <row r="14" spans="1:1" x14ac:dyDescent="0.35">
      <c r="A14" s="8" t="s">
        <v>270</v>
      </c>
    </row>
    <row r="15" spans="1:1" x14ac:dyDescent="0.35">
      <c r="A15" s="8" t="s">
        <v>271</v>
      </c>
    </row>
    <row r="16" spans="1:1" x14ac:dyDescent="0.35">
      <c r="A16" s="8" t="s">
        <v>272</v>
      </c>
    </row>
    <row r="18" spans="1:1" ht="29" x14ac:dyDescent="0.35">
      <c r="A18" s="5" t="s">
        <v>273</v>
      </c>
    </row>
    <row r="20" spans="1:1" x14ac:dyDescent="0.35">
      <c r="A20" s="5" t="s">
        <v>54</v>
      </c>
    </row>
    <row r="21" spans="1:1" x14ac:dyDescent="0.35">
      <c r="A21" s="7"/>
    </row>
    <row r="22" spans="1:1" x14ac:dyDescent="0.35">
      <c r="A22" s="7" t="s">
        <v>55</v>
      </c>
    </row>
    <row r="23" spans="1:1" x14ac:dyDescent="0.35">
      <c r="A23" s="7" t="s">
        <v>56</v>
      </c>
    </row>
    <row r="24" spans="1:1" x14ac:dyDescent="0.35">
      <c r="A24" s="7" t="s">
        <v>57</v>
      </c>
    </row>
    <row r="25" spans="1:1" x14ac:dyDescent="0.35">
      <c r="A25" s="7" t="s">
        <v>58</v>
      </c>
    </row>
    <row r="28" spans="1:1" x14ac:dyDescent="0.35">
      <c r="A28" s="10" t="s">
        <v>299</v>
      </c>
    </row>
    <row r="29" spans="1:1" ht="29" x14ac:dyDescent="0.35">
      <c r="A29" s="5" t="s">
        <v>277</v>
      </c>
    </row>
    <row r="32" spans="1:1" x14ac:dyDescent="0.35">
      <c r="A32" s="9" t="s">
        <v>278</v>
      </c>
    </row>
    <row r="34" spans="1:1" x14ac:dyDescent="0.35">
      <c r="A34" s="9" t="s">
        <v>279</v>
      </c>
    </row>
    <row r="35" spans="1:1" x14ac:dyDescent="0.35">
      <c r="A35" s="7"/>
    </row>
    <row r="36" spans="1:1" x14ac:dyDescent="0.35">
      <c r="A36" s="7" t="s">
        <v>280</v>
      </c>
    </row>
    <row r="37" spans="1:1" x14ac:dyDescent="0.35">
      <c r="A37" s="7" t="s">
        <v>281</v>
      </c>
    </row>
    <row r="39" spans="1:1" x14ac:dyDescent="0.35">
      <c r="A39" s="9" t="s">
        <v>282</v>
      </c>
    </row>
    <row r="40" spans="1:1" x14ac:dyDescent="0.35">
      <c r="A40" s="7"/>
    </row>
    <row r="41" spans="1:1" x14ac:dyDescent="0.35">
      <c r="A41" s="7" t="s">
        <v>283</v>
      </c>
    </row>
    <row r="42" spans="1:1" x14ac:dyDescent="0.35">
      <c r="A42" s="7" t="s">
        <v>284</v>
      </c>
    </row>
    <row r="44" spans="1:1" x14ac:dyDescent="0.35">
      <c r="A44" s="9" t="s">
        <v>285</v>
      </c>
    </row>
    <row r="45" spans="1:1" x14ac:dyDescent="0.35">
      <c r="A45" s="7"/>
    </row>
    <row r="46" spans="1:1" x14ac:dyDescent="0.35">
      <c r="A46" s="7" t="s">
        <v>286</v>
      </c>
    </row>
    <row r="47" spans="1:1" x14ac:dyDescent="0.35">
      <c r="A47" s="7" t="s">
        <v>287</v>
      </c>
    </row>
    <row r="48" spans="1:1" x14ac:dyDescent="0.35">
      <c r="A48" s="7" t="s">
        <v>288</v>
      </c>
    </row>
    <row r="50" spans="1:1" x14ac:dyDescent="0.35">
      <c r="A50" s="9" t="s">
        <v>289</v>
      </c>
    </row>
    <row r="51" spans="1:1" x14ac:dyDescent="0.35">
      <c r="A51" s="7"/>
    </row>
    <row r="52" spans="1:1" x14ac:dyDescent="0.35">
      <c r="A52" s="7" t="s">
        <v>290</v>
      </c>
    </row>
    <row r="53" spans="1:1" x14ac:dyDescent="0.35">
      <c r="A53" s="7" t="s">
        <v>291</v>
      </c>
    </row>
    <row r="54" spans="1:1" x14ac:dyDescent="0.35">
      <c r="A54" s="7" t="s">
        <v>292</v>
      </c>
    </row>
    <row r="55" spans="1:1" x14ac:dyDescent="0.35">
      <c r="A55" s="7" t="s">
        <v>293</v>
      </c>
    </row>
    <row r="57" spans="1:1" x14ac:dyDescent="0.35">
      <c r="A57" s="9" t="s">
        <v>294</v>
      </c>
    </row>
    <row r="58" spans="1:1" x14ac:dyDescent="0.35">
      <c r="A58" s="7"/>
    </row>
    <row r="59" spans="1:1" x14ac:dyDescent="0.35">
      <c r="A59" s="7" t="s">
        <v>295</v>
      </c>
    </row>
    <row r="60" spans="1:1" x14ac:dyDescent="0.35">
      <c r="A60" s="7" t="s">
        <v>296</v>
      </c>
    </row>
    <row r="61" spans="1:1" x14ac:dyDescent="0.35">
      <c r="A61" s="7" t="s">
        <v>297</v>
      </c>
    </row>
    <row r="63" spans="1:1" ht="29" x14ac:dyDescent="0.35">
      <c r="A63" s="5" t="s">
        <v>298</v>
      </c>
    </row>
    <row r="66" spans="1:1" x14ac:dyDescent="0.35">
      <c r="A66" s="10" t="s">
        <v>390</v>
      </c>
    </row>
    <row r="67" spans="1:1" x14ac:dyDescent="0.35">
      <c r="A67" t="s">
        <v>391</v>
      </c>
    </row>
    <row r="68" spans="1:1" x14ac:dyDescent="0.35">
      <c r="A68"/>
    </row>
    <row r="69" spans="1:1" x14ac:dyDescent="0.35">
      <c r="A69" s="1" t="s">
        <v>392</v>
      </c>
    </row>
    <row r="70" spans="1:1" x14ac:dyDescent="0.35">
      <c r="A70"/>
    </row>
    <row r="71" spans="1:1" x14ac:dyDescent="0.35">
      <c r="A71" s="1" t="s">
        <v>393</v>
      </c>
    </row>
    <row r="72" spans="1:1" x14ac:dyDescent="0.35">
      <c r="A72" s="2"/>
    </row>
    <row r="73" spans="1:1" x14ac:dyDescent="0.35">
      <c r="A73" s="2" t="s">
        <v>394</v>
      </c>
    </row>
    <row r="74" spans="1:1" x14ac:dyDescent="0.35">
      <c r="A74" s="2" t="s">
        <v>395</v>
      </c>
    </row>
    <row r="75" spans="1:1" x14ac:dyDescent="0.35">
      <c r="A75"/>
    </row>
    <row r="76" spans="1:1" x14ac:dyDescent="0.35">
      <c r="A76" s="1" t="s">
        <v>396</v>
      </c>
    </row>
    <row r="77" spans="1:1" x14ac:dyDescent="0.35">
      <c r="A77" s="2"/>
    </row>
    <row r="78" spans="1:1" x14ac:dyDescent="0.35">
      <c r="A78" s="3" t="s">
        <v>397</v>
      </c>
    </row>
    <row r="79" spans="1:1" x14ac:dyDescent="0.35">
      <c r="A79" s="3" t="s">
        <v>398</v>
      </c>
    </row>
    <row r="80" spans="1:1" x14ac:dyDescent="0.35">
      <c r="A80" s="3" t="s">
        <v>399</v>
      </c>
    </row>
    <row r="81" spans="1:1" x14ac:dyDescent="0.35">
      <c r="A81"/>
    </row>
    <row r="82" spans="1:1" x14ac:dyDescent="0.35">
      <c r="A82" s="1" t="s">
        <v>400</v>
      </c>
    </row>
    <row r="83" spans="1:1" x14ac:dyDescent="0.35">
      <c r="A83" s="2"/>
    </row>
    <row r="84" spans="1:1" x14ac:dyDescent="0.35">
      <c r="A84" s="3" t="s">
        <v>401</v>
      </c>
    </row>
    <row r="85" spans="1:1" x14ac:dyDescent="0.35">
      <c r="A85" s="3" t="s">
        <v>402</v>
      </c>
    </row>
    <row r="86" spans="1:1" x14ac:dyDescent="0.35">
      <c r="A86" s="3" t="s">
        <v>403</v>
      </c>
    </row>
    <row r="87" spans="1:1" x14ac:dyDescent="0.35">
      <c r="A87" s="3" t="s">
        <v>404</v>
      </c>
    </row>
    <row r="88" spans="1:1" x14ac:dyDescent="0.35">
      <c r="A88" s="3" t="s">
        <v>405</v>
      </c>
    </row>
    <row r="89" spans="1:1" x14ac:dyDescent="0.35">
      <c r="A89"/>
    </row>
    <row r="90" spans="1:1" x14ac:dyDescent="0.35">
      <c r="A90" s="1" t="s">
        <v>406</v>
      </c>
    </row>
    <row r="91" spans="1:1" x14ac:dyDescent="0.35">
      <c r="A91" s="2"/>
    </row>
    <row r="92" spans="1:1" x14ac:dyDescent="0.35">
      <c r="A92" s="2" t="s">
        <v>407</v>
      </c>
    </row>
    <row r="93" spans="1:1" x14ac:dyDescent="0.35">
      <c r="A93" s="2" t="s">
        <v>408</v>
      </c>
    </row>
    <row r="94" spans="1:1" x14ac:dyDescent="0.35">
      <c r="A94" s="2" t="s">
        <v>409</v>
      </c>
    </row>
    <row r="95" spans="1:1" x14ac:dyDescent="0.35">
      <c r="A95"/>
    </row>
    <row r="96" spans="1:1" x14ac:dyDescent="0.35">
      <c r="A96" t="s">
        <v>410</v>
      </c>
    </row>
    <row r="99" spans="1:1" x14ac:dyDescent="0.35">
      <c r="A99" s="10" t="s">
        <v>496</v>
      </c>
    </row>
    <row r="100" spans="1:1" x14ac:dyDescent="0.35">
      <c r="A100" t="s">
        <v>497</v>
      </c>
    </row>
    <row r="101" spans="1:1" x14ac:dyDescent="0.35">
      <c r="A101"/>
    </row>
    <row r="102" spans="1:1" x14ac:dyDescent="0.35">
      <c r="A102" s="1" t="s">
        <v>498</v>
      </c>
    </row>
    <row r="103" spans="1:1" x14ac:dyDescent="0.35">
      <c r="A103"/>
    </row>
    <row r="104" spans="1:1" x14ac:dyDescent="0.35">
      <c r="A104" s="1" t="s">
        <v>499</v>
      </c>
    </row>
    <row r="105" spans="1:1" x14ac:dyDescent="0.35">
      <c r="A105" s="2"/>
    </row>
    <row r="106" spans="1:1" x14ac:dyDescent="0.35">
      <c r="A106" s="3" t="s">
        <v>500</v>
      </c>
    </row>
    <row r="107" spans="1:1" x14ac:dyDescent="0.35">
      <c r="A107" s="3" t="s">
        <v>501</v>
      </c>
    </row>
    <row r="108" spans="1:1" x14ac:dyDescent="0.35">
      <c r="A108" s="3" t="s">
        <v>502</v>
      </c>
    </row>
    <row r="109" spans="1:1" x14ac:dyDescent="0.35">
      <c r="A109" s="3" t="s">
        <v>503</v>
      </c>
    </row>
    <row r="110" spans="1:1" x14ac:dyDescent="0.35">
      <c r="A110" s="3" t="s">
        <v>504</v>
      </c>
    </row>
    <row r="111" spans="1:1" x14ac:dyDescent="0.35">
      <c r="A111" s="3" t="s">
        <v>505</v>
      </c>
    </row>
    <row r="112" spans="1:1" x14ac:dyDescent="0.35">
      <c r="A112" s="3" t="s">
        <v>506</v>
      </c>
    </row>
    <row r="113" spans="1:1" x14ac:dyDescent="0.35">
      <c r="A113" s="3" t="s">
        <v>507</v>
      </c>
    </row>
    <row r="114" spans="1:1" x14ac:dyDescent="0.35">
      <c r="A114" s="3" t="s">
        <v>508</v>
      </c>
    </row>
    <row r="115" spans="1:1" x14ac:dyDescent="0.35">
      <c r="A115"/>
    </row>
    <row r="116" spans="1:1" x14ac:dyDescent="0.35">
      <c r="A116" s="1" t="s">
        <v>509</v>
      </c>
    </row>
    <row r="117" spans="1:1" x14ac:dyDescent="0.35">
      <c r="A117" s="2"/>
    </row>
    <row r="118" spans="1:1" x14ac:dyDescent="0.35">
      <c r="A118" s="3" t="s">
        <v>510</v>
      </c>
    </row>
    <row r="119" spans="1:1" x14ac:dyDescent="0.35">
      <c r="A119" s="3" t="s">
        <v>511</v>
      </c>
    </row>
    <row r="120" spans="1:1" x14ac:dyDescent="0.35">
      <c r="A120" s="3" t="s">
        <v>512</v>
      </c>
    </row>
    <row r="121" spans="1:1" x14ac:dyDescent="0.35">
      <c r="A121" s="3" t="s">
        <v>513</v>
      </c>
    </row>
    <row r="122" spans="1:1" x14ac:dyDescent="0.35">
      <c r="A122" s="3" t="s">
        <v>514</v>
      </c>
    </row>
    <row r="123" spans="1:1" x14ac:dyDescent="0.35">
      <c r="A123"/>
    </row>
    <row r="124" spans="1:1" x14ac:dyDescent="0.35">
      <c r="A124" s="1" t="s">
        <v>515</v>
      </c>
    </row>
    <row r="125" spans="1:1" x14ac:dyDescent="0.35">
      <c r="A125" s="2"/>
    </row>
    <row r="126" spans="1:1" x14ac:dyDescent="0.35">
      <c r="A126" s="2" t="s">
        <v>516</v>
      </c>
    </row>
    <row r="127" spans="1:1" x14ac:dyDescent="0.35">
      <c r="A127" s="2" t="s">
        <v>517</v>
      </c>
    </row>
    <row r="128" spans="1:1" x14ac:dyDescent="0.35">
      <c r="A128" s="2" t="s">
        <v>518</v>
      </c>
    </row>
    <row r="129" spans="1:1" x14ac:dyDescent="0.35">
      <c r="A129"/>
    </row>
    <row r="130" spans="1:1" x14ac:dyDescent="0.35">
      <c r="A130" s="1" t="s">
        <v>519</v>
      </c>
    </row>
    <row r="131" spans="1:1" x14ac:dyDescent="0.35">
      <c r="A131" s="2"/>
    </row>
    <row r="132" spans="1:1" x14ac:dyDescent="0.35">
      <c r="A132" s="2" t="s">
        <v>520</v>
      </c>
    </row>
    <row r="133" spans="1:1" x14ac:dyDescent="0.35">
      <c r="A133" s="2" t="s">
        <v>521</v>
      </c>
    </row>
    <row r="134" spans="1:1" x14ac:dyDescent="0.35">
      <c r="A134" s="2" t="s">
        <v>522</v>
      </c>
    </row>
    <row r="135" spans="1:1" x14ac:dyDescent="0.35">
      <c r="A135"/>
    </row>
    <row r="136" spans="1:1" x14ac:dyDescent="0.35">
      <c r="A136" t="s">
        <v>523</v>
      </c>
    </row>
    <row r="137" spans="1:1" x14ac:dyDescent="0.35">
      <c r="A137"/>
    </row>
    <row r="139" spans="1:1" x14ac:dyDescent="0.35">
      <c r="A139" s="10" t="s">
        <v>524</v>
      </c>
    </row>
    <row r="140" spans="1:1" x14ac:dyDescent="0.35">
      <c r="A140" t="s">
        <v>472</v>
      </c>
    </row>
    <row r="141" spans="1:1" x14ac:dyDescent="0.35">
      <c r="A141" t="s">
        <v>525</v>
      </c>
    </row>
    <row r="142" spans="1:1" x14ac:dyDescent="0.35">
      <c r="A142"/>
    </row>
    <row r="143" spans="1:1" x14ac:dyDescent="0.35">
      <c r="A143" s="1" t="s">
        <v>473</v>
      </c>
    </row>
    <row r="144" spans="1:1" x14ac:dyDescent="0.35">
      <c r="A144"/>
    </row>
    <row r="145" spans="1:1" x14ac:dyDescent="0.35">
      <c r="A145" s="1" t="s">
        <v>474</v>
      </c>
    </row>
    <row r="146" spans="1:1" x14ac:dyDescent="0.35">
      <c r="A146" s="2"/>
    </row>
    <row r="147" spans="1:1" x14ac:dyDescent="0.35">
      <c r="A147" s="2" t="s">
        <v>475</v>
      </c>
    </row>
    <row r="148" spans="1:1" x14ac:dyDescent="0.35">
      <c r="A148" s="2" t="s">
        <v>476</v>
      </c>
    </row>
    <row r="149" spans="1:1" x14ac:dyDescent="0.35">
      <c r="A149" s="2" t="s">
        <v>477</v>
      </c>
    </row>
    <row r="150" spans="1:1" x14ac:dyDescent="0.35">
      <c r="A150"/>
    </row>
    <row r="151" spans="1:1" x14ac:dyDescent="0.35">
      <c r="A151" s="1" t="s">
        <v>478</v>
      </c>
    </row>
    <row r="152" spans="1:1" x14ac:dyDescent="0.35">
      <c r="A152" s="2"/>
    </row>
    <row r="153" spans="1:1" x14ac:dyDescent="0.35">
      <c r="A153" s="3" t="s">
        <v>479</v>
      </c>
    </row>
    <row r="154" spans="1:1" x14ac:dyDescent="0.35">
      <c r="A154" s="3" t="s">
        <v>480</v>
      </c>
    </row>
    <row r="155" spans="1:1" x14ac:dyDescent="0.35">
      <c r="A155" s="3" t="s">
        <v>481</v>
      </c>
    </row>
    <row r="156" spans="1:1" x14ac:dyDescent="0.35">
      <c r="A156" s="3" t="s">
        <v>482</v>
      </c>
    </row>
    <row r="157" spans="1:1" x14ac:dyDescent="0.35">
      <c r="A157"/>
    </row>
    <row r="158" spans="1:1" x14ac:dyDescent="0.35">
      <c r="A158" s="1" t="s">
        <v>400</v>
      </c>
    </row>
    <row r="159" spans="1:1" x14ac:dyDescent="0.35">
      <c r="A159" s="2"/>
    </row>
    <row r="160" spans="1:1" x14ac:dyDescent="0.35">
      <c r="A160" s="3" t="s">
        <v>483</v>
      </c>
    </row>
    <row r="161" spans="1:1" x14ac:dyDescent="0.35">
      <c r="A161" s="3" t="s">
        <v>484</v>
      </c>
    </row>
    <row r="162" spans="1:1" x14ac:dyDescent="0.35">
      <c r="A162" s="3" t="s">
        <v>485</v>
      </c>
    </row>
    <row r="163" spans="1:1" x14ac:dyDescent="0.35">
      <c r="A163" s="3" t="s">
        <v>486</v>
      </c>
    </row>
    <row r="164" spans="1:1" x14ac:dyDescent="0.35">
      <c r="A164" s="3" t="s">
        <v>487</v>
      </c>
    </row>
    <row r="165" spans="1:1" x14ac:dyDescent="0.35">
      <c r="A165"/>
    </row>
    <row r="166" spans="1:1" x14ac:dyDescent="0.35">
      <c r="A166" s="1" t="s">
        <v>488</v>
      </c>
    </row>
    <row r="167" spans="1:1" x14ac:dyDescent="0.35">
      <c r="A167" s="2"/>
    </row>
    <row r="168" spans="1:1" x14ac:dyDescent="0.35">
      <c r="A168" s="3" t="s">
        <v>489</v>
      </c>
    </row>
    <row r="169" spans="1:1" x14ac:dyDescent="0.35">
      <c r="A169" s="3" t="s">
        <v>490</v>
      </c>
    </row>
    <row r="170" spans="1:1" x14ac:dyDescent="0.35">
      <c r="A170" s="3" t="s">
        <v>491</v>
      </c>
    </row>
    <row r="171" spans="1:1" x14ac:dyDescent="0.35">
      <c r="A171"/>
    </row>
    <row r="172" spans="1:1" x14ac:dyDescent="0.35">
      <c r="A172" s="1" t="s">
        <v>406</v>
      </c>
    </row>
    <row r="173" spans="1:1" x14ac:dyDescent="0.35">
      <c r="A173" s="2"/>
    </row>
    <row r="174" spans="1:1" x14ac:dyDescent="0.35">
      <c r="A174" s="2" t="s">
        <v>492</v>
      </c>
    </row>
    <row r="175" spans="1:1" x14ac:dyDescent="0.35">
      <c r="A175" s="2" t="s">
        <v>493</v>
      </c>
    </row>
    <row r="176" spans="1:1" x14ac:dyDescent="0.35">
      <c r="A176" s="2" t="s">
        <v>494</v>
      </c>
    </row>
    <row r="177" spans="1:1" x14ac:dyDescent="0.35">
      <c r="A177"/>
    </row>
    <row r="178" spans="1:1" x14ac:dyDescent="0.35">
      <c r="A178" t="s">
        <v>495</v>
      </c>
    </row>
    <row r="181" spans="1:1" x14ac:dyDescent="0.35">
      <c r="A181" s="10" t="s">
        <v>815</v>
      </c>
    </row>
    <row r="182" spans="1:1" x14ac:dyDescent="0.35">
      <c r="A182" t="s">
        <v>849</v>
      </c>
    </row>
    <row r="183" spans="1:1" x14ac:dyDescent="0.35">
      <c r="A183" s="5" t="s">
        <v>1004</v>
      </c>
    </row>
    <row r="184" spans="1:1" x14ac:dyDescent="0.35">
      <c r="A184" s="1" t="s">
        <v>816</v>
      </c>
    </row>
    <row r="185" spans="1:1" x14ac:dyDescent="0.35">
      <c r="A185"/>
    </row>
    <row r="186" spans="1:1" x14ac:dyDescent="0.35">
      <c r="A186" s="1" t="s">
        <v>817</v>
      </c>
    </row>
    <row r="187" spans="1:1" x14ac:dyDescent="0.35">
      <c r="A187" s="2"/>
    </row>
    <row r="188" spans="1:1" x14ac:dyDescent="0.35">
      <c r="A188" s="3" t="s">
        <v>818</v>
      </c>
    </row>
    <row r="189" spans="1:1" x14ac:dyDescent="0.35">
      <c r="A189" s="3" t="s">
        <v>819</v>
      </c>
    </row>
    <row r="190" spans="1:1" x14ac:dyDescent="0.35">
      <c r="A190" s="3" t="s">
        <v>820</v>
      </c>
    </row>
    <row r="191" spans="1:1" x14ac:dyDescent="0.35">
      <c r="A191" s="3" t="s">
        <v>821</v>
      </c>
    </row>
    <row r="192" spans="1:1" x14ac:dyDescent="0.35">
      <c r="A192" s="3" t="s">
        <v>822</v>
      </c>
    </row>
    <row r="193" spans="1:1" x14ac:dyDescent="0.35">
      <c r="A193"/>
    </row>
    <row r="194" spans="1:1" x14ac:dyDescent="0.35">
      <c r="A194" s="1" t="s">
        <v>823</v>
      </c>
    </row>
    <row r="195" spans="1:1" x14ac:dyDescent="0.35">
      <c r="A195" s="2"/>
    </row>
    <row r="196" spans="1:1" x14ac:dyDescent="0.35">
      <c r="A196" s="2" t="s">
        <v>824</v>
      </c>
    </row>
    <row r="197" spans="1:1" x14ac:dyDescent="0.35">
      <c r="A197" s="2" t="s">
        <v>825</v>
      </c>
    </row>
    <row r="198" spans="1:1" x14ac:dyDescent="0.35">
      <c r="A198" s="2" t="s">
        <v>826</v>
      </c>
    </row>
    <row r="199" spans="1:1" x14ac:dyDescent="0.35">
      <c r="A199" s="2" t="s">
        <v>827</v>
      </c>
    </row>
    <row r="200" spans="1:1" x14ac:dyDescent="0.35">
      <c r="A200"/>
    </row>
    <row r="201" spans="1:1" x14ac:dyDescent="0.35">
      <c r="A201" s="1" t="s">
        <v>828</v>
      </c>
    </row>
    <row r="202" spans="1:1" x14ac:dyDescent="0.35">
      <c r="A202" s="2"/>
    </row>
    <row r="203" spans="1:1" x14ac:dyDescent="0.35">
      <c r="A203" s="2" t="s">
        <v>829</v>
      </c>
    </row>
    <row r="204" spans="1:1" x14ac:dyDescent="0.35">
      <c r="A204" s="2" t="s">
        <v>830</v>
      </c>
    </row>
    <row r="205" spans="1:1" x14ac:dyDescent="0.35">
      <c r="A205" s="2" t="s">
        <v>831</v>
      </c>
    </row>
    <row r="206" spans="1:1" x14ac:dyDescent="0.35">
      <c r="A206" s="2" t="s">
        <v>832</v>
      </c>
    </row>
    <row r="207" spans="1:1" x14ac:dyDescent="0.35">
      <c r="A207"/>
    </row>
    <row r="208" spans="1:1" x14ac:dyDescent="0.35">
      <c r="A208" s="1" t="s">
        <v>833</v>
      </c>
    </row>
    <row r="209" spans="1:1" x14ac:dyDescent="0.35">
      <c r="A209" s="2"/>
    </row>
    <row r="210" spans="1:1" x14ac:dyDescent="0.35">
      <c r="A210" s="2" t="s">
        <v>834</v>
      </c>
    </row>
    <row r="211" spans="1:1" x14ac:dyDescent="0.35">
      <c r="A211" s="2" t="s">
        <v>835</v>
      </c>
    </row>
    <row r="212" spans="1:1" x14ac:dyDescent="0.35">
      <c r="A212" s="2" t="s">
        <v>836</v>
      </c>
    </row>
    <row r="213" spans="1:1" x14ac:dyDescent="0.35">
      <c r="A213"/>
    </row>
    <row r="214" spans="1:1" x14ac:dyDescent="0.35">
      <c r="A214" s="1" t="s">
        <v>837</v>
      </c>
    </row>
    <row r="215" spans="1:1" x14ac:dyDescent="0.35">
      <c r="A215" s="2"/>
    </row>
    <row r="216" spans="1:1" x14ac:dyDescent="0.35">
      <c r="A216" s="3" t="s">
        <v>838</v>
      </c>
    </row>
    <row r="217" spans="1:1" x14ac:dyDescent="0.35">
      <c r="A217" s="3" t="s">
        <v>839</v>
      </c>
    </row>
    <row r="218" spans="1:1" x14ac:dyDescent="0.35">
      <c r="A218" s="3" t="s">
        <v>840</v>
      </c>
    </row>
    <row r="219" spans="1:1" x14ac:dyDescent="0.35">
      <c r="A219" s="3" t="s">
        <v>841</v>
      </c>
    </row>
    <row r="220" spans="1:1" x14ac:dyDescent="0.35">
      <c r="A220"/>
    </row>
    <row r="221" spans="1:1" x14ac:dyDescent="0.35">
      <c r="A221" s="1" t="s">
        <v>842</v>
      </c>
    </row>
    <row r="222" spans="1:1" x14ac:dyDescent="0.35">
      <c r="A222" s="2"/>
    </row>
    <row r="223" spans="1:1" x14ac:dyDescent="0.35">
      <c r="A223" s="3" t="s">
        <v>843</v>
      </c>
    </row>
    <row r="224" spans="1:1" x14ac:dyDescent="0.35">
      <c r="A224" s="3" t="s">
        <v>844</v>
      </c>
    </row>
    <row r="225" spans="1:1" x14ac:dyDescent="0.35">
      <c r="A225" s="3" t="s">
        <v>845</v>
      </c>
    </row>
    <row r="226" spans="1:1" x14ac:dyDescent="0.35">
      <c r="A226" s="3" t="s">
        <v>846</v>
      </c>
    </row>
    <row r="227" spans="1:1" x14ac:dyDescent="0.35">
      <c r="A227" s="3" t="s">
        <v>847</v>
      </c>
    </row>
    <row r="228" spans="1:1" x14ac:dyDescent="0.35">
      <c r="A228" s="3"/>
    </row>
    <row r="229" spans="1:1" x14ac:dyDescent="0.35">
      <c r="A229" s="1" t="s">
        <v>12198</v>
      </c>
    </row>
    <row r="230" spans="1:1" x14ac:dyDescent="0.35">
      <c r="A230" s="2"/>
    </row>
    <row r="231" spans="1:1" x14ac:dyDescent="0.35">
      <c r="A231" t="s">
        <v>12322</v>
      </c>
    </row>
    <row r="232" spans="1:1" x14ac:dyDescent="0.35">
      <c r="A232" t="s">
        <v>12323</v>
      </c>
    </row>
    <row r="233" spans="1:1" x14ac:dyDescent="0.35">
      <c r="A233" t="s">
        <v>12324</v>
      </c>
    </row>
    <row r="234" spans="1:1" x14ac:dyDescent="0.35">
      <c r="A234" t="s">
        <v>12325</v>
      </c>
    </row>
    <row r="235" spans="1:1" x14ac:dyDescent="0.35">
      <c r="A235" s="2"/>
    </row>
    <row r="236" spans="1:1" x14ac:dyDescent="0.35">
      <c r="A236"/>
    </row>
    <row r="237" spans="1:1" x14ac:dyDescent="0.35">
      <c r="A237" t="s">
        <v>848</v>
      </c>
    </row>
    <row r="240" spans="1:1" x14ac:dyDescent="0.35">
      <c r="A240" s="10" t="s">
        <v>2770</v>
      </c>
    </row>
    <row r="241" spans="1:1" x14ac:dyDescent="0.35">
      <c r="A241" t="s">
        <v>2771</v>
      </c>
    </row>
    <row r="242" spans="1:1" x14ac:dyDescent="0.35">
      <c r="A242"/>
    </row>
    <row r="243" spans="1:1" x14ac:dyDescent="0.35">
      <c r="A243" s="1" t="s">
        <v>2772</v>
      </c>
    </row>
    <row r="244" spans="1:1" x14ac:dyDescent="0.35">
      <c r="A244"/>
    </row>
    <row r="245" spans="1:1" x14ac:dyDescent="0.35">
      <c r="A245" s="1" t="s">
        <v>817</v>
      </c>
    </row>
    <row r="246" spans="1:1" x14ac:dyDescent="0.35">
      <c r="A246" s="2"/>
    </row>
    <row r="247" spans="1:1" x14ac:dyDescent="0.35">
      <c r="A247" s="3" t="s">
        <v>2773</v>
      </c>
    </row>
    <row r="248" spans="1:1" x14ac:dyDescent="0.35">
      <c r="A248" s="3" t="s">
        <v>2774</v>
      </c>
    </row>
    <row r="249" spans="1:1" x14ac:dyDescent="0.35">
      <c r="A249" s="3" t="s">
        <v>2775</v>
      </c>
    </row>
    <row r="250" spans="1:1" x14ac:dyDescent="0.35">
      <c r="A250" s="3" t="s">
        <v>2776</v>
      </c>
    </row>
    <row r="251" spans="1:1" x14ac:dyDescent="0.35">
      <c r="A251" s="3" t="s">
        <v>2777</v>
      </c>
    </row>
    <row r="252" spans="1:1" x14ac:dyDescent="0.35">
      <c r="A252"/>
    </row>
    <row r="253" spans="1:1" x14ac:dyDescent="0.35">
      <c r="A253" s="1" t="s">
        <v>2778</v>
      </c>
    </row>
    <row r="254" spans="1:1" x14ac:dyDescent="0.35">
      <c r="A254" s="2"/>
    </row>
    <row r="255" spans="1:1" x14ac:dyDescent="0.35">
      <c r="A255" s="3" t="s">
        <v>2779</v>
      </c>
    </row>
    <row r="256" spans="1:1" x14ac:dyDescent="0.35">
      <c r="A256" s="3" t="s">
        <v>2780</v>
      </c>
    </row>
    <row r="257" spans="1:1" x14ac:dyDescent="0.35">
      <c r="A257" s="3" t="s">
        <v>2781</v>
      </c>
    </row>
    <row r="258" spans="1:1" x14ac:dyDescent="0.35">
      <c r="A258" s="3" t="s">
        <v>2782</v>
      </c>
    </row>
    <row r="259" spans="1:1" x14ac:dyDescent="0.35">
      <c r="A259" s="3" t="s">
        <v>2783</v>
      </c>
    </row>
    <row r="260" spans="1:1" x14ac:dyDescent="0.35">
      <c r="A260"/>
    </row>
    <row r="261" spans="1:1" x14ac:dyDescent="0.35">
      <c r="A261" s="1" t="s">
        <v>2501</v>
      </c>
    </row>
    <row r="262" spans="1:1" x14ac:dyDescent="0.35">
      <c r="A262" s="2"/>
    </row>
    <row r="263" spans="1:1" x14ac:dyDescent="0.35">
      <c r="A263" s="3" t="s">
        <v>2784</v>
      </c>
    </row>
    <row r="264" spans="1:1" x14ac:dyDescent="0.35">
      <c r="A264" s="3" t="s">
        <v>2785</v>
      </c>
    </row>
    <row r="265" spans="1:1" x14ac:dyDescent="0.35">
      <c r="A265" s="3" t="s">
        <v>2786</v>
      </c>
    </row>
    <row r="266" spans="1:1" x14ac:dyDescent="0.35">
      <c r="A266" s="3" t="s">
        <v>2787</v>
      </c>
    </row>
    <row r="267" spans="1:1" x14ac:dyDescent="0.35">
      <c r="A267"/>
    </row>
    <row r="268" spans="1:1" x14ac:dyDescent="0.35">
      <c r="A268" s="1" t="s">
        <v>2788</v>
      </c>
    </row>
    <row r="269" spans="1:1" x14ac:dyDescent="0.35">
      <c r="A269" s="2"/>
    </row>
    <row r="270" spans="1:1" x14ac:dyDescent="0.35">
      <c r="A270" s="3" t="s">
        <v>2789</v>
      </c>
    </row>
    <row r="271" spans="1:1" x14ac:dyDescent="0.35">
      <c r="A271" s="3" t="s">
        <v>2790</v>
      </c>
    </row>
    <row r="272" spans="1:1" x14ac:dyDescent="0.35">
      <c r="A272" s="3" t="s">
        <v>2791</v>
      </c>
    </row>
    <row r="273" spans="1:1" x14ac:dyDescent="0.35">
      <c r="A273" s="3" t="s">
        <v>2792</v>
      </c>
    </row>
    <row r="274" spans="1:1" x14ac:dyDescent="0.35">
      <c r="A274" s="3" t="s">
        <v>2793</v>
      </c>
    </row>
    <row r="275" spans="1:1" x14ac:dyDescent="0.35">
      <c r="A275"/>
    </row>
    <row r="276" spans="1:1" x14ac:dyDescent="0.35">
      <c r="A276" s="1" t="s">
        <v>2794</v>
      </c>
    </row>
    <row r="277" spans="1:1" x14ac:dyDescent="0.35">
      <c r="A277" s="2"/>
    </row>
    <row r="278" spans="1:1" x14ac:dyDescent="0.35">
      <c r="A278" s="3" t="s">
        <v>2795</v>
      </c>
    </row>
    <row r="279" spans="1:1" x14ac:dyDescent="0.35">
      <c r="A279" s="3" t="s">
        <v>2796</v>
      </c>
    </row>
    <row r="280" spans="1:1" x14ac:dyDescent="0.35">
      <c r="A280" s="3" t="s">
        <v>2797</v>
      </c>
    </row>
    <row r="281" spans="1:1" x14ac:dyDescent="0.35">
      <c r="A281" s="3" t="s">
        <v>2798</v>
      </c>
    </row>
    <row r="282" spans="1:1" x14ac:dyDescent="0.35">
      <c r="A282"/>
    </row>
    <row r="283" spans="1:1" x14ac:dyDescent="0.35">
      <c r="A283" s="1" t="s">
        <v>837</v>
      </c>
    </row>
    <row r="284" spans="1:1" x14ac:dyDescent="0.35">
      <c r="A284" s="2"/>
    </row>
    <row r="285" spans="1:1" x14ac:dyDescent="0.35">
      <c r="A285" s="3" t="s">
        <v>2799</v>
      </c>
    </row>
    <row r="286" spans="1:1" x14ac:dyDescent="0.35">
      <c r="A286" s="3" t="s">
        <v>2800</v>
      </c>
    </row>
    <row r="287" spans="1:1" x14ac:dyDescent="0.35">
      <c r="A287" s="3" t="s">
        <v>2801</v>
      </c>
    </row>
    <row r="288" spans="1:1" x14ac:dyDescent="0.35">
      <c r="A288" s="3" t="s">
        <v>2802</v>
      </c>
    </row>
    <row r="289" spans="1:1" x14ac:dyDescent="0.35">
      <c r="A289" s="3" t="s">
        <v>2803</v>
      </c>
    </row>
    <row r="290" spans="1:1" x14ac:dyDescent="0.35">
      <c r="A290" s="3" t="s">
        <v>2804</v>
      </c>
    </row>
    <row r="291" spans="1:1" x14ac:dyDescent="0.35">
      <c r="A291"/>
    </row>
    <row r="292" spans="1:1" x14ac:dyDescent="0.35">
      <c r="A292" s="1" t="s">
        <v>842</v>
      </c>
    </row>
    <row r="293" spans="1:1" x14ac:dyDescent="0.35">
      <c r="A293" s="2"/>
    </row>
    <row r="294" spans="1:1" x14ac:dyDescent="0.35">
      <c r="A294" s="3" t="s">
        <v>2805</v>
      </c>
    </row>
    <row r="295" spans="1:1" x14ac:dyDescent="0.35">
      <c r="A295" s="3" t="s">
        <v>843</v>
      </c>
    </row>
    <row r="296" spans="1:1" x14ac:dyDescent="0.35">
      <c r="A296" s="3" t="s">
        <v>2806</v>
      </c>
    </row>
    <row r="297" spans="1:1" x14ac:dyDescent="0.35">
      <c r="A297" s="3" t="s">
        <v>2807</v>
      </c>
    </row>
    <row r="298" spans="1:1" x14ac:dyDescent="0.35">
      <c r="A298" s="3" t="s">
        <v>2808</v>
      </c>
    </row>
    <row r="299" spans="1:1" x14ac:dyDescent="0.35">
      <c r="A299" s="3" t="s">
        <v>2809</v>
      </c>
    </row>
    <row r="300" spans="1:1" x14ac:dyDescent="0.35">
      <c r="A300" s="3"/>
    </row>
    <row r="301" spans="1:1" x14ac:dyDescent="0.35">
      <c r="A301" s="1" t="s">
        <v>12198</v>
      </c>
    </row>
    <row r="302" spans="1:1" x14ac:dyDescent="0.35">
      <c r="A302" s="2"/>
    </row>
    <row r="303" spans="1:1" x14ac:dyDescent="0.35">
      <c r="A303" s="2" t="s">
        <v>12214</v>
      </c>
    </row>
    <row r="304" spans="1:1" x14ac:dyDescent="0.35">
      <c r="A304" s="2" t="s">
        <v>12215</v>
      </c>
    </row>
    <row r="305" spans="1:1" x14ac:dyDescent="0.35">
      <c r="A305" s="2" t="s">
        <v>12216</v>
      </c>
    </row>
    <row r="306" spans="1:1" x14ac:dyDescent="0.35">
      <c r="A306" s="2" t="s">
        <v>12217</v>
      </c>
    </row>
    <row r="307" spans="1:1" x14ac:dyDescent="0.35">
      <c r="A307" s="2" t="s">
        <v>12218</v>
      </c>
    </row>
    <row r="308" spans="1:1" x14ac:dyDescent="0.35">
      <c r="A308" s="3"/>
    </row>
    <row r="309" spans="1:1" x14ac:dyDescent="0.35">
      <c r="A309" s="3"/>
    </row>
    <row r="310" spans="1:1" x14ac:dyDescent="0.35">
      <c r="A310"/>
    </row>
    <row r="311" spans="1:1" x14ac:dyDescent="0.35">
      <c r="A311" t="s">
        <v>2810</v>
      </c>
    </row>
    <row r="314" spans="1:1" x14ac:dyDescent="0.35">
      <c r="A314" s="10" t="s">
        <v>2811</v>
      </c>
    </row>
    <row r="315" spans="1:1" x14ac:dyDescent="0.35">
      <c r="A315" t="s">
        <v>3043</v>
      </c>
    </row>
    <row r="316" spans="1:1" x14ac:dyDescent="0.35">
      <c r="A316"/>
    </row>
    <row r="317" spans="1:1" x14ac:dyDescent="0.35">
      <c r="A317" s="1" t="s">
        <v>3006</v>
      </c>
    </row>
    <row r="318" spans="1:1" x14ac:dyDescent="0.35">
      <c r="A318"/>
    </row>
    <row r="319" spans="1:1" x14ac:dyDescent="0.35">
      <c r="A319" s="1" t="s">
        <v>3007</v>
      </c>
    </row>
    <row r="320" spans="1:1" x14ac:dyDescent="0.35">
      <c r="A320" s="2"/>
    </row>
    <row r="321" spans="1:1" x14ac:dyDescent="0.35">
      <c r="A321" s="3" t="s">
        <v>3008</v>
      </c>
    </row>
    <row r="322" spans="1:1" x14ac:dyDescent="0.35">
      <c r="A322" s="3" t="s">
        <v>3009</v>
      </c>
    </row>
    <row r="323" spans="1:1" x14ac:dyDescent="0.35">
      <c r="A323" s="3" t="s">
        <v>3010</v>
      </c>
    </row>
    <row r="324" spans="1:1" x14ac:dyDescent="0.35">
      <c r="A324" s="3" t="s">
        <v>3011</v>
      </c>
    </row>
    <row r="325" spans="1:1" x14ac:dyDescent="0.35">
      <c r="A325"/>
    </row>
    <row r="326" spans="1:1" x14ac:dyDescent="0.35">
      <c r="A326" s="1" t="s">
        <v>3012</v>
      </c>
    </row>
    <row r="327" spans="1:1" x14ac:dyDescent="0.35">
      <c r="A327" s="2"/>
    </row>
    <row r="328" spans="1:1" x14ac:dyDescent="0.35">
      <c r="A328" s="3" t="s">
        <v>3013</v>
      </c>
    </row>
    <row r="329" spans="1:1" x14ac:dyDescent="0.35">
      <c r="A329" s="3" t="s">
        <v>3014</v>
      </c>
    </row>
    <row r="330" spans="1:1" x14ac:dyDescent="0.35">
      <c r="A330" s="3" t="s">
        <v>3015</v>
      </c>
    </row>
    <row r="331" spans="1:1" x14ac:dyDescent="0.35">
      <c r="A331" s="3" t="s">
        <v>3016</v>
      </c>
    </row>
    <row r="332" spans="1:1" x14ac:dyDescent="0.35">
      <c r="A332"/>
    </row>
    <row r="333" spans="1:1" x14ac:dyDescent="0.35">
      <c r="A333" s="1" t="s">
        <v>3017</v>
      </c>
    </row>
    <row r="334" spans="1:1" x14ac:dyDescent="0.35">
      <c r="A334" s="2"/>
    </row>
    <row r="335" spans="1:1" x14ac:dyDescent="0.35">
      <c r="A335" s="3" t="s">
        <v>3018</v>
      </c>
    </row>
    <row r="336" spans="1:1" x14ac:dyDescent="0.35">
      <c r="A336" s="3" t="s">
        <v>3019</v>
      </c>
    </row>
    <row r="337" spans="1:1" x14ac:dyDescent="0.35">
      <c r="A337" s="3" t="s">
        <v>3020</v>
      </c>
    </row>
    <row r="338" spans="1:1" x14ac:dyDescent="0.35">
      <c r="A338" s="3" t="s">
        <v>3021</v>
      </c>
    </row>
    <row r="339" spans="1:1" x14ac:dyDescent="0.35">
      <c r="A339"/>
    </row>
    <row r="340" spans="1:1" x14ac:dyDescent="0.35">
      <c r="A340" s="1" t="s">
        <v>3022</v>
      </c>
    </row>
    <row r="341" spans="1:1" x14ac:dyDescent="0.35">
      <c r="A341" s="2"/>
    </row>
    <row r="342" spans="1:1" x14ac:dyDescent="0.35">
      <c r="A342" s="3" t="s">
        <v>3023</v>
      </c>
    </row>
    <row r="343" spans="1:1" x14ac:dyDescent="0.35">
      <c r="A343" s="3" t="s">
        <v>3024</v>
      </c>
    </row>
    <row r="344" spans="1:1" x14ac:dyDescent="0.35">
      <c r="A344" s="3" t="s">
        <v>3025</v>
      </c>
    </row>
    <row r="345" spans="1:1" x14ac:dyDescent="0.35">
      <c r="A345" s="3" t="s">
        <v>3026</v>
      </c>
    </row>
    <row r="346" spans="1:1" x14ac:dyDescent="0.35">
      <c r="A346"/>
    </row>
    <row r="347" spans="1:1" x14ac:dyDescent="0.35">
      <c r="A347" s="1" t="s">
        <v>3027</v>
      </c>
    </row>
    <row r="348" spans="1:1" x14ac:dyDescent="0.35">
      <c r="A348" s="2"/>
    </row>
    <row r="349" spans="1:1" x14ac:dyDescent="0.35">
      <c r="A349" s="3" t="s">
        <v>3028</v>
      </c>
    </row>
    <row r="350" spans="1:1" x14ac:dyDescent="0.35">
      <c r="A350" s="3" t="s">
        <v>3029</v>
      </c>
    </row>
    <row r="351" spans="1:1" x14ac:dyDescent="0.35">
      <c r="A351" s="3" t="s">
        <v>3030</v>
      </c>
    </row>
    <row r="352" spans="1:1" x14ac:dyDescent="0.35">
      <c r="A352" s="3" t="s">
        <v>3031</v>
      </c>
    </row>
    <row r="353" spans="1:1" x14ac:dyDescent="0.35">
      <c r="A353"/>
    </row>
    <row r="354" spans="1:1" x14ac:dyDescent="0.35">
      <c r="A354" s="1" t="s">
        <v>837</v>
      </c>
    </row>
    <row r="355" spans="1:1" x14ac:dyDescent="0.35">
      <c r="A355" s="2"/>
    </row>
    <row r="356" spans="1:1" x14ac:dyDescent="0.35">
      <c r="A356" s="3" t="s">
        <v>3032</v>
      </c>
    </row>
    <row r="357" spans="1:1" x14ac:dyDescent="0.35">
      <c r="A357" s="3" t="s">
        <v>3033</v>
      </c>
    </row>
    <row r="358" spans="1:1" x14ac:dyDescent="0.35">
      <c r="A358" s="3" t="s">
        <v>3034</v>
      </c>
    </row>
    <row r="359" spans="1:1" x14ac:dyDescent="0.35">
      <c r="A359" s="3" t="s">
        <v>3035</v>
      </c>
    </row>
    <row r="360" spans="1:1" x14ac:dyDescent="0.35">
      <c r="A360" s="3" t="s">
        <v>3036</v>
      </c>
    </row>
    <row r="361" spans="1:1" x14ac:dyDescent="0.35">
      <c r="A361"/>
    </row>
    <row r="362" spans="1:1" x14ac:dyDescent="0.35">
      <c r="A362" s="1" t="s">
        <v>842</v>
      </c>
    </row>
    <row r="363" spans="1:1" x14ac:dyDescent="0.35">
      <c r="A363" s="2"/>
    </row>
    <row r="364" spans="1:1" x14ac:dyDescent="0.35">
      <c r="A364" s="3" t="s">
        <v>3037</v>
      </c>
    </row>
    <row r="365" spans="1:1" x14ac:dyDescent="0.35">
      <c r="A365" s="3" t="s">
        <v>3038</v>
      </c>
    </row>
    <row r="366" spans="1:1" x14ac:dyDescent="0.35">
      <c r="A366" s="3" t="s">
        <v>3039</v>
      </c>
    </row>
    <row r="367" spans="1:1" x14ac:dyDescent="0.35">
      <c r="A367" s="3" t="s">
        <v>3040</v>
      </c>
    </row>
    <row r="368" spans="1:1" x14ac:dyDescent="0.35">
      <c r="A368" s="3" t="s">
        <v>3041</v>
      </c>
    </row>
    <row r="369" spans="1:1" x14ac:dyDescent="0.35">
      <c r="A369"/>
    </row>
    <row r="370" spans="1:1" x14ac:dyDescent="0.35">
      <c r="A370" t="s">
        <v>3042</v>
      </c>
    </row>
    <row r="373" spans="1:1" x14ac:dyDescent="0.35">
      <c r="A373" s="10" t="s">
        <v>1005</v>
      </c>
    </row>
    <row r="374" spans="1:1" x14ac:dyDescent="0.35">
      <c r="A374" t="s">
        <v>1035</v>
      </c>
    </row>
    <row r="375" spans="1:1" x14ac:dyDescent="0.35">
      <c r="A375" s="5" t="s">
        <v>1036</v>
      </c>
    </row>
    <row r="376" spans="1:1" x14ac:dyDescent="0.35">
      <c r="A376" s="1" t="s">
        <v>1006</v>
      </c>
    </row>
    <row r="377" spans="1:1" x14ac:dyDescent="0.35">
      <c r="A377"/>
    </row>
    <row r="378" spans="1:1" x14ac:dyDescent="0.35">
      <c r="A378" s="1" t="s">
        <v>1007</v>
      </c>
    </row>
    <row r="379" spans="1:1" x14ac:dyDescent="0.35">
      <c r="A379" s="2"/>
    </row>
    <row r="380" spans="1:1" x14ac:dyDescent="0.35">
      <c r="A380" s="3" t="s">
        <v>1008</v>
      </c>
    </row>
    <row r="381" spans="1:1" x14ac:dyDescent="0.35">
      <c r="A381" s="3" t="s">
        <v>1009</v>
      </c>
    </row>
    <row r="382" spans="1:1" x14ac:dyDescent="0.35">
      <c r="A382" s="3" t="s">
        <v>1010</v>
      </c>
    </row>
    <row r="383" spans="1:1" x14ac:dyDescent="0.35">
      <c r="A383" s="3" t="s">
        <v>1011</v>
      </c>
    </row>
    <row r="384" spans="1:1" x14ac:dyDescent="0.35">
      <c r="A384" s="3" t="s">
        <v>1012</v>
      </c>
    </row>
    <row r="385" spans="1:1" x14ac:dyDescent="0.35">
      <c r="A385" s="3" t="s">
        <v>1013</v>
      </c>
    </row>
    <row r="386" spans="1:1" x14ac:dyDescent="0.35">
      <c r="A386"/>
    </row>
    <row r="387" spans="1:1" x14ac:dyDescent="0.35">
      <c r="A387" s="1" t="s">
        <v>828</v>
      </c>
    </row>
    <row r="388" spans="1:1" x14ac:dyDescent="0.35">
      <c r="A388" s="2"/>
    </row>
    <row r="389" spans="1:1" x14ac:dyDescent="0.35">
      <c r="A389" s="3" t="s">
        <v>1014</v>
      </c>
    </row>
    <row r="390" spans="1:1" x14ac:dyDescent="0.35">
      <c r="A390" s="3" t="s">
        <v>1015</v>
      </c>
    </row>
    <row r="391" spans="1:1" x14ac:dyDescent="0.35">
      <c r="A391" s="3" t="s">
        <v>1016</v>
      </c>
    </row>
    <row r="392" spans="1:1" x14ac:dyDescent="0.35">
      <c r="A392" s="3" t="s">
        <v>1017</v>
      </c>
    </row>
    <row r="393" spans="1:1" x14ac:dyDescent="0.35">
      <c r="A393"/>
    </row>
    <row r="394" spans="1:1" x14ac:dyDescent="0.35">
      <c r="A394" s="1" t="s">
        <v>833</v>
      </c>
    </row>
    <row r="395" spans="1:1" x14ac:dyDescent="0.35">
      <c r="A395" s="2"/>
    </row>
    <row r="396" spans="1:1" x14ac:dyDescent="0.35">
      <c r="A396" s="3" t="s">
        <v>1018</v>
      </c>
    </row>
    <row r="397" spans="1:1" x14ac:dyDescent="0.35">
      <c r="A397" s="3" t="s">
        <v>1019</v>
      </c>
    </row>
    <row r="398" spans="1:1" x14ac:dyDescent="0.35">
      <c r="A398" s="3" t="s">
        <v>1020</v>
      </c>
    </row>
    <row r="399" spans="1:1" x14ac:dyDescent="0.35">
      <c r="A399" s="3" t="s">
        <v>1021</v>
      </c>
    </row>
    <row r="400" spans="1:1" x14ac:dyDescent="0.35">
      <c r="A400" s="3" t="s">
        <v>1022</v>
      </c>
    </row>
    <row r="401" spans="1:1" x14ac:dyDescent="0.35">
      <c r="A401" s="3" t="s">
        <v>1023</v>
      </c>
    </row>
    <row r="402" spans="1:1" x14ac:dyDescent="0.35">
      <c r="A402"/>
    </row>
    <row r="403" spans="1:1" x14ac:dyDescent="0.35">
      <c r="A403" s="1" t="s">
        <v>1024</v>
      </c>
    </row>
    <row r="404" spans="1:1" x14ac:dyDescent="0.35">
      <c r="A404" s="2"/>
    </row>
    <row r="405" spans="1:1" x14ac:dyDescent="0.35">
      <c r="A405" s="3" t="s">
        <v>1025</v>
      </c>
    </row>
    <row r="406" spans="1:1" x14ac:dyDescent="0.35">
      <c r="A406" s="3" t="s">
        <v>1026</v>
      </c>
    </row>
    <row r="407" spans="1:1" x14ac:dyDescent="0.35">
      <c r="A407" s="3" t="s">
        <v>1027</v>
      </c>
    </row>
    <row r="408" spans="1:1" x14ac:dyDescent="0.35">
      <c r="A408" s="3" t="s">
        <v>1028</v>
      </c>
    </row>
    <row r="409" spans="1:1" x14ac:dyDescent="0.35">
      <c r="A409"/>
    </row>
    <row r="410" spans="1:1" x14ac:dyDescent="0.35">
      <c r="A410" s="1" t="s">
        <v>837</v>
      </c>
    </row>
    <row r="411" spans="1:1" x14ac:dyDescent="0.35">
      <c r="A411" s="2"/>
    </row>
    <row r="412" spans="1:1" x14ac:dyDescent="0.35">
      <c r="A412" s="3" t="s">
        <v>1029</v>
      </c>
    </row>
    <row r="413" spans="1:1" x14ac:dyDescent="0.35">
      <c r="A413" s="3" t="s">
        <v>1030</v>
      </c>
    </row>
    <row r="414" spans="1:1" x14ac:dyDescent="0.35">
      <c r="A414" s="3" t="s">
        <v>1031</v>
      </c>
    </row>
    <row r="415" spans="1:1" x14ac:dyDescent="0.35">
      <c r="A415" s="3" t="s">
        <v>1032</v>
      </c>
    </row>
    <row r="416" spans="1:1" x14ac:dyDescent="0.35">
      <c r="A416" s="3" t="s">
        <v>1033</v>
      </c>
    </row>
    <row r="417" spans="1:1" x14ac:dyDescent="0.35">
      <c r="A417"/>
    </row>
    <row r="418" spans="1:1" x14ac:dyDescent="0.35">
      <c r="A418" t="s">
        <v>1034</v>
      </c>
    </row>
    <row r="421" spans="1:1" x14ac:dyDescent="0.35">
      <c r="A421" s="10" t="s">
        <v>1147</v>
      </c>
    </row>
    <row r="422" spans="1:1" x14ac:dyDescent="0.35">
      <c r="A422" t="s">
        <v>1148</v>
      </c>
    </row>
    <row r="423" spans="1:1" x14ac:dyDescent="0.35">
      <c r="A423"/>
    </row>
    <row r="424" spans="1:1" x14ac:dyDescent="0.35">
      <c r="A424" s="1" t="s">
        <v>1149</v>
      </c>
    </row>
    <row r="425" spans="1:1" x14ac:dyDescent="0.35">
      <c r="A425"/>
    </row>
    <row r="426" spans="1:1" x14ac:dyDescent="0.35">
      <c r="A426" s="1" t="s">
        <v>817</v>
      </c>
    </row>
    <row r="427" spans="1:1" x14ac:dyDescent="0.35">
      <c r="A427" s="2"/>
    </row>
    <row r="428" spans="1:1" x14ac:dyDescent="0.35">
      <c r="A428" s="3" t="s">
        <v>1150</v>
      </c>
    </row>
    <row r="429" spans="1:1" x14ac:dyDescent="0.35">
      <c r="A429" s="3" t="s">
        <v>1151</v>
      </c>
    </row>
    <row r="430" spans="1:1" x14ac:dyDescent="0.35">
      <c r="A430" s="3" t="s">
        <v>1152</v>
      </c>
    </row>
    <row r="431" spans="1:1" x14ac:dyDescent="0.35">
      <c r="A431" s="3" t="s">
        <v>1153</v>
      </c>
    </row>
    <row r="432" spans="1:1" x14ac:dyDescent="0.35">
      <c r="A432" s="3" t="s">
        <v>1154</v>
      </c>
    </row>
    <row r="433" spans="1:1" x14ac:dyDescent="0.35">
      <c r="A433" s="3" t="s">
        <v>1155</v>
      </c>
    </row>
    <row r="434" spans="1:1" x14ac:dyDescent="0.35">
      <c r="A434"/>
    </row>
    <row r="435" spans="1:1" x14ac:dyDescent="0.35">
      <c r="A435" s="1" t="s">
        <v>1156</v>
      </c>
    </row>
    <row r="436" spans="1:1" x14ac:dyDescent="0.35">
      <c r="A436" s="2"/>
    </row>
    <row r="437" spans="1:1" x14ac:dyDescent="0.35">
      <c r="A437" s="3" t="s">
        <v>1157</v>
      </c>
    </row>
    <row r="438" spans="1:1" x14ac:dyDescent="0.35">
      <c r="A438" s="3" t="s">
        <v>1158</v>
      </c>
    </row>
    <row r="439" spans="1:1" x14ac:dyDescent="0.35">
      <c r="A439" s="3" t="s">
        <v>1159</v>
      </c>
    </row>
    <row r="440" spans="1:1" x14ac:dyDescent="0.35">
      <c r="A440"/>
    </row>
    <row r="441" spans="1:1" x14ac:dyDescent="0.35">
      <c r="A441" s="1" t="s">
        <v>828</v>
      </c>
    </row>
    <row r="442" spans="1:1" x14ac:dyDescent="0.35">
      <c r="A442" s="2"/>
    </row>
    <row r="443" spans="1:1" x14ac:dyDescent="0.35">
      <c r="A443" s="3" t="s">
        <v>1160</v>
      </c>
    </row>
    <row r="444" spans="1:1" x14ac:dyDescent="0.35">
      <c r="A444" s="3" t="s">
        <v>1161</v>
      </c>
    </row>
    <row r="445" spans="1:1" x14ac:dyDescent="0.35">
      <c r="A445" s="3" t="s">
        <v>1162</v>
      </c>
    </row>
    <row r="446" spans="1:1" x14ac:dyDescent="0.35">
      <c r="A446" s="3" t="s">
        <v>1163</v>
      </c>
    </row>
    <row r="447" spans="1:1" x14ac:dyDescent="0.35">
      <c r="A447"/>
    </row>
    <row r="448" spans="1:1" x14ac:dyDescent="0.35">
      <c r="A448" s="1" t="s">
        <v>833</v>
      </c>
    </row>
    <row r="449" spans="1:1" x14ac:dyDescent="0.35">
      <c r="A449" s="2"/>
    </row>
    <row r="450" spans="1:1" x14ac:dyDescent="0.35">
      <c r="A450" s="3" t="s">
        <v>1164</v>
      </c>
    </row>
    <row r="451" spans="1:1" x14ac:dyDescent="0.35">
      <c r="A451" s="3" t="s">
        <v>1165</v>
      </c>
    </row>
    <row r="452" spans="1:1" x14ac:dyDescent="0.35">
      <c r="A452" s="3" t="s">
        <v>1166</v>
      </c>
    </row>
    <row r="453" spans="1:1" x14ac:dyDescent="0.35">
      <c r="A453" s="3" t="s">
        <v>1167</v>
      </c>
    </row>
    <row r="454" spans="1:1" x14ac:dyDescent="0.35">
      <c r="A454"/>
    </row>
    <row r="455" spans="1:1" x14ac:dyDescent="0.35">
      <c r="A455" s="1" t="s">
        <v>1168</v>
      </c>
    </row>
    <row r="456" spans="1:1" x14ac:dyDescent="0.35">
      <c r="A456" s="2"/>
    </row>
    <row r="457" spans="1:1" x14ac:dyDescent="0.35">
      <c r="A457" s="3" t="s">
        <v>1169</v>
      </c>
    </row>
    <row r="458" spans="1:1" x14ac:dyDescent="0.35">
      <c r="A458" s="3" t="s">
        <v>1170</v>
      </c>
    </row>
    <row r="459" spans="1:1" x14ac:dyDescent="0.35">
      <c r="A459" s="3" t="s">
        <v>1171</v>
      </c>
    </row>
    <row r="460" spans="1:1" x14ac:dyDescent="0.35">
      <c r="A460" s="3" t="s">
        <v>1172</v>
      </c>
    </row>
    <row r="461" spans="1:1" x14ac:dyDescent="0.35">
      <c r="A461"/>
    </row>
    <row r="462" spans="1:1" x14ac:dyDescent="0.35">
      <c r="A462" s="1" t="s">
        <v>837</v>
      </c>
    </row>
    <row r="463" spans="1:1" x14ac:dyDescent="0.35">
      <c r="A463" s="2"/>
    </row>
    <row r="464" spans="1:1" x14ac:dyDescent="0.35">
      <c r="A464" s="3" t="s">
        <v>1173</v>
      </c>
    </row>
    <row r="465" spans="1:1" x14ac:dyDescent="0.35">
      <c r="A465" s="3" t="s">
        <v>1174</v>
      </c>
    </row>
    <row r="466" spans="1:1" x14ac:dyDescent="0.35">
      <c r="A466" s="3" t="s">
        <v>1175</v>
      </c>
    </row>
    <row r="467" spans="1:1" x14ac:dyDescent="0.35">
      <c r="A467" s="3" t="s">
        <v>1176</v>
      </c>
    </row>
    <row r="468" spans="1:1" x14ac:dyDescent="0.35">
      <c r="A468" s="3" t="s">
        <v>1177</v>
      </c>
    </row>
    <row r="469" spans="1:1" x14ac:dyDescent="0.35">
      <c r="A469" s="3" t="s">
        <v>1178</v>
      </c>
    </row>
    <row r="470" spans="1:1" x14ac:dyDescent="0.35">
      <c r="A470"/>
    </row>
    <row r="471" spans="1:1" x14ac:dyDescent="0.35">
      <c r="A471" t="s">
        <v>1179</v>
      </c>
    </row>
    <row r="474" spans="1:1" x14ac:dyDescent="0.35">
      <c r="A474" s="10" t="s">
        <v>1459</v>
      </c>
    </row>
    <row r="475" spans="1:1" x14ac:dyDescent="0.35">
      <c r="A475" t="s">
        <v>1495</v>
      </c>
    </row>
    <row r="476" spans="1:1" x14ac:dyDescent="0.35">
      <c r="A476" s="5" t="s">
        <v>1530</v>
      </c>
    </row>
    <row r="477" spans="1:1" x14ac:dyDescent="0.35">
      <c r="A477" s="1" t="s">
        <v>1460</v>
      </c>
    </row>
    <row r="478" spans="1:1" x14ac:dyDescent="0.35">
      <c r="A478"/>
    </row>
    <row r="479" spans="1:1" x14ac:dyDescent="0.35">
      <c r="A479" s="1" t="s">
        <v>1461</v>
      </c>
    </row>
    <row r="480" spans="1:1" x14ac:dyDescent="0.35">
      <c r="A480" s="2"/>
    </row>
    <row r="481" spans="1:1" x14ac:dyDescent="0.35">
      <c r="A481" s="3" t="s">
        <v>1462</v>
      </c>
    </row>
    <row r="482" spans="1:1" x14ac:dyDescent="0.35">
      <c r="A482" s="3" t="s">
        <v>1463</v>
      </c>
    </row>
    <row r="483" spans="1:1" x14ac:dyDescent="0.35">
      <c r="A483" s="3" t="s">
        <v>1464</v>
      </c>
    </row>
    <row r="484" spans="1:1" x14ac:dyDescent="0.35">
      <c r="A484" s="3" t="s">
        <v>1465</v>
      </c>
    </row>
    <row r="485" spans="1:1" x14ac:dyDescent="0.35">
      <c r="A485" s="3" t="s">
        <v>1466</v>
      </c>
    </row>
    <row r="486" spans="1:1" x14ac:dyDescent="0.35">
      <c r="A486"/>
    </row>
    <row r="487" spans="1:1" x14ac:dyDescent="0.35">
      <c r="A487" s="1" t="s">
        <v>1467</v>
      </c>
    </row>
    <row r="488" spans="1:1" x14ac:dyDescent="0.35">
      <c r="A488" s="2"/>
    </row>
    <row r="489" spans="1:1" x14ac:dyDescent="0.35">
      <c r="A489" s="3" t="s">
        <v>1468</v>
      </c>
    </row>
    <row r="490" spans="1:1" x14ac:dyDescent="0.35">
      <c r="A490" s="3" t="s">
        <v>1469</v>
      </c>
    </row>
    <row r="491" spans="1:1" x14ac:dyDescent="0.35">
      <c r="A491" s="3" t="s">
        <v>1470</v>
      </c>
    </row>
    <row r="492" spans="1:1" x14ac:dyDescent="0.35">
      <c r="A492" s="3" t="s">
        <v>1471</v>
      </c>
    </row>
    <row r="493" spans="1:1" x14ac:dyDescent="0.35">
      <c r="A493"/>
    </row>
    <row r="494" spans="1:1" x14ac:dyDescent="0.35">
      <c r="A494" s="1" t="s">
        <v>1472</v>
      </c>
    </row>
    <row r="495" spans="1:1" x14ac:dyDescent="0.35">
      <c r="A495" s="2"/>
    </row>
    <row r="496" spans="1:1" x14ac:dyDescent="0.35">
      <c r="A496" s="3" t="s">
        <v>1473</v>
      </c>
    </row>
    <row r="497" spans="1:1" x14ac:dyDescent="0.35">
      <c r="A497" s="3" t="s">
        <v>1474</v>
      </c>
    </row>
    <row r="498" spans="1:1" x14ac:dyDescent="0.35">
      <c r="A498" s="3" t="s">
        <v>1475</v>
      </c>
    </row>
    <row r="499" spans="1:1" x14ac:dyDescent="0.35">
      <c r="A499" s="3" t="s">
        <v>1476</v>
      </c>
    </row>
    <row r="500" spans="1:1" x14ac:dyDescent="0.35">
      <c r="A500"/>
    </row>
    <row r="501" spans="1:1" x14ac:dyDescent="0.35">
      <c r="A501" s="1" t="s">
        <v>1168</v>
      </c>
    </row>
    <row r="502" spans="1:1" x14ac:dyDescent="0.35">
      <c r="A502" s="2"/>
    </row>
    <row r="503" spans="1:1" x14ac:dyDescent="0.35">
      <c r="A503" s="3" t="s">
        <v>1477</v>
      </c>
    </row>
    <row r="504" spans="1:1" x14ac:dyDescent="0.35">
      <c r="A504" s="3" t="s">
        <v>1478</v>
      </c>
    </row>
    <row r="505" spans="1:1" x14ac:dyDescent="0.35">
      <c r="A505" s="3" t="s">
        <v>1479</v>
      </c>
    </row>
    <row r="506" spans="1:1" x14ac:dyDescent="0.35">
      <c r="A506"/>
    </row>
    <row r="507" spans="1:1" x14ac:dyDescent="0.35">
      <c r="A507" s="1" t="s">
        <v>1480</v>
      </c>
    </row>
    <row r="508" spans="1:1" x14ac:dyDescent="0.35">
      <c r="A508" s="2"/>
    </row>
    <row r="509" spans="1:1" x14ac:dyDescent="0.35">
      <c r="A509" s="3" t="s">
        <v>1481</v>
      </c>
    </row>
    <row r="510" spans="1:1" x14ac:dyDescent="0.35">
      <c r="A510" s="3" t="s">
        <v>1482</v>
      </c>
    </row>
    <row r="511" spans="1:1" x14ac:dyDescent="0.35">
      <c r="A511" s="3" t="s">
        <v>1483</v>
      </c>
    </row>
    <row r="512" spans="1:1" x14ac:dyDescent="0.35">
      <c r="A512" s="3" t="s">
        <v>1484</v>
      </c>
    </row>
    <row r="513" spans="1:1" x14ac:dyDescent="0.35">
      <c r="A513"/>
    </row>
    <row r="514" spans="1:1" x14ac:dyDescent="0.35">
      <c r="A514" s="1" t="s">
        <v>837</v>
      </c>
    </row>
    <row r="515" spans="1:1" x14ac:dyDescent="0.35">
      <c r="A515" s="2"/>
    </row>
    <row r="516" spans="1:1" x14ac:dyDescent="0.35">
      <c r="A516" s="3" t="s">
        <v>1485</v>
      </c>
    </row>
    <row r="517" spans="1:1" x14ac:dyDescent="0.35">
      <c r="A517" s="3" t="s">
        <v>1486</v>
      </c>
    </row>
    <row r="518" spans="1:1" x14ac:dyDescent="0.35">
      <c r="A518" s="3" t="s">
        <v>1487</v>
      </c>
    </row>
    <row r="519" spans="1:1" x14ac:dyDescent="0.35">
      <c r="A519" s="3" t="s">
        <v>1488</v>
      </c>
    </row>
    <row r="520" spans="1:1" x14ac:dyDescent="0.35">
      <c r="A520"/>
    </row>
    <row r="521" spans="1:1" x14ac:dyDescent="0.35">
      <c r="A521" s="1" t="s">
        <v>842</v>
      </c>
    </row>
    <row r="522" spans="1:1" x14ac:dyDescent="0.35">
      <c r="A522" s="2"/>
    </row>
    <row r="523" spans="1:1" x14ac:dyDescent="0.35">
      <c r="A523" s="3" t="s">
        <v>1489</v>
      </c>
    </row>
    <row r="524" spans="1:1" x14ac:dyDescent="0.35">
      <c r="A524" s="3" t="s">
        <v>1490</v>
      </c>
    </row>
    <row r="525" spans="1:1" x14ac:dyDescent="0.35">
      <c r="A525" s="3" t="s">
        <v>1491</v>
      </c>
    </row>
    <row r="526" spans="1:1" x14ac:dyDescent="0.35">
      <c r="A526" s="3" t="s">
        <v>1492</v>
      </c>
    </row>
    <row r="527" spans="1:1" x14ac:dyDescent="0.35">
      <c r="A527" s="3" t="s">
        <v>1493</v>
      </c>
    </row>
    <row r="528" spans="1:1" x14ac:dyDescent="0.35">
      <c r="A528"/>
    </row>
    <row r="529" spans="1:1" x14ac:dyDescent="0.35">
      <c r="A529" t="s">
        <v>1494</v>
      </c>
    </row>
    <row r="533" spans="1:1" x14ac:dyDescent="0.35">
      <c r="A533" s="10" t="s">
        <v>1496</v>
      </c>
    </row>
    <row r="534" spans="1:1" x14ac:dyDescent="0.35">
      <c r="A534" t="s">
        <v>1986</v>
      </c>
    </row>
    <row r="535" spans="1:1" x14ac:dyDescent="0.35">
      <c r="A535" t="s">
        <v>3275</v>
      </c>
    </row>
    <row r="536" spans="1:1" x14ac:dyDescent="0.35">
      <c r="A536" s="1" t="s">
        <v>1497</v>
      </c>
    </row>
    <row r="537" spans="1:1" x14ac:dyDescent="0.35">
      <c r="A537"/>
    </row>
    <row r="538" spans="1:1" x14ac:dyDescent="0.35">
      <c r="A538" s="1" t="s">
        <v>1498</v>
      </c>
    </row>
    <row r="539" spans="1:1" x14ac:dyDescent="0.35">
      <c r="A539" s="2"/>
    </row>
    <row r="540" spans="1:1" x14ac:dyDescent="0.35">
      <c r="A540" s="3" t="s">
        <v>1499</v>
      </c>
    </row>
    <row r="541" spans="1:1" x14ac:dyDescent="0.35">
      <c r="A541" s="3" t="s">
        <v>1500</v>
      </c>
    </row>
    <row r="542" spans="1:1" x14ac:dyDescent="0.35">
      <c r="A542" s="3" t="s">
        <v>1501</v>
      </c>
    </row>
    <row r="543" spans="1:1" x14ac:dyDescent="0.35">
      <c r="A543" s="3" t="s">
        <v>1502</v>
      </c>
    </row>
    <row r="544" spans="1:1" x14ac:dyDescent="0.35">
      <c r="A544" s="3" t="s">
        <v>1503</v>
      </c>
    </row>
    <row r="545" spans="1:1" x14ac:dyDescent="0.35">
      <c r="A545" s="3" t="s">
        <v>1504</v>
      </c>
    </row>
    <row r="546" spans="1:1" x14ac:dyDescent="0.35">
      <c r="A546" s="3" t="s">
        <v>1505</v>
      </c>
    </row>
    <row r="547" spans="1:1" x14ac:dyDescent="0.35">
      <c r="A547"/>
    </row>
    <row r="548" spans="1:1" x14ac:dyDescent="0.35">
      <c r="A548" s="1" t="s">
        <v>1472</v>
      </c>
    </row>
    <row r="549" spans="1:1" x14ac:dyDescent="0.35">
      <c r="A549" s="2"/>
    </row>
    <row r="550" spans="1:1" x14ac:dyDescent="0.35">
      <c r="A550" s="3" t="s">
        <v>1506</v>
      </c>
    </row>
    <row r="551" spans="1:1" x14ac:dyDescent="0.35">
      <c r="A551" s="3" t="s">
        <v>1507</v>
      </c>
    </row>
    <row r="552" spans="1:1" x14ac:dyDescent="0.35">
      <c r="A552" s="3" t="s">
        <v>1508</v>
      </c>
    </row>
    <row r="553" spans="1:1" x14ac:dyDescent="0.35">
      <c r="A553" s="3" t="s">
        <v>1509</v>
      </c>
    </row>
    <row r="554" spans="1:1" x14ac:dyDescent="0.35">
      <c r="A554"/>
    </row>
    <row r="555" spans="1:1" x14ac:dyDescent="0.35">
      <c r="A555" s="1" t="s">
        <v>282</v>
      </c>
    </row>
    <row r="556" spans="1:1" x14ac:dyDescent="0.35">
      <c r="A556" s="2"/>
    </row>
    <row r="557" spans="1:1" x14ac:dyDescent="0.35">
      <c r="A557" s="3" t="s">
        <v>1510</v>
      </c>
    </row>
    <row r="558" spans="1:1" x14ac:dyDescent="0.35">
      <c r="A558" s="3" t="s">
        <v>1511</v>
      </c>
    </row>
    <row r="559" spans="1:1" x14ac:dyDescent="0.35">
      <c r="A559" s="3" t="s">
        <v>1512</v>
      </c>
    </row>
    <row r="560" spans="1:1" x14ac:dyDescent="0.35">
      <c r="A560" s="3" t="s">
        <v>1513</v>
      </c>
    </row>
    <row r="561" spans="1:1" x14ac:dyDescent="0.35">
      <c r="A561"/>
    </row>
    <row r="562" spans="1:1" x14ac:dyDescent="0.35">
      <c r="A562" s="1" t="s">
        <v>1467</v>
      </c>
    </row>
    <row r="563" spans="1:1" x14ac:dyDescent="0.35">
      <c r="A563" s="2"/>
    </row>
    <row r="564" spans="1:1" x14ac:dyDescent="0.35">
      <c r="A564" s="3" t="s">
        <v>1514</v>
      </c>
    </row>
    <row r="565" spans="1:1" x14ac:dyDescent="0.35">
      <c r="A565" s="3" t="s">
        <v>1515</v>
      </c>
    </row>
    <row r="566" spans="1:1" x14ac:dyDescent="0.35">
      <c r="A566" s="3" t="s">
        <v>1516</v>
      </c>
    </row>
    <row r="567" spans="1:1" x14ac:dyDescent="0.35">
      <c r="A567" s="3" t="s">
        <v>1517</v>
      </c>
    </row>
    <row r="568" spans="1:1" x14ac:dyDescent="0.35">
      <c r="A568"/>
    </row>
    <row r="569" spans="1:1" x14ac:dyDescent="0.35">
      <c r="A569" s="1" t="s">
        <v>837</v>
      </c>
    </row>
    <row r="570" spans="1:1" x14ac:dyDescent="0.35">
      <c r="A570" s="2"/>
    </row>
    <row r="571" spans="1:1" x14ac:dyDescent="0.35">
      <c r="A571" s="3" t="s">
        <v>1518</v>
      </c>
    </row>
    <row r="572" spans="1:1" x14ac:dyDescent="0.35">
      <c r="A572" s="3" t="s">
        <v>1519</v>
      </c>
    </row>
    <row r="573" spans="1:1" x14ac:dyDescent="0.35">
      <c r="A573" s="3" t="s">
        <v>1520</v>
      </c>
    </row>
    <row r="574" spans="1:1" x14ac:dyDescent="0.35">
      <c r="A574" s="3" t="s">
        <v>1521</v>
      </c>
    </row>
    <row r="575" spans="1:1" x14ac:dyDescent="0.35">
      <c r="A575" s="3" t="s">
        <v>1522</v>
      </c>
    </row>
    <row r="576" spans="1:1" x14ac:dyDescent="0.35">
      <c r="A576"/>
    </row>
    <row r="577" spans="1:1" x14ac:dyDescent="0.35">
      <c r="A577" s="1" t="s">
        <v>842</v>
      </c>
    </row>
    <row r="578" spans="1:1" x14ac:dyDescent="0.35">
      <c r="A578" s="2"/>
    </row>
    <row r="579" spans="1:1" x14ac:dyDescent="0.35">
      <c r="A579" s="3" t="s">
        <v>1523</v>
      </c>
    </row>
    <row r="580" spans="1:1" x14ac:dyDescent="0.35">
      <c r="A580" s="3" t="s">
        <v>1524</v>
      </c>
    </row>
    <row r="581" spans="1:1" x14ac:dyDescent="0.35">
      <c r="A581" s="3" t="s">
        <v>1525</v>
      </c>
    </row>
    <row r="582" spans="1:1" x14ac:dyDescent="0.35">
      <c r="A582" s="3" t="s">
        <v>1526</v>
      </c>
    </row>
    <row r="583" spans="1:1" x14ac:dyDescent="0.35">
      <c r="A583" s="3" t="s">
        <v>1527</v>
      </c>
    </row>
    <row r="584" spans="1:1" x14ac:dyDescent="0.35">
      <c r="A584"/>
    </row>
    <row r="585" spans="1:1" x14ac:dyDescent="0.35">
      <c r="A585" t="s">
        <v>1528</v>
      </c>
    </row>
    <row r="587" spans="1:1" x14ac:dyDescent="0.35">
      <c r="A587" t="s">
        <v>1993</v>
      </c>
    </row>
    <row r="588" spans="1:1" x14ac:dyDescent="0.35">
      <c r="A588" s="2"/>
    </row>
    <row r="589" spans="1:1" x14ac:dyDescent="0.35">
      <c r="A589" s="3" t="s">
        <v>1987</v>
      </c>
    </row>
    <row r="590" spans="1:1" x14ac:dyDescent="0.35">
      <c r="A590" s="3" t="s">
        <v>1988</v>
      </c>
    </row>
    <row r="591" spans="1:1" x14ac:dyDescent="0.35">
      <c r="A591" s="3" t="s">
        <v>1989</v>
      </c>
    </row>
    <row r="592" spans="1:1" x14ac:dyDescent="0.35">
      <c r="A592" s="3" t="s">
        <v>1990</v>
      </c>
    </row>
    <row r="593" spans="1:1" x14ac:dyDescent="0.35">
      <c r="A593" s="3" t="s">
        <v>1991</v>
      </c>
    </row>
    <row r="594" spans="1:1" x14ac:dyDescent="0.35">
      <c r="A594"/>
    </row>
    <row r="595" spans="1:1" x14ac:dyDescent="0.35">
      <c r="A595" t="s">
        <v>1992</v>
      </c>
    </row>
    <row r="598" spans="1:1" x14ac:dyDescent="0.35">
      <c r="A598" s="10" t="s">
        <v>2493</v>
      </c>
    </row>
    <row r="599" spans="1:1" x14ac:dyDescent="0.35">
      <c r="A599" t="s">
        <v>2494</v>
      </c>
    </row>
    <row r="600" spans="1:1" x14ac:dyDescent="0.35">
      <c r="A600"/>
    </row>
    <row r="601" spans="1:1" x14ac:dyDescent="0.35">
      <c r="A601" s="1" t="s">
        <v>2495</v>
      </c>
    </row>
    <row r="602" spans="1:1" x14ac:dyDescent="0.35">
      <c r="A602"/>
    </row>
    <row r="603" spans="1:1" x14ac:dyDescent="0.35">
      <c r="A603" s="1" t="s">
        <v>2496</v>
      </c>
    </row>
    <row r="604" spans="1:1" x14ac:dyDescent="0.35">
      <c r="A604" s="2"/>
    </row>
    <row r="605" spans="1:1" x14ac:dyDescent="0.35">
      <c r="A605" s="3" t="s">
        <v>2497</v>
      </c>
    </row>
    <row r="606" spans="1:1" x14ac:dyDescent="0.35">
      <c r="A606" s="3" t="s">
        <v>2498</v>
      </c>
    </row>
    <row r="607" spans="1:1" x14ac:dyDescent="0.35">
      <c r="A607" s="3" t="s">
        <v>1157</v>
      </c>
    </row>
    <row r="608" spans="1:1" x14ac:dyDescent="0.35">
      <c r="A608" s="3" t="s">
        <v>2499</v>
      </c>
    </row>
    <row r="609" spans="1:1" x14ac:dyDescent="0.35">
      <c r="A609" s="3" t="s">
        <v>2500</v>
      </c>
    </row>
    <row r="610" spans="1:1" x14ac:dyDescent="0.35">
      <c r="A610"/>
    </row>
    <row r="611" spans="1:1" x14ac:dyDescent="0.35">
      <c r="A611" s="1" t="s">
        <v>2501</v>
      </c>
    </row>
    <row r="612" spans="1:1" x14ac:dyDescent="0.35">
      <c r="A612" s="2"/>
    </row>
    <row r="613" spans="1:1" x14ac:dyDescent="0.35">
      <c r="A613" s="3" t="s">
        <v>2502</v>
      </c>
    </row>
    <row r="614" spans="1:1" x14ac:dyDescent="0.35">
      <c r="A614" s="3" t="s">
        <v>2503</v>
      </c>
    </row>
    <row r="615" spans="1:1" x14ac:dyDescent="0.35">
      <c r="A615" s="3" t="s">
        <v>2504</v>
      </c>
    </row>
    <row r="616" spans="1:1" x14ac:dyDescent="0.35">
      <c r="A616" s="3" t="s">
        <v>2505</v>
      </c>
    </row>
    <row r="617" spans="1:1" x14ac:dyDescent="0.35">
      <c r="A617"/>
    </row>
    <row r="618" spans="1:1" x14ac:dyDescent="0.35">
      <c r="A618" s="1" t="s">
        <v>2506</v>
      </c>
    </row>
    <row r="619" spans="1:1" x14ac:dyDescent="0.35">
      <c r="A619" s="2"/>
    </row>
    <row r="620" spans="1:1" x14ac:dyDescent="0.35">
      <c r="A620" s="3" t="s">
        <v>2507</v>
      </c>
    </row>
    <row r="621" spans="1:1" x14ac:dyDescent="0.35">
      <c r="A621" s="3" t="s">
        <v>2508</v>
      </c>
    </row>
    <row r="622" spans="1:1" x14ac:dyDescent="0.35">
      <c r="A622" s="3" t="s">
        <v>2509</v>
      </c>
    </row>
    <row r="623" spans="1:1" x14ac:dyDescent="0.35">
      <c r="A623" s="3" t="s">
        <v>2510</v>
      </c>
    </row>
    <row r="624" spans="1:1" x14ac:dyDescent="0.35">
      <c r="A624"/>
    </row>
    <row r="625" spans="1:1" x14ac:dyDescent="0.35">
      <c r="A625" s="1" t="s">
        <v>285</v>
      </c>
    </row>
    <row r="626" spans="1:1" x14ac:dyDescent="0.35">
      <c r="A626" s="2"/>
    </row>
    <row r="627" spans="1:1" x14ac:dyDescent="0.35">
      <c r="A627" s="3" t="s">
        <v>2511</v>
      </c>
    </row>
    <row r="628" spans="1:1" x14ac:dyDescent="0.35">
      <c r="A628" s="3" t="s">
        <v>2512</v>
      </c>
    </row>
    <row r="629" spans="1:1" x14ac:dyDescent="0.35">
      <c r="A629" s="3" t="s">
        <v>2513</v>
      </c>
    </row>
    <row r="630" spans="1:1" x14ac:dyDescent="0.35">
      <c r="A630" s="3" t="s">
        <v>2514</v>
      </c>
    </row>
    <row r="631" spans="1:1" x14ac:dyDescent="0.35">
      <c r="A631"/>
    </row>
    <row r="632" spans="1:1" x14ac:dyDescent="0.35">
      <c r="A632" s="1" t="s">
        <v>2515</v>
      </c>
    </row>
    <row r="633" spans="1:1" x14ac:dyDescent="0.35">
      <c r="A633" s="2"/>
    </row>
    <row r="634" spans="1:1" x14ac:dyDescent="0.35">
      <c r="A634" s="2" t="s">
        <v>2516</v>
      </c>
    </row>
    <row r="635" spans="1:1" x14ac:dyDescent="0.35">
      <c r="A635" s="2" t="s">
        <v>2517</v>
      </c>
    </row>
    <row r="636" spans="1:1" x14ac:dyDescent="0.35">
      <c r="A636" s="2" t="s">
        <v>2518</v>
      </c>
    </row>
    <row r="637" spans="1:1" x14ac:dyDescent="0.35">
      <c r="A637"/>
    </row>
    <row r="638" spans="1:1" x14ac:dyDescent="0.35">
      <c r="A638" s="1" t="s">
        <v>842</v>
      </c>
    </row>
    <row r="639" spans="1:1" x14ac:dyDescent="0.35">
      <c r="A639" s="2"/>
    </row>
    <row r="640" spans="1:1" x14ac:dyDescent="0.35">
      <c r="A640" s="3" t="s">
        <v>2519</v>
      </c>
    </row>
    <row r="641" spans="1:1" x14ac:dyDescent="0.35">
      <c r="A641" s="3" t="s">
        <v>2520</v>
      </c>
    </row>
    <row r="642" spans="1:1" x14ac:dyDescent="0.35">
      <c r="A642" s="3" t="s">
        <v>2521</v>
      </c>
    </row>
    <row r="643" spans="1:1" x14ac:dyDescent="0.35">
      <c r="A643" s="3" t="s">
        <v>2522</v>
      </c>
    </row>
    <row r="644" spans="1:1" x14ac:dyDescent="0.35">
      <c r="A644" s="3" t="s">
        <v>2523</v>
      </c>
    </row>
    <row r="645" spans="1:1" x14ac:dyDescent="0.35">
      <c r="A645"/>
    </row>
    <row r="646" spans="1:1" x14ac:dyDescent="0.35">
      <c r="A646" t="s">
        <v>2524</v>
      </c>
    </row>
    <row r="649" spans="1:1" x14ac:dyDescent="0.35">
      <c r="A649" s="10" t="s">
        <v>2525</v>
      </c>
    </row>
    <row r="650" spans="1:1" x14ac:dyDescent="0.35">
      <c r="A650" t="s">
        <v>2526</v>
      </c>
    </row>
    <row r="651" spans="1:1" x14ac:dyDescent="0.35">
      <c r="A651"/>
    </row>
    <row r="652" spans="1:1" x14ac:dyDescent="0.35">
      <c r="A652" s="1" t="s">
        <v>2527</v>
      </c>
    </row>
    <row r="653" spans="1:1" x14ac:dyDescent="0.35">
      <c r="A653"/>
    </row>
    <row r="654" spans="1:1" x14ac:dyDescent="0.35">
      <c r="A654" s="1" t="s">
        <v>1461</v>
      </c>
    </row>
    <row r="655" spans="1:1" x14ac:dyDescent="0.35">
      <c r="A655" s="2"/>
    </row>
    <row r="656" spans="1:1" x14ac:dyDescent="0.35">
      <c r="A656" s="3" t="s">
        <v>2528</v>
      </c>
    </row>
    <row r="657" spans="1:1" x14ac:dyDescent="0.35">
      <c r="A657" s="3" t="s">
        <v>2529</v>
      </c>
    </row>
    <row r="658" spans="1:1" x14ac:dyDescent="0.35">
      <c r="A658" s="3" t="s">
        <v>2530</v>
      </c>
    </row>
    <row r="659" spans="1:1" x14ac:dyDescent="0.35">
      <c r="A659" s="3" t="s">
        <v>2531</v>
      </c>
    </row>
    <row r="660" spans="1:1" x14ac:dyDescent="0.35">
      <c r="A660"/>
    </row>
    <row r="661" spans="1:1" x14ac:dyDescent="0.35">
      <c r="A661" s="1" t="s">
        <v>2532</v>
      </c>
    </row>
    <row r="662" spans="1:1" x14ac:dyDescent="0.35">
      <c r="A662" s="2"/>
    </row>
    <row r="663" spans="1:1" x14ac:dyDescent="0.35">
      <c r="A663" s="3" t="s">
        <v>2533</v>
      </c>
    </row>
    <row r="664" spans="1:1" x14ac:dyDescent="0.35">
      <c r="A664" s="3" t="s">
        <v>2534</v>
      </c>
    </row>
    <row r="665" spans="1:1" x14ac:dyDescent="0.35">
      <c r="A665" s="3" t="s">
        <v>2535</v>
      </c>
    </row>
    <row r="666" spans="1:1" x14ac:dyDescent="0.35">
      <c r="A666" s="3" t="s">
        <v>2536</v>
      </c>
    </row>
    <row r="667" spans="1:1" x14ac:dyDescent="0.35">
      <c r="A667"/>
    </row>
    <row r="668" spans="1:1" x14ac:dyDescent="0.35">
      <c r="A668" s="1" t="s">
        <v>2537</v>
      </c>
    </row>
    <row r="669" spans="1:1" x14ac:dyDescent="0.35">
      <c r="A669" s="2"/>
    </row>
    <row r="670" spans="1:1" x14ac:dyDescent="0.35">
      <c r="A670" s="3" t="s">
        <v>2538</v>
      </c>
    </row>
    <row r="671" spans="1:1" x14ac:dyDescent="0.35">
      <c r="A671" s="3" t="s">
        <v>2539</v>
      </c>
    </row>
    <row r="672" spans="1:1" x14ac:dyDescent="0.35">
      <c r="A672" s="3" t="s">
        <v>2540</v>
      </c>
    </row>
    <row r="673" spans="1:1" x14ac:dyDescent="0.35">
      <c r="A673" s="3" t="s">
        <v>2541</v>
      </c>
    </row>
    <row r="674" spans="1:1" x14ac:dyDescent="0.35">
      <c r="A674"/>
    </row>
    <row r="675" spans="1:1" x14ac:dyDescent="0.35">
      <c r="A675" s="1" t="s">
        <v>2542</v>
      </c>
    </row>
    <row r="676" spans="1:1" x14ac:dyDescent="0.35">
      <c r="A676" s="2"/>
    </row>
    <row r="677" spans="1:1" x14ac:dyDescent="0.35">
      <c r="A677" s="3" t="s">
        <v>2543</v>
      </c>
    </row>
    <row r="678" spans="1:1" x14ac:dyDescent="0.35">
      <c r="A678" s="3" t="s">
        <v>2544</v>
      </c>
    </row>
    <row r="679" spans="1:1" x14ac:dyDescent="0.35">
      <c r="A679" s="3" t="s">
        <v>2545</v>
      </c>
    </row>
    <row r="680" spans="1:1" x14ac:dyDescent="0.35">
      <c r="A680" s="3" t="s">
        <v>2546</v>
      </c>
    </row>
    <row r="681" spans="1:1" x14ac:dyDescent="0.35">
      <c r="A681"/>
    </row>
    <row r="682" spans="1:1" x14ac:dyDescent="0.35">
      <c r="A682" s="1" t="s">
        <v>837</v>
      </c>
    </row>
    <row r="683" spans="1:1" x14ac:dyDescent="0.35">
      <c r="A683" s="2"/>
    </row>
    <row r="684" spans="1:1" x14ac:dyDescent="0.35">
      <c r="A684" s="3" t="s">
        <v>2547</v>
      </c>
    </row>
    <row r="685" spans="1:1" x14ac:dyDescent="0.35">
      <c r="A685" s="3" t="s">
        <v>2548</v>
      </c>
    </row>
    <row r="686" spans="1:1" x14ac:dyDescent="0.35">
      <c r="A686" s="3" t="s">
        <v>2549</v>
      </c>
    </row>
    <row r="687" spans="1:1" x14ac:dyDescent="0.35">
      <c r="A687" s="3" t="s">
        <v>2550</v>
      </c>
    </row>
    <row r="688" spans="1:1" x14ac:dyDescent="0.35">
      <c r="A688"/>
    </row>
    <row r="689" spans="1:1" x14ac:dyDescent="0.35">
      <c r="A689" s="1" t="s">
        <v>842</v>
      </c>
    </row>
    <row r="690" spans="1:1" x14ac:dyDescent="0.35">
      <c r="A690" s="2"/>
    </row>
    <row r="691" spans="1:1" x14ac:dyDescent="0.35">
      <c r="A691" s="3" t="s">
        <v>2551</v>
      </c>
    </row>
    <row r="692" spans="1:1" x14ac:dyDescent="0.35">
      <c r="A692" s="3" t="s">
        <v>843</v>
      </c>
    </row>
    <row r="693" spans="1:1" x14ac:dyDescent="0.35">
      <c r="A693" s="3" t="s">
        <v>2552</v>
      </c>
    </row>
    <row r="694" spans="1:1" x14ac:dyDescent="0.35">
      <c r="A694" s="3" t="s">
        <v>2553</v>
      </c>
    </row>
    <row r="695" spans="1:1" x14ac:dyDescent="0.35">
      <c r="A695" s="3" t="s">
        <v>2554</v>
      </c>
    </row>
    <row r="696" spans="1:1" x14ac:dyDescent="0.35">
      <c r="A696" s="3" t="s">
        <v>2555</v>
      </c>
    </row>
    <row r="697" spans="1:1" x14ac:dyDescent="0.35">
      <c r="A697"/>
    </row>
    <row r="698" spans="1:1" x14ac:dyDescent="0.35">
      <c r="A698" t="s">
        <v>2556</v>
      </c>
    </row>
    <row r="701" spans="1:1" x14ac:dyDescent="0.35">
      <c r="A701" s="10" t="s">
        <v>3084</v>
      </c>
    </row>
    <row r="702" spans="1:1" x14ac:dyDescent="0.35">
      <c r="A702" t="s">
        <v>3085</v>
      </c>
    </row>
    <row r="703" spans="1:1" x14ac:dyDescent="0.35">
      <c r="A703" s="5" t="s">
        <v>3274</v>
      </c>
    </row>
    <row r="704" spans="1:1" x14ac:dyDescent="0.35">
      <c r="A704" s="1" t="s">
        <v>3086</v>
      </c>
    </row>
    <row r="705" spans="1:1" x14ac:dyDescent="0.35">
      <c r="A705"/>
    </row>
    <row r="706" spans="1:1" x14ac:dyDescent="0.35">
      <c r="A706" s="1" t="s">
        <v>3087</v>
      </c>
    </row>
    <row r="707" spans="1:1" x14ac:dyDescent="0.35">
      <c r="A707" s="2"/>
    </row>
    <row r="708" spans="1:1" x14ac:dyDescent="0.35">
      <c r="A708" s="3" t="s">
        <v>3088</v>
      </c>
    </row>
    <row r="709" spans="1:1" x14ac:dyDescent="0.35">
      <c r="A709" s="3" t="s">
        <v>3089</v>
      </c>
    </row>
    <row r="710" spans="1:1" x14ac:dyDescent="0.35">
      <c r="A710" s="3" t="s">
        <v>3090</v>
      </c>
    </row>
    <row r="711" spans="1:1" x14ac:dyDescent="0.35">
      <c r="A711" s="3" t="s">
        <v>3091</v>
      </c>
    </row>
    <row r="712" spans="1:1" x14ac:dyDescent="0.35">
      <c r="A712"/>
    </row>
    <row r="713" spans="1:1" x14ac:dyDescent="0.35">
      <c r="A713" s="1" t="s">
        <v>3092</v>
      </c>
    </row>
    <row r="714" spans="1:1" x14ac:dyDescent="0.35">
      <c r="A714" s="2"/>
    </row>
    <row r="715" spans="1:1" x14ac:dyDescent="0.35">
      <c r="A715" s="3" t="s">
        <v>3093</v>
      </c>
    </row>
    <row r="716" spans="1:1" x14ac:dyDescent="0.35">
      <c r="A716" s="3" t="s">
        <v>3094</v>
      </c>
    </row>
    <row r="717" spans="1:1" x14ac:dyDescent="0.35">
      <c r="A717" s="3" t="s">
        <v>3095</v>
      </c>
    </row>
    <row r="718" spans="1:1" x14ac:dyDescent="0.35">
      <c r="A718"/>
    </row>
    <row r="719" spans="1:1" x14ac:dyDescent="0.35">
      <c r="A719" s="1" t="s">
        <v>3096</v>
      </c>
    </row>
    <row r="720" spans="1:1" x14ac:dyDescent="0.35">
      <c r="A720" s="2"/>
    </row>
    <row r="721" spans="1:1" x14ac:dyDescent="0.35">
      <c r="A721" s="3" t="s">
        <v>3097</v>
      </c>
    </row>
    <row r="722" spans="1:1" x14ac:dyDescent="0.35">
      <c r="A722" s="3" t="s">
        <v>3098</v>
      </c>
    </row>
    <row r="723" spans="1:1" x14ac:dyDescent="0.35">
      <c r="A723" s="3" t="s">
        <v>3099</v>
      </c>
    </row>
    <row r="724" spans="1:1" x14ac:dyDescent="0.35">
      <c r="A724" s="3" t="s">
        <v>3100</v>
      </c>
    </row>
    <row r="725" spans="1:1" x14ac:dyDescent="0.35">
      <c r="A725"/>
    </row>
    <row r="726" spans="1:1" x14ac:dyDescent="0.35">
      <c r="A726" s="1" t="s">
        <v>3101</v>
      </c>
    </row>
    <row r="727" spans="1:1" x14ac:dyDescent="0.35">
      <c r="A727" s="2"/>
    </row>
    <row r="728" spans="1:1" x14ac:dyDescent="0.35">
      <c r="A728" s="3" t="s">
        <v>3102</v>
      </c>
    </row>
    <row r="729" spans="1:1" x14ac:dyDescent="0.35">
      <c r="A729" s="3" t="s">
        <v>3103</v>
      </c>
    </row>
    <row r="730" spans="1:1" x14ac:dyDescent="0.35">
      <c r="A730" s="3" t="s">
        <v>3104</v>
      </c>
    </row>
    <row r="731" spans="1:1" x14ac:dyDescent="0.35">
      <c r="A731" s="3" t="s">
        <v>3105</v>
      </c>
    </row>
    <row r="732" spans="1:1" x14ac:dyDescent="0.35">
      <c r="A732"/>
    </row>
    <row r="733" spans="1:1" x14ac:dyDescent="0.35">
      <c r="A733" s="1" t="s">
        <v>2542</v>
      </c>
    </row>
    <row r="734" spans="1:1" x14ac:dyDescent="0.35">
      <c r="A734" s="2"/>
    </row>
    <row r="735" spans="1:1" x14ac:dyDescent="0.35">
      <c r="A735" s="3" t="s">
        <v>3106</v>
      </c>
    </row>
    <row r="736" spans="1:1" x14ac:dyDescent="0.35">
      <c r="A736" s="3" t="s">
        <v>3107</v>
      </c>
    </row>
    <row r="737" spans="1:1" x14ac:dyDescent="0.35">
      <c r="A737" s="3" t="s">
        <v>3108</v>
      </c>
    </row>
    <row r="738" spans="1:1" x14ac:dyDescent="0.35">
      <c r="A738" s="3" t="s">
        <v>3109</v>
      </c>
    </row>
    <row r="739" spans="1:1" x14ac:dyDescent="0.35">
      <c r="A739"/>
    </row>
    <row r="740" spans="1:1" x14ac:dyDescent="0.35">
      <c r="A740" s="1" t="s">
        <v>837</v>
      </c>
    </row>
    <row r="741" spans="1:1" x14ac:dyDescent="0.35">
      <c r="A741" s="2"/>
    </row>
    <row r="742" spans="1:1" x14ac:dyDescent="0.35">
      <c r="A742" s="3" t="s">
        <v>3110</v>
      </c>
    </row>
    <row r="743" spans="1:1" x14ac:dyDescent="0.35">
      <c r="A743" s="3" t="s">
        <v>3111</v>
      </c>
    </row>
    <row r="744" spans="1:1" x14ac:dyDescent="0.35">
      <c r="A744" s="3" t="s">
        <v>3112</v>
      </c>
    </row>
    <row r="745" spans="1:1" x14ac:dyDescent="0.35">
      <c r="A745" s="3" t="s">
        <v>3113</v>
      </c>
    </row>
    <row r="746" spans="1:1" x14ac:dyDescent="0.35">
      <c r="A746"/>
    </row>
    <row r="747" spans="1:1" x14ac:dyDescent="0.35">
      <c r="A747" s="1" t="s">
        <v>842</v>
      </c>
    </row>
    <row r="748" spans="1:1" x14ac:dyDescent="0.35">
      <c r="A748" s="2"/>
    </row>
    <row r="749" spans="1:1" x14ac:dyDescent="0.35">
      <c r="A749" s="3" t="s">
        <v>3114</v>
      </c>
    </row>
    <row r="750" spans="1:1" x14ac:dyDescent="0.35">
      <c r="A750" s="3" t="s">
        <v>3115</v>
      </c>
    </row>
    <row r="751" spans="1:1" x14ac:dyDescent="0.35">
      <c r="A751" s="3" t="s">
        <v>3116</v>
      </c>
    </row>
    <row r="752" spans="1:1" x14ac:dyDescent="0.35">
      <c r="A752" s="3" t="s">
        <v>3117</v>
      </c>
    </row>
    <row r="753" spans="1:1" x14ac:dyDescent="0.35">
      <c r="A753" s="3" t="s">
        <v>3118</v>
      </c>
    </row>
    <row r="754" spans="1:1" x14ac:dyDescent="0.35">
      <c r="A754" s="3" t="s">
        <v>3119</v>
      </c>
    </row>
    <row r="755" spans="1:1" x14ac:dyDescent="0.35">
      <c r="A755"/>
    </row>
    <row r="756" spans="1:1" x14ac:dyDescent="0.35">
      <c r="A756" s="1" t="s">
        <v>3120</v>
      </c>
    </row>
    <row r="757" spans="1:1" x14ac:dyDescent="0.35">
      <c r="A757" s="2"/>
    </row>
    <row r="758" spans="1:1" x14ac:dyDescent="0.35">
      <c r="A758" s="3" t="s">
        <v>3121</v>
      </c>
    </row>
    <row r="759" spans="1:1" x14ac:dyDescent="0.35">
      <c r="A759" s="3" t="s">
        <v>3122</v>
      </c>
    </row>
    <row r="760" spans="1:1" x14ac:dyDescent="0.35">
      <c r="A760" s="3" t="s">
        <v>3123</v>
      </c>
    </row>
    <row r="761" spans="1:1" x14ac:dyDescent="0.35">
      <c r="A761" s="3" t="s">
        <v>3124</v>
      </c>
    </row>
    <row r="762" spans="1:1" x14ac:dyDescent="0.35">
      <c r="A762"/>
    </row>
    <row r="763" spans="1:1" x14ac:dyDescent="0.35">
      <c r="A763" t="s">
        <v>3125</v>
      </c>
    </row>
    <row r="766" spans="1:1" x14ac:dyDescent="0.35">
      <c r="A766" s="10" t="s">
        <v>3276</v>
      </c>
    </row>
    <row r="767" spans="1:1" x14ac:dyDescent="0.35">
      <c r="A767" t="s">
        <v>3277</v>
      </c>
    </row>
    <row r="768" spans="1:1" x14ac:dyDescent="0.35">
      <c r="A768"/>
    </row>
    <row r="769" spans="1:1" x14ac:dyDescent="0.35">
      <c r="A769" s="1" t="s">
        <v>3278</v>
      </c>
    </row>
    <row r="770" spans="1:1" x14ac:dyDescent="0.35">
      <c r="A770"/>
    </row>
    <row r="771" spans="1:1" x14ac:dyDescent="0.35">
      <c r="A771" s="1" t="s">
        <v>3279</v>
      </c>
    </row>
    <row r="772" spans="1:1" x14ac:dyDescent="0.35">
      <c r="A772" s="2"/>
    </row>
    <row r="773" spans="1:1" x14ac:dyDescent="0.35">
      <c r="A773" s="3" t="s">
        <v>3280</v>
      </c>
    </row>
    <row r="774" spans="1:1" x14ac:dyDescent="0.35">
      <c r="A774" s="3" t="s">
        <v>3281</v>
      </c>
    </row>
    <row r="775" spans="1:1" x14ac:dyDescent="0.35">
      <c r="A775" s="3" t="s">
        <v>3282</v>
      </c>
    </row>
    <row r="776" spans="1:1" x14ac:dyDescent="0.35">
      <c r="A776" s="3" t="s">
        <v>3283</v>
      </c>
    </row>
    <row r="777" spans="1:1" x14ac:dyDescent="0.35">
      <c r="A777"/>
    </row>
    <row r="778" spans="1:1" x14ac:dyDescent="0.35">
      <c r="A778" s="1" t="s">
        <v>3284</v>
      </c>
    </row>
    <row r="779" spans="1:1" x14ac:dyDescent="0.35">
      <c r="A779" s="2"/>
    </row>
    <row r="780" spans="1:1" x14ac:dyDescent="0.35">
      <c r="A780" s="3" t="s">
        <v>3285</v>
      </c>
    </row>
    <row r="781" spans="1:1" x14ac:dyDescent="0.35">
      <c r="A781" s="3" t="s">
        <v>3286</v>
      </c>
    </row>
    <row r="782" spans="1:1" x14ac:dyDescent="0.35">
      <c r="A782" s="3" t="s">
        <v>3287</v>
      </c>
    </row>
    <row r="783" spans="1:1" x14ac:dyDescent="0.35">
      <c r="A783" s="3" t="s">
        <v>3288</v>
      </c>
    </row>
    <row r="784" spans="1:1" x14ac:dyDescent="0.35">
      <c r="A784"/>
    </row>
    <row r="785" spans="1:1" x14ac:dyDescent="0.35">
      <c r="A785" s="1" t="s">
        <v>3289</v>
      </c>
    </row>
    <row r="786" spans="1:1" x14ac:dyDescent="0.35">
      <c r="A786" s="2"/>
    </row>
    <row r="787" spans="1:1" x14ac:dyDescent="0.35">
      <c r="A787" s="3" t="s">
        <v>3290</v>
      </c>
    </row>
    <row r="788" spans="1:1" x14ac:dyDescent="0.35">
      <c r="A788" s="3" t="s">
        <v>3291</v>
      </c>
    </row>
    <row r="789" spans="1:1" x14ac:dyDescent="0.35">
      <c r="A789" s="3" t="s">
        <v>3292</v>
      </c>
    </row>
    <row r="790" spans="1:1" x14ac:dyDescent="0.35">
      <c r="A790" s="3" t="s">
        <v>3293</v>
      </c>
    </row>
    <row r="791" spans="1:1" x14ac:dyDescent="0.35">
      <c r="A791"/>
    </row>
    <row r="792" spans="1:1" x14ac:dyDescent="0.35">
      <c r="A792" s="1" t="s">
        <v>3101</v>
      </c>
    </row>
    <row r="793" spans="1:1" x14ac:dyDescent="0.35">
      <c r="A793" s="2"/>
    </row>
    <row r="794" spans="1:1" x14ac:dyDescent="0.35">
      <c r="A794" s="3" t="s">
        <v>3294</v>
      </c>
    </row>
    <row r="795" spans="1:1" x14ac:dyDescent="0.35">
      <c r="A795" s="3" t="s">
        <v>3295</v>
      </c>
    </row>
    <row r="796" spans="1:1" x14ac:dyDescent="0.35">
      <c r="A796" s="3" t="s">
        <v>3296</v>
      </c>
    </row>
    <row r="797" spans="1:1" x14ac:dyDescent="0.35">
      <c r="A797" s="3" t="s">
        <v>3297</v>
      </c>
    </row>
    <row r="798" spans="1:1" x14ac:dyDescent="0.35">
      <c r="A798"/>
    </row>
    <row r="799" spans="1:1" x14ac:dyDescent="0.35">
      <c r="A799" s="1" t="s">
        <v>2542</v>
      </c>
    </row>
    <row r="800" spans="1:1" x14ac:dyDescent="0.35">
      <c r="A800" s="2"/>
    </row>
    <row r="801" spans="1:1" x14ac:dyDescent="0.35">
      <c r="A801" s="3" t="s">
        <v>3298</v>
      </c>
    </row>
    <row r="802" spans="1:1" x14ac:dyDescent="0.35">
      <c r="A802" s="3" t="s">
        <v>3299</v>
      </c>
    </row>
    <row r="803" spans="1:1" x14ac:dyDescent="0.35">
      <c r="A803" s="3" t="s">
        <v>3300</v>
      </c>
    </row>
    <row r="804" spans="1:1" x14ac:dyDescent="0.35">
      <c r="A804" s="3" t="s">
        <v>3301</v>
      </c>
    </row>
    <row r="805" spans="1:1" x14ac:dyDescent="0.35">
      <c r="A805"/>
    </row>
    <row r="806" spans="1:1" x14ac:dyDescent="0.35">
      <c r="A806" s="1" t="s">
        <v>2515</v>
      </c>
    </row>
    <row r="807" spans="1:1" x14ac:dyDescent="0.35">
      <c r="A807" s="2"/>
    </row>
    <row r="808" spans="1:1" x14ac:dyDescent="0.35">
      <c r="A808" s="3" t="s">
        <v>3302</v>
      </c>
    </row>
    <row r="809" spans="1:1" x14ac:dyDescent="0.35">
      <c r="A809" s="3" t="s">
        <v>3303</v>
      </c>
    </row>
    <row r="810" spans="1:1" x14ac:dyDescent="0.35">
      <c r="A810" s="3" t="s">
        <v>3304</v>
      </c>
    </row>
    <row r="811" spans="1:1" x14ac:dyDescent="0.35">
      <c r="A811"/>
    </row>
    <row r="812" spans="1:1" x14ac:dyDescent="0.35">
      <c r="A812" s="1" t="s">
        <v>842</v>
      </c>
    </row>
    <row r="813" spans="1:1" x14ac:dyDescent="0.35">
      <c r="A813" s="2"/>
    </row>
    <row r="814" spans="1:1" x14ac:dyDescent="0.35">
      <c r="A814" s="3" t="s">
        <v>3305</v>
      </c>
    </row>
    <row r="815" spans="1:1" x14ac:dyDescent="0.35">
      <c r="A815" s="3" t="s">
        <v>3306</v>
      </c>
    </row>
    <row r="816" spans="1:1" x14ac:dyDescent="0.35">
      <c r="A816" s="3" t="s">
        <v>3307</v>
      </c>
    </row>
    <row r="817" spans="1:1" x14ac:dyDescent="0.35">
      <c r="A817" s="3" t="s">
        <v>3308</v>
      </c>
    </row>
    <row r="818" spans="1:1" x14ac:dyDescent="0.35">
      <c r="A818" s="3" t="s">
        <v>3309</v>
      </c>
    </row>
    <row r="819" spans="1:1" x14ac:dyDescent="0.35">
      <c r="A819" s="3" t="s">
        <v>3310</v>
      </c>
    </row>
    <row r="820" spans="1:1" x14ac:dyDescent="0.35">
      <c r="A820"/>
    </row>
    <row r="821" spans="1:1" x14ac:dyDescent="0.35">
      <c r="A821" s="1" t="s">
        <v>3120</v>
      </c>
    </row>
    <row r="822" spans="1:1" x14ac:dyDescent="0.35">
      <c r="A822" s="2"/>
    </row>
    <row r="823" spans="1:1" x14ac:dyDescent="0.35">
      <c r="A823" s="3" t="s">
        <v>3311</v>
      </c>
    </row>
    <row r="824" spans="1:1" x14ac:dyDescent="0.35">
      <c r="A824" s="3" t="s">
        <v>3312</v>
      </c>
    </row>
    <row r="825" spans="1:1" x14ac:dyDescent="0.35">
      <c r="A825" s="3" t="s">
        <v>3313</v>
      </c>
    </row>
    <row r="826" spans="1:1" x14ac:dyDescent="0.35">
      <c r="A826" s="3" t="s">
        <v>3314</v>
      </c>
    </row>
    <row r="827" spans="1:1" x14ac:dyDescent="0.35">
      <c r="A827" s="3" t="s">
        <v>3315</v>
      </c>
    </row>
    <row r="828" spans="1:1" x14ac:dyDescent="0.35">
      <c r="A828"/>
    </row>
    <row r="829" spans="1:1" x14ac:dyDescent="0.35">
      <c r="A829" t="s">
        <v>3316</v>
      </c>
    </row>
    <row r="832" spans="1:1" x14ac:dyDescent="0.35">
      <c r="A832" s="10" t="s">
        <v>3317</v>
      </c>
    </row>
    <row r="833" spans="1:1" x14ac:dyDescent="0.35">
      <c r="A833" t="s">
        <v>3494</v>
      </c>
    </row>
    <row r="834" spans="1:1" x14ac:dyDescent="0.35">
      <c r="A834"/>
    </row>
    <row r="835" spans="1:1" x14ac:dyDescent="0.35">
      <c r="A835" s="1" t="s">
        <v>3495</v>
      </c>
    </row>
    <row r="836" spans="1:1" x14ac:dyDescent="0.35">
      <c r="A836"/>
    </row>
    <row r="837" spans="1:1" x14ac:dyDescent="0.35">
      <c r="A837" s="1" t="s">
        <v>3007</v>
      </c>
    </row>
    <row r="838" spans="1:1" x14ac:dyDescent="0.35">
      <c r="A838" s="2"/>
    </row>
    <row r="839" spans="1:1" x14ac:dyDescent="0.35">
      <c r="A839" s="3" t="s">
        <v>3496</v>
      </c>
    </row>
    <row r="840" spans="1:1" x14ac:dyDescent="0.35">
      <c r="A840" s="3" t="s">
        <v>3497</v>
      </c>
    </row>
    <row r="841" spans="1:1" x14ac:dyDescent="0.35">
      <c r="A841" s="3" t="s">
        <v>3498</v>
      </c>
    </row>
    <row r="842" spans="1:1" x14ac:dyDescent="0.35">
      <c r="A842" s="3" t="s">
        <v>3499</v>
      </c>
    </row>
    <row r="843" spans="1:1" x14ac:dyDescent="0.35">
      <c r="A843"/>
    </row>
    <row r="844" spans="1:1" x14ac:dyDescent="0.35">
      <c r="A844" s="1" t="s">
        <v>3500</v>
      </c>
    </row>
    <row r="845" spans="1:1" x14ac:dyDescent="0.35">
      <c r="A845" s="2"/>
    </row>
    <row r="846" spans="1:1" x14ac:dyDescent="0.35">
      <c r="A846" s="3" t="s">
        <v>3501</v>
      </c>
    </row>
    <row r="847" spans="1:1" x14ac:dyDescent="0.35">
      <c r="A847" s="3" t="s">
        <v>3502</v>
      </c>
    </row>
    <row r="848" spans="1:1" x14ac:dyDescent="0.35">
      <c r="A848" s="3" t="s">
        <v>3503</v>
      </c>
    </row>
    <row r="849" spans="1:1" x14ac:dyDescent="0.35">
      <c r="A849" s="3" t="s">
        <v>3504</v>
      </c>
    </row>
    <row r="850" spans="1:1" x14ac:dyDescent="0.35">
      <c r="A850"/>
    </row>
    <row r="851" spans="1:1" x14ac:dyDescent="0.35">
      <c r="A851" s="1" t="s">
        <v>3505</v>
      </c>
    </row>
    <row r="852" spans="1:1" x14ac:dyDescent="0.35">
      <c r="A852" s="2"/>
    </row>
    <row r="853" spans="1:1" x14ac:dyDescent="0.35">
      <c r="A853" s="3" t="s">
        <v>3506</v>
      </c>
    </row>
    <row r="854" spans="1:1" x14ac:dyDescent="0.35">
      <c r="A854" s="3" t="s">
        <v>3507</v>
      </c>
    </row>
    <row r="855" spans="1:1" x14ac:dyDescent="0.35">
      <c r="A855" s="3" t="s">
        <v>3508</v>
      </c>
    </row>
    <row r="856" spans="1:1" x14ac:dyDescent="0.35">
      <c r="A856" s="3" t="s">
        <v>3509</v>
      </c>
    </row>
    <row r="857" spans="1:1" x14ac:dyDescent="0.35">
      <c r="A857"/>
    </row>
    <row r="858" spans="1:1" x14ac:dyDescent="0.35">
      <c r="A858" s="1" t="s">
        <v>3510</v>
      </c>
    </row>
    <row r="859" spans="1:1" x14ac:dyDescent="0.35">
      <c r="A859" s="2"/>
    </row>
    <row r="860" spans="1:1" x14ac:dyDescent="0.35">
      <c r="A860" s="3" t="s">
        <v>3511</v>
      </c>
    </row>
    <row r="861" spans="1:1" x14ac:dyDescent="0.35">
      <c r="A861" s="3" t="s">
        <v>3512</v>
      </c>
    </row>
    <row r="862" spans="1:1" x14ac:dyDescent="0.35">
      <c r="A862" s="3" t="s">
        <v>3513</v>
      </c>
    </row>
    <row r="863" spans="1:1" x14ac:dyDescent="0.35">
      <c r="A863" s="3" t="s">
        <v>3514</v>
      </c>
    </row>
    <row r="864" spans="1:1" x14ac:dyDescent="0.35">
      <c r="A864"/>
    </row>
    <row r="865" spans="1:1" x14ac:dyDescent="0.35">
      <c r="A865" s="1" t="s">
        <v>3515</v>
      </c>
    </row>
    <row r="866" spans="1:1" x14ac:dyDescent="0.35">
      <c r="A866" s="2"/>
    </row>
    <row r="867" spans="1:1" x14ac:dyDescent="0.35">
      <c r="A867" s="3" t="s">
        <v>3516</v>
      </c>
    </row>
    <row r="868" spans="1:1" x14ac:dyDescent="0.35">
      <c r="A868" s="3" t="s">
        <v>3517</v>
      </c>
    </row>
    <row r="869" spans="1:1" x14ac:dyDescent="0.35">
      <c r="A869" s="3" t="s">
        <v>3518</v>
      </c>
    </row>
    <row r="870" spans="1:1" x14ac:dyDescent="0.35">
      <c r="A870" s="3" t="s">
        <v>3519</v>
      </c>
    </row>
    <row r="871" spans="1:1" x14ac:dyDescent="0.35">
      <c r="A871"/>
    </row>
    <row r="872" spans="1:1" x14ac:dyDescent="0.35">
      <c r="A872" s="1" t="s">
        <v>837</v>
      </c>
    </row>
    <row r="873" spans="1:1" x14ac:dyDescent="0.35">
      <c r="A873" s="2"/>
    </row>
    <row r="874" spans="1:1" x14ac:dyDescent="0.35">
      <c r="A874" s="3" t="s">
        <v>3520</v>
      </c>
    </row>
    <row r="875" spans="1:1" x14ac:dyDescent="0.35">
      <c r="A875" s="3" t="s">
        <v>3521</v>
      </c>
    </row>
    <row r="876" spans="1:1" x14ac:dyDescent="0.35">
      <c r="A876" s="3" t="s">
        <v>3522</v>
      </c>
    </row>
    <row r="877" spans="1:1" x14ac:dyDescent="0.35">
      <c r="A877" s="3" t="s">
        <v>3523</v>
      </c>
    </row>
    <row r="878" spans="1:1" x14ac:dyDescent="0.35">
      <c r="A878"/>
    </row>
    <row r="879" spans="1:1" x14ac:dyDescent="0.35">
      <c r="A879" s="1" t="s">
        <v>842</v>
      </c>
    </row>
    <row r="880" spans="1:1" x14ac:dyDescent="0.35">
      <c r="A880" s="2"/>
    </row>
    <row r="881" spans="1:1" x14ac:dyDescent="0.35">
      <c r="A881" s="3" t="s">
        <v>3037</v>
      </c>
    </row>
    <row r="882" spans="1:1" x14ac:dyDescent="0.35">
      <c r="A882" s="3" t="s">
        <v>3524</v>
      </c>
    </row>
    <row r="883" spans="1:1" x14ac:dyDescent="0.35">
      <c r="A883" s="3" t="s">
        <v>3525</v>
      </c>
    </row>
    <row r="884" spans="1:1" x14ac:dyDescent="0.35">
      <c r="A884" s="3" t="s">
        <v>3526</v>
      </c>
    </row>
    <row r="885" spans="1:1" x14ac:dyDescent="0.35">
      <c r="A885" s="3" t="s">
        <v>3527</v>
      </c>
    </row>
    <row r="886" spans="1:1" x14ac:dyDescent="0.35">
      <c r="A886" s="3" t="s">
        <v>3528</v>
      </c>
    </row>
    <row r="887" spans="1:1" x14ac:dyDescent="0.35">
      <c r="A887"/>
    </row>
    <row r="888" spans="1:1" x14ac:dyDescent="0.35">
      <c r="A888" s="1" t="s">
        <v>3120</v>
      </c>
    </row>
    <row r="889" spans="1:1" x14ac:dyDescent="0.35">
      <c r="A889" s="2"/>
    </row>
    <row r="890" spans="1:1" x14ac:dyDescent="0.35">
      <c r="A890" s="3" t="s">
        <v>3529</v>
      </c>
    </row>
    <row r="891" spans="1:1" x14ac:dyDescent="0.35">
      <c r="A891" s="3" t="s">
        <v>3530</v>
      </c>
    </row>
    <row r="892" spans="1:1" x14ac:dyDescent="0.35">
      <c r="A892" s="3" t="s">
        <v>3531</v>
      </c>
    </row>
    <row r="893" spans="1:1" x14ac:dyDescent="0.35">
      <c r="A893" s="3" t="s">
        <v>3532</v>
      </c>
    </row>
    <row r="894" spans="1:1" x14ac:dyDescent="0.35">
      <c r="A894" s="3" t="s">
        <v>3533</v>
      </c>
    </row>
    <row r="895" spans="1:1" x14ac:dyDescent="0.35">
      <c r="A895"/>
    </row>
    <row r="896" spans="1:1" x14ac:dyDescent="0.35">
      <c r="A896" t="s">
        <v>3534</v>
      </c>
    </row>
    <row r="899" spans="1:1" x14ac:dyDescent="0.35">
      <c r="A899" s="10" t="s">
        <v>3535</v>
      </c>
    </row>
    <row r="900" spans="1:1" x14ac:dyDescent="0.35">
      <c r="A900" t="s">
        <v>3536</v>
      </c>
    </row>
    <row r="901" spans="1:1" x14ac:dyDescent="0.35">
      <c r="A901"/>
    </row>
    <row r="902" spans="1:1" x14ac:dyDescent="0.35">
      <c r="A902" s="1" t="s">
        <v>3537</v>
      </c>
    </row>
    <row r="903" spans="1:1" x14ac:dyDescent="0.35">
      <c r="A903"/>
    </row>
    <row r="904" spans="1:1" x14ac:dyDescent="0.35">
      <c r="A904" s="1" t="s">
        <v>3538</v>
      </c>
    </row>
    <row r="905" spans="1:1" x14ac:dyDescent="0.35">
      <c r="A905" s="2"/>
    </row>
    <row r="906" spans="1:1" x14ac:dyDescent="0.35">
      <c r="A906" s="3" t="s">
        <v>3539</v>
      </c>
    </row>
    <row r="907" spans="1:1" x14ac:dyDescent="0.35">
      <c r="A907" s="3" t="s">
        <v>3540</v>
      </c>
    </row>
    <row r="908" spans="1:1" x14ac:dyDescent="0.35">
      <c r="A908" s="3" t="s">
        <v>3541</v>
      </c>
    </row>
    <row r="909" spans="1:1" x14ac:dyDescent="0.35">
      <c r="A909" s="3" t="s">
        <v>3542</v>
      </c>
    </row>
    <row r="910" spans="1:1" x14ac:dyDescent="0.35">
      <c r="A910"/>
    </row>
    <row r="911" spans="1:1" x14ac:dyDescent="0.35">
      <c r="A911" s="1" t="s">
        <v>3543</v>
      </c>
    </row>
    <row r="912" spans="1:1" x14ac:dyDescent="0.35">
      <c r="A912" s="2"/>
    </row>
    <row r="913" spans="1:1" x14ac:dyDescent="0.35">
      <c r="A913" s="3" t="s">
        <v>3544</v>
      </c>
    </row>
    <row r="914" spans="1:1" x14ac:dyDescent="0.35">
      <c r="A914" s="3" t="s">
        <v>3545</v>
      </c>
    </row>
    <row r="915" spans="1:1" x14ac:dyDescent="0.35">
      <c r="A915" s="3" t="s">
        <v>3546</v>
      </c>
    </row>
    <row r="916" spans="1:1" x14ac:dyDescent="0.35">
      <c r="A916" s="3" t="s">
        <v>3547</v>
      </c>
    </row>
    <row r="917" spans="1:1" x14ac:dyDescent="0.35">
      <c r="A917"/>
    </row>
    <row r="918" spans="1:1" x14ac:dyDescent="0.35">
      <c r="A918" s="1" t="s">
        <v>3548</v>
      </c>
    </row>
    <row r="919" spans="1:1" x14ac:dyDescent="0.35">
      <c r="A919" s="2"/>
    </row>
    <row r="920" spans="1:1" x14ac:dyDescent="0.35">
      <c r="A920" s="3" t="s">
        <v>3549</v>
      </c>
    </row>
    <row r="921" spans="1:1" x14ac:dyDescent="0.35">
      <c r="A921" s="3" t="s">
        <v>3550</v>
      </c>
    </row>
    <row r="922" spans="1:1" x14ac:dyDescent="0.35">
      <c r="A922" s="3" t="s">
        <v>3551</v>
      </c>
    </row>
    <row r="923" spans="1:1" x14ac:dyDescent="0.35">
      <c r="A923" s="3" t="s">
        <v>3552</v>
      </c>
    </row>
    <row r="924" spans="1:1" x14ac:dyDescent="0.35">
      <c r="A924"/>
    </row>
    <row r="925" spans="1:1" x14ac:dyDescent="0.35">
      <c r="A925" s="1" t="s">
        <v>3553</v>
      </c>
    </row>
    <row r="926" spans="1:1" x14ac:dyDescent="0.35">
      <c r="A926" s="2"/>
    </row>
    <row r="927" spans="1:1" x14ac:dyDescent="0.35">
      <c r="A927" s="3" t="s">
        <v>3554</v>
      </c>
    </row>
    <row r="928" spans="1:1" x14ac:dyDescent="0.35">
      <c r="A928" s="3" t="s">
        <v>3555</v>
      </c>
    </row>
    <row r="929" spans="1:1" x14ac:dyDescent="0.35">
      <c r="A929" s="3" t="s">
        <v>3556</v>
      </c>
    </row>
    <row r="930" spans="1:1" x14ac:dyDescent="0.35">
      <c r="A930" s="3" t="s">
        <v>3557</v>
      </c>
    </row>
    <row r="931" spans="1:1" x14ac:dyDescent="0.35">
      <c r="A931"/>
    </row>
    <row r="932" spans="1:1" x14ac:dyDescent="0.35">
      <c r="A932" s="1" t="s">
        <v>3120</v>
      </c>
    </row>
    <row r="933" spans="1:1" x14ac:dyDescent="0.35">
      <c r="A933" s="2"/>
    </row>
    <row r="934" spans="1:1" x14ac:dyDescent="0.35">
      <c r="A934" s="3" t="s">
        <v>3558</v>
      </c>
    </row>
    <row r="935" spans="1:1" x14ac:dyDescent="0.35">
      <c r="A935" s="3" t="s">
        <v>3559</v>
      </c>
    </row>
    <row r="936" spans="1:1" x14ac:dyDescent="0.35">
      <c r="A936" s="3" t="s">
        <v>3560</v>
      </c>
    </row>
    <row r="937" spans="1:1" x14ac:dyDescent="0.35">
      <c r="A937" s="3" t="s">
        <v>3561</v>
      </c>
    </row>
    <row r="938" spans="1:1" x14ac:dyDescent="0.35">
      <c r="A938"/>
    </row>
    <row r="939" spans="1:1" x14ac:dyDescent="0.35">
      <c r="A939" s="1" t="s">
        <v>842</v>
      </c>
    </row>
    <row r="940" spans="1:1" x14ac:dyDescent="0.35">
      <c r="A940" s="2"/>
    </row>
    <row r="941" spans="1:1" x14ac:dyDescent="0.35">
      <c r="A941" s="3" t="s">
        <v>3562</v>
      </c>
    </row>
    <row r="942" spans="1:1" x14ac:dyDescent="0.35">
      <c r="A942" s="3" t="s">
        <v>3563</v>
      </c>
    </row>
    <row r="943" spans="1:1" x14ac:dyDescent="0.35">
      <c r="A943" s="3" t="s">
        <v>3564</v>
      </c>
    </row>
    <row r="944" spans="1:1" x14ac:dyDescent="0.35">
      <c r="A944" s="3" t="s">
        <v>3565</v>
      </c>
    </row>
    <row r="945" spans="1:1" x14ac:dyDescent="0.35">
      <c r="A945" s="3" t="s">
        <v>3566</v>
      </c>
    </row>
    <row r="946" spans="1:1" x14ac:dyDescent="0.35">
      <c r="A946" s="3" t="s">
        <v>3567</v>
      </c>
    </row>
    <row r="947" spans="1:1" x14ac:dyDescent="0.35">
      <c r="A947"/>
    </row>
    <row r="948" spans="1:1" x14ac:dyDescent="0.35">
      <c r="A948" s="1" t="s">
        <v>2542</v>
      </c>
    </row>
    <row r="949" spans="1:1" x14ac:dyDescent="0.35">
      <c r="A949" s="2"/>
    </row>
    <row r="950" spans="1:1" x14ac:dyDescent="0.35">
      <c r="A950" s="3" t="s">
        <v>3568</v>
      </c>
    </row>
    <row r="951" spans="1:1" x14ac:dyDescent="0.35">
      <c r="A951" s="3" t="s">
        <v>3569</v>
      </c>
    </row>
    <row r="952" spans="1:1" x14ac:dyDescent="0.35">
      <c r="A952" s="3" t="s">
        <v>3570</v>
      </c>
    </row>
    <row r="953" spans="1:1" x14ac:dyDescent="0.35">
      <c r="A953" s="3" t="s">
        <v>3571</v>
      </c>
    </row>
    <row r="954" spans="1:1" x14ac:dyDescent="0.35">
      <c r="A954"/>
    </row>
    <row r="955" spans="1:1" x14ac:dyDescent="0.35">
      <c r="A955" s="1" t="s">
        <v>3572</v>
      </c>
    </row>
    <row r="956" spans="1:1" x14ac:dyDescent="0.35">
      <c r="A956" s="2"/>
    </row>
    <row r="957" spans="1:1" x14ac:dyDescent="0.35">
      <c r="A957" s="3" t="s">
        <v>3573</v>
      </c>
    </row>
    <row r="958" spans="1:1" x14ac:dyDescent="0.35">
      <c r="A958" s="3" t="s">
        <v>3574</v>
      </c>
    </row>
    <row r="959" spans="1:1" x14ac:dyDescent="0.35">
      <c r="A959" s="3" t="s">
        <v>3575</v>
      </c>
    </row>
    <row r="960" spans="1:1" x14ac:dyDescent="0.35">
      <c r="A960"/>
    </row>
    <row r="961" spans="1:1" x14ac:dyDescent="0.35">
      <c r="A961" t="s">
        <v>3576</v>
      </c>
    </row>
    <row r="964" spans="1:1" x14ac:dyDescent="0.35">
      <c r="A964" s="10" t="s">
        <v>3740</v>
      </c>
    </row>
    <row r="965" spans="1:1" x14ac:dyDescent="0.35">
      <c r="A965" t="s">
        <v>3741</v>
      </c>
    </row>
    <row r="966" spans="1:1" x14ac:dyDescent="0.35">
      <c r="A966" s="15" t="s">
        <v>4289</v>
      </c>
    </row>
    <row r="967" spans="1:1" x14ac:dyDescent="0.35">
      <c r="A967" s="15" t="s">
        <v>4286</v>
      </c>
    </row>
    <row r="968" spans="1:1" x14ac:dyDescent="0.35">
      <c r="A968" s="16"/>
    </row>
    <row r="969" spans="1:1" x14ac:dyDescent="0.35">
      <c r="A969" s="17" t="s">
        <v>4290</v>
      </c>
    </row>
    <row r="970" spans="1:1" x14ac:dyDescent="0.35">
      <c r="A970" s="17" t="s">
        <v>4291</v>
      </c>
    </row>
    <row r="971" spans="1:1" x14ac:dyDescent="0.35">
      <c r="A971" s="17" t="s">
        <v>4292</v>
      </c>
    </row>
    <row r="972" spans="1:1" x14ac:dyDescent="0.35">
      <c r="A972" s="15"/>
    </row>
    <row r="973" spans="1:1" x14ac:dyDescent="0.35">
      <c r="A973" s="15" t="s">
        <v>4287</v>
      </c>
    </row>
    <row r="974" spans="1:1" x14ac:dyDescent="0.35">
      <c r="A974" s="16"/>
    </row>
    <row r="975" spans="1:1" x14ac:dyDescent="0.35">
      <c r="A975" s="17" t="s">
        <v>4293</v>
      </c>
    </row>
    <row r="976" spans="1:1" x14ac:dyDescent="0.35">
      <c r="A976" s="17" t="s">
        <v>4294</v>
      </c>
    </row>
    <row r="977" spans="1:1" x14ac:dyDescent="0.35">
      <c r="A977" s="17" t="s">
        <v>4295</v>
      </c>
    </row>
    <row r="978" spans="1:1" x14ac:dyDescent="0.35">
      <c r="A978" s="17" t="s">
        <v>4296</v>
      </c>
    </row>
    <row r="979" spans="1:1" x14ac:dyDescent="0.35">
      <c r="A979" s="15"/>
    </row>
    <row r="980" spans="1:1" x14ac:dyDescent="0.35">
      <c r="A980" s="15" t="s">
        <v>4288</v>
      </c>
    </row>
    <row r="981" spans="1:1" x14ac:dyDescent="0.35">
      <c r="A981" s="15"/>
    </row>
    <row r="982" spans="1:1" x14ac:dyDescent="0.35">
      <c r="A982" s="15" t="s">
        <v>4297</v>
      </c>
    </row>
    <row r="983" spans="1:1" x14ac:dyDescent="0.35">
      <c r="A983"/>
    </row>
    <row r="984" spans="1:1" x14ac:dyDescent="0.35">
      <c r="A984" s="1" t="s">
        <v>3742</v>
      </c>
    </row>
    <row r="985" spans="1:1" x14ac:dyDescent="0.35">
      <c r="A985"/>
    </row>
    <row r="986" spans="1:1" x14ac:dyDescent="0.35">
      <c r="A986" s="1" t="s">
        <v>2501</v>
      </c>
    </row>
    <row r="987" spans="1:1" x14ac:dyDescent="0.35">
      <c r="A987" s="2"/>
    </row>
    <row r="988" spans="1:1" x14ac:dyDescent="0.35">
      <c r="A988" s="3" t="s">
        <v>3743</v>
      </c>
    </row>
    <row r="989" spans="1:1" x14ac:dyDescent="0.35">
      <c r="A989" s="3" t="s">
        <v>3744</v>
      </c>
    </row>
    <row r="990" spans="1:1" x14ac:dyDescent="0.35">
      <c r="A990" s="3" t="s">
        <v>3745</v>
      </c>
    </row>
    <row r="991" spans="1:1" x14ac:dyDescent="0.35">
      <c r="A991" s="3" t="s">
        <v>3746</v>
      </c>
    </row>
    <row r="992" spans="1:1" x14ac:dyDescent="0.35">
      <c r="A992"/>
    </row>
    <row r="993" spans="1:1" x14ac:dyDescent="0.35">
      <c r="A993" s="1" t="s">
        <v>3747</v>
      </c>
    </row>
    <row r="994" spans="1:1" x14ac:dyDescent="0.35">
      <c r="A994" s="2"/>
    </row>
    <row r="995" spans="1:1" x14ac:dyDescent="0.35">
      <c r="A995" s="3" t="s">
        <v>3748</v>
      </c>
    </row>
    <row r="996" spans="1:1" x14ac:dyDescent="0.35">
      <c r="A996" s="3" t="s">
        <v>3749</v>
      </c>
    </row>
    <row r="997" spans="1:1" x14ac:dyDescent="0.35">
      <c r="A997" s="3" t="s">
        <v>3750</v>
      </c>
    </row>
    <row r="998" spans="1:1" x14ac:dyDescent="0.35">
      <c r="A998" s="3" t="s">
        <v>3751</v>
      </c>
    </row>
    <row r="999" spans="1:1" x14ac:dyDescent="0.35">
      <c r="A999"/>
    </row>
    <row r="1000" spans="1:1" x14ac:dyDescent="0.35">
      <c r="A1000" s="1" t="s">
        <v>3752</v>
      </c>
    </row>
    <row r="1001" spans="1:1" x14ac:dyDescent="0.35">
      <c r="A1001" s="2"/>
    </row>
    <row r="1002" spans="1:1" x14ac:dyDescent="0.35">
      <c r="A1002" s="3" t="s">
        <v>3753</v>
      </c>
    </row>
    <row r="1003" spans="1:1" x14ac:dyDescent="0.35">
      <c r="A1003" s="3" t="s">
        <v>3754</v>
      </c>
    </row>
    <row r="1004" spans="1:1" x14ac:dyDescent="0.35">
      <c r="A1004" s="3" t="s">
        <v>3755</v>
      </c>
    </row>
    <row r="1005" spans="1:1" x14ac:dyDescent="0.35">
      <c r="A1005" s="3" t="s">
        <v>3756</v>
      </c>
    </row>
    <row r="1006" spans="1:1" x14ac:dyDescent="0.35">
      <c r="A1006"/>
    </row>
    <row r="1007" spans="1:1" x14ac:dyDescent="0.35">
      <c r="A1007" s="1" t="s">
        <v>1007</v>
      </c>
    </row>
    <row r="1008" spans="1:1" x14ac:dyDescent="0.35">
      <c r="A1008" s="2"/>
    </row>
    <row r="1009" spans="1:1" x14ac:dyDescent="0.35">
      <c r="A1009" s="3" t="s">
        <v>3757</v>
      </c>
    </row>
    <row r="1010" spans="1:1" x14ac:dyDescent="0.35">
      <c r="A1010" s="3" t="s">
        <v>3758</v>
      </c>
    </row>
    <row r="1011" spans="1:1" x14ac:dyDescent="0.35">
      <c r="A1011" s="3" t="s">
        <v>3759</v>
      </c>
    </row>
    <row r="1012" spans="1:1" x14ac:dyDescent="0.35">
      <c r="A1012" s="3" t="s">
        <v>3760</v>
      </c>
    </row>
    <row r="1013" spans="1:1" x14ac:dyDescent="0.35">
      <c r="A1013"/>
    </row>
    <row r="1014" spans="1:1" x14ac:dyDescent="0.35">
      <c r="A1014" s="1" t="s">
        <v>3761</v>
      </c>
    </row>
    <row r="1015" spans="1:1" x14ac:dyDescent="0.35">
      <c r="A1015" s="2"/>
    </row>
    <row r="1016" spans="1:1" x14ac:dyDescent="0.35">
      <c r="A1016" s="3" t="s">
        <v>3762</v>
      </c>
    </row>
    <row r="1017" spans="1:1" x14ac:dyDescent="0.35">
      <c r="A1017" s="3" t="s">
        <v>3763</v>
      </c>
    </row>
    <row r="1018" spans="1:1" x14ac:dyDescent="0.35">
      <c r="A1018" s="3" t="s">
        <v>3764</v>
      </c>
    </row>
    <row r="1019" spans="1:1" x14ac:dyDescent="0.35">
      <c r="A1019" s="3" t="s">
        <v>3765</v>
      </c>
    </row>
    <row r="1020" spans="1:1" x14ac:dyDescent="0.35">
      <c r="A1020"/>
    </row>
    <row r="1021" spans="1:1" x14ac:dyDescent="0.35">
      <c r="A1021" s="1" t="s">
        <v>842</v>
      </c>
    </row>
    <row r="1022" spans="1:1" x14ac:dyDescent="0.35">
      <c r="A1022" s="2"/>
    </row>
    <row r="1023" spans="1:1" x14ac:dyDescent="0.35">
      <c r="A1023" s="3" t="s">
        <v>3766</v>
      </c>
    </row>
    <row r="1024" spans="1:1" x14ac:dyDescent="0.35">
      <c r="A1024" s="3" t="s">
        <v>3767</v>
      </c>
    </row>
    <row r="1025" spans="1:1" x14ac:dyDescent="0.35">
      <c r="A1025" s="3" t="s">
        <v>3768</v>
      </c>
    </row>
    <row r="1026" spans="1:1" x14ac:dyDescent="0.35">
      <c r="A1026" s="3" t="s">
        <v>3769</v>
      </c>
    </row>
    <row r="1027" spans="1:1" x14ac:dyDescent="0.35">
      <c r="A1027" s="3" t="s">
        <v>3770</v>
      </c>
    </row>
    <row r="1028" spans="1:1" x14ac:dyDescent="0.35">
      <c r="A1028" s="3" t="s">
        <v>3771</v>
      </c>
    </row>
    <row r="1029" spans="1:1" x14ac:dyDescent="0.35">
      <c r="A1029"/>
    </row>
    <row r="1030" spans="1:1" x14ac:dyDescent="0.35">
      <c r="A1030" s="1" t="s">
        <v>3120</v>
      </c>
    </row>
    <row r="1031" spans="1:1" x14ac:dyDescent="0.35">
      <c r="A1031" s="2"/>
    </row>
    <row r="1032" spans="1:1" x14ac:dyDescent="0.35">
      <c r="A1032" s="3" t="s">
        <v>3772</v>
      </c>
    </row>
    <row r="1033" spans="1:1" x14ac:dyDescent="0.35">
      <c r="A1033" s="3" t="s">
        <v>3773</v>
      </c>
    </row>
    <row r="1034" spans="1:1" x14ac:dyDescent="0.35">
      <c r="A1034" s="3" t="s">
        <v>3569</v>
      </c>
    </row>
    <row r="1035" spans="1:1" x14ac:dyDescent="0.35">
      <c r="A1035" s="3" t="s">
        <v>3774</v>
      </c>
    </row>
    <row r="1036" spans="1:1" x14ac:dyDescent="0.35">
      <c r="A1036" s="3" t="s">
        <v>3775</v>
      </c>
    </row>
    <row r="1037" spans="1:1" x14ac:dyDescent="0.35">
      <c r="A1037"/>
    </row>
    <row r="1038" spans="1:1" x14ac:dyDescent="0.35">
      <c r="A1038" s="1" t="s">
        <v>3572</v>
      </c>
    </row>
    <row r="1039" spans="1:1" x14ac:dyDescent="0.35">
      <c r="A1039" s="2"/>
    </row>
    <row r="1040" spans="1:1" x14ac:dyDescent="0.35">
      <c r="A1040" s="3" t="s">
        <v>3776</v>
      </c>
    </row>
    <row r="1041" spans="1:1" x14ac:dyDescent="0.35">
      <c r="A1041" s="3" t="s">
        <v>3777</v>
      </c>
    </row>
    <row r="1042" spans="1:1" x14ac:dyDescent="0.35">
      <c r="A1042" s="3" t="s">
        <v>3778</v>
      </c>
    </row>
    <row r="1043" spans="1:1" x14ac:dyDescent="0.35">
      <c r="A1043" s="3" t="s">
        <v>3779</v>
      </c>
    </row>
    <row r="1044" spans="1:1" x14ac:dyDescent="0.35">
      <c r="A1044"/>
    </row>
    <row r="1045" spans="1:1" x14ac:dyDescent="0.35">
      <c r="A1045" t="s">
        <v>3780</v>
      </c>
    </row>
    <row r="1046" spans="1:1" x14ac:dyDescent="0.35">
      <c r="A1046"/>
    </row>
    <row r="1047" spans="1:1" x14ac:dyDescent="0.35">
      <c r="A1047"/>
    </row>
    <row r="1048" spans="1:1" x14ac:dyDescent="0.35">
      <c r="A1048" s="10" t="s">
        <v>3781</v>
      </c>
    </row>
    <row r="1049" spans="1:1" x14ac:dyDescent="0.35">
      <c r="A1049" s="15" t="s">
        <v>4080</v>
      </c>
    </row>
    <row r="1050" spans="1:1" x14ac:dyDescent="0.35">
      <c r="A1050" s="15"/>
    </row>
    <row r="1051" spans="1:1" x14ac:dyDescent="0.35">
      <c r="A1051" s="15" t="s">
        <v>4317</v>
      </c>
    </row>
    <row r="1052" spans="1:1" x14ac:dyDescent="0.35">
      <c r="A1052" s="15"/>
    </row>
    <row r="1053" spans="1:1" x14ac:dyDescent="0.35">
      <c r="A1053" s="15" t="s">
        <v>4302</v>
      </c>
    </row>
    <row r="1054" spans="1:1" x14ac:dyDescent="0.35">
      <c r="A1054" s="16"/>
    </row>
    <row r="1055" spans="1:1" x14ac:dyDescent="0.35">
      <c r="A1055" s="17" t="s">
        <v>4311</v>
      </c>
    </row>
    <row r="1056" spans="1:1" x14ac:dyDescent="0.35">
      <c r="A1056" s="17" t="s">
        <v>4303</v>
      </c>
    </row>
    <row r="1057" spans="1:1" x14ac:dyDescent="0.35">
      <c r="A1057" s="17" t="s">
        <v>4304</v>
      </c>
    </row>
    <row r="1058" spans="1:1" x14ac:dyDescent="0.35">
      <c r="A1058" s="17" t="s">
        <v>4312</v>
      </c>
    </row>
    <row r="1059" spans="1:1" x14ac:dyDescent="0.35">
      <c r="A1059" s="15"/>
    </row>
    <row r="1060" spans="1:1" x14ac:dyDescent="0.35">
      <c r="A1060" s="15" t="s">
        <v>4305</v>
      </c>
    </row>
    <row r="1061" spans="1:1" x14ac:dyDescent="0.35">
      <c r="A1061" s="16"/>
    </row>
    <row r="1062" spans="1:1" x14ac:dyDescent="0.35">
      <c r="A1062" s="17" t="s">
        <v>4313</v>
      </c>
    </row>
    <row r="1063" spans="1:1" x14ac:dyDescent="0.35">
      <c r="A1063" s="17" t="s">
        <v>4314</v>
      </c>
    </row>
    <row r="1064" spans="1:1" x14ac:dyDescent="0.35">
      <c r="A1064" s="17" t="s">
        <v>4315</v>
      </c>
    </row>
    <row r="1065" spans="1:1" x14ac:dyDescent="0.35">
      <c r="A1065" s="17" t="s">
        <v>4316</v>
      </c>
    </row>
    <row r="1066" spans="1:1" x14ac:dyDescent="0.35">
      <c r="A1066" s="15"/>
    </row>
    <row r="1067" spans="1:1" x14ac:dyDescent="0.35">
      <c r="A1067" s="15" t="s">
        <v>4306</v>
      </c>
    </row>
    <row r="1068" spans="1:1" x14ac:dyDescent="0.35">
      <c r="A1068" s="16"/>
    </row>
    <row r="1069" spans="1:1" x14ac:dyDescent="0.35">
      <c r="A1069" s="16" t="s">
        <v>4307</v>
      </c>
    </row>
    <row r="1070" spans="1:1" x14ac:dyDescent="0.35">
      <c r="A1070" s="16" t="s">
        <v>4308</v>
      </c>
    </row>
    <row r="1071" spans="1:1" x14ac:dyDescent="0.35">
      <c r="A1071" s="16" t="s">
        <v>4309</v>
      </c>
    </row>
    <row r="1072" spans="1:1" x14ac:dyDescent="0.35">
      <c r="A1072" s="16" t="s">
        <v>4310</v>
      </c>
    </row>
    <row r="1073" spans="1:1" x14ac:dyDescent="0.35">
      <c r="A1073"/>
    </row>
    <row r="1074" spans="1:1" x14ac:dyDescent="0.35">
      <c r="A1074" s="1" t="s">
        <v>4081</v>
      </c>
    </row>
    <row r="1075" spans="1:1" x14ac:dyDescent="0.35">
      <c r="A1075"/>
    </row>
    <row r="1076" spans="1:1" x14ac:dyDescent="0.35">
      <c r="A1076" s="1" t="s">
        <v>4082</v>
      </c>
    </row>
    <row r="1077" spans="1:1" x14ac:dyDescent="0.35">
      <c r="A1077" s="2"/>
    </row>
    <row r="1078" spans="1:1" x14ac:dyDescent="0.35">
      <c r="A1078" s="3" t="s">
        <v>4083</v>
      </c>
    </row>
    <row r="1079" spans="1:1" x14ac:dyDescent="0.35">
      <c r="A1079" s="3" t="s">
        <v>4084</v>
      </c>
    </row>
    <row r="1080" spans="1:1" x14ac:dyDescent="0.35">
      <c r="A1080" s="3" t="s">
        <v>4085</v>
      </c>
    </row>
    <row r="1081" spans="1:1" x14ac:dyDescent="0.35">
      <c r="A1081" s="3" t="s">
        <v>4086</v>
      </c>
    </row>
    <row r="1082" spans="1:1" x14ac:dyDescent="0.35">
      <c r="A1082"/>
    </row>
    <row r="1083" spans="1:1" x14ac:dyDescent="0.35">
      <c r="A1083" s="1" t="s">
        <v>4087</v>
      </c>
    </row>
    <row r="1084" spans="1:1" x14ac:dyDescent="0.35">
      <c r="A1084" s="2"/>
    </row>
    <row r="1085" spans="1:1" x14ac:dyDescent="0.35">
      <c r="A1085" s="3" t="s">
        <v>4088</v>
      </c>
    </row>
    <row r="1086" spans="1:1" x14ac:dyDescent="0.35">
      <c r="A1086" s="3" t="s">
        <v>4089</v>
      </c>
    </row>
    <row r="1087" spans="1:1" x14ac:dyDescent="0.35">
      <c r="A1087" s="3" t="s">
        <v>4090</v>
      </c>
    </row>
    <row r="1088" spans="1:1" x14ac:dyDescent="0.35">
      <c r="A1088" s="3" t="s">
        <v>4091</v>
      </c>
    </row>
    <row r="1089" spans="1:1" x14ac:dyDescent="0.35">
      <c r="A1089"/>
    </row>
    <row r="1090" spans="1:1" x14ac:dyDescent="0.35">
      <c r="A1090" s="1" t="s">
        <v>4092</v>
      </c>
    </row>
    <row r="1091" spans="1:1" x14ac:dyDescent="0.35">
      <c r="A1091" s="2"/>
    </row>
    <row r="1092" spans="1:1" x14ac:dyDescent="0.35">
      <c r="A1092" s="3" t="s">
        <v>4093</v>
      </c>
    </row>
    <row r="1093" spans="1:1" x14ac:dyDescent="0.35">
      <c r="A1093" s="3" t="s">
        <v>4094</v>
      </c>
    </row>
    <row r="1094" spans="1:1" x14ac:dyDescent="0.35">
      <c r="A1094" s="3" t="s">
        <v>4095</v>
      </c>
    </row>
    <row r="1095" spans="1:1" x14ac:dyDescent="0.35">
      <c r="A1095" s="3" t="s">
        <v>4096</v>
      </c>
    </row>
    <row r="1096" spans="1:1" x14ac:dyDescent="0.35">
      <c r="A1096"/>
    </row>
    <row r="1097" spans="1:1" x14ac:dyDescent="0.35">
      <c r="A1097" s="1" t="s">
        <v>4097</v>
      </c>
    </row>
    <row r="1098" spans="1:1" x14ac:dyDescent="0.35">
      <c r="A1098" s="2"/>
    </row>
    <row r="1099" spans="1:1" x14ac:dyDescent="0.35">
      <c r="A1099" s="3" t="s">
        <v>4098</v>
      </c>
    </row>
    <row r="1100" spans="1:1" x14ac:dyDescent="0.35">
      <c r="A1100" s="3" t="s">
        <v>4099</v>
      </c>
    </row>
    <row r="1101" spans="1:1" x14ac:dyDescent="0.35">
      <c r="A1101" s="3" t="s">
        <v>4100</v>
      </c>
    </row>
    <row r="1102" spans="1:1" x14ac:dyDescent="0.35">
      <c r="A1102" s="3" t="s">
        <v>4101</v>
      </c>
    </row>
    <row r="1103" spans="1:1" x14ac:dyDescent="0.35">
      <c r="A1103"/>
    </row>
    <row r="1104" spans="1:1" x14ac:dyDescent="0.35">
      <c r="A1104" s="1" t="s">
        <v>3022</v>
      </c>
    </row>
    <row r="1105" spans="1:1" x14ac:dyDescent="0.35">
      <c r="A1105" s="2"/>
    </row>
    <row r="1106" spans="1:1" x14ac:dyDescent="0.35">
      <c r="A1106" s="3" t="s">
        <v>4102</v>
      </c>
    </row>
    <row r="1107" spans="1:1" x14ac:dyDescent="0.35">
      <c r="A1107" s="3" t="s">
        <v>4103</v>
      </c>
    </row>
    <row r="1108" spans="1:1" x14ac:dyDescent="0.35">
      <c r="A1108" s="3" t="s">
        <v>4104</v>
      </c>
    </row>
    <row r="1109" spans="1:1" x14ac:dyDescent="0.35">
      <c r="A1109" s="3" t="s">
        <v>4105</v>
      </c>
    </row>
    <row r="1110" spans="1:1" x14ac:dyDescent="0.35">
      <c r="A1110"/>
    </row>
    <row r="1111" spans="1:1" x14ac:dyDescent="0.35">
      <c r="A1111" s="1" t="s">
        <v>842</v>
      </c>
    </row>
    <row r="1112" spans="1:1" x14ac:dyDescent="0.35">
      <c r="A1112" s="2"/>
    </row>
    <row r="1113" spans="1:1" x14ac:dyDescent="0.35">
      <c r="A1113" s="3" t="s">
        <v>4106</v>
      </c>
    </row>
    <row r="1114" spans="1:1" x14ac:dyDescent="0.35">
      <c r="A1114" s="3" t="s">
        <v>4107</v>
      </c>
    </row>
    <row r="1115" spans="1:1" x14ac:dyDescent="0.35">
      <c r="A1115" s="3" t="s">
        <v>4108</v>
      </c>
    </row>
    <row r="1116" spans="1:1" x14ac:dyDescent="0.35">
      <c r="A1116" s="3" t="s">
        <v>4109</v>
      </c>
    </row>
    <row r="1117" spans="1:1" x14ac:dyDescent="0.35">
      <c r="A1117" s="3" t="s">
        <v>4110</v>
      </c>
    </row>
    <row r="1118" spans="1:1" x14ac:dyDescent="0.35">
      <c r="A1118" s="3" t="s">
        <v>4111</v>
      </c>
    </row>
    <row r="1119" spans="1:1" x14ac:dyDescent="0.35">
      <c r="A1119"/>
    </row>
    <row r="1120" spans="1:1" x14ac:dyDescent="0.35">
      <c r="A1120" s="1" t="s">
        <v>3120</v>
      </c>
    </row>
    <row r="1121" spans="1:1" x14ac:dyDescent="0.35">
      <c r="A1121" s="2"/>
    </row>
    <row r="1122" spans="1:1" x14ac:dyDescent="0.35">
      <c r="A1122" s="3" t="s">
        <v>4112</v>
      </c>
    </row>
    <row r="1123" spans="1:1" x14ac:dyDescent="0.35">
      <c r="A1123" s="3" t="s">
        <v>4113</v>
      </c>
    </row>
    <row r="1124" spans="1:1" x14ac:dyDescent="0.35">
      <c r="A1124" s="3" t="s">
        <v>4114</v>
      </c>
    </row>
    <row r="1125" spans="1:1" x14ac:dyDescent="0.35">
      <c r="A1125" s="3" t="s">
        <v>4115</v>
      </c>
    </row>
    <row r="1126" spans="1:1" x14ac:dyDescent="0.35">
      <c r="A1126"/>
    </row>
    <row r="1127" spans="1:1" x14ac:dyDescent="0.35">
      <c r="A1127" t="s">
        <v>4116</v>
      </c>
    </row>
    <row r="1130" spans="1:1" x14ac:dyDescent="0.35">
      <c r="A1130" s="10" t="s">
        <v>4117</v>
      </c>
    </row>
    <row r="1131" spans="1:1" x14ac:dyDescent="0.35">
      <c r="A1131" t="s">
        <v>4130</v>
      </c>
    </row>
    <row r="1132" spans="1:1" x14ac:dyDescent="0.35">
      <c r="A1132" s="15" t="s">
        <v>4262</v>
      </c>
    </row>
    <row r="1133" spans="1:1" x14ac:dyDescent="0.35">
      <c r="A1133" s="15" t="s">
        <v>4118</v>
      </c>
    </row>
    <row r="1134" spans="1:1" x14ac:dyDescent="0.35">
      <c r="A1134" s="15" t="s">
        <v>4119</v>
      </c>
    </row>
    <row r="1135" spans="1:1" x14ac:dyDescent="0.35">
      <c r="A1135" s="15" t="s">
        <v>4120</v>
      </c>
    </row>
    <row r="1136" spans="1:1" x14ac:dyDescent="0.35">
      <c r="A1136"/>
    </row>
    <row r="1137" spans="1:1" x14ac:dyDescent="0.35">
      <c r="A1137" s="1" t="s">
        <v>4131</v>
      </c>
    </row>
    <row r="1138" spans="1:1" x14ac:dyDescent="0.35">
      <c r="A1138"/>
    </row>
    <row r="1139" spans="1:1" x14ac:dyDescent="0.35">
      <c r="A1139" s="1" t="s">
        <v>4087</v>
      </c>
    </row>
    <row r="1140" spans="1:1" x14ac:dyDescent="0.35">
      <c r="A1140" s="2"/>
    </row>
    <row r="1141" spans="1:1" x14ac:dyDescent="0.35">
      <c r="A1141" s="3" t="s">
        <v>4132</v>
      </c>
    </row>
    <row r="1142" spans="1:1" x14ac:dyDescent="0.35">
      <c r="A1142" s="3" t="s">
        <v>4133</v>
      </c>
    </row>
    <row r="1143" spans="1:1" x14ac:dyDescent="0.35">
      <c r="A1143" s="3" t="s">
        <v>4134</v>
      </c>
    </row>
    <row r="1144" spans="1:1" x14ac:dyDescent="0.35">
      <c r="A1144" s="3" t="s">
        <v>4135</v>
      </c>
    </row>
    <row r="1145" spans="1:1" x14ac:dyDescent="0.35">
      <c r="A1145"/>
    </row>
    <row r="1146" spans="1:1" x14ac:dyDescent="0.35">
      <c r="A1146" s="1" t="s">
        <v>4136</v>
      </c>
    </row>
    <row r="1147" spans="1:1" x14ac:dyDescent="0.35">
      <c r="A1147" s="2"/>
    </row>
    <row r="1148" spans="1:1" x14ac:dyDescent="0.35">
      <c r="A1148" s="3" t="s">
        <v>4137</v>
      </c>
    </row>
    <row r="1149" spans="1:1" x14ac:dyDescent="0.35">
      <c r="A1149" s="3" t="s">
        <v>4138</v>
      </c>
    </row>
    <row r="1150" spans="1:1" x14ac:dyDescent="0.35">
      <c r="A1150" s="3" t="s">
        <v>4139</v>
      </c>
    </row>
    <row r="1151" spans="1:1" x14ac:dyDescent="0.35">
      <c r="A1151" s="3" t="s">
        <v>4140</v>
      </c>
    </row>
    <row r="1152" spans="1:1" x14ac:dyDescent="0.35">
      <c r="A1152"/>
    </row>
    <row r="1153" spans="1:1" x14ac:dyDescent="0.35">
      <c r="A1153" s="1" t="s">
        <v>4141</v>
      </c>
    </row>
    <row r="1154" spans="1:1" x14ac:dyDescent="0.35">
      <c r="A1154" s="2"/>
    </row>
    <row r="1155" spans="1:1" x14ac:dyDescent="0.35">
      <c r="A1155" s="3" t="s">
        <v>4142</v>
      </c>
    </row>
    <row r="1156" spans="1:1" x14ac:dyDescent="0.35">
      <c r="A1156" s="3" t="s">
        <v>4143</v>
      </c>
    </row>
    <row r="1157" spans="1:1" x14ac:dyDescent="0.35">
      <c r="A1157" s="3" t="s">
        <v>4144</v>
      </c>
    </row>
    <row r="1158" spans="1:1" x14ac:dyDescent="0.35">
      <c r="A1158" s="3" t="s">
        <v>4145</v>
      </c>
    </row>
    <row r="1159" spans="1:1" x14ac:dyDescent="0.35">
      <c r="A1159"/>
    </row>
    <row r="1160" spans="1:1" x14ac:dyDescent="0.35">
      <c r="A1160" s="1" t="s">
        <v>4146</v>
      </c>
    </row>
    <row r="1161" spans="1:1" x14ac:dyDescent="0.35">
      <c r="A1161" s="2"/>
    </row>
    <row r="1162" spans="1:1" x14ac:dyDescent="0.35">
      <c r="A1162" s="3" t="s">
        <v>4147</v>
      </c>
    </row>
    <row r="1163" spans="1:1" x14ac:dyDescent="0.35">
      <c r="A1163" s="3" t="s">
        <v>4148</v>
      </c>
    </row>
    <row r="1164" spans="1:1" x14ac:dyDescent="0.35">
      <c r="A1164" s="3" t="s">
        <v>4149</v>
      </c>
    </row>
    <row r="1165" spans="1:1" x14ac:dyDescent="0.35">
      <c r="A1165" s="3" t="s">
        <v>4150</v>
      </c>
    </row>
    <row r="1166" spans="1:1" x14ac:dyDescent="0.35">
      <c r="A1166"/>
    </row>
    <row r="1167" spans="1:1" x14ac:dyDescent="0.35">
      <c r="A1167" s="1" t="s">
        <v>4151</v>
      </c>
    </row>
    <row r="1168" spans="1:1" x14ac:dyDescent="0.35">
      <c r="A1168" s="2"/>
    </row>
    <row r="1169" spans="1:1" x14ac:dyDescent="0.35">
      <c r="A1169" s="3" t="s">
        <v>4152</v>
      </c>
    </row>
    <row r="1170" spans="1:1" x14ac:dyDescent="0.35">
      <c r="A1170" s="3" t="s">
        <v>4153</v>
      </c>
    </row>
    <row r="1171" spans="1:1" x14ac:dyDescent="0.35">
      <c r="A1171" s="3" t="s">
        <v>4154</v>
      </c>
    </row>
    <row r="1172" spans="1:1" x14ac:dyDescent="0.35">
      <c r="A1172" s="3" t="s">
        <v>4155</v>
      </c>
    </row>
    <row r="1173" spans="1:1" x14ac:dyDescent="0.35">
      <c r="A1173"/>
    </row>
    <row r="1174" spans="1:1" x14ac:dyDescent="0.35">
      <c r="A1174" s="1" t="s">
        <v>4156</v>
      </c>
    </row>
    <row r="1175" spans="1:1" x14ac:dyDescent="0.35">
      <c r="A1175" s="2"/>
    </row>
    <row r="1176" spans="1:1" x14ac:dyDescent="0.35">
      <c r="A1176" s="3" t="s">
        <v>4157</v>
      </c>
    </row>
    <row r="1177" spans="1:1" x14ac:dyDescent="0.35">
      <c r="A1177" s="3" t="s">
        <v>4158</v>
      </c>
    </row>
    <row r="1178" spans="1:1" x14ac:dyDescent="0.35">
      <c r="A1178" s="3" t="s">
        <v>4159</v>
      </c>
    </row>
    <row r="1179" spans="1:1" x14ac:dyDescent="0.35">
      <c r="A1179" s="3" t="s">
        <v>4160</v>
      </c>
    </row>
    <row r="1180" spans="1:1" x14ac:dyDescent="0.35">
      <c r="A1180"/>
    </row>
    <row r="1181" spans="1:1" x14ac:dyDescent="0.35">
      <c r="A1181" s="1" t="s">
        <v>842</v>
      </c>
    </row>
    <row r="1182" spans="1:1" x14ac:dyDescent="0.35">
      <c r="A1182" s="2"/>
    </row>
    <row r="1183" spans="1:1" x14ac:dyDescent="0.35">
      <c r="A1183" s="3" t="s">
        <v>4161</v>
      </c>
    </row>
    <row r="1184" spans="1:1" x14ac:dyDescent="0.35">
      <c r="A1184" s="3" t="s">
        <v>4162</v>
      </c>
    </row>
    <row r="1185" spans="1:1" x14ac:dyDescent="0.35">
      <c r="A1185" s="3" t="s">
        <v>4163</v>
      </c>
    </row>
    <row r="1186" spans="1:1" x14ac:dyDescent="0.35">
      <c r="A1186" s="3" t="s">
        <v>4164</v>
      </c>
    </row>
    <row r="1187" spans="1:1" x14ac:dyDescent="0.35">
      <c r="A1187" s="3" t="s">
        <v>4165</v>
      </c>
    </row>
    <row r="1188" spans="1:1" x14ac:dyDescent="0.35">
      <c r="A1188" s="3" t="s">
        <v>4166</v>
      </c>
    </row>
    <row r="1189" spans="1:1" x14ac:dyDescent="0.35">
      <c r="A1189"/>
    </row>
    <row r="1190" spans="1:1" x14ac:dyDescent="0.35">
      <c r="A1190" s="1" t="s">
        <v>3120</v>
      </c>
    </row>
    <row r="1191" spans="1:1" x14ac:dyDescent="0.35">
      <c r="A1191" s="2"/>
    </row>
    <row r="1192" spans="1:1" x14ac:dyDescent="0.35">
      <c r="A1192" s="3" t="s">
        <v>4167</v>
      </c>
    </row>
    <row r="1193" spans="1:1" x14ac:dyDescent="0.35">
      <c r="A1193" s="3" t="s">
        <v>4168</v>
      </c>
    </row>
    <row r="1194" spans="1:1" x14ac:dyDescent="0.35">
      <c r="A1194" s="3" t="s">
        <v>4169</v>
      </c>
    </row>
    <row r="1195" spans="1:1" x14ac:dyDescent="0.35">
      <c r="A1195" s="3" t="s">
        <v>4170</v>
      </c>
    </row>
    <row r="1196" spans="1:1" x14ac:dyDescent="0.35">
      <c r="A1196" s="3" t="s">
        <v>4171</v>
      </c>
    </row>
    <row r="1197" spans="1:1" x14ac:dyDescent="0.35">
      <c r="A1197"/>
    </row>
    <row r="1198" spans="1:1" x14ac:dyDescent="0.35">
      <c r="A1198" s="1" t="s">
        <v>3572</v>
      </c>
    </row>
    <row r="1199" spans="1:1" x14ac:dyDescent="0.35">
      <c r="A1199" s="2"/>
    </row>
    <row r="1200" spans="1:1" x14ac:dyDescent="0.35">
      <c r="A1200" s="3" t="s">
        <v>4172</v>
      </c>
    </row>
    <row r="1201" spans="1:1" x14ac:dyDescent="0.35">
      <c r="A1201" s="3" t="s">
        <v>4173</v>
      </c>
    </row>
    <row r="1202" spans="1:1" x14ac:dyDescent="0.35">
      <c r="A1202" s="3" t="s">
        <v>4174</v>
      </c>
    </row>
    <row r="1203" spans="1:1" x14ac:dyDescent="0.35">
      <c r="A1203"/>
    </row>
    <row r="1204" spans="1:1" x14ac:dyDescent="0.35">
      <c r="A1204" t="s">
        <v>4175</v>
      </c>
    </row>
    <row r="1207" spans="1:1" x14ac:dyDescent="0.35">
      <c r="A1207" s="10" t="s">
        <v>4121</v>
      </c>
    </row>
    <row r="1208" spans="1:1" x14ac:dyDescent="0.35">
      <c r="A1208" t="s">
        <v>4263</v>
      </c>
    </row>
    <row r="1209" spans="1:1" x14ac:dyDescent="0.35">
      <c r="A1209" s="15" t="s">
        <v>4285</v>
      </c>
    </row>
    <row r="1210" spans="1:1" x14ac:dyDescent="0.35">
      <c r="A1210" s="18"/>
    </row>
    <row r="1211" spans="1:1" x14ac:dyDescent="0.35">
      <c r="A1211" s="15" t="s">
        <v>4129</v>
      </c>
    </row>
    <row r="1212" spans="1:1" x14ac:dyDescent="0.35">
      <c r="A1212" s="15"/>
    </row>
    <row r="1213" spans="1:1" x14ac:dyDescent="0.35">
      <c r="A1213" s="15" t="s">
        <v>4122</v>
      </c>
    </row>
    <row r="1214" spans="1:1" x14ac:dyDescent="0.35">
      <c r="A1214" s="16"/>
    </row>
    <row r="1215" spans="1:1" x14ac:dyDescent="0.35">
      <c r="A1215" s="17" t="s">
        <v>4298</v>
      </c>
    </row>
    <row r="1216" spans="1:1" x14ac:dyDescent="0.35">
      <c r="A1216" s="17" t="s">
        <v>4299</v>
      </c>
    </row>
    <row r="1217" spans="1:1" x14ac:dyDescent="0.35">
      <c r="A1217" s="17" t="s">
        <v>4300</v>
      </c>
    </row>
    <row r="1218" spans="1:1" x14ac:dyDescent="0.35">
      <c r="A1218" s="17" t="s">
        <v>4301</v>
      </c>
    </row>
    <row r="1219" spans="1:1" x14ac:dyDescent="0.35">
      <c r="A1219" s="15"/>
    </row>
    <row r="1220" spans="1:1" x14ac:dyDescent="0.35">
      <c r="A1220" s="15" t="s">
        <v>4123</v>
      </c>
    </row>
    <row r="1221" spans="1:1" x14ac:dyDescent="0.35">
      <c r="A1221" s="15"/>
    </row>
    <row r="1222" spans="1:1" x14ac:dyDescent="0.35">
      <c r="A1222" s="15" t="s">
        <v>4124</v>
      </c>
    </row>
    <row r="1223" spans="1:1" x14ac:dyDescent="0.35">
      <c r="A1223" s="16"/>
    </row>
    <row r="1224" spans="1:1" x14ac:dyDescent="0.35">
      <c r="A1224" s="16" t="s">
        <v>4125</v>
      </c>
    </row>
    <row r="1225" spans="1:1" x14ac:dyDescent="0.35">
      <c r="A1225" s="16" t="s">
        <v>4126</v>
      </c>
    </row>
    <row r="1226" spans="1:1" x14ac:dyDescent="0.35">
      <c r="A1226" s="16" t="s">
        <v>4127</v>
      </c>
    </row>
    <row r="1227" spans="1:1" x14ac:dyDescent="0.35">
      <c r="A1227" s="15"/>
    </row>
    <row r="1228" spans="1:1" x14ac:dyDescent="0.35">
      <c r="A1228" s="15" t="s">
        <v>4128</v>
      </c>
    </row>
    <row r="1229" spans="1:1" x14ac:dyDescent="0.35">
      <c r="A1229"/>
    </row>
    <row r="1230" spans="1:1" x14ac:dyDescent="0.35">
      <c r="A1230" s="1" t="s">
        <v>4264</v>
      </c>
    </row>
    <row r="1231" spans="1:1" x14ac:dyDescent="0.35">
      <c r="A1231"/>
    </row>
    <row r="1232" spans="1:1" x14ac:dyDescent="0.35">
      <c r="A1232" s="1" t="s">
        <v>4265</v>
      </c>
    </row>
    <row r="1233" spans="1:1" x14ac:dyDescent="0.35">
      <c r="A1233" s="2"/>
    </row>
    <row r="1234" spans="1:1" x14ac:dyDescent="0.35">
      <c r="A1234" s="3" t="s">
        <v>4266</v>
      </c>
    </row>
    <row r="1235" spans="1:1" x14ac:dyDescent="0.35">
      <c r="A1235" s="3" t="s">
        <v>4267</v>
      </c>
    </row>
    <row r="1236" spans="1:1" x14ac:dyDescent="0.35">
      <c r="A1236" s="3" t="s">
        <v>4268</v>
      </c>
    </row>
    <row r="1237" spans="1:1" x14ac:dyDescent="0.35">
      <c r="A1237" s="3" t="s">
        <v>4269</v>
      </c>
    </row>
    <row r="1238" spans="1:1" x14ac:dyDescent="0.35">
      <c r="A1238"/>
    </row>
    <row r="1239" spans="1:1" x14ac:dyDescent="0.35">
      <c r="A1239" s="1" t="s">
        <v>4270</v>
      </c>
    </row>
    <row r="1240" spans="1:1" x14ac:dyDescent="0.35">
      <c r="A1240" s="2"/>
    </row>
    <row r="1241" spans="1:1" x14ac:dyDescent="0.35">
      <c r="A1241" s="3" t="s">
        <v>4271</v>
      </c>
    </row>
    <row r="1242" spans="1:1" x14ac:dyDescent="0.35">
      <c r="A1242" s="3" t="s">
        <v>4272</v>
      </c>
    </row>
    <row r="1243" spans="1:1" x14ac:dyDescent="0.35">
      <c r="A1243" s="3" t="s">
        <v>4273</v>
      </c>
    </row>
    <row r="1244" spans="1:1" x14ac:dyDescent="0.35">
      <c r="A1244" s="3" t="s">
        <v>4274</v>
      </c>
    </row>
    <row r="1245" spans="1:1" x14ac:dyDescent="0.35">
      <c r="A1245"/>
    </row>
    <row r="1246" spans="1:1" x14ac:dyDescent="0.35">
      <c r="A1246" s="1" t="s">
        <v>4275</v>
      </c>
    </row>
    <row r="1247" spans="1:1" x14ac:dyDescent="0.35">
      <c r="A1247" s="2"/>
    </row>
    <row r="1248" spans="1:1" x14ac:dyDescent="0.35">
      <c r="A1248" s="3" t="s">
        <v>4276</v>
      </c>
    </row>
    <row r="1249" spans="1:1" x14ac:dyDescent="0.35">
      <c r="A1249" s="3" t="s">
        <v>4277</v>
      </c>
    </row>
    <row r="1250" spans="1:1" x14ac:dyDescent="0.35">
      <c r="A1250" s="3" t="s">
        <v>4278</v>
      </c>
    </row>
    <row r="1251" spans="1:1" x14ac:dyDescent="0.35">
      <c r="A1251" s="3" t="s">
        <v>4279</v>
      </c>
    </row>
    <row r="1252" spans="1:1" x14ac:dyDescent="0.35">
      <c r="A1252"/>
    </row>
    <row r="1253" spans="1:1" x14ac:dyDescent="0.35">
      <c r="A1253" s="1" t="s">
        <v>4280</v>
      </c>
    </row>
    <row r="1254" spans="1:1" x14ac:dyDescent="0.35">
      <c r="A1254" s="2"/>
    </row>
    <row r="1255" spans="1:1" x14ac:dyDescent="0.35">
      <c r="A1255" s="3" t="s">
        <v>4281</v>
      </c>
    </row>
    <row r="1256" spans="1:1" x14ac:dyDescent="0.35">
      <c r="A1256" s="3" t="s">
        <v>4282</v>
      </c>
    </row>
    <row r="1257" spans="1:1" x14ac:dyDescent="0.35">
      <c r="A1257" s="3" t="s">
        <v>4283</v>
      </c>
    </row>
    <row r="1258" spans="1:1" x14ac:dyDescent="0.35">
      <c r="A1258" s="3" t="s">
        <v>4284</v>
      </c>
    </row>
    <row r="1259" spans="1:1" x14ac:dyDescent="0.35">
      <c r="A1259"/>
    </row>
    <row r="1260" spans="1:1" x14ac:dyDescent="0.35">
      <c r="A1260"/>
    </row>
    <row r="1261" spans="1:1" x14ac:dyDescent="0.35">
      <c r="A1261" s="10" t="s">
        <v>4440</v>
      </c>
    </row>
    <row r="1262" spans="1:1" x14ac:dyDescent="0.35">
      <c r="A1262" t="s">
        <v>4441</v>
      </c>
    </row>
    <row r="1263" spans="1:1" x14ac:dyDescent="0.35">
      <c r="A1263"/>
    </row>
    <row r="1264" spans="1:1" x14ac:dyDescent="0.35">
      <c r="A1264" s="1" t="s">
        <v>4442</v>
      </c>
    </row>
    <row r="1265" spans="1:1" x14ac:dyDescent="0.35">
      <c r="A1265"/>
    </row>
    <row r="1266" spans="1:1" x14ac:dyDescent="0.35">
      <c r="A1266" s="1" t="s">
        <v>4443</v>
      </c>
    </row>
    <row r="1267" spans="1:1" x14ac:dyDescent="0.35">
      <c r="A1267" s="2"/>
    </row>
    <row r="1268" spans="1:1" x14ac:dyDescent="0.35">
      <c r="A1268" s="3" t="s">
        <v>4444</v>
      </c>
    </row>
    <row r="1269" spans="1:1" x14ac:dyDescent="0.35">
      <c r="A1269" s="3" t="s">
        <v>4445</v>
      </c>
    </row>
    <row r="1270" spans="1:1" x14ac:dyDescent="0.35">
      <c r="A1270" s="3" t="s">
        <v>4446</v>
      </c>
    </row>
    <row r="1271" spans="1:1" x14ac:dyDescent="0.35">
      <c r="A1271" s="3" t="s">
        <v>4447</v>
      </c>
    </row>
    <row r="1272" spans="1:1" x14ac:dyDescent="0.35">
      <c r="A1272"/>
    </row>
    <row r="1273" spans="1:1" x14ac:dyDescent="0.35">
      <c r="A1273" s="1" t="s">
        <v>4448</v>
      </c>
    </row>
    <row r="1274" spans="1:1" x14ac:dyDescent="0.35">
      <c r="A1274" s="2"/>
    </row>
    <row r="1275" spans="1:1" x14ac:dyDescent="0.35">
      <c r="A1275" s="3" t="s">
        <v>4449</v>
      </c>
    </row>
    <row r="1276" spans="1:1" x14ac:dyDescent="0.35">
      <c r="A1276" s="3" t="s">
        <v>4450</v>
      </c>
    </row>
    <row r="1277" spans="1:1" x14ac:dyDescent="0.35">
      <c r="A1277" s="3" t="s">
        <v>4451</v>
      </c>
    </row>
    <row r="1278" spans="1:1" x14ac:dyDescent="0.35">
      <c r="A1278"/>
    </row>
    <row r="1279" spans="1:1" x14ac:dyDescent="0.35">
      <c r="A1279" s="1" t="s">
        <v>4452</v>
      </c>
    </row>
    <row r="1280" spans="1:1" x14ac:dyDescent="0.35">
      <c r="A1280" s="2"/>
    </row>
    <row r="1281" spans="1:1" x14ac:dyDescent="0.35">
      <c r="A1281" s="3" t="s">
        <v>4453</v>
      </c>
    </row>
    <row r="1282" spans="1:1" x14ac:dyDescent="0.35">
      <c r="A1282" s="3" t="s">
        <v>4454</v>
      </c>
    </row>
    <row r="1283" spans="1:1" x14ac:dyDescent="0.35">
      <c r="A1283" s="3" t="s">
        <v>4455</v>
      </c>
    </row>
    <row r="1284" spans="1:1" x14ac:dyDescent="0.35">
      <c r="A1284"/>
    </row>
    <row r="1285" spans="1:1" x14ac:dyDescent="0.35">
      <c r="A1285" s="1" t="s">
        <v>1472</v>
      </c>
    </row>
    <row r="1286" spans="1:1" x14ac:dyDescent="0.35">
      <c r="A1286" s="2"/>
    </row>
    <row r="1287" spans="1:1" x14ac:dyDescent="0.35">
      <c r="A1287" s="3" t="s">
        <v>4456</v>
      </c>
    </row>
    <row r="1288" spans="1:1" x14ac:dyDescent="0.35">
      <c r="A1288" s="3" t="s">
        <v>4457</v>
      </c>
    </row>
    <row r="1289" spans="1:1" x14ac:dyDescent="0.35">
      <c r="A1289" s="3" t="s">
        <v>4458</v>
      </c>
    </row>
    <row r="1290" spans="1:1" x14ac:dyDescent="0.35">
      <c r="A1290"/>
    </row>
    <row r="1291" spans="1:1" x14ac:dyDescent="0.35">
      <c r="A1291" t="s">
        <v>4459</v>
      </c>
    </row>
    <row r="1293" spans="1:1" ht="23.5" x14ac:dyDescent="0.35">
      <c r="A1293" s="19" t="s">
        <v>4460</v>
      </c>
    </row>
    <row r="1294" spans="1:1" x14ac:dyDescent="0.35">
      <c r="A1294" s="2"/>
    </row>
    <row r="1295" spans="1:1" x14ac:dyDescent="0.35">
      <c r="A1295" s="3" t="s">
        <v>4461</v>
      </c>
    </row>
    <row r="1296" spans="1:1" x14ac:dyDescent="0.35">
      <c r="A1296" s="3" t="s">
        <v>4462</v>
      </c>
    </row>
    <row r="1297" spans="1:1" x14ac:dyDescent="0.35">
      <c r="A1297" s="3" t="s">
        <v>4463</v>
      </c>
    </row>
    <row r="1298" spans="1:1" x14ac:dyDescent="0.35">
      <c r="A1298"/>
    </row>
    <row r="1299" spans="1:1" ht="23.5" x14ac:dyDescent="0.35">
      <c r="A1299" s="19" t="s">
        <v>4464</v>
      </c>
    </row>
    <row r="1300" spans="1:1" x14ac:dyDescent="0.35">
      <c r="A1300" s="2"/>
    </row>
    <row r="1301" spans="1:1" x14ac:dyDescent="0.35">
      <c r="A1301" s="3" t="s">
        <v>4465</v>
      </c>
    </row>
    <row r="1302" spans="1:1" x14ac:dyDescent="0.35">
      <c r="A1302" s="3" t="s">
        <v>4466</v>
      </c>
    </row>
    <row r="1303" spans="1:1" x14ac:dyDescent="0.35">
      <c r="A1303" s="3" t="s">
        <v>4467</v>
      </c>
    </row>
    <row r="1304" spans="1:1" x14ac:dyDescent="0.35">
      <c r="A1304" s="3" t="s">
        <v>4468</v>
      </c>
    </row>
    <row r="1305" spans="1:1" x14ac:dyDescent="0.35">
      <c r="A1305"/>
    </row>
    <row r="1306" spans="1:1" ht="23.5" x14ac:dyDescent="0.35">
      <c r="A1306" s="19" t="s">
        <v>4469</v>
      </c>
    </row>
    <row r="1307" spans="1:1" x14ac:dyDescent="0.35">
      <c r="A1307" s="2"/>
    </row>
    <row r="1308" spans="1:1" x14ac:dyDescent="0.35">
      <c r="A1308" s="3" t="s">
        <v>4470</v>
      </c>
    </row>
    <row r="1309" spans="1:1" x14ac:dyDescent="0.35">
      <c r="A1309" s="3" t="s">
        <v>4471</v>
      </c>
    </row>
    <row r="1310" spans="1:1" x14ac:dyDescent="0.35">
      <c r="A1310" s="3" t="s">
        <v>4472</v>
      </c>
    </row>
    <row r="1311" spans="1:1" x14ac:dyDescent="0.35">
      <c r="A1311" s="3" t="s">
        <v>4473</v>
      </c>
    </row>
    <row r="1312" spans="1:1" x14ac:dyDescent="0.35">
      <c r="A1312"/>
    </row>
    <row r="1313" spans="1:1" ht="23.5" x14ac:dyDescent="0.35">
      <c r="A1313" s="19" t="s">
        <v>4474</v>
      </c>
    </row>
    <row r="1314" spans="1:1" x14ac:dyDescent="0.35">
      <c r="A1314" s="2"/>
    </row>
    <row r="1315" spans="1:1" x14ac:dyDescent="0.35">
      <c r="A1315" s="3" t="s">
        <v>4475</v>
      </c>
    </row>
    <row r="1316" spans="1:1" x14ac:dyDescent="0.35">
      <c r="A1316" s="3" t="s">
        <v>4476</v>
      </c>
    </row>
    <row r="1317" spans="1:1" x14ac:dyDescent="0.35">
      <c r="A1317" s="3" t="s">
        <v>4477</v>
      </c>
    </row>
    <row r="1318" spans="1:1" x14ac:dyDescent="0.35">
      <c r="A1318"/>
    </row>
    <row r="1319" spans="1:1" ht="23.5" x14ac:dyDescent="0.35">
      <c r="A1319" s="19" t="s">
        <v>4478</v>
      </c>
    </row>
    <row r="1320" spans="1:1" x14ac:dyDescent="0.35">
      <c r="A1320" s="2"/>
    </row>
    <row r="1321" spans="1:1" x14ac:dyDescent="0.35">
      <c r="A1321" s="3" t="s">
        <v>4479</v>
      </c>
    </row>
    <row r="1322" spans="1:1" x14ac:dyDescent="0.35">
      <c r="A1322" s="3" t="s">
        <v>4480</v>
      </c>
    </row>
    <row r="1323" spans="1:1" x14ac:dyDescent="0.35">
      <c r="A1323" s="3" t="s">
        <v>4481</v>
      </c>
    </row>
    <row r="1324" spans="1:1" x14ac:dyDescent="0.35">
      <c r="A1324"/>
    </row>
    <row r="1325" spans="1:1" ht="23.5" x14ac:dyDescent="0.35">
      <c r="A1325" s="19" t="s">
        <v>4482</v>
      </c>
    </row>
    <row r="1326" spans="1:1" x14ac:dyDescent="0.35">
      <c r="A1326" s="2"/>
    </row>
    <row r="1327" spans="1:1" x14ac:dyDescent="0.35">
      <c r="A1327" s="3" t="s">
        <v>4483</v>
      </c>
    </row>
    <row r="1328" spans="1:1" x14ac:dyDescent="0.35">
      <c r="A1328" s="3" t="s">
        <v>4484</v>
      </c>
    </row>
    <row r="1329" spans="1:1" x14ac:dyDescent="0.35">
      <c r="A1329" s="3" t="s">
        <v>4485</v>
      </c>
    </row>
    <row r="1330" spans="1:1" x14ac:dyDescent="0.35">
      <c r="A1330"/>
    </row>
    <row r="1331" spans="1:1" ht="23.5" x14ac:dyDescent="0.35">
      <c r="A1331" s="19" t="s">
        <v>4486</v>
      </c>
    </row>
    <row r="1332" spans="1:1" x14ac:dyDescent="0.35">
      <c r="A1332" s="2"/>
    </row>
    <row r="1333" spans="1:1" x14ac:dyDescent="0.35">
      <c r="A1333" s="3" t="s">
        <v>4487</v>
      </c>
    </row>
    <row r="1334" spans="1:1" x14ac:dyDescent="0.35">
      <c r="A1334" s="3" t="s">
        <v>4488</v>
      </c>
    </row>
    <row r="1335" spans="1:1" x14ac:dyDescent="0.35">
      <c r="A1335" s="3" t="s">
        <v>4489</v>
      </c>
    </row>
    <row r="1336" spans="1:1" x14ac:dyDescent="0.35">
      <c r="A1336"/>
    </row>
    <row r="1337" spans="1:1" ht="23.5" x14ac:dyDescent="0.35">
      <c r="A1337" s="19" t="s">
        <v>4490</v>
      </c>
    </row>
    <row r="1338" spans="1:1" x14ac:dyDescent="0.35">
      <c r="A1338" s="2"/>
    </row>
    <row r="1339" spans="1:1" x14ac:dyDescent="0.35">
      <c r="A1339" s="3" t="s">
        <v>4491</v>
      </c>
    </row>
    <row r="1340" spans="1:1" x14ac:dyDescent="0.35">
      <c r="A1340" s="3" t="s">
        <v>4492</v>
      </c>
    </row>
    <row r="1341" spans="1:1" x14ac:dyDescent="0.35">
      <c r="A1341" s="3" t="s">
        <v>4493</v>
      </c>
    </row>
    <row r="1342" spans="1:1" x14ac:dyDescent="0.35">
      <c r="A1342" s="3" t="s">
        <v>4494</v>
      </c>
    </row>
    <row r="1343" spans="1:1" x14ac:dyDescent="0.35">
      <c r="A1343"/>
    </row>
    <row r="1344" spans="1:1" x14ac:dyDescent="0.35">
      <c r="A1344" t="s">
        <v>4495</v>
      </c>
    </row>
    <row r="1347" spans="1:1" x14ac:dyDescent="0.35">
      <c r="A1347" s="10" t="s">
        <v>4496</v>
      </c>
    </row>
    <row r="1348" spans="1:1" x14ac:dyDescent="0.35">
      <c r="A1348" t="s">
        <v>4497</v>
      </c>
    </row>
    <row r="1349" spans="1:1" x14ac:dyDescent="0.35">
      <c r="A1349"/>
    </row>
    <row r="1350" spans="1:1" x14ac:dyDescent="0.35">
      <c r="A1350" s="1" t="s">
        <v>4498</v>
      </c>
    </row>
    <row r="1351" spans="1:1" x14ac:dyDescent="0.35">
      <c r="A1351"/>
    </row>
    <row r="1352" spans="1:1" x14ac:dyDescent="0.35">
      <c r="A1352" s="1" t="s">
        <v>4499</v>
      </c>
    </row>
    <row r="1353" spans="1:1" x14ac:dyDescent="0.35">
      <c r="A1353" s="2"/>
    </row>
    <row r="1354" spans="1:1" x14ac:dyDescent="0.35">
      <c r="A1354" s="2" t="s">
        <v>4500</v>
      </c>
    </row>
    <row r="1355" spans="1:1" x14ac:dyDescent="0.35">
      <c r="A1355" s="2" t="s">
        <v>4501</v>
      </c>
    </row>
    <row r="1356" spans="1:1" x14ac:dyDescent="0.35">
      <c r="A1356" s="2" t="s">
        <v>4502</v>
      </c>
    </row>
    <row r="1357" spans="1:1" x14ac:dyDescent="0.35">
      <c r="A1357"/>
    </row>
    <row r="1358" spans="1:1" x14ac:dyDescent="0.35">
      <c r="A1358" s="1" t="s">
        <v>4503</v>
      </c>
    </row>
    <row r="1359" spans="1:1" x14ac:dyDescent="0.35">
      <c r="A1359" s="2"/>
    </row>
    <row r="1360" spans="1:1" x14ac:dyDescent="0.35">
      <c r="A1360" s="3" t="s">
        <v>4504</v>
      </c>
    </row>
    <row r="1361" spans="1:1" x14ac:dyDescent="0.35">
      <c r="A1361" s="3" t="s">
        <v>4505</v>
      </c>
    </row>
    <row r="1362" spans="1:1" x14ac:dyDescent="0.35">
      <c r="A1362" s="3" t="s">
        <v>4506</v>
      </c>
    </row>
    <row r="1363" spans="1:1" x14ac:dyDescent="0.35">
      <c r="A1363"/>
    </row>
    <row r="1364" spans="1:1" x14ac:dyDescent="0.35">
      <c r="A1364" s="1" t="s">
        <v>4507</v>
      </c>
    </row>
    <row r="1365" spans="1:1" x14ac:dyDescent="0.35">
      <c r="A1365" s="2"/>
    </row>
    <row r="1366" spans="1:1" x14ac:dyDescent="0.35">
      <c r="A1366" s="2" t="s">
        <v>4508</v>
      </c>
    </row>
    <row r="1367" spans="1:1" x14ac:dyDescent="0.35">
      <c r="A1367" s="2" t="s">
        <v>4509</v>
      </c>
    </row>
    <row r="1368" spans="1:1" x14ac:dyDescent="0.35">
      <c r="A1368" s="2" t="s">
        <v>4510</v>
      </c>
    </row>
    <row r="1369" spans="1:1" x14ac:dyDescent="0.35">
      <c r="A1369" s="2" t="s">
        <v>4511</v>
      </c>
    </row>
    <row r="1370" spans="1:1" x14ac:dyDescent="0.35">
      <c r="A1370"/>
    </row>
    <row r="1371" spans="1:1" x14ac:dyDescent="0.35">
      <c r="A1371" s="1" t="s">
        <v>4512</v>
      </c>
    </row>
    <row r="1372" spans="1:1" x14ac:dyDescent="0.35">
      <c r="A1372" s="2"/>
    </row>
    <row r="1373" spans="1:1" x14ac:dyDescent="0.35">
      <c r="A1373" s="3" t="s">
        <v>4513</v>
      </c>
    </row>
    <row r="1374" spans="1:1" x14ac:dyDescent="0.35">
      <c r="A1374" s="3" t="s">
        <v>4514</v>
      </c>
    </row>
    <row r="1375" spans="1:1" x14ac:dyDescent="0.35">
      <c r="A1375" s="3" t="s">
        <v>4515</v>
      </c>
    </row>
    <row r="1376" spans="1:1" x14ac:dyDescent="0.35">
      <c r="A1376"/>
    </row>
    <row r="1377" spans="1:1" x14ac:dyDescent="0.35">
      <c r="A1377" s="1" t="s">
        <v>4516</v>
      </c>
    </row>
    <row r="1378" spans="1:1" x14ac:dyDescent="0.35">
      <c r="A1378" s="2"/>
    </row>
    <row r="1379" spans="1:1" x14ac:dyDescent="0.35">
      <c r="A1379" s="3" t="s">
        <v>4517</v>
      </c>
    </row>
    <row r="1380" spans="1:1" x14ac:dyDescent="0.35">
      <c r="A1380" s="3" t="s">
        <v>4518</v>
      </c>
    </row>
    <row r="1381" spans="1:1" x14ac:dyDescent="0.35">
      <c r="A1381" s="3" t="s">
        <v>4519</v>
      </c>
    </row>
    <row r="1382" spans="1:1" x14ac:dyDescent="0.35">
      <c r="A1382" s="3" t="s">
        <v>4520</v>
      </c>
    </row>
    <row r="1383" spans="1:1" x14ac:dyDescent="0.35">
      <c r="A1383" s="3" t="s">
        <v>4521</v>
      </c>
    </row>
    <row r="1384" spans="1:1" x14ac:dyDescent="0.35">
      <c r="A1384"/>
    </row>
    <row r="1385" spans="1:1" x14ac:dyDescent="0.35">
      <c r="A1385" t="s">
        <v>4522</v>
      </c>
    </row>
    <row r="1388" spans="1:1" x14ac:dyDescent="0.35">
      <c r="A1388" s="10" t="s">
        <v>4523</v>
      </c>
    </row>
    <row r="1389" spans="1:1" x14ac:dyDescent="0.35">
      <c r="A1389" t="s">
        <v>4675</v>
      </c>
    </row>
    <row r="1390" spans="1:1" x14ac:dyDescent="0.35">
      <c r="A1390"/>
    </row>
    <row r="1391" spans="1:1" x14ac:dyDescent="0.35">
      <c r="A1391" s="1" t="s">
        <v>4676</v>
      </c>
    </row>
    <row r="1392" spans="1:1" x14ac:dyDescent="0.35">
      <c r="A1392" s="2"/>
    </row>
    <row r="1393" spans="1:1" x14ac:dyDescent="0.35">
      <c r="A1393" s="3" t="s">
        <v>4677</v>
      </c>
    </row>
    <row r="1394" spans="1:1" x14ac:dyDescent="0.35">
      <c r="A1394" s="3" t="s">
        <v>4678</v>
      </c>
    </row>
    <row r="1395" spans="1:1" x14ac:dyDescent="0.35">
      <c r="A1395" s="3" t="s">
        <v>4679</v>
      </c>
    </row>
    <row r="1396" spans="1:1" x14ac:dyDescent="0.35">
      <c r="A1396" s="3" t="s">
        <v>4680</v>
      </c>
    </row>
    <row r="1397" spans="1:1" x14ac:dyDescent="0.35">
      <c r="A1397"/>
    </row>
    <row r="1398" spans="1:1" x14ac:dyDescent="0.35">
      <c r="A1398" s="1" t="s">
        <v>4681</v>
      </c>
    </row>
    <row r="1399" spans="1:1" x14ac:dyDescent="0.35">
      <c r="A1399" s="2"/>
    </row>
    <row r="1400" spans="1:1" x14ac:dyDescent="0.35">
      <c r="A1400" s="3" t="s">
        <v>4682</v>
      </c>
    </row>
    <row r="1401" spans="1:1" x14ac:dyDescent="0.35">
      <c r="A1401" s="3" t="s">
        <v>4683</v>
      </c>
    </row>
    <row r="1402" spans="1:1" x14ac:dyDescent="0.35">
      <c r="A1402" s="3" t="s">
        <v>4684</v>
      </c>
    </row>
    <row r="1403" spans="1:1" x14ac:dyDescent="0.35">
      <c r="A1403"/>
    </row>
    <row r="1404" spans="1:1" x14ac:dyDescent="0.35">
      <c r="A1404" s="1" t="s">
        <v>4685</v>
      </c>
    </row>
    <row r="1405" spans="1:1" x14ac:dyDescent="0.35">
      <c r="A1405" s="2"/>
    </row>
    <row r="1406" spans="1:1" x14ac:dyDescent="0.35">
      <c r="A1406" s="2" t="s">
        <v>4686</v>
      </c>
    </row>
    <row r="1407" spans="1:1" x14ac:dyDescent="0.35">
      <c r="A1407" s="2" t="s">
        <v>4687</v>
      </c>
    </row>
    <row r="1408" spans="1:1" x14ac:dyDescent="0.35">
      <c r="A1408" s="2" t="s">
        <v>4688</v>
      </c>
    </row>
    <row r="1409" spans="1:1" x14ac:dyDescent="0.35">
      <c r="A1409" s="2" t="s">
        <v>4689</v>
      </c>
    </row>
    <row r="1410" spans="1:1" x14ac:dyDescent="0.35">
      <c r="A1410"/>
    </row>
    <row r="1411" spans="1:1" x14ac:dyDescent="0.35">
      <c r="A1411" t="s">
        <v>4690</v>
      </c>
    </row>
    <row r="1414" spans="1:1" x14ac:dyDescent="0.35">
      <c r="A1414" s="10" t="s">
        <v>4691</v>
      </c>
    </row>
    <row r="1415" spans="1:1" x14ac:dyDescent="0.35">
      <c r="A1415" t="s">
        <v>4860</v>
      </c>
    </row>
    <row r="1416" spans="1:1" x14ac:dyDescent="0.35">
      <c r="A1416"/>
    </row>
    <row r="1417" spans="1:1" x14ac:dyDescent="0.35">
      <c r="A1417" s="1" t="s">
        <v>4861</v>
      </c>
    </row>
    <row r="1418" spans="1:1" x14ac:dyDescent="0.35">
      <c r="A1418"/>
    </row>
    <row r="1419" spans="1:1" x14ac:dyDescent="0.35">
      <c r="A1419" s="1" t="s">
        <v>4862</v>
      </c>
    </row>
    <row r="1420" spans="1:1" x14ac:dyDescent="0.35">
      <c r="A1420" s="2"/>
    </row>
    <row r="1421" spans="1:1" x14ac:dyDescent="0.35">
      <c r="A1421" s="2" t="s">
        <v>4863</v>
      </c>
    </row>
    <row r="1422" spans="1:1" x14ac:dyDescent="0.35">
      <c r="A1422" s="2" t="s">
        <v>4864</v>
      </c>
    </row>
    <row r="1423" spans="1:1" x14ac:dyDescent="0.35">
      <c r="A1423" s="2" t="s">
        <v>4865</v>
      </c>
    </row>
    <row r="1424" spans="1:1" x14ac:dyDescent="0.35">
      <c r="A1424" s="2" t="s">
        <v>4866</v>
      </c>
    </row>
    <row r="1425" spans="1:1" x14ac:dyDescent="0.35">
      <c r="A1425"/>
    </row>
    <row r="1426" spans="1:1" x14ac:dyDescent="0.35">
      <c r="A1426" s="1" t="s">
        <v>4867</v>
      </c>
    </row>
    <row r="1427" spans="1:1" x14ac:dyDescent="0.35">
      <c r="A1427" s="2"/>
    </row>
    <row r="1428" spans="1:1" x14ac:dyDescent="0.35">
      <c r="A1428" s="2" t="s">
        <v>4868</v>
      </c>
    </row>
    <row r="1429" spans="1:1" x14ac:dyDescent="0.35">
      <c r="A1429" s="2" t="s">
        <v>4869</v>
      </c>
    </row>
    <row r="1430" spans="1:1" x14ac:dyDescent="0.35">
      <c r="A1430" s="2" t="s">
        <v>4870</v>
      </c>
    </row>
    <row r="1431" spans="1:1" x14ac:dyDescent="0.35">
      <c r="A1431"/>
    </row>
    <row r="1432" spans="1:1" x14ac:dyDescent="0.35">
      <c r="A1432" s="1" t="s">
        <v>4871</v>
      </c>
    </row>
    <row r="1433" spans="1:1" x14ac:dyDescent="0.35">
      <c r="A1433" s="2"/>
    </row>
    <row r="1434" spans="1:1" x14ac:dyDescent="0.35">
      <c r="A1434" s="2" t="s">
        <v>4872</v>
      </c>
    </row>
    <row r="1435" spans="1:1" x14ac:dyDescent="0.35">
      <c r="A1435" s="2" t="s">
        <v>4873</v>
      </c>
    </row>
    <row r="1436" spans="1:1" x14ac:dyDescent="0.35">
      <c r="A1436" s="2" t="s">
        <v>4874</v>
      </c>
    </row>
    <row r="1437" spans="1:1" x14ac:dyDescent="0.35">
      <c r="A1437" s="2" t="s">
        <v>4875</v>
      </c>
    </row>
    <row r="1438" spans="1:1" x14ac:dyDescent="0.35">
      <c r="A1438"/>
    </row>
    <row r="1439" spans="1:1" x14ac:dyDescent="0.35">
      <c r="A1439" s="1" t="s">
        <v>1472</v>
      </c>
    </row>
    <row r="1440" spans="1:1" x14ac:dyDescent="0.35">
      <c r="A1440" s="2"/>
    </row>
    <row r="1441" spans="1:1" x14ac:dyDescent="0.35">
      <c r="A1441" s="2" t="s">
        <v>4739</v>
      </c>
    </row>
    <row r="1442" spans="1:1" x14ac:dyDescent="0.35">
      <c r="A1442" s="2" t="s">
        <v>4876</v>
      </c>
    </row>
    <row r="1443" spans="1:1" x14ac:dyDescent="0.35">
      <c r="A1443" s="2" t="s">
        <v>4877</v>
      </c>
    </row>
    <row r="1444" spans="1:1" x14ac:dyDescent="0.35">
      <c r="A1444"/>
    </row>
    <row r="1445" spans="1:1" x14ac:dyDescent="0.35">
      <c r="A1445" s="1" t="s">
        <v>4878</v>
      </c>
    </row>
    <row r="1446" spans="1:1" x14ac:dyDescent="0.35">
      <c r="A1446" s="2"/>
    </row>
    <row r="1447" spans="1:1" x14ac:dyDescent="0.35">
      <c r="A1447" s="2" t="s">
        <v>4879</v>
      </c>
    </row>
    <row r="1448" spans="1:1" x14ac:dyDescent="0.35">
      <c r="A1448" s="2" t="s">
        <v>4880</v>
      </c>
    </row>
    <row r="1449" spans="1:1" x14ac:dyDescent="0.35">
      <c r="A1449" s="2" t="s">
        <v>4881</v>
      </c>
    </row>
    <row r="1450" spans="1:1" x14ac:dyDescent="0.35">
      <c r="A1450"/>
    </row>
    <row r="1451" spans="1:1" x14ac:dyDescent="0.35">
      <c r="A1451" s="1" t="s">
        <v>4882</v>
      </c>
    </row>
    <row r="1452" spans="1:1" x14ac:dyDescent="0.35">
      <c r="A1452" s="2"/>
    </row>
    <row r="1453" spans="1:1" x14ac:dyDescent="0.35">
      <c r="A1453" s="2" t="s">
        <v>4883</v>
      </c>
    </row>
    <row r="1454" spans="1:1" x14ac:dyDescent="0.35">
      <c r="A1454" s="2" t="s">
        <v>4884</v>
      </c>
    </row>
    <row r="1455" spans="1:1" x14ac:dyDescent="0.35">
      <c r="A1455" s="2" t="s">
        <v>4885</v>
      </c>
    </row>
    <row r="1456" spans="1:1" x14ac:dyDescent="0.35">
      <c r="A1456"/>
    </row>
    <row r="1457" spans="1:1" x14ac:dyDescent="0.35">
      <c r="A1457" t="s">
        <v>4886</v>
      </c>
    </row>
    <row r="1460" spans="1:1" x14ac:dyDescent="0.35">
      <c r="A1460" s="10" t="s">
        <v>4887</v>
      </c>
    </row>
    <row r="1461" spans="1:1" x14ac:dyDescent="0.35">
      <c r="A1461" t="s">
        <v>4994</v>
      </c>
    </row>
    <row r="1462" spans="1:1" x14ac:dyDescent="0.35">
      <c r="A1462"/>
    </row>
    <row r="1463" spans="1:1" x14ac:dyDescent="0.35">
      <c r="A1463" s="1" t="s">
        <v>4995</v>
      </c>
    </row>
    <row r="1464" spans="1:1" x14ac:dyDescent="0.35">
      <c r="A1464"/>
    </row>
    <row r="1465" spans="1:1" x14ac:dyDescent="0.35">
      <c r="A1465" s="1" t="s">
        <v>4996</v>
      </c>
    </row>
    <row r="1466" spans="1:1" x14ac:dyDescent="0.35">
      <c r="A1466" s="2"/>
    </row>
    <row r="1467" spans="1:1" x14ac:dyDescent="0.35">
      <c r="A1467" s="2" t="s">
        <v>4997</v>
      </c>
    </row>
    <row r="1468" spans="1:1" x14ac:dyDescent="0.35">
      <c r="A1468" s="2" t="s">
        <v>4998</v>
      </c>
    </row>
    <row r="1469" spans="1:1" x14ac:dyDescent="0.35">
      <c r="A1469" s="2" t="s">
        <v>4999</v>
      </c>
    </row>
    <row r="1470" spans="1:1" x14ac:dyDescent="0.35">
      <c r="A1470"/>
    </row>
    <row r="1471" spans="1:1" x14ac:dyDescent="0.35">
      <c r="A1471" s="1" t="s">
        <v>5000</v>
      </c>
    </row>
    <row r="1472" spans="1:1" x14ac:dyDescent="0.35">
      <c r="A1472" s="2"/>
    </row>
    <row r="1473" spans="1:1" x14ac:dyDescent="0.35">
      <c r="A1473" s="2" t="s">
        <v>5001</v>
      </c>
    </row>
    <row r="1474" spans="1:1" x14ac:dyDescent="0.35">
      <c r="A1474" s="2" t="s">
        <v>5002</v>
      </c>
    </row>
    <row r="1475" spans="1:1" x14ac:dyDescent="0.35">
      <c r="A1475" s="2" t="s">
        <v>5003</v>
      </c>
    </row>
    <row r="1476" spans="1:1" x14ac:dyDescent="0.35">
      <c r="A1476" s="2" t="s">
        <v>5004</v>
      </c>
    </row>
    <row r="1477" spans="1:1" x14ac:dyDescent="0.35">
      <c r="A1477"/>
    </row>
    <row r="1478" spans="1:1" x14ac:dyDescent="0.35">
      <c r="A1478" s="1" t="s">
        <v>1472</v>
      </c>
    </row>
    <row r="1479" spans="1:1" x14ac:dyDescent="0.35">
      <c r="A1479" s="2"/>
    </row>
    <row r="1480" spans="1:1" x14ac:dyDescent="0.35">
      <c r="A1480" s="2" t="s">
        <v>5005</v>
      </c>
    </row>
    <row r="1481" spans="1:1" x14ac:dyDescent="0.35">
      <c r="A1481" s="2" t="s">
        <v>5006</v>
      </c>
    </row>
    <row r="1482" spans="1:1" x14ac:dyDescent="0.35">
      <c r="A1482" s="2" t="s">
        <v>5007</v>
      </c>
    </row>
    <row r="1483" spans="1:1" x14ac:dyDescent="0.35">
      <c r="A1483"/>
    </row>
    <row r="1484" spans="1:1" x14ac:dyDescent="0.35">
      <c r="A1484" s="1" t="s">
        <v>2501</v>
      </c>
    </row>
    <row r="1485" spans="1:1" x14ac:dyDescent="0.35">
      <c r="A1485" s="2"/>
    </row>
    <row r="1486" spans="1:1" x14ac:dyDescent="0.35">
      <c r="A1486" s="2" t="s">
        <v>5008</v>
      </c>
    </row>
    <row r="1487" spans="1:1" x14ac:dyDescent="0.35">
      <c r="A1487" s="2" t="s">
        <v>5009</v>
      </c>
    </row>
    <row r="1488" spans="1:1" x14ac:dyDescent="0.35">
      <c r="A1488" s="2" t="s">
        <v>5010</v>
      </c>
    </row>
    <row r="1489" spans="1:1" x14ac:dyDescent="0.35">
      <c r="A1489" s="2" t="s">
        <v>5011</v>
      </c>
    </row>
    <row r="1490" spans="1:1" x14ac:dyDescent="0.35">
      <c r="A1490"/>
    </row>
    <row r="1491" spans="1:1" x14ac:dyDescent="0.35">
      <c r="A1491" s="1" t="s">
        <v>5012</v>
      </c>
    </row>
    <row r="1492" spans="1:1" x14ac:dyDescent="0.35">
      <c r="A1492" s="2"/>
    </row>
    <row r="1493" spans="1:1" x14ac:dyDescent="0.35">
      <c r="A1493" s="2" t="s">
        <v>5013</v>
      </c>
    </row>
    <row r="1494" spans="1:1" x14ac:dyDescent="0.35">
      <c r="A1494" s="2" t="s">
        <v>5014</v>
      </c>
    </row>
    <row r="1495" spans="1:1" x14ac:dyDescent="0.35">
      <c r="A1495" s="2" t="s">
        <v>5015</v>
      </c>
    </row>
    <row r="1496" spans="1:1" x14ac:dyDescent="0.35">
      <c r="A1496" s="2" t="s">
        <v>5016</v>
      </c>
    </row>
    <row r="1497" spans="1:1" x14ac:dyDescent="0.35">
      <c r="A1497" s="2" t="s">
        <v>5017</v>
      </c>
    </row>
    <row r="1498" spans="1:1" x14ac:dyDescent="0.35">
      <c r="A1498"/>
    </row>
    <row r="1499" spans="1:1" x14ac:dyDescent="0.35">
      <c r="A1499" t="s">
        <v>5018</v>
      </c>
    </row>
    <row r="1502" spans="1:1" x14ac:dyDescent="0.35">
      <c r="A1502" s="5" t="s">
        <v>5019</v>
      </c>
    </row>
    <row r="1503" spans="1:1" ht="23.5" x14ac:dyDescent="0.35">
      <c r="A1503" s="19" t="s">
        <v>5041</v>
      </c>
    </row>
    <row r="1504" spans="1:1" x14ac:dyDescent="0.35">
      <c r="A1504"/>
    </row>
    <row r="1505" spans="1:1" ht="17.5" x14ac:dyDescent="0.35">
      <c r="A1505" s="21" t="s">
        <v>5040</v>
      </c>
    </row>
    <row r="1506" spans="1:1" x14ac:dyDescent="0.35">
      <c r="A1506" s="4"/>
    </row>
    <row r="1507" spans="1:1" x14ac:dyDescent="0.35">
      <c r="A1507" s="20" t="s">
        <v>5039</v>
      </c>
    </row>
    <row r="1508" spans="1:1" x14ac:dyDescent="0.35">
      <c r="A1508" s="20" t="s">
        <v>5038</v>
      </c>
    </row>
    <row r="1509" spans="1:1" x14ac:dyDescent="0.35">
      <c r="A1509" s="20" t="s">
        <v>5037</v>
      </c>
    </row>
    <row r="1510" spans="1:1" x14ac:dyDescent="0.35">
      <c r="A1510" s="20" t="s">
        <v>5036</v>
      </c>
    </row>
    <row r="1511" spans="1:1" x14ac:dyDescent="0.35">
      <c r="A1511"/>
    </row>
    <row r="1512" spans="1:1" ht="17.5" x14ac:dyDescent="0.35">
      <c r="A1512" s="21" t="s">
        <v>5035</v>
      </c>
    </row>
    <row r="1513" spans="1:1" x14ac:dyDescent="0.35">
      <c r="A1513" s="4"/>
    </row>
    <row r="1514" spans="1:1" x14ac:dyDescent="0.35">
      <c r="A1514" s="20" t="s">
        <v>5034</v>
      </c>
    </row>
    <row r="1515" spans="1:1" x14ac:dyDescent="0.35">
      <c r="A1515" s="20" t="s">
        <v>5033</v>
      </c>
    </row>
    <row r="1516" spans="1:1" x14ac:dyDescent="0.35">
      <c r="A1516" s="20" t="s">
        <v>5032</v>
      </c>
    </row>
    <row r="1517" spans="1:1" x14ac:dyDescent="0.35">
      <c r="A1517" s="20" t="s">
        <v>5031</v>
      </c>
    </row>
    <row r="1518" spans="1:1" x14ac:dyDescent="0.35">
      <c r="A1518"/>
    </row>
    <row r="1519" spans="1:1" ht="17.5" x14ac:dyDescent="0.35">
      <c r="A1519" s="21" t="s">
        <v>5030</v>
      </c>
    </row>
    <row r="1520" spans="1:1" x14ac:dyDescent="0.35">
      <c r="A1520" s="4"/>
    </row>
    <row r="1521" spans="1:1" x14ac:dyDescent="0.35">
      <c r="A1521" s="20" t="s">
        <v>5029</v>
      </c>
    </row>
    <row r="1522" spans="1:1" x14ac:dyDescent="0.35">
      <c r="A1522" s="20" t="s">
        <v>5028</v>
      </c>
    </row>
    <row r="1523" spans="1:1" x14ac:dyDescent="0.35">
      <c r="A1523" s="20" t="s">
        <v>5027</v>
      </c>
    </row>
    <row r="1524" spans="1:1" x14ac:dyDescent="0.35">
      <c r="A1524" s="20" t="s">
        <v>5026</v>
      </c>
    </row>
    <row r="1525" spans="1:1" x14ac:dyDescent="0.35">
      <c r="A1525"/>
    </row>
    <row r="1526" spans="1:1" ht="17.5" x14ac:dyDescent="0.35">
      <c r="A1526" s="21" t="s">
        <v>5025</v>
      </c>
    </row>
    <row r="1527" spans="1:1" x14ac:dyDescent="0.35">
      <c r="A1527" s="4"/>
    </row>
    <row r="1528" spans="1:1" x14ac:dyDescent="0.35">
      <c r="A1528" s="20" t="s">
        <v>5024</v>
      </c>
    </row>
    <row r="1529" spans="1:1" x14ac:dyDescent="0.35">
      <c r="A1529" s="20" t="s">
        <v>5023</v>
      </c>
    </row>
    <row r="1530" spans="1:1" x14ac:dyDescent="0.35">
      <c r="A1530" s="20" t="s">
        <v>5022</v>
      </c>
    </row>
    <row r="1531" spans="1:1" x14ac:dyDescent="0.35">
      <c r="A1531" s="20" t="s">
        <v>5021</v>
      </c>
    </row>
    <row r="1532" spans="1:1" x14ac:dyDescent="0.35">
      <c r="A1532"/>
    </row>
    <row r="1533" spans="1:1" x14ac:dyDescent="0.35">
      <c r="A1533" s="1" t="s">
        <v>5020</v>
      </c>
    </row>
    <row r="1536" spans="1:1" x14ac:dyDescent="0.35">
      <c r="A1536" s="5" t="s">
        <v>5081</v>
      </c>
    </row>
    <row r="1537" spans="1:1" ht="23.5" x14ac:dyDescent="0.35">
      <c r="A1537" s="19" t="s">
        <v>5105</v>
      </c>
    </row>
    <row r="1538" spans="1:1" x14ac:dyDescent="0.35">
      <c r="A1538"/>
    </row>
    <row r="1539" spans="1:1" ht="17.5" x14ac:dyDescent="0.35">
      <c r="A1539" s="21" t="s">
        <v>5040</v>
      </c>
    </row>
    <row r="1540" spans="1:1" x14ac:dyDescent="0.35">
      <c r="A1540" s="2"/>
    </row>
    <row r="1541" spans="1:1" x14ac:dyDescent="0.35">
      <c r="A1541" s="3" t="s">
        <v>5104</v>
      </c>
    </row>
    <row r="1542" spans="1:1" x14ac:dyDescent="0.35">
      <c r="A1542" s="3" t="s">
        <v>5103</v>
      </c>
    </row>
    <row r="1543" spans="1:1" x14ac:dyDescent="0.35">
      <c r="A1543" s="3" t="s">
        <v>5102</v>
      </c>
    </row>
    <row r="1544" spans="1:1" x14ac:dyDescent="0.35">
      <c r="A1544" s="3" t="s">
        <v>5101</v>
      </c>
    </row>
    <row r="1545" spans="1:1" x14ac:dyDescent="0.35">
      <c r="A1545"/>
    </row>
    <row r="1546" spans="1:1" ht="17.5" x14ac:dyDescent="0.35">
      <c r="A1546" s="21" t="s">
        <v>5035</v>
      </c>
    </row>
    <row r="1547" spans="1:1" x14ac:dyDescent="0.35">
      <c r="A1547" s="2"/>
    </row>
    <row r="1548" spans="1:1" x14ac:dyDescent="0.35">
      <c r="A1548" s="3" t="s">
        <v>5100</v>
      </c>
    </row>
    <row r="1549" spans="1:1" x14ac:dyDescent="0.35">
      <c r="A1549" s="3" t="s">
        <v>5099</v>
      </c>
    </row>
    <row r="1550" spans="1:1" x14ac:dyDescent="0.35">
      <c r="A1550" s="3" t="s">
        <v>5098</v>
      </c>
    </row>
    <row r="1551" spans="1:1" x14ac:dyDescent="0.35">
      <c r="A1551" s="3" t="s">
        <v>5097</v>
      </c>
    </row>
    <row r="1552" spans="1:1" x14ac:dyDescent="0.35">
      <c r="A1552"/>
    </row>
    <row r="1553" spans="1:1" ht="17.5" x14ac:dyDescent="0.35">
      <c r="A1553" s="21" t="s">
        <v>5030</v>
      </c>
    </row>
    <row r="1554" spans="1:1" x14ac:dyDescent="0.35">
      <c r="A1554" s="2"/>
    </row>
    <row r="1555" spans="1:1" x14ac:dyDescent="0.35">
      <c r="A1555" s="3" t="s">
        <v>5096</v>
      </c>
    </row>
    <row r="1556" spans="1:1" x14ac:dyDescent="0.35">
      <c r="A1556" s="3" t="s">
        <v>5095</v>
      </c>
    </row>
    <row r="1557" spans="1:1" x14ac:dyDescent="0.35">
      <c r="A1557" s="3" t="s">
        <v>5094</v>
      </c>
    </row>
    <row r="1558" spans="1:1" x14ac:dyDescent="0.35">
      <c r="A1558" s="3" t="s">
        <v>5093</v>
      </c>
    </row>
    <row r="1559" spans="1:1" x14ac:dyDescent="0.35">
      <c r="A1559" s="3" t="s">
        <v>5092</v>
      </c>
    </row>
    <row r="1560" spans="1:1" x14ac:dyDescent="0.35">
      <c r="A1560"/>
    </row>
    <row r="1561" spans="1:1" ht="17.5" x14ac:dyDescent="0.35">
      <c r="A1561" s="21" t="s">
        <v>5025</v>
      </c>
    </row>
    <row r="1562" spans="1:1" x14ac:dyDescent="0.35">
      <c r="A1562" s="2"/>
    </row>
    <row r="1563" spans="1:1" x14ac:dyDescent="0.35">
      <c r="A1563" s="3" t="s">
        <v>5091</v>
      </c>
    </row>
    <row r="1564" spans="1:1" x14ac:dyDescent="0.35">
      <c r="A1564" s="3" t="s">
        <v>5090</v>
      </c>
    </row>
    <row r="1565" spans="1:1" x14ac:dyDescent="0.35">
      <c r="A1565" s="3" t="s">
        <v>5089</v>
      </c>
    </row>
    <row r="1566" spans="1:1" x14ac:dyDescent="0.35">
      <c r="A1566" s="3" t="s">
        <v>5088</v>
      </c>
    </row>
    <row r="1567" spans="1:1" x14ac:dyDescent="0.35">
      <c r="A1567"/>
    </row>
    <row r="1568" spans="1:1" ht="17.5" x14ac:dyDescent="0.35">
      <c r="A1568" s="21" t="s">
        <v>5087</v>
      </c>
    </row>
    <row r="1569" spans="1:1" x14ac:dyDescent="0.35">
      <c r="A1569" s="2"/>
    </row>
    <row r="1570" spans="1:1" x14ac:dyDescent="0.35">
      <c r="A1570" s="3" t="s">
        <v>5086</v>
      </c>
    </row>
    <row r="1571" spans="1:1" x14ac:dyDescent="0.35">
      <c r="A1571" s="3" t="s">
        <v>5085</v>
      </c>
    </row>
    <row r="1572" spans="1:1" x14ac:dyDescent="0.35">
      <c r="A1572" s="3" t="s">
        <v>5084</v>
      </c>
    </row>
    <row r="1573" spans="1:1" x14ac:dyDescent="0.35">
      <c r="A1573" s="3" t="s">
        <v>5083</v>
      </c>
    </row>
    <row r="1574" spans="1:1" x14ac:dyDescent="0.35">
      <c r="A1574"/>
    </row>
    <row r="1575" spans="1:1" x14ac:dyDescent="0.35">
      <c r="A1575" s="1" t="s">
        <v>5082</v>
      </c>
    </row>
    <row r="1578" spans="1:1" x14ac:dyDescent="0.35">
      <c r="A1578" s="5" t="s">
        <v>5154</v>
      </c>
    </row>
    <row r="1579" spans="1:1" ht="23.5" x14ac:dyDescent="0.35">
      <c r="A1579" s="19" t="s">
        <v>5181</v>
      </c>
    </row>
    <row r="1580" spans="1:1" x14ac:dyDescent="0.35">
      <c r="A1580"/>
    </row>
    <row r="1581" spans="1:1" ht="17.5" x14ac:dyDescent="0.35">
      <c r="A1581" s="21" t="s">
        <v>5040</v>
      </c>
    </row>
    <row r="1582" spans="1:1" x14ac:dyDescent="0.35">
      <c r="A1582" s="2"/>
    </row>
    <row r="1583" spans="1:1" x14ac:dyDescent="0.35">
      <c r="A1583" s="3" t="s">
        <v>5180</v>
      </c>
    </row>
    <row r="1584" spans="1:1" x14ac:dyDescent="0.35">
      <c r="A1584" s="3" t="s">
        <v>5179</v>
      </c>
    </row>
    <row r="1585" spans="1:1" x14ac:dyDescent="0.35">
      <c r="A1585" s="3" t="s">
        <v>5178</v>
      </c>
    </row>
    <row r="1586" spans="1:1" x14ac:dyDescent="0.35">
      <c r="A1586" s="3" t="s">
        <v>5177</v>
      </c>
    </row>
    <row r="1587" spans="1:1" x14ac:dyDescent="0.35">
      <c r="A1587" s="3" t="s">
        <v>5176</v>
      </c>
    </row>
    <row r="1588" spans="1:1" x14ac:dyDescent="0.35">
      <c r="A1588"/>
    </row>
    <row r="1589" spans="1:1" ht="17.5" x14ac:dyDescent="0.35">
      <c r="A1589" s="21" t="s">
        <v>5035</v>
      </c>
    </row>
    <row r="1590" spans="1:1" x14ac:dyDescent="0.35">
      <c r="A1590" s="2"/>
    </row>
    <row r="1591" spans="1:1" x14ac:dyDescent="0.35">
      <c r="A1591" s="3" t="s">
        <v>5175</v>
      </c>
    </row>
    <row r="1592" spans="1:1" x14ac:dyDescent="0.35">
      <c r="A1592" s="3" t="s">
        <v>5174</v>
      </c>
    </row>
    <row r="1593" spans="1:1" x14ac:dyDescent="0.35">
      <c r="A1593" s="3" t="s">
        <v>5173</v>
      </c>
    </row>
    <row r="1594" spans="1:1" x14ac:dyDescent="0.35">
      <c r="A1594" s="3" t="s">
        <v>5172</v>
      </c>
    </row>
    <row r="1595" spans="1:1" x14ac:dyDescent="0.35">
      <c r="A1595" s="3" t="s">
        <v>5171</v>
      </c>
    </row>
    <row r="1596" spans="1:1" x14ac:dyDescent="0.35">
      <c r="A1596"/>
    </row>
    <row r="1597" spans="1:1" ht="17.5" x14ac:dyDescent="0.35">
      <c r="A1597" s="21" t="s">
        <v>5030</v>
      </c>
    </row>
    <row r="1598" spans="1:1" x14ac:dyDescent="0.35">
      <c r="A1598" s="2"/>
    </row>
    <row r="1599" spans="1:1" x14ac:dyDescent="0.35">
      <c r="A1599" s="3" t="s">
        <v>5170</v>
      </c>
    </row>
    <row r="1600" spans="1:1" x14ac:dyDescent="0.35">
      <c r="A1600" s="3" t="s">
        <v>5169</v>
      </c>
    </row>
    <row r="1601" spans="1:1" x14ac:dyDescent="0.35">
      <c r="A1601" s="3" t="s">
        <v>5168</v>
      </c>
    </row>
    <row r="1602" spans="1:1" x14ac:dyDescent="0.35">
      <c r="A1602" s="3" t="s">
        <v>5167</v>
      </c>
    </row>
    <row r="1603" spans="1:1" x14ac:dyDescent="0.35">
      <c r="A1603" s="3" t="s">
        <v>5166</v>
      </c>
    </row>
    <row r="1604" spans="1:1" x14ac:dyDescent="0.35">
      <c r="A1604"/>
    </row>
    <row r="1605" spans="1:1" ht="17.5" x14ac:dyDescent="0.35">
      <c r="A1605" s="21" t="s">
        <v>5025</v>
      </c>
    </row>
    <row r="1606" spans="1:1" x14ac:dyDescent="0.35">
      <c r="A1606" s="2"/>
    </row>
    <row r="1607" spans="1:1" x14ac:dyDescent="0.35">
      <c r="A1607" s="3" t="s">
        <v>5165</v>
      </c>
    </row>
    <row r="1608" spans="1:1" x14ac:dyDescent="0.35">
      <c r="A1608" s="3" t="s">
        <v>5164</v>
      </c>
    </row>
    <row r="1609" spans="1:1" x14ac:dyDescent="0.35">
      <c r="A1609" s="3" t="s">
        <v>5163</v>
      </c>
    </row>
    <row r="1610" spans="1:1" x14ac:dyDescent="0.35">
      <c r="A1610" s="3" t="s">
        <v>5162</v>
      </c>
    </row>
    <row r="1611" spans="1:1" x14ac:dyDescent="0.35">
      <c r="A1611" s="3" t="s">
        <v>5161</v>
      </c>
    </row>
    <row r="1612" spans="1:1" x14ac:dyDescent="0.35">
      <c r="A1612"/>
    </row>
    <row r="1613" spans="1:1" ht="17.5" x14ac:dyDescent="0.35">
      <c r="A1613" s="21" t="s">
        <v>5160</v>
      </c>
    </row>
    <row r="1614" spans="1:1" x14ac:dyDescent="0.35">
      <c r="A1614" s="2"/>
    </row>
    <row r="1615" spans="1:1" x14ac:dyDescent="0.35">
      <c r="A1615" s="3" t="s">
        <v>5159</v>
      </c>
    </row>
    <row r="1616" spans="1:1" x14ac:dyDescent="0.35">
      <c r="A1616" s="3" t="s">
        <v>5158</v>
      </c>
    </row>
    <row r="1617" spans="1:1" x14ac:dyDescent="0.35">
      <c r="A1617" s="3" t="s">
        <v>5157</v>
      </c>
    </row>
    <row r="1618" spans="1:1" x14ac:dyDescent="0.35">
      <c r="A1618" s="3" t="s">
        <v>5156</v>
      </c>
    </row>
    <row r="1619" spans="1:1" x14ac:dyDescent="0.35">
      <c r="A1619"/>
    </row>
    <row r="1620" spans="1:1" x14ac:dyDescent="0.35">
      <c r="A1620" s="1" t="s">
        <v>5155</v>
      </c>
    </row>
    <row r="1623" spans="1:1" x14ac:dyDescent="0.35">
      <c r="A1623" s="5" t="s">
        <v>5259</v>
      </c>
    </row>
    <row r="1624" spans="1:1" ht="23.5" x14ac:dyDescent="0.35">
      <c r="A1624" s="19" t="s">
        <v>5282</v>
      </c>
    </row>
    <row r="1625" spans="1:1" x14ac:dyDescent="0.35">
      <c r="A1625"/>
    </row>
    <row r="1626" spans="1:1" ht="17.5" x14ac:dyDescent="0.35">
      <c r="A1626" s="21" t="s">
        <v>5040</v>
      </c>
    </row>
    <row r="1627" spans="1:1" x14ac:dyDescent="0.35">
      <c r="A1627" s="2"/>
    </row>
    <row r="1628" spans="1:1" x14ac:dyDescent="0.35">
      <c r="A1628" s="3" t="s">
        <v>5281</v>
      </c>
    </row>
    <row r="1629" spans="1:1" x14ac:dyDescent="0.35">
      <c r="A1629" s="3" t="s">
        <v>5280</v>
      </c>
    </row>
    <row r="1630" spans="1:1" x14ac:dyDescent="0.35">
      <c r="A1630" s="3" t="s">
        <v>5279</v>
      </c>
    </row>
    <row r="1631" spans="1:1" x14ac:dyDescent="0.35">
      <c r="A1631" s="3" t="s">
        <v>5278</v>
      </c>
    </row>
    <row r="1632" spans="1:1" x14ac:dyDescent="0.35">
      <c r="A1632"/>
    </row>
    <row r="1633" spans="1:1" ht="17.5" x14ac:dyDescent="0.35">
      <c r="A1633" s="21" t="s">
        <v>5035</v>
      </c>
    </row>
    <row r="1634" spans="1:1" x14ac:dyDescent="0.35">
      <c r="A1634" s="2"/>
    </row>
    <row r="1635" spans="1:1" x14ac:dyDescent="0.35">
      <c r="A1635" s="3" t="s">
        <v>5277</v>
      </c>
    </row>
    <row r="1636" spans="1:1" x14ac:dyDescent="0.35">
      <c r="A1636" s="3" t="s">
        <v>5276</v>
      </c>
    </row>
    <row r="1637" spans="1:1" x14ac:dyDescent="0.35">
      <c r="A1637" s="3" t="s">
        <v>5275</v>
      </c>
    </row>
    <row r="1638" spans="1:1" x14ac:dyDescent="0.35">
      <c r="A1638" s="3" t="s">
        <v>5274</v>
      </c>
    </row>
    <row r="1639" spans="1:1" x14ac:dyDescent="0.35">
      <c r="A1639"/>
    </row>
    <row r="1640" spans="1:1" ht="17.5" x14ac:dyDescent="0.35">
      <c r="A1640" s="21" t="s">
        <v>5030</v>
      </c>
    </row>
    <row r="1641" spans="1:1" x14ac:dyDescent="0.35">
      <c r="A1641" s="2"/>
    </row>
    <row r="1642" spans="1:1" x14ac:dyDescent="0.35">
      <c r="A1642" s="3" t="s">
        <v>5273</v>
      </c>
    </row>
    <row r="1643" spans="1:1" x14ac:dyDescent="0.35">
      <c r="A1643" s="3" t="s">
        <v>5272</v>
      </c>
    </row>
    <row r="1644" spans="1:1" x14ac:dyDescent="0.35">
      <c r="A1644" s="3" t="s">
        <v>5271</v>
      </c>
    </row>
    <row r="1645" spans="1:1" x14ac:dyDescent="0.35">
      <c r="A1645" s="3" t="s">
        <v>5270</v>
      </c>
    </row>
    <row r="1646" spans="1:1" x14ac:dyDescent="0.35">
      <c r="A1646" s="3" t="s">
        <v>5269</v>
      </c>
    </row>
    <row r="1647" spans="1:1" x14ac:dyDescent="0.35">
      <c r="A1647"/>
    </row>
    <row r="1648" spans="1:1" ht="17.5" x14ac:dyDescent="0.35">
      <c r="A1648" s="21" t="s">
        <v>5025</v>
      </c>
    </row>
    <row r="1649" spans="1:1" x14ac:dyDescent="0.35">
      <c r="A1649" s="2"/>
    </row>
    <row r="1650" spans="1:1" x14ac:dyDescent="0.35">
      <c r="A1650" s="3" t="s">
        <v>5268</v>
      </c>
    </row>
    <row r="1651" spans="1:1" x14ac:dyDescent="0.35">
      <c r="A1651" s="3" t="s">
        <v>5267</v>
      </c>
    </row>
    <row r="1652" spans="1:1" x14ac:dyDescent="0.35">
      <c r="A1652" s="3" t="s">
        <v>5266</v>
      </c>
    </row>
    <row r="1653" spans="1:1" x14ac:dyDescent="0.35">
      <c r="A1653" s="3" t="s">
        <v>5265</v>
      </c>
    </row>
    <row r="1654" spans="1:1" x14ac:dyDescent="0.35">
      <c r="A1654"/>
    </row>
    <row r="1655" spans="1:1" ht="17.5" x14ac:dyDescent="0.35">
      <c r="A1655" s="21" t="s">
        <v>5087</v>
      </c>
    </row>
    <row r="1656" spans="1:1" x14ac:dyDescent="0.35">
      <c r="A1656" s="2"/>
    </row>
    <row r="1657" spans="1:1" x14ac:dyDescent="0.35">
      <c r="A1657" s="3" t="s">
        <v>5264</v>
      </c>
    </row>
    <row r="1658" spans="1:1" x14ac:dyDescent="0.35">
      <c r="A1658" s="3" t="s">
        <v>5263</v>
      </c>
    </row>
    <row r="1659" spans="1:1" x14ac:dyDescent="0.35">
      <c r="A1659" s="3" t="s">
        <v>5262</v>
      </c>
    </row>
    <row r="1660" spans="1:1" x14ac:dyDescent="0.35">
      <c r="A1660" s="3" t="s">
        <v>5261</v>
      </c>
    </row>
    <row r="1661" spans="1:1" x14ac:dyDescent="0.35">
      <c r="A1661"/>
    </row>
    <row r="1662" spans="1:1" x14ac:dyDescent="0.35">
      <c r="A1662" s="1" t="s">
        <v>5260</v>
      </c>
    </row>
    <row r="1665" spans="1:1" x14ac:dyDescent="0.35">
      <c r="A1665" s="5" t="s">
        <v>5317</v>
      </c>
    </row>
    <row r="1666" spans="1:1" x14ac:dyDescent="0.35">
      <c r="A1666" t="s">
        <v>5318</v>
      </c>
    </row>
    <row r="1667" spans="1:1" x14ac:dyDescent="0.35">
      <c r="A1667"/>
    </row>
    <row r="1668" spans="1:1" x14ac:dyDescent="0.35">
      <c r="A1668" s="1" t="s">
        <v>5319</v>
      </c>
    </row>
    <row r="1669" spans="1:1" x14ac:dyDescent="0.35">
      <c r="A1669" s="2"/>
    </row>
    <row r="1670" spans="1:1" x14ac:dyDescent="0.35">
      <c r="A1670" s="3" t="s">
        <v>5320</v>
      </c>
    </row>
    <row r="1671" spans="1:1" x14ac:dyDescent="0.35">
      <c r="A1671" s="3" t="s">
        <v>5321</v>
      </c>
    </row>
    <row r="1672" spans="1:1" x14ac:dyDescent="0.35">
      <c r="A1672" s="3" t="s">
        <v>5322</v>
      </c>
    </row>
    <row r="1673" spans="1:1" x14ac:dyDescent="0.35">
      <c r="A1673" s="3" t="s">
        <v>5323</v>
      </c>
    </row>
    <row r="1674" spans="1:1" x14ac:dyDescent="0.35">
      <c r="A1674"/>
    </row>
    <row r="1675" spans="1:1" x14ac:dyDescent="0.35">
      <c r="A1675" t="s">
        <v>5324</v>
      </c>
    </row>
    <row r="1677" spans="1:1" ht="23.5" x14ac:dyDescent="0.35">
      <c r="A1677" s="19" t="s">
        <v>5351</v>
      </c>
    </row>
    <row r="1678" spans="1:1" x14ac:dyDescent="0.35">
      <c r="A1678"/>
    </row>
    <row r="1679" spans="1:1" ht="17.5" x14ac:dyDescent="0.35">
      <c r="A1679" s="21" t="s">
        <v>5040</v>
      </c>
    </row>
    <row r="1680" spans="1:1" x14ac:dyDescent="0.35">
      <c r="A1680" s="2"/>
    </row>
    <row r="1681" spans="1:1" x14ac:dyDescent="0.35">
      <c r="A1681" s="3" t="s">
        <v>5350</v>
      </c>
    </row>
    <row r="1682" spans="1:1" x14ac:dyDescent="0.35">
      <c r="A1682" s="3" t="s">
        <v>5349</v>
      </c>
    </row>
    <row r="1683" spans="1:1" x14ac:dyDescent="0.35">
      <c r="A1683" s="3" t="s">
        <v>5348</v>
      </c>
    </row>
    <row r="1684" spans="1:1" x14ac:dyDescent="0.35">
      <c r="A1684" s="3" t="s">
        <v>5347</v>
      </c>
    </row>
    <row r="1685" spans="1:1" x14ac:dyDescent="0.35">
      <c r="A1685"/>
    </row>
    <row r="1686" spans="1:1" ht="17.5" x14ac:dyDescent="0.35">
      <c r="A1686" s="21" t="s">
        <v>5035</v>
      </c>
    </row>
    <row r="1687" spans="1:1" x14ac:dyDescent="0.35">
      <c r="A1687" s="2"/>
    </row>
    <row r="1688" spans="1:1" x14ac:dyDescent="0.35">
      <c r="A1688" s="3" t="s">
        <v>5346</v>
      </c>
    </row>
    <row r="1689" spans="1:1" x14ac:dyDescent="0.35">
      <c r="A1689" s="3" t="s">
        <v>5345</v>
      </c>
    </row>
    <row r="1690" spans="1:1" x14ac:dyDescent="0.35">
      <c r="A1690" s="3" t="s">
        <v>5344</v>
      </c>
    </row>
    <row r="1691" spans="1:1" x14ac:dyDescent="0.35">
      <c r="A1691" s="3" t="s">
        <v>5343</v>
      </c>
    </row>
    <row r="1692" spans="1:1" x14ac:dyDescent="0.35">
      <c r="A1692"/>
    </row>
    <row r="1693" spans="1:1" ht="17.5" x14ac:dyDescent="0.35">
      <c r="A1693" s="21" t="s">
        <v>5030</v>
      </c>
    </row>
    <row r="1694" spans="1:1" x14ac:dyDescent="0.35">
      <c r="A1694" s="2"/>
    </row>
    <row r="1695" spans="1:1" x14ac:dyDescent="0.35">
      <c r="A1695" s="3" t="s">
        <v>5342</v>
      </c>
    </row>
    <row r="1696" spans="1:1" x14ac:dyDescent="0.35">
      <c r="A1696" s="3" t="s">
        <v>5341</v>
      </c>
    </row>
    <row r="1697" spans="1:1" x14ac:dyDescent="0.35">
      <c r="A1697" s="3" t="s">
        <v>5340</v>
      </c>
    </row>
    <row r="1698" spans="1:1" x14ac:dyDescent="0.35">
      <c r="A1698" s="3" t="s">
        <v>5339</v>
      </c>
    </row>
    <row r="1699" spans="1:1" x14ac:dyDescent="0.35">
      <c r="A1699" s="3" t="s">
        <v>5338</v>
      </c>
    </row>
    <row r="1700" spans="1:1" x14ac:dyDescent="0.35">
      <c r="A1700"/>
    </row>
    <row r="1701" spans="1:1" ht="17.5" x14ac:dyDescent="0.35">
      <c r="A1701" s="21" t="s">
        <v>5025</v>
      </c>
    </row>
    <row r="1702" spans="1:1" x14ac:dyDescent="0.35">
      <c r="A1702" s="2"/>
    </row>
    <row r="1703" spans="1:1" x14ac:dyDescent="0.35">
      <c r="A1703" s="3" t="s">
        <v>5337</v>
      </c>
    </row>
    <row r="1704" spans="1:1" x14ac:dyDescent="0.35">
      <c r="A1704" s="3" t="s">
        <v>5336</v>
      </c>
    </row>
    <row r="1705" spans="1:1" x14ac:dyDescent="0.35">
      <c r="A1705" s="3" t="s">
        <v>5335</v>
      </c>
    </row>
    <row r="1706" spans="1:1" x14ac:dyDescent="0.35">
      <c r="A1706" s="3" t="s">
        <v>5334</v>
      </c>
    </row>
    <row r="1707" spans="1:1" x14ac:dyDescent="0.35">
      <c r="A1707"/>
    </row>
    <row r="1708" spans="1:1" ht="17.5" x14ac:dyDescent="0.35">
      <c r="A1708" s="21" t="s">
        <v>5333</v>
      </c>
    </row>
    <row r="1709" spans="1:1" x14ac:dyDescent="0.35">
      <c r="A1709"/>
    </row>
    <row r="1710" spans="1:1" x14ac:dyDescent="0.35">
      <c r="A1710" t="s">
        <v>5332</v>
      </c>
    </row>
    <row r="1711" spans="1:1" x14ac:dyDescent="0.35">
      <c r="A1711" s="2"/>
    </row>
    <row r="1712" spans="1:1" x14ac:dyDescent="0.35">
      <c r="A1712" s="3" t="s">
        <v>5331</v>
      </c>
    </row>
    <row r="1713" spans="1:1" x14ac:dyDescent="0.35">
      <c r="A1713" s="3" t="s">
        <v>5330</v>
      </c>
    </row>
    <row r="1714" spans="1:1" x14ac:dyDescent="0.35">
      <c r="A1714" s="3" t="s">
        <v>5329</v>
      </c>
    </row>
    <row r="1715" spans="1:1" x14ac:dyDescent="0.35">
      <c r="A1715" s="3" t="s">
        <v>5328</v>
      </c>
    </row>
    <row r="1716" spans="1:1" x14ac:dyDescent="0.35">
      <c r="A1716" s="3" t="s">
        <v>5327</v>
      </c>
    </row>
    <row r="1717" spans="1:1" x14ac:dyDescent="0.35">
      <c r="A1717" s="3" t="s">
        <v>5326</v>
      </c>
    </row>
    <row r="1718" spans="1:1" x14ac:dyDescent="0.35">
      <c r="A1718"/>
    </row>
    <row r="1719" spans="1:1" x14ac:dyDescent="0.35">
      <c r="A1719" s="1" t="s">
        <v>5325</v>
      </c>
    </row>
    <row r="1722" spans="1:1" x14ac:dyDescent="0.35">
      <c r="A1722" s="5" t="s">
        <v>5385</v>
      </c>
    </row>
    <row r="1723" spans="1:1" x14ac:dyDescent="0.35">
      <c r="A1723" t="s">
        <v>5386</v>
      </c>
    </row>
    <row r="1724" spans="1:1" x14ac:dyDescent="0.35">
      <c r="A1724"/>
    </row>
    <row r="1725" spans="1:1" x14ac:dyDescent="0.35">
      <c r="A1725" s="1" t="s">
        <v>5387</v>
      </c>
    </row>
    <row r="1726" spans="1:1" x14ac:dyDescent="0.35">
      <c r="A1726" s="2"/>
    </row>
    <row r="1727" spans="1:1" x14ac:dyDescent="0.35">
      <c r="A1727" s="3" t="s">
        <v>5388</v>
      </c>
    </row>
    <row r="1728" spans="1:1" x14ac:dyDescent="0.35">
      <c r="A1728" s="3" t="s">
        <v>5389</v>
      </c>
    </row>
    <row r="1729" spans="1:1" x14ac:dyDescent="0.35">
      <c r="A1729" s="3" t="s">
        <v>5390</v>
      </c>
    </row>
    <row r="1730" spans="1:1" x14ac:dyDescent="0.35">
      <c r="A1730" s="3" t="s">
        <v>5391</v>
      </c>
    </row>
    <row r="1731" spans="1:1" x14ac:dyDescent="0.35">
      <c r="A1731"/>
    </row>
    <row r="1732" spans="1:1" x14ac:dyDescent="0.35">
      <c r="A1732" s="1" t="s">
        <v>5012</v>
      </c>
    </row>
    <row r="1733" spans="1:1" x14ac:dyDescent="0.35">
      <c r="A1733" s="2"/>
    </row>
    <row r="1734" spans="1:1" x14ac:dyDescent="0.35">
      <c r="A1734" s="2" t="s">
        <v>5392</v>
      </c>
    </row>
    <row r="1735" spans="1:1" x14ac:dyDescent="0.35">
      <c r="A1735" s="2" t="s">
        <v>5393</v>
      </c>
    </row>
    <row r="1736" spans="1:1" x14ac:dyDescent="0.35">
      <c r="A1736" s="2" t="s">
        <v>5394</v>
      </c>
    </row>
    <row r="1737" spans="1:1" x14ac:dyDescent="0.35">
      <c r="A1737" s="2" t="s">
        <v>5395</v>
      </c>
    </row>
    <row r="1738" spans="1:1" x14ac:dyDescent="0.35">
      <c r="A1738"/>
    </row>
    <row r="1739" spans="1:1" x14ac:dyDescent="0.35">
      <c r="A1739" t="s">
        <v>5396</v>
      </c>
    </row>
    <row r="1740" spans="1:1" ht="23.5" x14ac:dyDescent="0.35">
      <c r="A1740" s="19" t="s">
        <v>5397</v>
      </c>
    </row>
    <row r="1741" spans="1:1" x14ac:dyDescent="0.35">
      <c r="A1741"/>
    </row>
    <row r="1742" spans="1:1" ht="17.5" x14ac:dyDescent="0.35">
      <c r="A1742" s="21" t="s">
        <v>5040</v>
      </c>
    </row>
    <row r="1743" spans="1:1" x14ac:dyDescent="0.35">
      <c r="A1743" s="2"/>
    </row>
    <row r="1744" spans="1:1" x14ac:dyDescent="0.35">
      <c r="A1744" s="3" t="s">
        <v>5398</v>
      </c>
    </row>
    <row r="1745" spans="1:1" x14ac:dyDescent="0.35">
      <c r="A1745" s="3" t="s">
        <v>5399</v>
      </c>
    </row>
    <row r="1746" spans="1:1" x14ac:dyDescent="0.35">
      <c r="A1746" s="3" t="s">
        <v>5400</v>
      </c>
    </row>
    <row r="1747" spans="1:1" x14ac:dyDescent="0.35">
      <c r="A1747" s="3" t="s">
        <v>5401</v>
      </c>
    </row>
    <row r="1748" spans="1:1" x14ac:dyDescent="0.35">
      <c r="A1748"/>
    </row>
    <row r="1749" spans="1:1" ht="17.5" x14ac:dyDescent="0.35">
      <c r="A1749" s="21" t="s">
        <v>5035</v>
      </c>
    </row>
    <row r="1750" spans="1:1" x14ac:dyDescent="0.35">
      <c r="A1750" s="2"/>
    </row>
    <row r="1751" spans="1:1" x14ac:dyDescent="0.35">
      <c r="A1751" s="3" t="s">
        <v>5402</v>
      </c>
    </row>
    <row r="1752" spans="1:1" x14ac:dyDescent="0.35">
      <c r="A1752" s="3" t="s">
        <v>5403</v>
      </c>
    </row>
    <row r="1753" spans="1:1" x14ac:dyDescent="0.35">
      <c r="A1753" s="3" t="s">
        <v>5404</v>
      </c>
    </row>
    <row r="1754" spans="1:1" x14ac:dyDescent="0.35">
      <c r="A1754" s="3" t="s">
        <v>5405</v>
      </c>
    </row>
    <row r="1755" spans="1:1" x14ac:dyDescent="0.35">
      <c r="A1755"/>
    </row>
    <row r="1756" spans="1:1" ht="17.5" x14ac:dyDescent="0.35">
      <c r="A1756" s="21" t="s">
        <v>5030</v>
      </c>
    </row>
    <row r="1757" spans="1:1" x14ac:dyDescent="0.35">
      <c r="A1757" s="2"/>
    </row>
    <row r="1758" spans="1:1" x14ac:dyDescent="0.35">
      <c r="A1758" s="3" t="s">
        <v>5406</v>
      </c>
    </row>
    <row r="1759" spans="1:1" x14ac:dyDescent="0.35">
      <c r="A1759" s="3" t="s">
        <v>5407</v>
      </c>
    </row>
    <row r="1760" spans="1:1" x14ac:dyDescent="0.35">
      <c r="A1760" s="3" t="s">
        <v>5408</v>
      </c>
    </row>
    <row r="1761" spans="1:1" x14ac:dyDescent="0.35">
      <c r="A1761" s="3" t="s">
        <v>5409</v>
      </c>
    </row>
    <row r="1762" spans="1:1" x14ac:dyDescent="0.35">
      <c r="A1762" s="3" t="s">
        <v>5410</v>
      </c>
    </row>
    <row r="1763" spans="1:1" x14ac:dyDescent="0.35">
      <c r="A1763"/>
    </row>
    <row r="1764" spans="1:1" ht="17.5" x14ac:dyDescent="0.35">
      <c r="A1764" s="21" t="s">
        <v>5025</v>
      </c>
    </row>
    <row r="1765" spans="1:1" x14ac:dyDescent="0.35">
      <c r="A1765" s="2"/>
    </row>
    <row r="1766" spans="1:1" x14ac:dyDescent="0.35">
      <c r="A1766" s="3" t="s">
        <v>5411</v>
      </c>
    </row>
    <row r="1767" spans="1:1" x14ac:dyDescent="0.35">
      <c r="A1767" s="3" t="s">
        <v>5412</v>
      </c>
    </row>
    <row r="1768" spans="1:1" x14ac:dyDescent="0.35">
      <c r="A1768" s="3" t="s">
        <v>5413</v>
      </c>
    </row>
    <row r="1769" spans="1:1" x14ac:dyDescent="0.35">
      <c r="A1769" s="3" t="s">
        <v>5414</v>
      </c>
    </row>
    <row r="1770" spans="1:1" x14ac:dyDescent="0.35">
      <c r="A1770"/>
    </row>
    <row r="1771" spans="1:1" ht="17.5" x14ac:dyDescent="0.35">
      <c r="A1771" s="21" t="s">
        <v>4280</v>
      </c>
    </row>
    <row r="1772" spans="1:1" x14ac:dyDescent="0.35">
      <c r="A1772" s="2"/>
    </row>
    <row r="1773" spans="1:1" x14ac:dyDescent="0.35">
      <c r="A1773" s="3" t="s">
        <v>5415</v>
      </c>
    </row>
    <row r="1774" spans="1:1" x14ac:dyDescent="0.35">
      <c r="A1774" s="3" t="s">
        <v>5416</v>
      </c>
    </row>
    <row r="1775" spans="1:1" x14ac:dyDescent="0.35">
      <c r="A1775" s="3" t="s">
        <v>5417</v>
      </c>
    </row>
    <row r="1776" spans="1:1" x14ac:dyDescent="0.35">
      <c r="A1776" s="3" t="s">
        <v>5418</v>
      </c>
    </row>
    <row r="1777" spans="1:1" x14ac:dyDescent="0.35">
      <c r="A1777"/>
    </row>
    <row r="1778" spans="1:1" x14ac:dyDescent="0.35">
      <c r="A1778" s="1" t="s">
        <v>5419</v>
      </c>
    </row>
    <row r="1781" spans="1:1" x14ac:dyDescent="0.35">
      <c r="A1781" s="5" t="s">
        <v>5420</v>
      </c>
    </row>
    <row r="1782" spans="1:1" x14ac:dyDescent="0.35">
      <c r="A1782" t="s">
        <v>5492</v>
      </c>
    </row>
    <row r="1783" spans="1:1" x14ac:dyDescent="0.35">
      <c r="A1783"/>
    </row>
    <row r="1784" spans="1:1" x14ac:dyDescent="0.35">
      <c r="A1784" s="1" t="s">
        <v>5493</v>
      </c>
    </row>
    <row r="1785" spans="1:1" x14ac:dyDescent="0.35">
      <c r="A1785"/>
    </row>
    <row r="1786" spans="1:1" x14ac:dyDescent="0.35">
      <c r="A1786" s="1" t="s">
        <v>5494</v>
      </c>
    </row>
    <row r="1787" spans="1:1" x14ac:dyDescent="0.35">
      <c r="A1787" s="2"/>
    </row>
    <row r="1788" spans="1:1" x14ac:dyDescent="0.35">
      <c r="A1788" s="2" t="s">
        <v>5495</v>
      </c>
    </row>
    <row r="1789" spans="1:1" x14ac:dyDescent="0.35">
      <c r="A1789" s="2" t="s">
        <v>5496</v>
      </c>
    </row>
    <row r="1790" spans="1:1" x14ac:dyDescent="0.35">
      <c r="A1790" s="2" t="s">
        <v>5497</v>
      </c>
    </row>
    <row r="1791" spans="1:1" x14ac:dyDescent="0.35">
      <c r="A1791" s="2" t="s">
        <v>5498</v>
      </c>
    </row>
    <row r="1792" spans="1:1" x14ac:dyDescent="0.35">
      <c r="A1792"/>
    </row>
    <row r="1793" spans="1:1" x14ac:dyDescent="0.35">
      <c r="A1793" s="1" t="s">
        <v>5499</v>
      </c>
    </row>
    <row r="1794" spans="1:1" x14ac:dyDescent="0.35">
      <c r="A1794"/>
    </row>
    <row r="1795" spans="1:1" x14ac:dyDescent="0.35">
      <c r="A1795" s="1" t="s">
        <v>5500</v>
      </c>
    </row>
    <row r="1796" spans="1:1" x14ac:dyDescent="0.35">
      <c r="A1796"/>
    </row>
    <row r="1797" spans="1:1" x14ac:dyDescent="0.35">
      <c r="A1797" t="s">
        <v>5501</v>
      </c>
    </row>
    <row r="1798" spans="1:1" ht="23.5" x14ac:dyDescent="0.35">
      <c r="A1798" s="19" t="s">
        <v>5524</v>
      </c>
    </row>
    <row r="1799" spans="1:1" x14ac:dyDescent="0.35">
      <c r="A1799"/>
    </row>
    <row r="1800" spans="1:1" ht="17.5" x14ac:dyDescent="0.35">
      <c r="A1800" s="21" t="s">
        <v>5040</v>
      </c>
    </row>
    <row r="1801" spans="1:1" x14ac:dyDescent="0.35">
      <c r="A1801" s="2"/>
    </row>
    <row r="1802" spans="1:1" x14ac:dyDescent="0.35">
      <c r="A1802" s="3" t="s">
        <v>5523</v>
      </c>
    </row>
    <row r="1803" spans="1:1" x14ac:dyDescent="0.35">
      <c r="A1803" s="3" t="s">
        <v>5522</v>
      </c>
    </row>
    <row r="1804" spans="1:1" x14ac:dyDescent="0.35">
      <c r="A1804" s="3" t="s">
        <v>5521</v>
      </c>
    </row>
    <row r="1805" spans="1:1" x14ac:dyDescent="0.35">
      <c r="A1805" s="3" t="s">
        <v>5520</v>
      </c>
    </row>
    <row r="1806" spans="1:1" x14ac:dyDescent="0.35">
      <c r="A1806"/>
    </row>
    <row r="1807" spans="1:1" ht="17.5" x14ac:dyDescent="0.35">
      <c r="A1807" s="21" t="s">
        <v>5035</v>
      </c>
    </row>
    <row r="1808" spans="1:1" x14ac:dyDescent="0.35">
      <c r="A1808" s="2"/>
    </row>
    <row r="1809" spans="1:1" x14ac:dyDescent="0.35">
      <c r="A1809" s="3" t="s">
        <v>5519</v>
      </c>
    </row>
    <row r="1810" spans="1:1" x14ac:dyDescent="0.35">
      <c r="A1810" s="3" t="s">
        <v>5518</v>
      </c>
    </row>
    <row r="1811" spans="1:1" x14ac:dyDescent="0.35">
      <c r="A1811" s="3" t="s">
        <v>5517</v>
      </c>
    </row>
    <row r="1812" spans="1:1" x14ac:dyDescent="0.35">
      <c r="A1812" s="3" t="s">
        <v>5516</v>
      </c>
    </row>
    <row r="1813" spans="1:1" x14ac:dyDescent="0.35">
      <c r="A1813"/>
    </row>
    <row r="1814" spans="1:1" ht="17.5" x14ac:dyDescent="0.35">
      <c r="A1814" s="21" t="s">
        <v>5030</v>
      </c>
    </row>
    <row r="1815" spans="1:1" x14ac:dyDescent="0.35">
      <c r="A1815" s="2"/>
    </row>
    <row r="1816" spans="1:1" x14ac:dyDescent="0.35">
      <c r="A1816" s="3" t="s">
        <v>5515</v>
      </c>
    </row>
    <row r="1817" spans="1:1" x14ac:dyDescent="0.35">
      <c r="A1817" s="3" t="s">
        <v>5514</v>
      </c>
    </row>
    <row r="1818" spans="1:1" x14ac:dyDescent="0.35">
      <c r="A1818" s="3" t="s">
        <v>5513</v>
      </c>
    </row>
    <row r="1819" spans="1:1" x14ac:dyDescent="0.35">
      <c r="A1819" s="3" t="s">
        <v>5512</v>
      </c>
    </row>
    <row r="1820" spans="1:1" x14ac:dyDescent="0.35">
      <c r="A1820" s="3" t="s">
        <v>5511</v>
      </c>
    </row>
    <row r="1821" spans="1:1" x14ac:dyDescent="0.35">
      <c r="A1821"/>
    </row>
    <row r="1822" spans="1:1" ht="17.5" x14ac:dyDescent="0.35">
      <c r="A1822" s="21" t="s">
        <v>5025</v>
      </c>
    </row>
    <row r="1823" spans="1:1" x14ac:dyDescent="0.35">
      <c r="A1823" s="2"/>
    </row>
    <row r="1824" spans="1:1" x14ac:dyDescent="0.35">
      <c r="A1824" s="3" t="s">
        <v>5510</v>
      </c>
    </row>
    <row r="1825" spans="1:1" x14ac:dyDescent="0.35">
      <c r="A1825" s="3" t="s">
        <v>5509</v>
      </c>
    </row>
    <row r="1826" spans="1:1" x14ac:dyDescent="0.35">
      <c r="A1826" s="3" t="s">
        <v>5508</v>
      </c>
    </row>
    <row r="1827" spans="1:1" x14ac:dyDescent="0.35">
      <c r="A1827" s="3" t="s">
        <v>5507</v>
      </c>
    </row>
    <row r="1828" spans="1:1" x14ac:dyDescent="0.35">
      <c r="A1828"/>
    </row>
    <row r="1829" spans="1:1" ht="17.5" x14ac:dyDescent="0.35">
      <c r="A1829" s="21" t="s">
        <v>4280</v>
      </c>
    </row>
    <row r="1830" spans="1:1" x14ac:dyDescent="0.35">
      <c r="A1830" s="2"/>
    </row>
    <row r="1831" spans="1:1" x14ac:dyDescent="0.35">
      <c r="A1831" s="3" t="s">
        <v>5506</v>
      </c>
    </row>
    <row r="1832" spans="1:1" x14ac:dyDescent="0.35">
      <c r="A1832" s="3" t="s">
        <v>5505</v>
      </c>
    </row>
    <row r="1833" spans="1:1" x14ac:dyDescent="0.35">
      <c r="A1833" s="3" t="s">
        <v>5504</v>
      </c>
    </row>
    <row r="1834" spans="1:1" x14ac:dyDescent="0.35">
      <c r="A1834" s="3" t="s">
        <v>5503</v>
      </c>
    </row>
    <row r="1835" spans="1:1" x14ac:dyDescent="0.35">
      <c r="A1835"/>
    </row>
    <row r="1836" spans="1:1" x14ac:dyDescent="0.35">
      <c r="A1836" s="1" t="s">
        <v>5502</v>
      </c>
    </row>
    <row r="1839" spans="1:1" x14ac:dyDescent="0.35">
      <c r="A1839" s="5" t="s">
        <v>5561</v>
      </c>
    </row>
    <row r="1840" spans="1:1" x14ac:dyDescent="0.35">
      <c r="A1840" t="s">
        <v>5562</v>
      </c>
    </row>
    <row r="1841" spans="1:1" x14ac:dyDescent="0.35">
      <c r="A1841"/>
    </row>
    <row r="1842" spans="1:1" x14ac:dyDescent="0.35">
      <c r="A1842" s="1" t="s">
        <v>5563</v>
      </c>
    </row>
    <row r="1843" spans="1:1" x14ac:dyDescent="0.35">
      <c r="A1843" s="2"/>
    </row>
    <row r="1844" spans="1:1" x14ac:dyDescent="0.35">
      <c r="A1844" s="3" t="s">
        <v>5564</v>
      </c>
    </row>
    <row r="1845" spans="1:1" x14ac:dyDescent="0.35">
      <c r="A1845" s="3" t="s">
        <v>5565</v>
      </c>
    </row>
    <row r="1846" spans="1:1" x14ac:dyDescent="0.35">
      <c r="A1846" s="3" t="s">
        <v>5566</v>
      </c>
    </row>
    <row r="1847" spans="1:1" x14ac:dyDescent="0.35">
      <c r="A1847" s="3" t="s">
        <v>5567</v>
      </c>
    </row>
    <row r="1848" spans="1:1" x14ac:dyDescent="0.35">
      <c r="A1848" s="3" t="s">
        <v>5568</v>
      </c>
    </row>
    <row r="1849" spans="1:1" x14ac:dyDescent="0.35">
      <c r="A1849"/>
    </row>
    <row r="1850" spans="1:1" x14ac:dyDescent="0.35">
      <c r="A1850" t="s">
        <v>5569</v>
      </c>
    </row>
    <row r="1851" spans="1:1" x14ac:dyDescent="0.35">
      <c r="A1851"/>
    </row>
    <row r="1852" spans="1:1" x14ac:dyDescent="0.35">
      <c r="A1852" t="s">
        <v>5570</v>
      </c>
    </row>
    <row r="1853" spans="1:1" ht="23.5" x14ac:dyDescent="0.35">
      <c r="A1853" s="19" t="s">
        <v>5594</v>
      </c>
    </row>
    <row r="1854" spans="1:1" x14ac:dyDescent="0.35">
      <c r="A1854"/>
    </row>
    <row r="1855" spans="1:1" ht="17.5" x14ac:dyDescent="0.35">
      <c r="A1855" s="21" t="s">
        <v>5040</v>
      </c>
    </row>
    <row r="1856" spans="1:1" x14ac:dyDescent="0.35">
      <c r="A1856" s="2"/>
    </row>
    <row r="1857" spans="1:1" x14ac:dyDescent="0.35">
      <c r="A1857" s="3" t="s">
        <v>5593</v>
      </c>
    </row>
    <row r="1858" spans="1:1" x14ac:dyDescent="0.35">
      <c r="A1858" s="3" t="s">
        <v>5592</v>
      </c>
    </row>
    <row r="1859" spans="1:1" x14ac:dyDescent="0.35">
      <c r="A1859" s="3" t="s">
        <v>5591</v>
      </c>
    </row>
    <row r="1860" spans="1:1" x14ac:dyDescent="0.35">
      <c r="A1860" s="3" t="s">
        <v>5590</v>
      </c>
    </row>
    <row r="1861" spans="1:1" x14ac:dyDescent="0.35">
      <c r="A1861"/>
    </row>
    <row r="1862" spans="1:1" ht="17.5" x14ac:dyDescent="0.35">
      <c r="A1862" s="21" t="s">
        <v>5035</v>
      </c>
    </row>
    <row r="1863" spans="1:1" x14ac:dyDescent="0.35">
      <c r="A1863" s="2"/>
    </row>
    <row r="1864" spans="1:1" x14ac:dyDescent="0.35">
      <c r="A1864" s="3" t="s">
        <v>5589</v>
      </c>
    </row>
    <row r="1865" spans="1:1" x14ac:dyDescent="0.35">
      <c r="A1865" s="3" t="s">
        <v>5588</v>
      </c>
    </row>
    <row r="1866" spans="1:1" x14ac:dyDescent="0.35">
      <c r="A1866" s="3" t="s">
        <v>5587</v>
      </c>
    </row>
    <row r="1867" spans="1:1" x14ac:dyDescent="0.35">
      <c r="A1867" s="3" t="s">
        <v>5586</v>
      </c>
    </row>
    <row r="1868" spans="1:1" x14ac:dyDescent="0.35">
      <c r="A1868"/>
    </row>
    <row r="1869" spans="1:1" ht="17.5" x14ac:dyDescent="0.35">
      <c r="A1869" s="21" t="s">
        <v>5030</v>
      </c>
    </row>
    <row r="1870" spans="1:1" x14ac:dyDescent="0.35">
      <c r="A1870" s="2"/>
    </row>
    <row r="1871" spans="1:1" x14ac:dyDescent="0.35">
      <c r="A1871" s="3" t="s">
        <v>5585</v>
      </c>
    </row>
    <row r="1872" spans="1:1" x14ac:dyDescent="0.35">
      <c r="A1872" s="3" t="s">
        <v>5584</v>
      </c>
    </row>
    <row r="1873" spans="1:1" x14ac:dyDescent="0.35">
      <c r="A1873" s="3" t="s">
        <v>5583</v>
      </c>
    </row>
    <row r="1874" spans="1:1" x14ac:dyDescent="0.35">
      <c r="A1874" s="3" t="s">
        <v>5582</v>
      </c>
    </row>
    <row r="1875" spans="1:1" x14ac:dyDescent="0.35">
      <c r="A1875" s="3" t="s">
        <v>5581</v>
      </c>
    </row>
    <row r="1876" spans="1:1" x14ac:dyDescent="0.35">
      <c r="A1876" s="3" t="s">
        <v>5580</v>
      </c>
    </row>
    <row r="1877" spans="1:1" x14ac:dyDescent="0.35">
      <c r="A1877"/>
    </row>
    <row r="1878" spans="1:1" ht="17.5" x14ac:dyDescent="0.35">
      <c r="A1878" s="21" t="s">
        <v>5025</v>
      </c>
    </row>
    <row r="1879" spans="1:1" x14ac:dyDescent="0.35">
      <c r="A1879" s="2"/>
    </row>
    <row r="1880" spans="1:1" x14ac:dyDescent="0.35">
      <c r="A1880" s="3" t="s">
        <v>5579</v>
      </c>
    </row>
    <row r="1881" spans="1:1" x14ac:dyDescent="0.35">
      <c r="A1881" s="3" t="s">
        <v>5578</v>
      </c>
    </row>
    <row r="1882" spans="1:1" x14ac:dyDescent="0.35">
      <c r="A1882" s="3" t="s">
        <v>5577</v>
      </c>
    </row>
    <row r="1883" spans="1:1" x14ac:dyDescent="0.35">
      <c r="A1883" s="3" t="s">
        <v>5576</v>
      </c>
    </row>
    <row r="1884" spans="1:1" x14ac:dyDescent="0.35">
      <c r="A1884"/>
    </row>
    <row r="1885" spans="1:1" ht="17.5" x14ac:dyDescent="0.35">
      <c r="A1885" s="21" t="s">
        <v>4280</v>
      </c>
    </row>
    <row r="1886" spans="1:1" x14ac:dyDescent="0.35">
      <c r="A1886" s="2"/>
    </row>
    <row r="1887" spans="1:1" x14ac:dyDescent="0.35">
      <c r="A1887" s="3" t="s">
        <v>5575</v>
      </c>
    </row>
    <row r="1888" spans="1:1" x14ac:dyDescent="0.35">
      <c r="A1888" s="3" t="s">
        <v>5574</v>
      </c>
    </row>
    <row r="1889" spans="1:1" x14ac:dyDescent="0.35">
      <c r="A1889" s="3" t="s">
        <v>5573</v>
      </c>
    </row>
    <row r="1890" spans="1:1" x14ac:dyDescent="0.35">
      <c r="A1890" s="3" t="s">
        <v>5572</v>
      </c>
    </row>
    <row r="1891" spans="1:1" x14ac:dyDescent="0.35">
      <c r="A1891"/>
    </row>
    <row r="1892" spans="1:1" x14ac:dyDescent="0.35">
      <c r="A1892" s="1" t="s">
        <v>5571</v>
      </c>
    </row>
    <row r="1895" spans="1:1" x14ac:dyDescent="0.35">
      <c r="A1895" s="5" t="s">
        <v>5595</v>
      </c>
    </row>
    <row r="1896" spans="1:1" x14ac:dyDescent="0.35">
      <c r="A1896" t="s">
        <v>5651</v>
      </c>
    </row>
    <row r="1897" spans="1:1" x14ac:dyDescent="0.35">
      <c r="A1897"/>
    </row>
    <row r="1898" spans="1:1" x14ac:dyDescent="0.35">
      <c r="A1898" s="1" t="s">
        <v>5652</v>
      </c>
    </row>
    <row r="1899" spans="1:1" x14ac:dyDescent="0.35">
      <c r="A1899"/>
    </row>
    <row r="1900" spans="1:1" x14ac:dyDescent="0.35">
      <c r="A1900" s="1" t="s">
        <v>5653</v>
      </c>
    </row>
    <row r="1901" spans="1:1" x14ac:dyDescent="0.35">
      <c r="A1901"/>
    </row>
    <row r="1902" spans="1:1" x14ac:dyDescent="0.35">
      <c r="A1902" s="1" t="s">
        <v>5654</v>
      </c>
    </row>
    <row r="1903" spans="1:1" x14ac:dyDescent="0.35">
      <c r="A1903"/>
    </row>
    <row r="1904" spans="1:1" x14ac:dyDescent="0.35">
      <c r="A1904" s="1" t="s">
        <v>5655</v>
      </c>
    </row>
    <row r="1905" spans="1:1" x14ac:dyDescent="0.35">
      <c r="A1905"/>
    </row>
    <row r="1906" spans="1:1" x14ac:dyDescent="0.35">
      <c r="A1906" s="1" t="s">
        <v>5656</v>
      </c>
    </row>
    <row r="1907" spans="1:1" x14ac:dyDescent="0.35">
      <c r="A1907"/>
    </row>
    <row r="1908" spans="1:1" x14ac:dyDescent="0.35">
      <c r="A1908" t="s">
        <v>5657</v>
      </c>
    </row>
    <row r="1909" spans="1:1" ht="23.5" x14ac:dyDescent="0.35">
      <c r="A1909" s="19" t="s">
        <v>5683</v>
      </c>
    </row>
    <row r="1910" spans="1:1" x14ac:dyDescent="0.35">
      <c r="A1910"/>
    </row>
    <row r="1911" spans="1:1" ht="17.5" x14ac:dyDescent="0.35">
      <c r="A1911" s="21" t="s">
        <v>5040</v>
      </c>
    </row>
    <row r="1912" spans="1:1" x14ac:dyDescent="0.35">
      <c r="A1912" s="2"/>
    </row>
    <row r="1913" spans="1:1" x14ac:dyDescent="0.35">
      <c r="A1913" s="3" t="s">
        <v>5682</v>
      </c>
    </row>
    <row r="1914" spans="1:1" x14ac:dyDescent="0.35">
      <c r="A1914" s="3" t="s">
        <v>5681</v>
      </c>
    </row>
    <row r="1915" spans="1:1" x14ac:dyDescent="0.35">
      <c r="A1915" s="3" t="s">
        <v>5680</v>
      </c>
    </row>
    <row r="1916" spans="1:1" x14ac:dyDescent="0.35">
      <c r="A1916" s="3" t="s">
        <v>5679</v>
      </c>
    </row>
    <row r="1917" spans="1:1" x14ac:dyDescent="0.35">
      <c r="A1917" s="3" t="s">
        <v>5678</v>
      </c>
    </row>
    <row r="1918" spans="1:1" x14ac:dyDescent="0.35">
      <c r="A1918"/>
    </row>
    <row r="1919" spans="1:1" ht="17.5" x14ac:dyDescent="0.35">
      <c r="A1919" s="21" t="s">
        <v>5035</v>
      </c>
    </row>
    <row r="1920" spans="1:1" x14ac:dyDescent="0.35">
      <c r="A1920" s="2"/>
    </row>
    <row r="1921" spans="1:1" x14ac:dyDescent="0.35">
      <c r="A1921" s="3" t="s">
        <v>5677</v>
      </c>
    </row>
    <row r="1922" spans="1:1" x14ac:dyDescent="0.35">
      <c r="A1922" s="3" t="s">
        <v>5676</v>
      </c>
    </row>
    <row r="1923" spans="1:1" x14ac:dyDescent="0.35">
      <c r="A1923" s="3" t="s">
        <v>5675</v>
      </c>
    </row>
    <row r="1924" spans="1:1" x14ac:dyDescent="0.35">
      <c r="A1924" s="3" t="s">
        <v>5674</v>
      </c>
    </row>
    <row r="1925" spans="1:1" x14ac:dyDescent="0.35">
      <c r="A1925"/>
    </row>
    <row r="1926" spans="1:1" ht="17.5" x14ac:dyDescent="0.35">
      <c r="A1926" s="21" t="s">
        <v>5030</v>
      </c>
    </row>
    <row r="1927" spans="1:1" x14ac:dyDescent="0.35">
      <c r="A1927" s="2"/>
    </row>
    <row r="1928" spans="1:1" x14ac:dyDescent="0.35">
      <c r="A1928" s="3" t="s">
        <v>5673</v>
      </c>
    </row>
    <row r="1929" spans="1:1" x14ac:dyDescent="0.35">
      <c r="A1929" s="3" t="s">
        <v>5672</v>
      </c>
    </row>
    <row r="1930" spans="1:1" x14ac:dyDescent="0.35">
      <c r="A1930" s="3" t="s">
        <v>5671</v>
      </c>
    </row>
    <row r="1931" spans="1:1" x14ac:dyDescent="0.35">
      <c r="A1931" s="3" t="s">
        <v>5670</v>
      </c>
    </row>
    <row r="1932" spans="1:1" x14ac:dyDescent="0.35">
      <c r="A1932" s="3" t="s">
        <v>5669</v>
      </c>
    </row>
    <row r="1933" spans="1:1" x14ac:dyDescent="0.35">
      <c r="A1933" s="3" t="s">
        <v>5668</v>
      </c>
    </row>
    <row r="1934" spans="1:1" x14ac:dyDescent="0.35">
      <c r="A1934"/>
    </row>
    <row r="1935" spans="1:1" ht="17.5" x14ac:dyDescent="0.35">
      <c r="A1935" s="21" t="s">
        <v>5025</v>
      </c>
    </row>
    <row r="1936" spans="1:1" x14ac:dyDescent="0.35">
      <c r="A1936" s="2"/>
    </row>
    <row r="1937" spans="1:1" x14ac:dyDescent="0.35">
      <c r="A1937" s="3" t="s">
        <v>5667</v>
      </c>
    </row>
    <row r="1938" spans="1:1" x14ac:dyDescent="0.35">
      <c r="A1938" s="3" t="s">
        <v>5666</v>
      </c>
    </row>
    <row r="1939" spans="1:1" x14ac:dyDescent="0.35">
      <c r="A1939" s="3" t="s">
        <v>5665</v>
      </c>
    </row>
    <row r="1940" spans="1:1" x14ac:dyDescent="0.35">
      <c r="A1940" s="3" t="s">
        <v>5664</v>
      </c>
    </row>
    <row r="1941" spans="1:1" x14ac:dyDescent="0.35">
      <c r="A1941"/>
    </row>
    <row r="1942" spans="1:1" ht="17.5" x14ac:dyDescent="0.35">
      <c r="A1942" s="21" t="s">
        <v>5663</v>
      </c>
    </row>
    <row r="1943" spans="1:1" x14ac:dyDescent="0.35">
      <c r="A1943" s="2"/>
    </row>
    <row r="1944" spans="1:1" x14ac:dyDescent="0.35">
      <c r="A1944" s="3" t="s">
        <v>5662</v>
      </c>
    </row>
    <row r="1945" spans="1:1" x14ac:dyDescent="0.35">
      <c r="A1945" s="3" t="s">
        <v>5661</v>
      </c>
    </row>
    <row r="1946" spans="1:1" x14ac:dyDescent="0.35">
      <c r="A1946" s="3" t="s">
        <v>5660</v>
      </c>
    </row>
    <row r="1947" spans="1:1" x14ac:dyDescent="0.35">
      <c r="A1947" s="3" t="s">
        <v>5659</v>
      </c>
    </row>
    <row r="1948" spans="1:1" x14ac:dyDescent="0.35">
      <c r="A1948"/>
    </row>
    <row r="1949" spans="1:1" x14ac:dyDescent="0.35">
      <c r="A1949" s="1" t="s">
        <v>5658</v>
      </c>
    </row>
    <row r="1952" spans="1:1" x14ac:dyDescent="0.35">
      <c r="A1952" s="5" t="s">
        <v>5684</v>
      </c>
    </row>
    <row r="1953" spans="1:1" x14ac:dyDescent="0.35">
      <c r="A1953" t="s">
        <v>5739</v>
      </c>
    </row>
    <row r="1954" spans="1:1" x14ac:dyDescent="0.35">
      <c r="A1954"/>
    </row>
    <row r="1955" spans="1:1" x14ac:dyDescent="0.35">
      <c r="A1955" s="1" t="s">
        <v>5740</v>
      </c>
    </row>
    <row r="1956" spans="1:1" x14ac:dyDescent="0.35">
      <c r="A1956" s="2"/>
    </row>
    <row r="1957" spans="1:1" x14ac:dyDescent="0.35">
      <c r="A1957" s="3" t="s">
        <v>5741</v>
      </c>
    </row>
    <row r="1958" spans="1:1" x14ac:dyDescent="0.35">
      <c r="A1958" s="3" t="s">
        <v>5742</v>
      </c>
    </row>
    <row r="1959" spans="1:1" x14ac:dyDescent="0.35">
      <c r="A1959" s="3" t="s">
        <v>5743</v>
      </c>
    </row>
    <row r="1960" spans="1:1" x14ac:dyDescent="0.35">
      <c r="A1960" s="3" t="s">
        <v>5744</v>
      </c>
    </row>
    <row r="1961" spans="1:1" x14ac:dyDescent="0.35">
      <c r="A1961" s="3" t="s">
        <v>5745</v>
      </c>
    </row>
    <row r="1962" spans="1:1" x14ac:dyDescent="0.35">
      <c r="A1962"/>
    </row>
    <row r="1963" spans="1:1" x14ac:dyDescent="0.35">
      <c r="A1963" t="s">
        <v>5746</v>
      </c>
    </row>
    <row r="1964" spans="1:1" ht="23.5" x14ac:dyDescent="0.35">
      <c r="A1964" s="19" t="s">
        <v>5772</v>
      </c>
    </row>
    <row r="1965" spans="1:1" x14ac:dyDescent="0.35">
      <c r="A1965"/>
    </row>
    <row r="1966" spans="1:1" ht="17.5" x14ac:dyDescent="0.35">
      <c r="A1966" s="21" t="s">
        <v>5040</v>
      </c>
    </row>
    <row r="1967" spans="1:1" x14ac:dyDescent="0.35">
      <c r="A1967" s="2"/>
    </row>
    <row r="1968" spans="1:1" x14ac:dyDescent="0.35">
      <c r="A1968" s="3" t="s">
        <v>5771</v>
      </c>
    </row>
    <row r="1969" spans="1:1" x14ac:dyDescent="0.35">
      <c r="A1969" s="3" t="s">
        <v>5770</v>
      </c>
    </row>
    <row r="1970" spans="1:1" x14ac:dyDescent="0.35">
      <c r="A1970" s="3" t="s">
        <v>5769</v>
      </c>
    </row>
    <row r="1971" spans="1:1" x14ac:dyDescent="0.35">
      <c r="A1971" s="3" t="s">
        <v>5768</v>
      </c>
    </row>
    <row r="1972" spans="1:1" x14ac:dyDescent="0.35">
      <c r="A1972" s="3" t="s">
        <v>5767</v>
      </c>
    </row>
    <row r="1973" spans="1:1" x14ac:dyDescent="0.35">
      <c r="A1973"/>
    </row>
    <row r="1974" spans="1:1" ht="17.5" x14ac:dyDescent="0.35">
      <c r="A1974" s="21" t="s">
        <v>5035</v>
      </c>
    </row>
    <row r="1975" spans="1:1" x14ac:dyDescent="0.35">
      <c r="A1975" s="2"/>
    </row>
    <row r="1976" spans="1:1" x14ac:dyDescent="0.35">
      <c r="A1976" s="3" t="s">
        <v>5766</v>
      </c>
    </row>
    <row r="1977" spans="1:1" x14ac:dyDescent="0.35">
      <c r="A1977" s="3" t="s">
        <v>5765</v>
      </c>
    </row>
    <row r="1978" spans="1:1" x14ac:dyDescent="0.35">
      <c r="A1978" s="3" t="s">
        <v>5764</v>
      </c>
    </row>
    <row r="1979" spans="1:1" x14ac:dyDescent="0.35">
      <c r="A1979" s="3" t="s">
        <v>5763</v>
      </c>
    </row>
    <row r="1980" spans="1:1" x14ac:dyDescent="0.35">
      <c r="A1980"/>
    </row>
    <row r="1981" spans="1:1" ht="17.5" x14ac:dyDescent="0.35">
      <c r="A1981" s="21" t="s">
        <v>5030</v>
      </c>
    </row>
    <row r="1982" spans="1:1" x14ac:dyDescent="0.35">
      <c r="A1982" s="2"/>
    </row>
    <row r="1983" spans="1:1" x14ac:dyDescent="0.35">
      <c r="A1983" s="3" t="s">
        <v>5762</v>
      </c>
    </row>
    <row r="1984" spans="1:1" x14ac:dyDescent="0.35">
      <c r="A1984" s="3" t="s">
        <v>5761</v>
      </c>
    </row>
    <row r="1985" spans="1:1" x14ac:dyDescent="0.35">
      <c r="A1985" s="3" t="s">
        <v>5760</v>
      </c>
    </row>
    <row r="1986" spans="1:1" x14ac:dyDescent="0.35">
      <c r="A1986" s="3" t="s">
        <v>5759</v>
      </c>
    </row>
    <row r="1987" spans="1:1" x14ac:dyDescent="0.35">
      <c r="A1987" s="3" t="s">
        <v>5758</v>
      </c>
    </row>
    <row r="1988" spans="1:1" x14ac:dyDescent="0.35">
      <c r="A1988" s="3" t="s">
        <v>5757</v>
      </c>
    </row>
    <row r="1989" spans="1:1" x14ac:dyDescent="0.35">
      <c r="A1989"/>
    </row>
    <row r="1990" spans="1:1" ht="17.5" x14ac:dyDescent="0.35">
      <c r="A1990" s="21" t="s">
        <v>5025</v>
      </c>
    </row>
    <row r="1991" spans="1:1" x14ac:dyDescent="0.35">
      <c r="A1991" s="2"/>
    </row>
    <row r="1992" spans="1:1" x14ac:dyDescent="0.35">
      <c r="A1992" s="3" t="s">
        <v>5756</v>
      </c>
    </row>
    <row r="1993" spans="1:1" x14ac:dyDescent="0.35">
      <c r="A1993" s="3" t="s">
        <v>5755</v>
      </c>
    </row>
    <row r="1994" spans="1:1" x14ac:dyDescent="0.35">
      <c r="A1994" s="3" t="s">
        <v>5754</v>
      </c>
    </row>
    <row r="1995" spans="1:1" x14ac:dyDescent="0.35">
      <c r="A1995" s="3" t="s">
        <v>5753</v>
      </c>
    </row>
    <row r="1996" spans="1:1" x14ac:dyDescent="0.35">
      <c r="A1996" s="3" t="s">
        <v>5752</v>
      </c>
    </row>
    <row r="1997" spans="1:1" x14ac:dyDescent="0.35">
      <c r="A1997"/>
    </row>
    <row r="1998" spans="1:1" ht="17.5" x14ac:dyDescent="0.35">
      <c r="A1998" s="21" t="s">
        <v>5087</v>
      </c>
    </row>
    <row r="1999" spans="1:1" x14ac:dyDescent="0.35">
      <c r="A1999" s="2"/>
    </row>
    <row r="2000" spans="1:1" x14ac:dyDescent="0.35">
      <c r="A2000" s="3" t="s">
        <v>5751</v>
      </c>
    </row>
    <row r="2001" spans="1:6" x14ac:dyDescent="0.35">
      <c r="A2001" s="3" t="s">
        <v>5750</v>
      </c>
    </row>
    <row r="2002" spans="1:6" x14ac:dyDescent="0.35">
      <c r="A2002" s="3" t="s">
        <v>5749</v>
      </c>
    </row>
    <row r="2003" spans="1:6" x14ac:dyDescent="0.35">
      <c r="A2003" s="3" t="s">
        <v>5748</v>
      </c>
    </row>
    <row r="2004" spans="1:6" x14ac:dyDescent="0.35">
      <c r="A2004"/>
    </row>
    <row r="2005" spans="1:6" x14ac:dyDescent="0.35">
      <c r="A2005" s="1" t="s">
        <v>5747</v>
      </c>
    </row>
    <row r="2008" spans="1:6" x14ac:dyDescent="0.35">
      <c r="A2008" s="5" t="s">
        <v>5813</v>
      </c>
    </row>
    <row r="2009" spans="1:6" x14ac:dyDescent="0.35">
      <c r="A2009" t="s">
        <v>5814</v>
      </c>
    </row>
    <row r="2010" spans="1:6" x14ac:dyDescent="0.35">
      <c r="A2010"/>
    </row>
    <row r="2011" spans="1:6" x14ac:dyDescent="0.35">
      <c r="A2011" s="1" t="s">
        <v>5815</v>
      </c>
    </row>
    <row r="2012" spans="1:6" x14ac:dyDescent="0.35">
      <c r="A2012" s="2"/>
    </row>
    <row r="2013" spans="1:6" x14ac:dyDescent="0.35">
      <c r="A2013" s="3" t="s">
        <v>5816</v>
      </c>
    </row>
    <row r="2014" spans="1:6" x14ac:dyDescent="0.35">
      <c r="A2014" s="3" t="s">
        <v>5817</v>
      </c>
      <c r="B2014"/>
      <c r="C2014"/>
      <c r="D2014"/>
      <c r="E2014"/>
      <c r="F2014"/>
    </row>
    <row r="2015" spans="1:6" x14ac:dyDescent="0.35">
      <c r="A2015" s="3" t="s">
        <v>5818</v>
      </c>
      <c r="B2015"/>
      <c r="C2015"/>
      <c r="D2015"/>
      <c r="E2015"/>
      <c r="F2015"/>
    </row>
    <row r="2016" spans="1:6" x14ac:dyDescent="0.35">
      <c r="A2016" s="3" t="s">
        <v>5819</v>
      </c>
      <c r="B2016"/>
      <c r="C2016"/>
      <c r="D2016"/>
      <c r="E2016"/>
      <c r="F2016"/>
    </row>
    <row r="2017" spans="1:6" x14ac:dyDescent="0.35">
      <c r="A2017" s="3" t="s">
        <v>5820</v>
      </c>
      <c r="B2017"/>
      <c r="C2017"/>
      <c r="D2017"/>
      <c r="E2017"/>
      <c r="F2017"/>
    </row>
    <row r="2018" spans="1:6" x14ac:dyDescent="0.35">
      <c r="A2018"/>
      <c r="B2018"/>
      <c r="C2018"/>
      <c r="D2018"/>
      <c r="E2018"/>
      <c r="F2018"/>
    </row>
    <row r="2019" spans="1:6" x14ac:dyDescent="0.35">
      <c r="A2019" s="1" t="s">
        <v>5821</v>
      </c>
      <c r="B2019"/>
      <c r="C2019"/>
      <c r="D2019"/>
      <c r="E2019"/>
      <c r="F2019"/>
    </row>
    <row r="2020" spans="1:6" x14ac:dyDescent="0.35">
      <c r="A2020" s="2"/>
      <c r="B2020"/>
      <c r="C2020"/>
      <c r="D2020"/>
      <c r="E2020"/>
      <c r="F2020"/>
    </row>
    <row r="2021" spans="1:6" x14ac:dyDescent="0.35">
      <c r="A2021" s="2" t="s">
        <v>5822</v>
      </c>
      <c r="B2021"/>
      <c r="C2021"/>
      <c r="D2021"/>
      <c r="E2021"/>
      <c r="F2021"/>
    </row>
    <row r="2022" spans="1:6" x14ac:dyDescent="0.35">
      <c r="A2022" s="2" t="s">
        <v>5823</v>
      </c>
      <c r="B2022"/>
      <c r="C2022"/>
      <c r="D2022"/>
      <c r="E2022"/>
      <c r="F2022"/>
    </row>
    <row r="2023" spans="1:6" x14ac:dyDescent="0.35">
      <c r="A2023" s="2" t="s">
        <v>5824</v>
      </c>
      <c r="B2023"/>
      <c r="C2023"/>
      <c r="D2023"/>
      <c r="E2023"/>
      <c r="F2023"/>
    </row>
    <row r="2024" spans="1:6" x14ac:dyDescent="0.35">
      <c r="A2024" s="2" t="s">
        <v>5825</v>
      </c>
      <c r="B2024"/>
      <c r="C2024"/>
      <c r="D2024"/>
      <c r="E2024"/>
      <c r="F2024"/>
    </row>
    <row r="2025" spans="1:6" x14ac:dyDescent="0.35">
      <c r="A2025"/>
      <c r="B2025"/>
      <c r="C2025"/>
      <c r="D2025"/>
      <c r="E2025"/>
      <c r="F2025"/>
    </row>
    <row r="2026" spans="1:6" x14ac:dyDescent="0.35">
      <c r="A2026" t="s">
        <v>5826</v>
      </c>
      <c r="B2026"/>
      <c r="C2026"/>
      <c r="D2026"/>
      <c r="E2026"/>
      <c r="F2026"/>
    </row>
    <row r="2027" spans="1:6" ht="23.5" x14ac:dyDescent="0.35">
      <c r="A2027" s="19" t="s">
        <v>5854</v>
      </c>
      <c r="B2027"/>
      <c r="C2027"/>
      <c r="D2027"/>
      <c r="E2027"/>
      <c r="F2027"/>
    </row>
    <row r="2028" spans="1:6" x14ac:dyDescent="0.35">
      <c r="A2028"/>
      <c r="B2028"/>
      <c r="C2028"/>
      <c r="D2028"/>
      <c r="E2028"/>
      <c r="F2028"/>
    </row>
    <row r="2029" spans="1:6" ht="17.5" x14ac:dyDescent="0.35">
      <c r="A2029" s="21" t="s">
        <v>5040</v>
      </c>
      <c r="B2029"/>
      <c r="C2029"/>
      <c r="D2029"/>
      <c r="E2029"/>
      <c r="F2029"/>
    </row>
    <row r="2030" spans="1:6" x14ac:dyDescent="0.35">
      <c r="A2030" s="2"/>
      <c r="B2030"/>
      <c r="C2030"/>
      <c r="D2030"/>
      <c r="E2030"/>
      <c r="F2030"/>
    </row>
    <row r="2031" spans="1:6" x14ac:dyDescent="0.35">
      <c r="A2031" s="3" t="s">
        <v>5853</v>
      </c>
      <c r="B2031"/>
      <c r="C2031"/>
      <c r="D2031"/>
      <c r="E2031"/>
      <c r="F2031"/>
    </row>
    <row r="2032" spans="1:6" x14ac:dyDescent="0.35">
      <c r="A2032" s="3" t="s">
        <v>5852</v>
      </c>
      <c r="B2032"/>
      <c r="C2032"/>
      <c r="D2032"/>
      <c r="E2032"/>
      <c r="F2032"/>
    </row>
    <row r="2033" spans="1:6" x14ac:dyDescent="0.35">
      <c r="A2033" s="3" t="s">
        <v>5851</v>
      </c>
      <c r="B2033"/>
      <c r="C2033"/>
      <c r="D2033"/>
      <c r="E2033"/>
      <c r="F2033"/>
    </row>
    <row r="2034" spans="1:6" x14ac:dyDescent="0.35">
      <c r="A2034" s="3" t="s">
        <v>5850</v>
      </c>
      <c r="B2034"/>
      <c r="C2034"/>
      <c r="D2034"/>
      <c r="E2034"/>
      <c r="F2034"/>
    </row>
    <row r="2035" spans="1:6" x14ac:dyDescent="0.35">
      <c r="A2035" s="3" t="s">
        <v>5849</v>
      </c>
      <c r="B2035"/>
      <c r="C2035"/>
      <c r="D2035"/>
      <c r="E2035"/>
      <c r="F2035"/>
    </row>
    <row r="2036" spans="1:6" x14ac:dyDescent="0.35">
      <c r="A2036"/>
      <c r="B2036"/>
      <c r="C2036"/>
      <c r="D2036"/>
      <c r="E2036"/>
      <c r="F2036"/>
    </row>
    <row r="2037" spans="1:6" ht="17.5" x14ac:dyDescent="0.35">
      <c r="A2037" s="21" t="s">
        <v>5035</v>
      </c>
      <c r="B2037"/>
      <c r="C2037"/>
      <c r="D2037"/>
      <c r="E2037"/>
      <c r="F2037"/>
    </row>
    <row r="2038" spans="1:6" x14ac:dyDescent="0.35">
      <c r="A2038" s="2"/>
      <c r="B2038"/>
      <c r="C2038"/>
      <c r="D2038"/>
      <c r="E2038"/>
      <c r="F2038"/>
    </row>
    <row r="2039" spans="1:6" x14ac:dyDescent="0.35">
      <c r="A2039" s="3" t="s">
        <v>5848</v>
      </c>
      <c r="B2039"/>
      <c r="C2039"/>
      <c r="D2039"/>
      <c r="E2039"/>
      <c r="F2039"/>
    </row>
    <row r="2040" spans="1:6" x14ac:dyDescent="0.35">
      <c r="A2040" s="3" t="s">
        <v>5847</v>
      </c>
      <c r="B2040"/>
      <c r="C2040"/>
      <c r="D2040"/>
      <c r="E2040"/>
      <c r="F2040"/>
    </row>
    <row r="2041" spans="1:6" x14ac:dyDescent="0.35">
      <c r="A2041" s="3" t="s">
        <v>5846</v>
      </c>
      <c r="B2041"/>
      <c r="C2041"/>
      <c r="D2041"/>
      <c r="E2041"/>
      <c r="F2041"/>
    </row>
    <row r="2042" spans="1:6" x14ac:dyDescent="0.35">
      <c r="A2042" s="3" t="s">
        <v>5845</v>
      </c>
      <c r="B2042"/>
      <c r="C2042"/>
      <c r="D2042"/>
      <c r="E2042"/>
      <c r="F2042"/>
    </row>
    <row r="2043" spans="1:6" x14ac:dyDescent="0.35">
      <c r="A2043" s="3" t="s">
        <v>5844</v>
      </c>
      <c r="B2043"/>
      <c r="C2043"/>
      <c r="D2043"/>
      <c r="E2043"/>
      <c r="F2043"/>
    </row>
    <row r="2044" spans="1:6" x14ac:dyDescent="0.35">
      <c r="A2044"/>
      <c r="B2044"/>
      <c r="C2044"/>
      <c r="D2044"/>
      <c r="E2044"/>
      <c r="F2044"/>
    </row>
    <row r="2045" spans="1:6" ht="17.5" x14ac:dyDescent="0.35">
      <c r="A2045" s="21" t="s">
        <v>5030</v>
      </c>
      <c r="B2045"/>
      <c r="C2045"/>
      <c r="D2045"/>
      <c r="E2045"/>
      <c r="F2045"/>
    </row>
    <row r="2046" spans="1:6" x14ac:dyDescent="0.35">
      <c r="A2046" s="2"/>
      <c r="B2046"/>
      <c r="C2046"/>
      <c r="D2046"/>
      <c r="E2046"/>
      <c r="F2046"/>
    </row>
    <row r="2047" spans="1:6" x14ac:dyDescent="0.35">
      <c r="A2047" s="3" t="s">
        <v>5843</v>
      </c>
      <c r="B2047"/>
      <c r="C2047"/>
      <c r="D2047"/>
      <c r="E2047"/>
      <c r="F2047"/>
    </row>
    <row r="2048" spans="1:6" x14ac:dyDescent="0.35">
      <c r="A2048" s="3" t="s">
        <v>5817</v>
      </c>
      <c r="B2048"/>
      <c r="C2048"/>
      <c r="D2048"/>
      <c r="E2048"/>
      <c r="F2048"/>
    </row>
    <row r="2049" spans="1:6" x14ac:dyDescent="0.35">
      <c r="A2049" s="3" t="s">
        <v>5842</v>
      </c>
      <c r="B2049"/>
      <c r="C2049"/>
      <c r="D2049"/>
      <c r="E2049"/>
      <c r="F2049"/>
    </row>
    <row r="2050" spans="1:6" x14ac:dyDescent="0.35">
      <c r="A2050" s="3" t="s">
        <v>5841</v>
      </c>
      <c r="B2050"/>
      <c r="C2050"/>
      <c r="D2050"/>
      <c r="E2050"/>
      <c r="F2050"/>
    </row>
    <row r="2051" spans="1:6" x14ac:dyDescent="0.35">
      <c r="A2051" s="3" t="s">
        <v>5840</v>
      </c>
      <c r="B2051"/>
      <c r="C2051"/>
      <c r="D2051"/>
      <c r="E2051"/>
      <c r="F2051"/>
    </row>
    <row r="2052" spans="1:6" x14ac:dyDescent="0.35">
      <c r="A2052" s="3" t="s">
        <v>5839</v>
      </c>
      <c r="B2052"/>
      <c r="C2052"/>
      <c r="D2052"/>
      <c r="E2052"/>
      <c r="F2052"/>
    </row>
    <row r="2053" spans="1:6" x14ac:dyDescent="0.35">
      <c r="A2053"/>
      <c r="B2053"/>
      <c r="C2053"/>
      <c r="D2053"/>
      <c r="E2053"/>
      <c r="F2053"/>
    </row>
    <row r="2054" spans="1:6" ht="17.5" x14ac:dyDescent="0.35">
      <c r="A2054" s="21" t="s">
        <v>5025</v>
      </c>
      <c r="B2054"/>
      <c r="C2054"/>
      <c r="D2054"/>
      <c r="E2054"/>
      <c r="F2054"/>
    </row>
    <row r="2055" spans="1:6" x14ac:dyDescent="0.35">
      <c r="A2055" s="2"/>
      <c r="B2055"/>
      <c r="C2055"/>
      <c r="D2055"/>
      <c r="E2055"/>
      <c r="F2055"/>
    </row>
    <row r="2056" spans="1:6" x14ac:dyDescent="0.35">
      <c r="A2056" s="3" t="s">
        <v>5838</v>
      </c>
      <c r="B2056"/>
      <c r="C2056"/>
      <c r="D2056"/>
      <c r="E2056"/>
      <c r="F2056"/>
    </row>
    <row r="2057" spans="1:6" x14ac:dyDescent="0.35">
      <c r="A2057" s="3" t="s">
        <v>5837</v>
      </c>
      <c r="B2057"/>
      <c r="C2057"/>
      <c r="D2057"/>
      <c r="E2057"/>
      <c r="F2057"/>
    </row>
    <row r="2058" spans="1:6" x14ac:dyDescent="0.35">
      <c r="A2058" s="3" t="s">
        <v>5836</v>
      </c>
    </row>
    <row r="2059" spans="1:6" x14ac:dyDescent="0.35">
      <c r="A2059" s="3" t="s">
        <v>5835</v>
      </c>
    </row>
    <row r="2060" spans="1:6" x14ac:dyDescent="0.35">
      <c r="A2060" s="3" t="s">
        <v>5834</v>
      </c>
    </row>
    <row r="2061" spans="1:6" x14ac:dyDescent="0.35">
      <c r="A2061"/>
    </row>
    <row r="2062" spans="1:6" ht="17.5" x14ac:dyDescent="0.35">
      <c r="A2062" s="21" t="s">
        <v>5833</v>
      </c>
    </row>
    <row r="2063" spans="1:6" x14ac:dyDescent="0.35">
      <c r="A2063" s="2"/>
    </row>
    <row r="2064" spans="1:6" x14ac:dyDescent="0.35">
      <c r="A2064" s="3" t="s">
        <v>5832</v>
      </c>
    </row>
    <row r="2065" spans="1:1" x14ac:dyDescent="0.35">
      <c r="A2065" s="3" t="s">
        <v>5831</v>
      </c>
    </row>
    <row r="2066" spans="1:1" x14ac:dyDescent="0.35">
      <c r="A2066" s="3" t="s">
        <v>5830</v>
      </c>
    </row>
    <row r="2067" spans="1:1" x14ac:dyDescent="0.35">
      <c r="A2067" s="3" t="s">
        <v>5829</v>
      </c>
    </row>
    <row r="2068" spans="1:1" x14ac:dyDescent="0.35">
      <c r="A2068" s="3" t="s">
        <v>5828</v>
      </c>
    </row>
    <row r="2069" spans="1:1" x14ac:dyDescent="0.35">
      <c r="A2069"/>
    </row>
    <row r="2070" spans="1:1" x14ac:dyDescent="0.35">
      <c r="A2070" s="1" t="s">
        <v>5827</v>
      </c>
    </row>
    <row r="2073" spans="1:1" x14ac:dyDescent="0.35">
      <c r="A2073" s="5" t="s">
        <v>5855</v>
      </c>
    </row>
    <row r="2074" spans="1:1" x14ac:dyDescent="0.35">
      <c r="A2074" t="s">
        <v>5929</v>
      </c>
    </row>
    <row r="2075" spans="1:1" x14ac:dyDescent="0.35">
      <c r="A2075"/>
    </row>
    <row r="2076" spans="1:1" x14ac:dyDescent="0.35">
      <c r="A2076" s="1" t="s">
        <v>5930</v>
      </c>
    </row>
    <row r="2077" spans="1:1" x14ac:dyDescent="0.35">
      <c r="A2077" s="2"/>
    </row>
    <row r="2078" spans="1:1" x14ac:dyDescent="0.35">
      <c r="A2078" s="3" t="s">
        <v>5931</v>
      </c>
    </row>
    <row r="2079" spans="1:1" x14ac:dyDescent="0.35">
      <c r="A2079" s="3" t="s">
        <v>5932</v>
      </c>
    </row>
    <row r="2080" spans="1:1" x14ac:dyDescent="0.35">
      <c r="A2080" s="3" t="s">
        <v>5933</v>
      </c>
    </row>
    <row r="2081" spans="1:1" x14ac:dyDescent="0.35">
      <c r="A2081" s="3" t="s">
        <v>5934</v>
      </c>
    </row>
    <row r="2082" spans="1:1" x14ac:dyDescent="0.35">
      <c r="A2082" s="3" t="s">
        <v>5935</v>
      </c>
    </row>
    <row r="2083" spans="1:1" x14ac:dyDescent="0.35">
      <c r="A2083"/>
    </row>
    <row r="2084" spans="1:1" x14ac:dyDescent="0.35">
      <c r="A2084" s="1" t="s">
        <v>5936</v>
      </c>
    </row>
    <row r="2085" spans="1:1" x14ac:dyDescent="0.35">
      <c r="A2085"/>
    </row>
    <row r="2086" spans="1:1" x14ac:dyDescent="0.35">
      <c r="A2086" t="s">
        <v>5937</v>
      </c>
    </row>
    <row r="2087" spans="1:1" ht="23.5" x14ac:dyDescent="0.35">
      <c r="A2087" s="19" t="s">
        <v>5960</v>
      </c>
    </row>
    <row r="2088" spans="1:1" x14ac:dyDescent="0.35">
      <c r="A2088"/>
    </row>
    <row r="2089" spans="1:1" ht="17.5" x14ac:dyDescent="0.35">
      <c r="A2089" s="21" t="s">
        <v>5040</v>
      </c>
    </row>
    <row r="2090" spans="1:1" x14ac:dyDescent="0.35">
      <c r="A2090" s="2"/>
    </row>
    <row r="2091" spans="1:1" x14ac:dyDescent="0.35">
      <c r="A2091" s="3" t="s">
        <v>5959</v>
      </c>
    </row>
    <row r="2092" spans="1:1" x14ac:dyDescent="0.35">
      <c r="A2092" s="3" t="s">
        <v>5958</v>
      </c>
    </row>
    <row r="2093" spans="1:1" x14ac:dyDescent="0.35">
      <c r="A2093" s="3" t="s">
        <v>5957</v>
      </c>
    </row>
    <row r="2094" spans="1:1" x14ac:dyDescent="0.35">
      <c r="A2094" s="3" t="s">
        <v>5956</v>
      </c>
    </row>
    <row r="2095" spans="1:1" x14ac:dyDescent="0.35">
      <c r="A2095"/>
    </row>
    <row r="2096" spans="1:1" ht="17.5" x14ac:dyDescent="0.35">
      <c r="A2096" s="21" t="s">
        <v>5035</v>
      </c>
    </row>
    <row r="2097" spans="1:1" x14ac:dyDescent="0.35">
      <c r="A2097" s="2"/>
    </row>
    <row r="2098" spans="1:1" x14ac:dyDescent="0.35">
      <c r="A2098" s="3" t="s">
        <v>5955</v>
      </c>
    </row>
    <row r="2099" spans="1:1" x14ac:dyDescent="0.35">
      <c r="A2099" s="3" t="s">
        <v>5954</v>
      </c>
    </row>
    <row r="2100" spans="1:1" x14ac:dyDescent="0.35">
      <c r="A2100" s="3" t="s">
        <v>5953</v>
      </c>
    </row>
    <row r="2101" spans="1:1" x14ac:dyDescent="0.35">
      <c r="A2101" s="3" t="s">
        <v>5952</v>
      </c>
    </row>
    <row r="2102" spans="1:1" x14ac:dyDescent="0.35">
      <c r="A2102"/>
    </row>
    <row r="2103" spans="1:1" ht="17.5" x14ac:dyDescent="0.35">
      <c r="A2103" s="21" t="s">
        <v>5030</v>
      </c>
    </row>
    <row r="2104" spans="1:1" x14ac:dyDescent="0.35">
      <c r="A2104" s="2"/>
    </row>
    <row r="2105" spans="1:1" x14ac:dyDescent="0.35">
      <c r="A2105" s="3" t="s">
        <v>5951</v>
      </c>
    </row>
    <row r="2106" spans="1:1" x14ac:dyDescent="0.35">
      <c r="A2106" s="3" t="s">
        <v>5950</v>
      </c>
    </row>
    <row r="2107" spans="1:1" x14ac:dyDescent="0.35">
      <c r="A2107" s="3" t="s">
        <v>5949</v>
      </c>
    </row>
    <row r="2108" spans="1:1" x14ac:dyDescent="0.35">
      <c r="A2108" s="3" t="s">
        <v>5948</v>
      </c>
    </row>
    <row r="2109" spans="1:1" x14ac:dyDescent="0.35">
      <c r="A2109" s="3" t="s">
        <v>5947</v>
      </c>
    </row>
    <row r="2110" spans="1:1" x14ac:dyDescent="0.35">
      <c r="A2110"/>
    </row>
    <row r="2111" spans="1:1" ht="17.5" x14ac:dyDescent="0.35">
      <c r="A2111" s="21" t="s">
        <v>5025</v>
      </c>
    </row>
    <row r="2112" spans="1:1" x14ac:dyDescent="0.35">
      <c r="A2112" s="2"/>
    </row>
    <row r="2113" spans="1:1" x14ac:dyDescent="0.35">
      <c r="A2113" s="3" t="s">
        <v>5946</v>
      </c>
    </row>
    <row r="2114" spans="1:1" x14ac:dyDescent="0.35">
      <c r="A2114" s="3" t="s">
        <v>5945</v>
      </c>
    </row>
    <row r="2115" spans="1:1" x14ac:dyDescent="0.35">
      <c r="A2115" s="3" t="s">
        <v>5944</v>
      </c>
    </row>
    <row r="2116" spans="1:1" x14ac:dyDescent="0.35">
      <c r="A2116" s="3" t="s">
        <v>5943</v>
      </c>
    </row>
    <row r="2117" spans="1:1" x14ac:dyDescent="0.35">
      <c r="A2117"/>
    </row>
    <row r="2118" spans="1:1" ht="17.5" x14ac:dyDescent="0.35">
      <c r="A2118" s="21" t="s">
        <v>5087</v>
      </c>
    </row>
    <row r="2119" spans="1:1" x14ac:dyDescent="0.35">
      <c r="A2119" s="2"/>
    </row>
    <row r="2120" spans="1:1" x14ac:dyDescent="0.35">
      <c r="A2120" s="3" t="s">
        <v>5942</v>
      </c>
    </row>
    <row r="2121" spans="1:1" x14ac:dyDescent="0.35">
      <c r="A2121" s="3" t="s">
        <v>5941</v>
      </c>
    </row>
    <row r="2122" spans="1:1" x14ac:dyDescent="0.35">
      <c r="A2122" s="3" t="s">
        <v>5940</v>
      </c>
    </row>
    <row r="2123" spans="1:1" x14ac:dyDescent="0.35">
      <c r="A2123" s="3" t="s">
        <v>5939</v>
      </c>
    </row>
    <row r="2124" spans="1:1" x14ac:dyDescent="0.35">
      <c r="A2124"/>
    </row>
    <row r="2125" spans="1:1" x14ac:dyDescent="0.35">
      <c r="A2125" s="1" t="s">
        <v>5938</v>
      </c>
    </row>
    <row r="2128" spans="1:1" x14ac:dyDescent="0.35">
      <c r="A2128" s="5" t="s">
        <v>5997</v>
      </c>
    </row>
    <row r="2129" spans="1:1" x14ac:dyDescent="0.35">
      <c r="A2129" t="s">
        <v>5998</v>
      </c>
    </row>
    <row r="2130" spans="1:1" x14ac:dyDescent="0.35">
      <c r="A2130"/>
    </row>
    <row r="2131" spans="1:1" x14ac:dyDescent="0.35">
      <c r="A2131" t="s">
        <v>5999</v>
      </c>
    </row>
    <row r="2132" spans="1:1" x14ac:dyDescent="0.35">
      <c r="A2132"/>
    </row>
    <row r="2133" spans="1:1" x14ac:dyDescent="0.35">
      <c r="A2133" s="1" t="s">
        <v>6000</v>
      </c>
    </row>
    <row r="2134" spans="1:1" x14ac:dyDescent="0.35">
      <c r="A2134" s="2"/>
    </row>
    <row r="2135" spans="1:1" x14ac:dyDescent="0.35">
      <c r="A2135" s="3" t="s">
        <v>6001</v>
      </c>
    </row>
    <row r="2136" spans="1:1" x14ac:dyDescent="0.35">
      <c r="A2136" s="3" t="s">
        <v>6002</v>
      </c>
    </row>
    <row r="2137" spans="1:1" x14ac:dyDescent="0.35">
      <c r="A2137" s="3" t="s">
        <v>6003</v>
      </c>
    </row>
    <row r="2138" spans="1:1" x14ac:dyDescent="0.35">
      <c r="A2138" s="3" t="s">
        <v>6004</v>
      </c>
    </row>
    <row r="2139" spans="1:1" x14ac:dyDescent="0.35">
      <c r="A2139" s="3" t="s">
        <v>6005</v>
      </c>
    </row>
    <row r="2140" spans="1:1" x14ac:dyDescent="0.35">
      <c r="A2140"/>
    </row>
    <row r="2141" spans="1:1" x14ac:dyDescent="0.35">
      <c r="A2141" s="1" t="s">
        <v>5012</v>
      </c>
    </row>
    <row r="2142" spans="1:1" x14ac:dyDescent="0.35">
      <c r="A2142" s="2"/>
    </row>
    <row r="2143" spans="1:1" x14ac:dyDescent="0.35">
      <c r="A2143" s="2" t="s">
        <v>6006</v>
      </c>
    </row>
    <row r="2144" spans="1:1" x14ac:dyDescent="0.35">
      <c r="A2144" s="2" t="s">
        <v>6007</v>
      </c>
    </row>
    <row r="2145" spans="1:1" x14ac:dyDescent="0.35">
      <c r="A2145" s="2" t="s">
        <v>6008</v>
      </c>
    </row>
    <row r="2146" spans="1:1" x14ac:dyDescent="0.35">
      <c r="A2146" s="2" t="s">
        <v>6009</v>
      </c>
    </row>
    <row r="2147" spans="1:1" x14ac:dyDescent="0.35">
      <c r="A2147"/>
    </row>
    <row r="2148" spans="1:1" x14ac:dyDescent="0.35">
      <c r="A2148" t="s">
        <v>6010</v>
      </c>
    </row>
    <row r="2150" spans="1:1" ht="23.5" x14ac:dyDescent="0.35">
      <c r="A2150" s="19" t="s">
        <v>6029</v>
      </c>
    </row>
    <row r="2151" spans="1:1" x14ac:dyDescent="0.35">
      <c r="A2151"/>
    </row>
    <row r="2152" spans="1:1" ht="17.5" x14ac:dyDescent="0.35">
      <c r="A2152" s="21" t="s">
        <v>5040</v>
      </c>
    </row>
    <row r="2153" spans="1:1" x14ac:dyDescent="0.35">
      <c r="A2153" s="2"/>
    </row>
    <row r="2154" spans="1:1" x14ac:dyDescent="0.35">
      <c r="A2154" s="3" t="s">
        <v>6028</v>
      </c>
    </row>
    <row r="2155" spans="1:1" x14ac:dyDescent="0.35">
      <c r="A2155" s="3" t="s">
        <v>6027</v>
      </c>
    </row>
    <row r="2156" spans="1:1" x14ac:dyDescent="0.35">
      <c r="A2156" s="3" t="s">
        <v>6026</v>
      </c>
    </row>
    <row r="2157" spans="1:1" x14ac:dyDescent="0.35">
      <c r="A2157" s="3" t="s">
        <v>6025</v>
      </c>
    </row>
    <row r="2158" spans="1:1" x14ac:dyDescent="0.35">
      <c r="A2158"/>
    </row>
    <row r="2159" spans="1:1" ht="17.5" x14ac:dyDescent="0.35">
      <c r="A2159" s="21" t="s">
        <v>5035</v>
      </c>
    </row>
    <row r="2160" spans="1:1" x14ac:dyDescent="0.35">
      <c r="A2160" s="2"/>
    </row>
    <row r="2161" spans="1:1" x14ac:dyDescent="0.35">
      <c r="A2161" s="3" t="s">
        <v>6024</v>
      </c>
    </row>
    <row r="2162" spans="1:1" x14ac:dyDescent="0.35">
      <c r="A2162" s="3" t="s">
        <v>6023</v>
      </c>
    </row>
    <row r="2163" spans="1:1" x14ac:dyDescent="0.35">
      <c r="A2163" s="3" t="s">
        <v>6022</v>
      </c>
    </row>
    <row r="2164" spans="1:1" x14ac:dyDescent="0.35">
      <c r="A2164" s="3" t="s">
        <v>6021</v>
      </c>
    </row>
    <row r="2165" spans="1:1" x14ac:dyDescent="0.35">
      <c r="A2165"/>
    </row>
    <row r="2166" spans="1:1" ht="17.5" x14ac:dyDescent="0.35">
      <c r="A2166" s="21" t="s">
        <v>5030</v>
      </c>
    </row>
    <row r="2167" spans="1:1" x14ac:dyDescent="0.35">
      <c r="A2167" s="2"/>
    </row>
    <row r="2168" spans="1:1" x14ac:dyDescent="0.35">
      <c r="A2168" s="3" t="s">
        <v>6020</v>
      </c>
    </row>
    <row r="2169" spans="1:1" x14ac:dyDescent="0.35">
      <c r="A2169" s="3" t="s">
        <v>6019</v>
      </c>
    </row>
    <row r="2170" spans="1:1" x14ac:dyDescent="0.35">
      <c r="A2170" s="3" t="s">
        <v>6018</v>
      </c>
    </row>
    <row r="2171" spans="1:1" x14ac:dyDescent="0.35">
      <c r="A2171" s="3" t="s">
        <v>6017</v>
      </c>
    </row>
    <row r="2172" spans="1:1" x14ac:dyDescent="0.35">
      <c r="A2172" s="3" t="s">
        <v>6016</v>
      </c>
    </row>
    <row r="2173" spans="1:1" x14ac:dyDescent="0.35">
      <c r="A2173"/>
    </row>
    <row r="2174" spans="1:1" ht="17.5" x14ac:dyDescent="0.35">
      <c r="A2174" s="21" t="s">
        <v>5025</v>
      </c>
    </row>
    <row r="2175" spans="1:1" x14ac:dyDescent="0.35">
      <c r="A2175" s="2"/>
    </row>
    <row r="2176" spans="1:1" x14ac:dyDescent="0.35">
      <c r="A2176" s="3" t="s">
        <v>6015</v>
      </c>
    </row>
    <row r="2177" spans="1:1" x14ac:dyDescent="0.35">
      <c r="A2177" s="3" t="s">
        <v>6014</v>
      </c>
    </row>
    <row r="2178" spans="1:1" x14ac:dyDescent="0.35">
      <c r="A2178" s="3" t="s">
        <v>6013</v>
      </c>
    </row>
    <row r="2179" spans="1:1" x14ac:dyDescent="0.35">
      <c r="A2179" s="3" t="s">
        <v>6012</v>
      </c>
    </row>
    <row r="2180" spans="1:1" x14ac:dyDescent="0.35">
      <c r="A2180"/>
    </row>
    <row r="2181" spans="1:1" x14ac:dyDescent="0.35">
      <c r="A2181" s="1" t="s">
        <v>6011</v>
      </c>
    </row>
    <row r="2184" spans="1:1" x14ac:dyDescent="0.35">
      <c r="A2184" s="5" t="s">
        <v>6030</v>
      </c>
    </row>
    <row r="2185" spans="1:1" x14ac:dyDescent="0.35">
      <c r="A2185" t="s">
        <v>6199</v>
      </c>
    </row>
    <row r="2186" spans="1:1" x14ac:dyDescent="0.35">
      <c r="A2186"/>
    </row>
    <row r="2187" spans="1:1" x14ac:dyDescent="0.35">
      <c r="A2187" s="1" t="s">
        <v>6200</v>
      </c>
    </row>
    <row r="2188" spans="1:1" x14ac:dyDescent="0.35">
      <c r="A2188"/>
    </row>
    <row r="2189" spans="1:1" x14ac:dyDescent="0.35">
      <c r="A2189" s="1" t="s">
        <v>6201</v>
      </c>
    </row>
    <row r="2190" spans="1:1" x14ac:dyDescent="0.35">
      <c r="A2190" s="2"/>
    </row>
    <row r="2191" spans="1:1" x14ac:dyDescent="0.35">
      <c r="A2191" s="3" t="s">
        <v>6202</v>
      </c>
    </row>
    <row r="2192" spans="1:1" x14ac:dyDescent="0.35">
      <c r="A2192" s="3" t="s">
        <v>6203</v>
      </c>
    </row>
    <row r="2193" spans="1:1" x14ac:dyDescent="0.35">
      <c r="A2193" s="3" t="s">
        <v>6204</v>
      </c>
    </row>
    <row r="2194" spans="1:1" x14ac:dyDescent="0.35">
      <c r="A2194" s="3" t="s">
        <v>6205</v>
      </c>
    </row>
    <row r="2195" spans="1:1" x14ac:dyDescent="0.35">
      <c r="A2195"/>
    </row>
    <row r="2196" spans="1:1" x14ac:dyDescent="0.35">
      <c r="A2196" s="1" t="s">
        <v>6206</v>
      </c>
    </row>
    <row r="2197" spans="1:1" x14ac:dyDescent="0.35">
      <c r="A2197" s="2"/>
    </row>
    <row r="2198" spans="1:1" x14ac:dyDescent="0.35">
      <c r="A2198" s="3" t="s">
        <v>6207</v>
      </c>
    </row>
    <row r="2199" spans="1:1" x14ac:dyDescent="0.35">
      <c r="A2199" s="3" t="s">
        <v>6208</v>
      </c>
    </row>
    <row r="2200" spans="1:1" x14ac:dyDescent="0.35">
      <c r="A2200" s="3" t="s">
        <v>6209</v>
      </c>
    </row>
    <row r="2201" spans="1:1" x14ac:dyDescent="0.35">
      <c r="A2201" s="3" t="s">
        <v>6210</v>
      </c>
    </row>
    <row r="2202" spans="1:1" x14ac:dyDescent="0.35">
      <c r="A2202" s="3" t="s">
        <v>6211</v>
      </c>
    </row>
    <row r="2203" spans="1:1" x14ac:dyDescent="0.35">
      <c r="A2203"/>
    </row>
    <row r="2204" spans="1:1" x14ac:dyDescent="0.35">
      <c r="A2204" s="1" t="s">
        <v>6212</v>
      </c>
    </row>
    <row r="2205" spans="1:1" x14ac:dyDescent="0.35">
      <c r="A2205" s="2"/>
    </row>
    <row r="2206" spans="1:1" x14ac:dyDescent="0.35">
      <c r="A2206" s="2" t="s">
        <v>6213</v>
      </c>
    </row>
    <row r="2207" spans="1:1" x14ac:dyDescent="0.35">
      <c r="A2207" s="2" t="s">
        <v>6214</v>
      </c>
    </row>
    <row r="2208" spans="1:1" x14ac:dyDescent="0.35">
      <c r="A2208" s="2" t="s">
        <v>6215</v>
      </c>
    </row>
    <row r="2209" spans="1:1" x14ac:dyDescent="0.35">
      <c r="A2209" s="2" t="s">
        <v>6216</v>
      </c>
    </row>
    <row r="2210" spans="1:1" x14ac:dyDescent="0.35">
      <c r="A2210"/>
    </row>
    <row r="2211" spans="1:1" x14ac:dyDescent="0.35">
      <c r="A2211" t="s">
        <v>6217</v>
      </c>
    </row>
    <row r="2213" spans="1:1" ht="23.5" x14ac:dyDescent="0.35">
      <c r="A2213" s="19" t="s">
        <v>6236</v>
      </c>
    </row>
    <row r="2214" spans="1:1" x14ac:dyDescent="0.35">
      <c r="A2214"/>
    </row>
    <row r="2215" spans="1:1" ht="17.5" x14ac:dyDescent="0.35">
      <c r="A2215" s="21" t="s">
        <v>5040</v>
      </c>
    </row>
    <row r="2216" spans="1:1" x14ac:dyDescent="0.35">
      <c r="A2216" s="2"/>
    </row>
    <row r="2217" spans="1:1" x14ac:dyDescent="0.35">
      <c r="A2217" s="3" t="s">
        <v>6235</v>
      </c>
    </row>
    <row r="2218" spans="1:1" x14ac:dyDescent="0.35">
      <c r="A2218" s="3" t="s">
        <v>6234</v>
      </c>
    </row>
    <row r="2219" spans="1:1" x14ac:dyDescent="0.35">
      <c r="A2219" s="3" t="s">
        <v>6233</v>
      </c>
    </row>
    <row r="2220" spans="1:1" x14ac:dyDescent="0.35">
      <c r="A2220" s="3" t="s">
        <v>6232</v>
      </c>
    </row>
    <row r="2221" spans="1:1" x14ac:dyDescent="0.35">
      <c r="A2221"/>
    </row>
    <row r="2222" spans="1:1" ht="17.5" x14ac:dyDescent="0.35">
      <c r="A2222" s="21" t="s">
        <v>5035</v>
      </c>
    </row>
    <row r="2223" spans="1:1" x14ac:dyDescent="0.35">
      <c r="A2223" s="2"/>
    </row>
    <row r="2224" spans="1:1" x14ac:dyDescent="0.35">
      <c r="A2224" s="3" t="s">
        <v>6231</v>
      </c>
    </row>
    <row r="2225" spans="1:1" x14ac:dyDescent="0.35">
      <c r="A2225" s="3" t="s">
        <v>6230</v>
      </c>
    </row>
    <row r="2226" spans="1:1" x14ac:dyDescent="0.35">
      <c r="A2226" s="3" t="s">
        <v>6229</v>
      </c>
    </row>
    <row r="2227" spans="1:1" x14ac:dyDescent="0.35">
      <c r="A2227" s="3" t="s">
        <v>6228</v>
      </c>
    </row>
    <row r="2228" spans="1:1" x14ac:dyDescent="0.35">
      <c r="A2228"/>
    </row>
    <row r="2229" spans="1:1" ht="17.5" x14ac:dyDescent="0.35">
      <c r="A2229" s="21" t="s">
        <v>5030</v>
      </c>
    </row>
    <row r="2230" spans="1:1" x14ac:dyDescent="0.35">
      <c r="A2230" s="2"/>
    </row>
    <row r="2231" spans="1:1" x14ac:dyDescent="0.35">
      <c r="A2231" s="3" t="s">
        <v>6227</v>
      </c>
    </row>
    <row r="2232" spans="1:1" x14ac:dyDescent="0.35">
      <c r="A2232" s="3" t="s">
        <v>6226</v>
      </c>
    </row>
    <row r="2233" spans="1:1" x14ac:dyDescent="0.35">
      <c r="A2233" s="3" t="s">
        <v>6225</v>
      </c>
    </row>
    <row r="2234" spans="1:1" x14ac:dyDescent="0.35">
      <c r="A2234" s="3" t="s">
        <v>6224</v>
      </c>
    </row>
    <row r="2235" spans="1:1" x14ac:dyDescent="0.35">
      <c r="A2235" s="3" t="s">
        <v>6223</v>
      </c>
    </row>
    <row r="2236" spans="1:1" x14ac:dyDescent="0.35">
      <c r="A2236"/>
    </row>
    <row r="2237" spans="1:1" ht="17.5" x14ac:dyDescent="0.35">
      <c r="A2237" s="21" t="s">
        <v>5025</v>
      </c>
    </row>
    <row r="2238" spans="1:1" x14ac:dyDescent="0.35">
      <c r="A2238" s="2"/>
    </row>
    <row r="2239" spans="1:1" x14ac:dyDescent="0.35">
      <c r="A2239" s="3" t="s">
        <v>6222</v>
      </c>
    </row>
    <row r="2240" spans="1:1" x14ac:dyDescent="0.35">
      <c r="A2240" s="3" t="s">
        <v>6221</v>
      </c>
    </row>
    <row r="2241" spans="1:1" x14ac:dyDescent="0.35">
      <c r="A2241" s="3" t="s">
        <v>6220</v>
      </c>
    </row>
    <row r="2242" spans="1:1" x14ac:dyDescent="0.35">
      <c r="A2242" s="3" t="s">
        <v>6219</v>
      </c>
    </row>
    <row r="2243" spans="1:1" x14ac:dyDescent="0.35">
      <c r="A2243"/>
    </row>
    <row r="2244" spans="1:1" x14ac:dyDescent="0.35">
      <c r="A2244" s="1" t="s">
        <v>6218</v>
      </c>
    </row>
    <row r="2247" spans="1:1" x14ac:dyDescent="0.35">
      <c r="A2247" s="5" t="s">
        <v>6360</v>
      </c>
    </row>
    <row r="2248" spans="1:1" x14ac:dyDescent="0.35">
      <c r="A2248" t="s">
        <v>6361</v>
      </c>
    </row>
    <row r="2249" spans="1:1" x14ac:dyDescent="0.35">
      <c r="A2249"/>
    </row>
    <row r="2250" spans="1:1" x14ac:dyDescent="0.35">
      <c r="A2250" s="1" t="s">
        <v>6362</v>
      </c>
    </row>
    <row r="2251" spans="1:1" x14ac:dyDescent="0.35">
      <c r="A2251"/>
    </row>
    <row r="2252" spans="1:1" x14ac:dyDescent="0.35">
      <c r="A2252" s="1" t="s">
        <v>6363</v>
      </c>
    </row>
    <row r="2253" spans="1:1" x14ac:dyDescent="0.35">
      <c r="A2253" s="2"/>
    </row>
    <row r="2254" spans="1:1" x14ac:dyDescent="0.35">
      <c r="A2254" s="2" t="s">
        <v>6364</v>
      </c>
    </row>
    <row r="2255" spans="1:1" x14ac:dyDescent="0.35">
      <c r="A2255" s="2" t="s">
        <v>6365</v>
      </c>
    </row>
    <row r="2256" spans="1:1" x14ac:dyDescent="0.35">
      <c r="A2256" s="2" t="s">
        <v>6366</v>
      </c>
    </row>
    <row r="2257" spans="1:1" x14ac:dyDescent="0.35">
      <c r="A2257" s="2" t="s">
        <v>6367</v>
      </c>
    </row>
    <row r="2258" spans="1:1" x14ac:dyDescent="0.35">
      <c r="A2258" s="2" t="s">
        <v>6368</v>
      </c>
    </row>
    <row r="2259" spans="1:1" x14ac:dyDescent="0.35">
      <c r="A2259" s="2" t="s">
        <v>6369</v>
      </c>
    </row>
    <row r="2260" spans="1:1" x14ac:dyDescent="0.35">
      <c r="A2260"/>
    </row>
    <row r="2261" spans="1:1" x14ac:dyDescent="0.35">
      <c r="A2261" s="1" t="s">
        <v>6370</v>
      </c>
    </row>
    <row r="2262" spans="1:1" x14ac:dyDescent="0.35">
      <c r="A2262" s="2"/>
    </row>
    <row r="2263" spans="1:1" x14ac:dyDescent="0.35">
      <c r="A2263" s="3" t="s">
        <v>6371</v>
      </c>
    </row>
    <row r="2264" spans="1:1" x14ac:dyDescent="0.35">
      <c r="A2264" s="3" t="s">
        <v>6372</v>
      </c>
    </row>
    <row r="2265" spans="1:1" x14ac:dyDescent="0.35">
      <c r="A2265" s="3" t="s">
        <v>6373</v>
      </c>
    </row>
    <row r="2266" spans="1:1" x14ac:dyDescent="0.35">
      <c r="A2266" s="3" t="s">
        <v>6374</v>
      </c>
    </row>
    <row r="2267" spans="1:1" x14ac:dyDescent="0.35">
      <c r="A2267" s="3" t="s">
        <v>6375</v>
      </c>
    </row>
    <row r="2268" spans="1:1" x14ac:dyDescent="0.35">
      <c r="A2268"/>
    </row>
    <row r="2269" spans="1:1" x14ac:dyDescent="0.35">
      <c r="A2269" s="1" t="s">
        <v>6376</v>
      </c>
    </row>
    <row r="2270" spans="1:1" x14ac:dyDescent="0.35">
      <c r="A2270" s="2"/>
    </row>
    <row r="2271" spans="1:1" x14ac:dyDescent="0.35">
      <c r="A2271" s="2" t="s">
        <v>6377</v>
      </c>
    </row>
    <row r="2272" spans="1:1" x14ac:dyDescent="0.35">
      <c r="A2272" s="2" t="s">
        <v>6378</v>
      </c>
    </row>
    <row r="2273" spans="1:1" x14ac:dyDescent="0.35">
      <c r="A2273" s="2" t="s">
        <v>6379</v>
      </c>
    </row>
    <row r="2274" spans="1:1" x14ac:dyDescent="0.35">
      <c r="A2274" s="2" t="s">
        <v>6380</v>
      </c>
    </row>
    <row r="2275" spans="1:1" x14ac:dyDescent="0.35">
      <c r="A2275"/>
    </row>
    <row r="2276" spans="1:1" x14ac:dyDescent="0.35">
      <c r="A2276" t="s">
        <v>6381</v>
      </c>
    </row>
    <row r="2278" spans="1:1" ht="23.5" x14ac:dyDescent="0.35">
      <c r="A2278" s="19" t="s">
        <v>6405</v>
      </c>
    </row>
    <row r="2279" spans="1:1" x14ac:dyDescent="0.35">
      <c r="A2279"/>
    </row>
    <row r="2280" spans="1:1" ht="17.5" x14ac:dyDescent="0.35">
      <c r="A2280" s="21" t="s">
        <v>5040</v>
      </c>
    </row>
    <row r="2281" spans="1:1" x14ac:dyDescent="0.35">
      <c r="A2281" s="2"/>
    </row>
    <row r="2282" spans="1:1" x14ac:dyDescent="0.35">
      <c r="A2282" s="3" t="s">
        <v>6404</v>
      </c>
    </row>
    <row r="2283" spans="1:1" x14ac:dyDescent="0.35">
      <c r="A2283" s="3" t="s">
        <v>6403</v>
      </c>
    </row>
    <row r="2284" spans="1:1" x14ac:dyDescent="0.35">
      <c r="A2284" s="3" t="s">
        <v>6402</v>
      </c>
    </row>
    <row r="2285" spans="1:1" x14ac:dyDescent="0.35">
      <c r="A2285" s="3" t="s">
        <v>6401</v>
      </c>
    </row>
    <row r="2286" spans="1:1" x14ac:dyDescent="0.35">
      <c r="A2286"/>
    </row>
    <row r="2287" spans="1:1" ht="17.5" x14ac:dyDescent="0.35">
      <c r="A2287" s="21" t="s">
        <v>5035</v>
      </c>
    </row>
    <row r="2288" spans="1:1" x14ac:dyDescent="0.35">
      <c r="A2288" s="2"/>
    </row>
    <row r="2289" spans="1:1" x14ac:dyDescent="0.35">
      <c r="A2289" s="3" t="s">
        <v>6400</v>
      </c>
    </row>
    <row r="2290" spans="1:1" x14ac:dyDescent="0.35">
      <c r="A2290" s="3" t="s">
        <v>6399</v>
      </c>
    </row>
    <row r="2291" spans="1:1" x14ac:dyDescent="0.35">
      <c r="A2291" s="3" t="s">
        <v>6398</v>
      </c>
    </row>
    <row r="2292" spans="1:1" x14ac:dyDescent="0.35">
      <c r="A2292" s="3" t="s">
        <v>6397</v>
      </c>
    </row>
    <row r="2293" spans="1:1" x14ac:dyDescent="0.35">
      <c r="A2293" s="3" t="s">
        <v>6396</v>
      </c>
    </row>
    <row r="2294" spans="1:1" x14ac:dyDescent="0.35">
      <c r="A2294"/>
    </row>
    <row r="2295" spans="1:1" ht="17.5" x14ac:dyDescent="0.35">
      <c r="A2295" s="21" t="s">
        <v>5030</v>
      </c>
    </row>
    <row r="2296" spans="1:1" x14ac:dyDescent="0.35">
      <c r="A2296" s="2"/>
    </row>
    <row r="2297" spans="1:1" x14ac:dyDescent="0.35">
      <c r="A2297" s="3" t="s">
        <v>6395</v>
      </c>
    </row>
    <row r="2298" spans="1:1" x14ac:dyDescent="0.35">
      <c r="A2298" s="3" t="s">
        <v>6394</v>
      </c>
    </row>
    <row r="2299" spans="1:1" x14ac:dyDescent="0.35">
      <c r="A2299" s="3" t="s">
        <v>6393</v>
      </c>
    </row>
    <row r="2300" spans="1:1" x14ac:dyDescent="0.35">
      <c r="A2300" s="3" t="s">
        <v>6392</v>
      </c>
    </row>
    <row r="2301" spans="1:1" x14ac:dyDescent="0.35">
      <c r="A2301" s="3" t="s">
        <v>6391</v>
      </c>
    </row>
    <row r="2302" spans="1:1" x14ac:dyDescent="0.35">
      <c r="A2302"/>
    </row>
    <row r="2303" spans="1:1" ht="17.5" x14ac:dyDescent="0.35">
      <c r="A2303" s="21" t="s">
        <v>5025</v>
      </c>
    </row>
    <row r="2304" spans="1:1" x14ac:dyDescent="0.35">
      <c r="A2304" s="2"/>
    </row>
    <row r="2305" spans="1:1" x14ac:dyDescent="0.35">
      <c r="A2305" s="3" t="s">
        <v>6390</v>
      </c>
    </row>
    <row r="2306" spans="1:1" x14ac:dyDescent="0.35">
      <c r="A2306" s="3" t="s">
        <v>6389</v>
      </c>
    </row>
    <row r="2307" spans="1:1" x14ac:dyDescent="0.35">
      <c r="A2307" s="3" t="s">
        <v>6388</v>
      </c>
    </row>
    <row r="2308" spans="1:1" x14ac:dyDescent="0.35">
      <c r="A2308" s="3" t="s">
        <v>6387</v>
      </c>
    </row>
    <row r="2309" spans="1:1" x14ac:dyDescent="0.35">
      <c r="A2309"/>
    </row>
    <row r="2310" spans="1:1" ht="17.5" x14ac:dyDescent="0.35">
      <c r="A2310" s="21" t="s">
        <v>5663</v>
      </c>
    </row>
    <row r="2311" spans="1:1" x14ac:dyDescent="0.35">
      <c r="A2311" s="2"/>
    </row>
    <row r="2312" spans="1:1" x14ac:dyDescent="0.35">
      <c r="A2312" s="3" t="s">
        <v>6386</v>
      </c>
    </row>
    <row r="2313" spans="1:1" x14ac:dyDescent="0.35">
      <c r="A2313" s="3" t="s">
        <v>6385</v>
      </c>
    </row>
    <row r="2314" spans="1:1" x14ac:dyDescent="0.35">
      <c r="A2314" s="3" t="s">
        <v>6384</v>
      </c>
    </row>
    <row r="2315" spans="1:1" x14ac:dyDescent="0.35">
      <c r="A2315" s="3" t="s">
        <v>6383</v>
      </c>
    </row>
    <row r="2316" spans="1:1" x14ac:dyDescent="0.35">
      <c r="A2316"/>
    </row>
    <row r="2317" spans="1:1" x14ac:dyDescent="0.35">
      <c r="A2317" s="1" t="s">
        <v>6382</v>
      </c>
    </row>
    <row r="2320" spans="1:1" x14ac:dyDescent="0.35">
      <c r="A2320" s="5" t="s">
        <v>6543</v>
      </c>
    </row>
    <row r="2321" spans="1:1" x14ac:dyDescent="0.35">
      <c r="A2321" t="s">
        <v>6544</v>
      </c>
    </row>
    <row r="2322" spans="1:1" x14ac:dyDescent="0.35">
      <c r="A2322"/>
    </row>
    <row r="2323" spans="1:1" x14ac:dyDescent="0.35">
      <c r="A2323" s="1" t="s">
        <v>6545</v>
      </c>
    </row>
    <row r="2324" spans="1:1" x14ac:dyDescent="0.35">
      <c r="A2324"/>
    </row>
    <row r="2325" spans="1:1" x14ac:dyDescent="0.35">
      <c r="A2325" s="1" t="s">
        <v>6546</v>
      </c>
    </row>
    <row r="2326" spans="1:1" x14ac:dyDescent="0.35">
      <c r="A2326" s="2"/>
    </row>
    <row r="2327" spans="1:1" x14ac:dyDescent="0.35">
      <c r="A2327" s="2" t="s">
        <v>6547</v>
      </c>
    </row>
    <row r="2328" spans="1:1" x14ac:dyDescent="0.35">
      <c r="A2328" s="2" t="s">
        <v>6548</v>
      </c>
    </row>
    <row r="2329" spans="1:1" x14ac:dyDescent="0.35">
      <c r="A2329" s="2" t="s">
        <v>6549</v>
      </c>
    </row>
    <row r="2330" spans="1:1" x14ac:dyDescent="0.35">
      <c r="A2330" s="2" t="s">
        <v>6550</v>
      </c>
    </row>
    <row r="2331" spans="1:1" x14ac:dyDescent="0.35">
      <c r="A2331" s="2" t="s">
        <v>6551</v>
      </c>
    </row>
    <row r="2332" spans="1:1" x14ac:dyDescent="0.35">
      <c r="A2332" s="2" t="s">
        <v>6552</v>
      </c>
    </row>
    <row r="2333" spans="1:1" x14ac:dyDescent="0.35">
      <c r="A2333" s="2" t="s">
        <v>6553</v>
      </c>
    </row>
    <row r="2334" spans="1:1" x14ac:dyDescent="0.35">
      <c r="A2334"/>
    </row>
    <row r="2335" spans="1:1" x14ac:dyDescent="0.35">
      <c r="A2335" s="1" t="s">
        <v>6554</v>
      </c>
    </row>
    <row r="2336" spans="1:1" x14ac:dyDescent="0.35">
      <c r="A2336" s="2"/>
    </row>
    <row r="2337" spans="1:1" x14ac:dyDescent="0.35">
      <c r="A2337" s="3" t="s">
        <v>6555</v>
      </c>
    </row>
    <row r="2338" spans="1:1" x14ac:dyDescent="0.35">
      <c r="A2338" s="3" t="s">
        <v>6556</v>
      </c>
    </row>
    <row r="2339" spans="1:1" x14ac:dyDescent="0.35">
      <c r="A2339" s="3" t="s">
        <v>6557</v>
      </c>
    </row>
    <row r="2340" spans="1:1" x14ac:dyDescent="0.35">
      <c r="A2340" s="3" t="s">
        <v>6558</v>
      </c>
    </row>
    <row r="2341" spans="1:1" x14ac:dyDescent="0.35">
      <c r="A2341"/>
    </row>
    <row r="2342" spans="1:1" x14ac:dyDescent="0.35">
      <c r="A2342" s="1" t="s">
        <v>6559</v>
      </c>
    </row>
    <row r="2343" spans="1:1" x14ac:dyDescent="0.35">
      <c r="A2343"/>
    </row>
    <row r="2344" spans="1:1" x14ac:dyDescent="0.35">
      <c r="A2344" t="s">
        <v>6560</v>
      </c>
    </row>
    <row r="2346" spans="1:1" ht="23.5" x14ac:dyDescent="0.35">
      <c r="A2346" s="19" t="s">
        <v>6586</v>
      </c>
    </row>
    <row r="2347" spans="1:1" x14ac:dyDescent="0.35">
      <c r="A2347"/>
    </row>
    <row r="2348" spans="1:1" ht="17.5" x14ac:dyDescent="0.35">
      <c r="A2348" s="21" t="s">
        <v>5040</v>
      </c>
    </row>
    <row r="2349" spans="1:1" x14ac:dyDescent="0.35">
      <c r="A2349" s="2"/>
    </row>
    <row r="2350" spans="1:1" x14ac:dyDescent="0.35">
      <c r="A2350" s="3" t="s">
        <v>6585</v>
      </c>
    </row>
    <row r="2351" spans="1:1" x14ac:dyDescent="0.35">
      <c r="A2351" s="3" t="s">
        <v>6584</v>
      </c>
    </row>
    <row r="2352" spans="1:1" x14ac:dyDescent="0.35">
      <c r="A2352" s="3" t="s">
        <v>6583</v>
      </c>
    </row>
    <row r="2353" spans="1:1" x14ac:dyDescent="0.35">
      <c r="A2353" s="3" t="s">
        <v>6582</v>
      </c>
    </row>
    <row r="2354" spans="1:1" x14ac:dyDescent="0.35">
      <c r="A2354" s="3" t="s">
        <v>6581</v>
      </c>
    </row>
    <row r="2355" spans="1:1" x14ac:dyDescent="0.35">
      <c r="A2355"/>
    </row>
    <row r="2356" spans="1:1" ht="17.5" x14ac:dyDescent="0.35">
      <c r="A2356" s="21" t="s">
        <v>5035</v>
      </c>
    </row>
    <row r="2357" spans="1:1" x14ac:dyDescent="0.35">
      <c r="A2357" s="2"/>
    </row>
    <row r="2358" spans="1:1" x14ac:dyDescent="0.35">
      <c r="A2358" s="3" t="s">
        <v>6580</v>
      </c>
    </row>
    <row r="2359" spans="1:1" x14ac:dyDescent="0.35">
      <c r="A2359" s="3" t="s">
        <v>6579</v>
      </c>
    </row>
    <row r="2360" spans="1:1" x14ac:dyDescent="0.35">
      <c r="A2360" s="3" t="s">
        <v>6578</v>
      </c>
    </row>
    <row r="2361" spans="1:1" x14ac:dyDescent="0.35">
      <c r="A2361" s="3" t="s">
        <v>6577</v>
      </c>
    </row>
    <row r="2362" spans="1:1" x14ac:dyDescent="0.35">
      <c r="A2362" s="3" t="s">
        <v>6576</v>
      </c>
    </row>
    <row r="2363" spans="1:1" x14ac:dyDescent="0.35">
      <c r="A2363"/>
    </row>
    <row r="2364" spans="1:1" ht="17.5" x14ac:dyDescent="0.35">
      <c r="A2364" s="21" t="s">
        <v>5030</v>
      </c>
    </row>
    <row r="2365" spans="1:1" x14ac:dyDescent="0.35">
      <c r="A2365" s="2"/>
    </row>
    <row r="2366" spans="1:1" x14ac:dyDescent="0.35">
      <c r="A2366" s="3" t="s">
        <v>6575</v>
      </c>
    </row>
    <row r="2367" spans="1:1" x14ac:dyDescent="0.35">
      <c r="A2367" s="3" t="s">
        <v>6574</v>
      </c>
    </row>
    <row r="2368" spans="1:1" x14ac:dyDescent="0.35">
      <c r="A2368" s="3" t="s">
        <v>6573</v>
      </c>
    </row>
    <row r="2369" spans="1:1" x14ac:dyDescent="0.35">
      <c r="A2369" s="3" t="s">
        <v>6572</v>
      </c>
    </row>
    <row r="2370" spans="1:1" x14ac:dyDescent="0.35">
      <c r="A2370" s="3" t="s">
        <v>6571</v>
      </c>
    </row>
    <row r="2371" spans="1:1" x14ac:dyDescent="0.35">
      <c r="A2371" s="3" t="s">
        <v>6570</v>
      </c>
    </row>
    <row r="2372" spans="1:1" x14ac:dyDescent="0.35">
      <c r="A2372"/>
    </row>
    <row r="2373" spans="1:1" ht="17.5" x14ac:dyDescent="0.35">
      <c r="A2373" s="21" t="s">
        <v>5663</v>
      </c>
    </row>
    <row r="2374" spans="1:1" x14ac:dyDescent="0.35">
      <c r="A2374" s="2"/>
    </row>
    <row r="2375" spans="1:1" x14ac:dyDescent="0.35">
      <c r="A2375" s="3" t="s">
        <v>6569</v>
      </c>
    </row>
    <row r="2376" spans="1:1" x14ac:dyDescent="0.35">
      <c r="A2376" s="3" t="s">
        <v>6568</v>
      </c>
    </row>
    <row r="2377" spans="1:1" x14ac:dyDescent="0.35">
      <c r="A2377" s="3" t="s">
        <v>6567</v>
      </c>
    </row>
    <row r="2378" spans="1:1" x14ac:dyDescent="0.35">
      <c r="A2378" s="3" t="s">
        <v>6566</v>
      </c>
    </row>
    <row r="2379" spans="1:1" x14ac:dyDescent="0.35">
      <c r="A2379" s="3" t="s">
        <v>6565</v>
      </c>
    </row>
    <row r="2380" spans="1:1" x14ac:dyDescent="0.35">
      <c r="A2380"/>
    </row>
    <row r="2381" spans="1:1" ht="17.5" x14ac:dyDescent="0.35">
      <c r="A2381" s="21" t="s">
        <v>5025</v>
      </c>
    </row>
    <row r="2382" spans="1:1" x14ac:dyDescent="0.35">
      <c r="A2382" s="2"/>
    </row>
    <row r="2383" spans="1:1" x14ac:dyDescent="0.35">
      <c r="A2383" s="3" t="s">
        <v>6015</v>
      </c>
    </row>
    <row r="2384" spans="1:1" x14ac:dyDescent="0.35">
      <c r="A2384" s="3" t="s">
        <v>6564</v>
      </c>
    </row>
    <row r="2385" spans="1:1" x14ac:dyDescent="0.35">
      <c r="A2385" s="3" t="s">
        <v>6563</v>
      </c>
    </row>
    <row r="2386" spans="1:1" x14ac:dyDescent="0.35">
      <c r="A2386" s="3" t="s">
        <v>6562</v>
      </c>
    </row>
    <row r="2387" spans="1:1" x14ac:dyDescent="0.35">
      <c r="A2387"/>
    </row>
    <row r="2388" spans="1:1" x14ac:dyDescent="0.35">
      <c r="A2388" s="1" t="s">
        <v>6561</v>
      </c>
    </row>
    <row r="2391" spans="1:1" x14ac:dyDescent="0.35">
      <c r="A2391" s="5" t="s">
        <v>6694</v>
      </c>
    </row>
    <row r="2392" spans="1:1" x14ac:dyDescent="0.35">
      <c r="A2392" t="s">
        <v>6695</v>
      </c>
    </row>
    <row r="2393" spans="1:1" x14ac:dyDescent="0.35">
      <c r="A2393"/>
    </row>
    <row r="2394" spans="1:1" x14ac:dyDescent="0.35">
      <c r="A2394" t="s">
        <v>6696</v>
      </c>
    </row>
    <row r="2395" spans="1:1" x14ac:dyDescent="0.35">
      <c r="A2395"/>
    </row>
    <row r="2396" spans="1:1" x14ac:dyDescent="0.35">
      <c r="A2396" s="1" t="s">
        <v>6000</v>
      </c>
    </row>
    <row r="2397" spans="1:1" x14ac:dyDescent="0.35">
      <c r="A2397" s="2"/>
    </row>
    <row r="2398" spans="1:1" x14ac:dyDescent="0.35">
      <c r="A2398" s="3" t="s">
        <v>6697</v>
      </c>
    </row>
    <row r="2399" spans="1:1" x14ac:dyDescent="0.35">
      <c r="A2399" s="3" t="s">
        <v>6698</v>
      </c>
    </row>
    <row r="2400" spans="1:1" x14ac:dyDescent="0.35">
      <c r="A2400" s="3" t="s">
        <v>6699</v>
      </c>
    </row>
    <row r="2401" spans="1:1" x14ac:dyDescent="0.35">
      <c r="A2401" s="3" t="s">
        <v>6700</v>
      </c>
    </row>
    <row r="2402" spans="1:1" x14ac:dyDescent="0.35">
      <c r="A2402" s="3" t="s">
        <v>6701</v>
      </c>
    </row>
    <row r="2403" spans="1:1" x14ac:dyDescent="0.35">
      <c r="A2403" s="3" t="s">
        <v>6702</v>
      </c>
    </row>
    <row r="2404" spans="1:1" x14ac:dyDescent="0.35">
      <c r="A2404" s="3" t="s">
        <v>6703</v>
      </c>
    </row>
    <row r="2405" spans="1:1" x14ac:dyDescent="0.35">
      <c r="A2405"/>
    </row>
    <row r="2406" spans="1:1" x14ac:dyDescent="0.35">
      <c r="A2406" s="1" t="s">
        <v>5012</v>
      </c>
    </row>
    <row r="2407" spans="1:1" x14ac:dyDescent="0.35">
      <c r="A2407" s="2"/>
    </row>
    <row r="2408" spans="1:1" x14ac:dyDescent="0.35">
      <c r="A2408" s="2" t="s">
        <v>6704</v>
      </c>
    </row>
    <row r="2409" spans="1:1" x14ac:dyDescent="0.35">
      <c r="A2409" s="2" t="s">
        <v>6705</v>
      </c>
    </row>
    <row r="2410" spans="1:1" x14ac:dyDescent="0.35">
      <c r="A2410" s="2" t="s">
        <v>6706</v>
      </c>
    </row>
    <row r="2411" spans="1:1" x14ac:dyDescent="0.35">
      <c r="A2411" s="2" t="s">
        <v>6707</v>
      </c>
    </row>
    <row r="2412" spans="1:1" x14ac:dyDescent="0.35">
      <c r="A2412" s="2" t="s">
        <v>6708</v>
      </c>
    </row>
    <row r="2413" spans="1:1" x14ac:dyDescent="0.35">
      <c r="A2413"/>
    </row>
    <row r="2414" spans="1:1" x14ac:dyDescent="0.35">
      <c r="A2414" t="s">
        <v>6709</v>
      </c>
    </row>
    <row r="2416" spans="1:1" ht="23.5" x14ac:dyDescent="0.35">
      <c r="A2416" s="19" t="s">
        <v>6733</v>
      </c>
    </row>
    <row r="2417" spans="1:1" x14ac:dyDescent="0.35">
      <c r="A2417"/>
    </row>
    <row r="2418" spans="1:1" ht="17.5" x14ac:dyDescent="0.35">
      <c r="A2418" s="21" t="s">
        <v>5040</v>
      </c>
    </row>
    <row r="2419" spans="1:1" x14ac:dyDescent="0.35">
      <c r="A2419" s="2"/>
    </row>
    <row r="2420" spans="1:1" x14ac:dyDescent="0.35">
      <c r="A2420" s="3" t="s">
        <v>6732</v>
      </c>
    </row>
    <row r="2421" spans="1:1" x14ac:dyDescent="0.35">
      <c r="A2421" s="3" t="s">
        <v>6731</v>
      </c>
    </row>
    <row r="2422" spans="1:1" x14ac:dyDescent="0.35">
      <c r="A2422" s="3" t="s">
        <v>6730</v>
      </c>
    </row>
    <row r="2423" spans="1:1" x14ac:dyDescent="0.35">
      <c r="A2423" s="3" t="s">
        <v>6729</v>
      </c>
    </row>
    <row r="2424" spans="1:1" x14ac:dyDescent="0.35">
      <c r="A2424"/>
    </row>
    <row r="2425" spans="1:1" ht="17.5" x14ac:dyDescent="0.35">
      <c r="A2425" s="21" t="s">
        <v>5035</v>
      </c>
    </row>
    <row r="2426" spans="1:1" x14ac:dyDescent="0.35">
      <c r="A2426" s="2"/>
    </row>
    <row r="2427" spans="1:1" x14ac:dyDescent="0.35">
      <c r="A2427" s="3" t="s">
        <v>6728</v>
      </c>
    </row>
    <row r="2428" spans="1:1" x14ac:dyDescent="0.35">
      <c r="A2428" s="3" t="s">
        <v>6727</v>
      </c>
    </row>
    <row r="2429" spans="1:1" x14ac:dyDescent="0.35">
      <c r="A2429" s="3" t="s">
        <v>6726</v>
      </c>
    </row>
    <row r="2430" spans="1:1" x14ac:dyDescent="0.35">
      <c r="A2430" s="3" t="s">
        <v>6725</v>
      </c>
    </row>
    <row r="2431" spans="1:1" x14ac:dyDescent="0.35">
      <c r="A2431"/>
    </row>
    <row r="2432" spans="1:1" ht="17.5" x14ac:dyDescent="0.35">
      <c r="A2432" s="21" t="s">
        <v>5030</v>
      </c>
    </row>
    <row r="2433" spans="1:1" x14ac:dyDescent="0.35">
      <c r="A2433" s="2"/>
    </row>
    <row r="2434" spans="1:1" x14ac:dyDescent="0.35">
      <c r="A2434" s="3" t="s">
        <v>6724</v>
      </c>
    </row>
    <row r="2435" spans="1:1" x14ac:dyDescent="0.35">
      <c r="A2435" s="3" t="s">
        <v>6723</v>
      </c>
    </row>
    <row r="2436" spans="1:1" x14ac:dyDescent="0.35">
      <c r="A2436" s="3" t="s">
        <v>6722</v>
      </c>
    </row>
    <row r="2437" spans="1:1" x14ac:dyDescent="0.35">
      <c r="A2437" s="3" t="s">
        <v>6721</v>
      </c>
    </row>
    <row r="2438" spans="1:1" x14ac:dyDescent="0.35">
      <c r="A2438" s="3" t="s">
        <v>6720</v>
      </c>
    </row>
    <row r="2439" spans="1:1" x14ac:dyDescent="0.35">
      <c r="A2439" s="3" t="s">
        <v>6719</v>
      </c>
    </row>
    <row r="2440" spans="1:1" x14ac:dyDescent="0.35">
      <c r="A2440"/>
    </row>
    <row r="2441" spans="1:1" ht="17.5" x14ac:dyDescent="0.35">
      <c r="A2441" s="21" t="s">
        <v>5025</v>
      </c>
    </row>
    <row r="2442" spans="1:1" x14ac:dyDescent="0.35">
      <c r="A2442" s="2"/>
    </row>
    <row r="2443" spans="1:1" x14ac:dyDescent="0.35">
      <c r="A2443" s="3" t="s">
        <v>6718</v>
      </c>
    </row>
    <row r="2444" spans="1:1" x14ac:dyDescent="0.35">
      <c r="A2444" s="3" t="s">
        <v>6717</v>
      </c>
    </row>
    <row r="2445" spans="1:1" x14ac:dyDescent="0.35">
      <c r="A2445" s="3" t="s">
        <v>6716</v>
      </c>
    </row>
    <row r="2446" spans="1:1" x14ac:dyDescent="0.35">
      <c r="A2446" s="3" t="s">
        <v>6715</v>
      </c>
    </row>
    <row r="2447" spans="1:1" x14ac:dyDescent="0.35">
      <c r="A2447"/>
    </row>
    <row r="2448" spans="1:1" ht="17.5" x14ac:dyDescent="0.35">
      <c r="A2448" s="21" t="s">
        <v>4280</v>
      </c>
    </row>
    <row r="2449" spans="1:1" x14ac:dyDescent="0.35">
      <c r="A2449" s="2"/>
    </row>
    <row r="2450" spans="1:1" x14ac:dyDescent="0.35">
      <c r="A2450" s="3" t="s">
        <v>6714</v>
      </c>
    </row>
    <row r="2451" spans="1:1" x14ac:dyDescent="0.35">
      <c r="A2451" s="3" t="s">
        <v>6713</v>
      </c>
    </row>
    <row r="2452" spans="1:1" x14ac:dyDescent="0.35">
      <c r="A2452" s="3" t="s">
        <v>6712</v>
      </c>
    </row>
    <row r="2453" spans="1:1" x14ac:dyDescent="0.35">
      <c r="A2453" s="3" t="s">
        <v>6711</v>
      </c>
    </row>
    <row r="2454" spans="1:1" x14ac:dyDescent="0.35">
      <c r="A2454"/>
    </row>
    <row r="2455" spans="1:1" x14ac:dyDescent="0.35">
      <c r="A2455" s="1" t="s">
        <v>6710</v>
      </c>
    </row>
    <row r="2458" spans="1:1" x14ac:dyDescent="0.35">
      <c r="A2458" s="5" t="s">
        <v>6870</v>
      </c>
    </row>
    <row r="2459" spans="1:1" x14ac:dyDescent="0.35">
      <c r="A2459" t="s">
        <v>6871</v>
      </c>
    </row>
    <row r="2460" spans="1:1" x14ac:dyDescent="0.35">
      <c r="A2460"/>
    </row>
    <row r="2461" spans="1:1" x14ac:dyDescent="0.35">
      <c r="A2461" s="1" t="s">
        <v>6872</v>
      </c>
    </row>
    <row r="2462" spans="1:1" x14ac:dyDescent="0.35">
      <c r="A2462"/>
    </row>
    <row r="2463" spans="1:1" x14ac:dyDescent="0.35">
      <c r="A2463" s="1" t="s">
        <v>6873</v>
      </c>
    </row>
    <row r="2464" spans="1:1" x14ac:dyDescent="0.35">
      <c r="A2464" s="2"/>
    </row>
    <row r="2465" spans="1:1" x14ac:dyDescent="0.35">
      <c r="A2465" s="3" t="s">
        <v>6874</v>
      </c>
    </row>
    <row r="2466" spans="1:1" x14ac:dyDescent="0.35">
      <c r="A2466" s="3" t="s">
        <v>6875</v>
      </c>
    </row>
    <row r="2467" spans="1:1" x14ac:dyDescent="0.35">
      <c r="A2467" s="3" t="s">
        <v>6876</v>
      </c>
    </row>
    <row r="2468" spans="1:1" x14ac:dyDescent="0.35">
      <c r="A2468" s="3" t="s">
        <v>6877</v>
      </c>
    </row>
    <row r="2469" spans="1:1" x14ac:dyDescent="0.35">
      <c r="A2469" s="3" t="s">
        <v>6878</v>
      </c>
    </row>
    <row r="2470" spans="1:1" x14ac:dyDescent="0.35">
      <c r="A2470"/>
    </row>
    <row r="2471" spans="1:1" x14ac:dyDescent="0.35">
      <c r="A2471" s="1" t="s">
        <v>5663</v>
      </c>
    </row>
    <row r="2472" spans="1:1" x14ac:dyDescent="0.35">
      <c r="A2472" s="2"/>
    </row>
    <row r="2473" spans="1:1" x14ac:dyDescent="0.35">
      <c r="A2473" s="2" t="s">
        <v>6879</v>
      </c>
    </row>
    <row r="2474" spans="1:1" x14ac:dyDescent="0.35">
      <c r="A2474" s="2" t="s">
        <v>6880</v>
      </c>
    </row>
    <row r="2475" spans="1:1" x14ac:dyDescent="0.35">
      <c r="A2475" s="2" t="s">
        <v>6881</v>
      </c>
    </row>
    <row r="2476" spans="1:1" x14ac:dyDescent="0.35">
      <c r="A2476" s="2" t="s">
        <v>6882</v>
      </c>
    </row>
    <row r="2477" spans="1:1" x14ac:dyDescent="0.35">
      <c r="A2477"/>
    </row>
    <row r="2478" spans="1:1" x14ac:dyDescent="0.35">
      <c r="A2478" s="1" t="s">
        <v>6883</v>
      </c>
    </row>
    <row r="2479" spans="1:1" x14ac:dyDescent="0.35">
      <c r="A2479" s="2"/>
    </row>
    <row r="2480" spans="1:1" x14ac:dyDescent="0.35">
      <c r="A2480" s="2" t="s">
        <v>6884</v>
      </c>
    </row>
    <row r="2481" spans="1:1" x14ac:dyDescent="0.35">
      <c r="A2481" s="2" t="s">
        <v>6885</v>
      </c>
    </row>
    <row r="2482" spans="1:1" x14ac:dyDescent="0.35">
      <c r="A2482" s="2" t="s">
        <v>6886</v>
      </c>
    </row>
    <row r="2483" spans="1:1" x14ac:dyDescent="0.35">
      <c r="A2483"/>
    </row>
    <row r="2484" spans="1:1" x14ac:dyDescent="0.35">
      <c r="A2484" t="s">
        <v>6887</v>
      </c>
    </row>
    <row r="2486" spans="1:1" ht="23.5" x14ac:dyDescent="0.35">
      <c r="A2486" s="19" t="s">
        <v>6912</v>
      </c>
    </row>
    <row r="2487" spans="1:1" x14ac:dyDescent="0.35">
      <c r="A2487"/>
    </row>
    <row r="2488" spans="1:1" ht="17.5" x14ac:dyDescent="0.35">
      <c r="A2488" s="21" t="s">
        <v>5040</v>
      </c>
    </row>
    <row r="2489" spans="1:1" x14ac:dyDescent="0.35">
      <c r="A2489" s="2"/>
    </row>
    <row r="2490" spans="1:1" x14ac:dyDescent="0.35">
      <c r="A2490" s="3" t="s">
        <v>6911</v>
      </c>
    </row>
    <row r="2491" spans="1:1" x14ac:dyDescent="0.35">
      <c r="A2491" s="3" t="s">
        <v>6910</v>
      </c>
    </row>
    <row r="2492" spans="1:1" x14ac:dyDescent="0.35">
      <c r="A2492" s="3" t="s">
        <v>6909</v>
      </c>
    </row>
    <row r="2493" spans="1:1" x14ac:dyDescent="0.35">
      <c r="A2493" s="3" t="s">
        <v>6908</v>
      </c>
    </row>
    <row r="2494" spans="1:1" x14ac:dyDescent="0.35">
      <c r="A2494" s="3" t="s">
        <v>6907</v>
      </c>
    </row>
    <row r="2495" spans="1:1" x14ac:dyDescent="0.35">
      <c r="A2495"/>
    </row>
    <row r="2496" spans="1:1" ht="17.5" x14ac:dyDescent="0.35">
      <c r="A2496" s="21" t="s">
        <v>5035</v>
      </c>
    </row>
    <row r="2497" spans="1:1" x14ac:dyDescent="0.35">
      <c r="A2497" s="2"/>
    </row>
    <row r="2498" spans="1:1" x14ac:dyDescent="0.35">
      <c r="A2498" s="3" t="s">
        <v>6906</v>
      </c>
    </row>
    <row r="2499" spans="1:1" x14ac:dyDescent="0.35">
      <c r="A2499" s="3" t="s">
        <v>6905</v>
      </c>
    </row>
    <row r="2500" spans="1:1" x14ac:dyDescent="0.35">
      <c r="A2500" s="3" t="s">
        <v>6904</v>
      </c>
    </row>
    <row r="2501" spans="1:1" x14ac:dyDescent="0.35">
      <c r="A2501" s="3" t="s">
        <v>6903</v>
      </c>
    </row>
    <row r="2502" spans="1:1" x14ac:dyDescent="0.35">
      <c r="A2502"/>
    </row>
    <row r="2503" spans="1:1" ht="17.5" x14ac:dyDescent="0.35">
      <c r="A2503" s="21" t="s">
        <v>5030</v>
      </c>
    </row>
    <row r="2504" spans="1:1" x14ac:dyDescent="0.35">
      <c r="A2504" s="2"/>
    </row>
    <row r="2505" spans="1:1" x14ac:dyDescent="0.35">
      <c r="A2505" s="3" t="s">
        <v>6902</v>
      </c>
    </row>
    <row r="2506" spans="1:1" x14ac:dyDescent="0.35">
      <c r="A2506" s="3" t="s">
        <v>6901</v>
      </c>
    </row>
    <row r="2507" spans="1:1" x14ac:dyDescent="0.35">
      <c r="A2507" s="3" t="s">
        <v>6900</v>
      </c>
    </row>
    <row r="2508" spans="1:1" x14ac:dyDescent="0.35">
      <c r="A2508" s="3" t="s">
        <v>6899</v>
      </c>
    </row>
    <row r="2509" spans="1:1" x14ac:dyDescent="0.35">
      <c r="A2509" s="3" t="s">
        <v>6898</v>
      </c>
    </row>
    <row r="2510" spans="1:1" x14ac:dyDescent="0.35">
      <c r="A2510"/>
    </row>
    <row r="2511" spans="1:1" ht="17.5" x14ac:dyDescent="0.35">
      <c r="A2511" s="21" t="s">
        <v>5025</v>
      </c>
    </row>
    <row r="2512" spans="1:1" x14ac:dyDescent="0.35">
      <c r="A2512" s="2"/>
    </row>
    <row r="2513" spans="1:1" x14ac:dyDescent="0.35">
      <c r="A2513" s="3" t="s">
        <v>6897</v>
      </c>
    </row>
    <row r="2514" spans="1:1" x14ac:dyDescent="0.35">
      <c r="A2514" s="3" t="s">
        <v>6896</v>
      </c>
    </row>
    <row r="2515" spans="1:1" x14ac:dyDescent="0.35">
      <c r="A2515" s="3" t="s">
        <v>6895</v>
      </c>
    </row>
    <row r="2516" spans="1:1" x14ac:dyDescent="0.35">
      <c r="A2516" s="3" t="s">
        <v>6894</v>
      </c>
    </row>
    <row r="2517" spans="1:1" x14ac:dyDescent="0.35">
      <c r="A2517" s="3" t="s">
        <v>6893</v>
      </c>
    </row>
    <row r="2518" spans="1:1" x14ac:dyDescent="0.35">
      <c r="A2518"/>
    </row>
    <row r="2519" spans="1:1" ht="17.5" x14ac:dyDescent="0.35">
      <c r="A2519" s="21" t="s">
        <v>4280</v>
      </c>
    </row>
    <row r="2520" spans="1:1" x14ac:dyDescent="0.35">
      <c r="A2520" s="2"/>
    </row>
    <row r="2521" spans="1:1" x14ac:dyDescent="0.35">
      <c r="A2521" s="3" t="s">
        <v>6892</v>
      </c>
    </row>
    <row r="2522" spans="1:1" x14ac:dyDescent="0.35">
      <c r="A2522" s="3" t="s">
        <v>6891</v>
      </c>
    </row>
    <row r="2523" spans="1:1" x14ac:dyDescent="0.35">
      <c r="A2523" s="3" t="s">
        <v>6890</v>
      </c>
    </row>
    <row r="2524" spans="1:1" x14ac:dyDescent="0.35">
      <c r="A2524" s="3" t="s">
        <v>6889</v>
      </c>
    </row>
    <row r="2525" spans="1:1" x14ac:dyDescent="0.35">
      <c r="A2525"/>
    </row>
    <row r="2526" spans="1:1" x14ac:dyDescent="0.35">
      <c r="A2526" s="1" t="s">
        <v>6888</v>
      </c>
    </row>
    <row r="2529" spans="1:1" x14ac:dyDescent="0.35">
      <c r="A2529" s="5" t="s">
        <v>6995</v>
      </c>
    </row>
    <row r="2530" spans="1:1" x14ac:dyDescent="0.35">
      <c r="A2530" t="s">
        <v>6996</v>
      </c>
    </row>
    <row r="2531" spans="1:1" x14ac:dyDescent="0.35">
      <c r="A2531"/>
    </row>
    <row r="2532" spans="1:1" x14ac:dyDescent="0.35">
      <c r="A2532" s="1" t="s">
        <v>6997</v>
      </c>
    </row>
    <row r="2533" spans="1:1" x14ac:dyDescent="0.35">
      <c r="A2533"/>
    </row>
    <row r="2534" spans="1:1" x14ac:dyDescent="0.35">
      <c r="A2534" s="1" t="s">
        <v>6998</v>
      </c>
    </row>
    <row r="2535" spans="1:1" x14ac:dyDescent="0.35">
      <c r="A2535" s="2"/>
    </row>
    <row r="2536" spans="1:1" x14ac:dyDescent="0.35">
      <c r="A2536" s="3" t="s">
        <v>6999</v>
      </c>
    </row>
    <row r="2537" spans="1:1" x14ac:dyDescent="0.35">
      <c r="A2537" s="3" t="s">
        <v>7000</v>
      </c>
    </row>
    <row r="2538" spans="1:1" x14ac:dyDescent="0.35">
      <c r="A2538" s="3" t="s">
        <v>7001</v>
      </c>
    </row>
    <row r="2539" spans="1:1" x14ac:dyDescent="0.35">
      <c r="A2539" s="3" t="s">
        <v>7002</v>
      </c>
    </row>
    <row r="2540" spans="1:1" x14ac:dyDescent="0.35">
      <c r="A2540"/>
    </row>
    <row r="2541" spans="1:1" x14ac:dyDescent="0.35">
      <c r="A2541" s="1" t="s">
        <v>7003</v>
      </c>
    </row>
    <row r="2542" spans="1:1" x14ac:dyDescent="0.35">
      <c r="A2542" s="2"/>
    </row>
    <row r="2543" spans="1:1" x14ac:dyDescent="0.35">
      <c r="A2543" s="2" t="s">
        <v>7004</v>
      </c>
    </row>
    <row r="2544" spans="1:1" x14ac:dyDescent="0.35">
      <c r="A2544" s="2" t="s">
        <v>7005</v>
      </c>
    </row>
    <row r="2545" spans="1:1" x14ac:dyDescent="0.35">
      <c r="A2545" s="2" t="s">
        <v>7006</v>
      </c>
    </row>
    <row r="2546" spans="1:1" x14ac:dyDescent="0.35">
      <c r="A2546" s="2" t="s">
        <v>7007</v>
      </c>
    </row>
    <row r="2547" spans="1:1" x14ac:dyDescent="0.35">
      <c r="A2547"/>
    </row>
    <row r="2548" spans="1:1" x14ac:dyDescent="0.35">
      <c r="A2548" s="1" t="s">
        <v>4280</v>
      </c>
    </row>
    <row r="2549" spans="1:1" x14ac:dyDescent="0.35">
      <c r="A2549" s="2"/>
    </row>
    <row r="2550" spans="1:1" x14ac:dyDescent="0.35">
      <c r="A2550" s="2" t="s">
        <v>7008</v>
      </c>
    </row>
    <row r="2551" spans="1:1" x14ac:dyDescent="0.35">
      <c r="A2551" s="2" t="s">
        <v>7009</v>
      </c>
    </row>
    <row r="2552" spans="1:1" x14ac:dyDescent="0.35">
      <c r="A2552" s="2" t="s">
        <v>7010</v>
      </c>
    </row>
    <row r="2553" spans="1:1" x14ac:dyDescent="0.35">
      <c r="A2553" s="2" t="s">
        <v>7011</v>
      </c>
    </row>
    <row r="2554" spans="1:1" x14ac:dyDescent="0.35">
      <c r="A2554"/>
    </row>
    <row r="2555" spans="1:1" x14ac:dyDescent="0.35">
      <c r="A2555" t="s">
        <v>7012</v>
      </c>
    </row>
    <row r="2557" spans="1:1" ht="23.5" x14ac:dyDescent="0.35">
      <c r="A2557" s="19" t="s">
        <v>7031</v>
      </c>
    </row>
    <row r="2558" spans="1:1" x14ac:dyDescent="0.35">
      <c r="A2558"/>
    </row>
    <row r="2559" spans="1:1" ht="17.5" x14ac:dyDescent="0.35">
      <c r="A2559" s="21" t="s">
        <v>5040</v>
      </c>
    </row>
    <row r="2560" spans="1:1" x14ac:dyDescent="0.35">
      <c r="A2560" s="2"/>
    </row>
    <row r="2561" spans="1:1" x14ac:dyDescent="0.35">
      <c r="A2561" s="3" t="s">
        <v>7030</v>
      </c>
    </row>
    <row r="2562" spans="1:1" x14ac:dyDescent="0.35">
      <c r="A2562" s="3" t="s">
        <v>7029</v>
      </c>
    </row>
    <row r="2563" spans="1:1" x14ac:dyDescent="0.35">
      <c r="A2563" s="3" t="s">
        <v>7028</v>
      </c>
    </row>
    <row r="2564" spans="1:1" x14ac:dyDescent="0.35">
      <c r="A2564" s="3" t="s">
        <v>7027</v>
      </c>
    </row>
    <row r="2565" spans="1:1" x14ac:dyDescent="0.35">
      <c r="A2565"/>
    </row>
    <row r="2566" spans="1:1" ht="17.5" x14ac:dyDescent="0.35">
      <c r="A2566" s="21" t="s">
        <v>5035</v>
      </c>
    </row>
    <row r="2567" spans="1:1" x14ac:dyDescent="0.35">
      <c r="A2567" s="2"/>
    </row>
    <row r="2568" spans="1:1" x14ac:dyDescent="0.35">
      <c r="A2568" s="3" t="s">
        <v>7026</v>
      </c>
    </row>
    <row r="2569" spans="1:1" x14ac:dyDescent="0.35">
      <c r="A2569" s="3" t="s">
        <v>7025</v>
      </c>
    </row>
    <row r="2570" spans="1:1" x14ac:dyDescent="0.35">
      <c r="A2570" s="3" t="s">
        <v>7024</v>
      </c>
    </row>
    <row r="2571" spans="1:1" x14ac:dyDescent="0.35">
      <c r="A2571" s="3" t="s">
        <v>7023</v>
      </c>
    </row>
    <row r="2572" spans="1:1" x14ac:dyDescent="0.35">
      <c r="A2572"/>
    </row>
    <row r="2573" spans="1:1" ht="17.5" x14ac:dyDescent="0.35">
      <c r="A2573" s="21" t="s">
        <v>5030</v>
      </c>
    </row>
    <row r="2574" spans="1:1" x14ac:dyDescent="0.35">
      <c r="A2574" s="2"/>
    </row>
    <row r="2575" spans="1:1" x14ac:dyDescent="0.35">
      <c r="A2575" s="3" t="s">
        <v>7022</v>
      </c>
    </row>
    <row r="2576" spans="1:1" x14ac:dyDescent="0.35">
      <c r="A2576" s="3" t="s">
        <v>7021</v>
      </c>
    </row>
    <row r="2577" spans="1:1" x14ac:dyDescent="0.35">
      <c r="A2577" s="3" t="s">
        <v>7020</v>
      </c>
    </row>
    <row r="2578" spans="1:1" x14ac:dyDescent="0.35">
      <c r="A2578" s="3" t="s">
        <v>7019</v>
      </c>
    </row>
    <row r="2579" spans="1:1" x14ac:dyDescent="0.35">
      <c r="A2579" s="3" t="s">
        <v>7018</v>
      </c>
    </row>
    <row r="2580" spans="1:1" x14ac:dyDescent="0.35">
      <c r="A2580"/>
    </row>
    <row r="2581" spans="1:1" ht="17.5" x14ac:dyDescent="0.35">
      <c r="A2581" s="21" t="s">
        <v>5025</v>
      </c>
    </row>
    <row r="2582" spans="1:1" x14ac:dyDescent="0.35">
      <c r="A2582" s="2"/>
    </row>
    <row r="2583" spans="1:1" x14ac:dyDescent="0.35">
      <c r="A2583" s="3" t="s">
        <v>7017</v>
      </c>
    </row>
    <row r="2584" spans="1:1" x14ac:dyDescent="0.35">
      <c r="A2584" s="3" t="s">
        <v>7016</v>
      </c>
    </row>
    <row r="2585" spans="1:1" x14ac:dyDescent="0.35">
      <c r="A2585" s="3" t="s">
        <v>7015</v>
      </c>
    </row>
    <row r="2586" spans="1:1" x14ac:dyDescent="0.35">
      <c r="A2586" s="3" t="s">
        <v>7014</v>
      </c>
    </row>
    <row r="2587" spans="1:1" x14ac:dyDescent="0.35">
      <c r="A2587"/>
    </row>
    <row r="2588" spans="1:1" x14ac:dyDescent="0.35">
      <c r="A2588" s="1" t="s">
        <v>7013</v>
      </c>
    </row>
    <row r="2591" spans="1:1" x14ac:dyDescent="0.35">
      <c r="A2591" s="5" t="s">
        <v>7032</v>
      </c>
    </row>
    <row r="2592" spans="1:1" x14ac:dyDescent="0.35">
      <c r="A2592" t="s">
        <v>7143</v>
      </c>
    </row>
    <row r="2593" spans="1:1" x14ac:dyDescent="0.35">
      <c r="A2593"/>
    </row>
    <row r="2594" spans="1:1" x14ac:dyDescent="0.35">
      <c r="A2594" s="1" t="s">
        <v>7144</v>
      </c>
    </row>
    <row r="2595" spans="1:1" x14ac:dyDescent="0.35">
      <c r="A2595"/>
    </row>
    <row r="2596" spans="1:1" x14ac:dyDescent="0.35">
      <c r="A2596" s="1" t="s">
        <v>6554</v>
      </c>
    </row>
    <row r="2597" spans="1:1" x14ac:dyDescent="0.35">
      <c r="A2597" s="2"/>
    </row>
    <row r="2598" spans="1:1" x14ac:dyDescent="0.35">
      <c r="A2598" s="3" t="s">
        <v>7145</v>
      </c>
    </row>
    <row r="2599" spans="1:1" x14ac:dyDescent="0.35">
      <c r="A2599" s="3" t="s">
        <v>7146</v>
      </c>
    </row>
    <row r="2600" spans="1:1" x14ac:dyDescent="0.35">
      <c r="A2600" s="3" t="s">
        <v>7147</v>
      </c>
    </row>
    <row r="2601" spans="1:1" x14ac:dyDescent="0.35">
      <c r="A2601" s="3" t="s">
        <v>7148</v>
      </c>
    </row>
    <row r="2602" spans="1:1" x14ac:dyDescent="0.35">
      <c r="A2602"/>
    </row>
    <row r="2603" spans="1:1" x14ac:dyDescent="0.35">
      <c r="A2603" s="1" t="s">
        <v>7149</v>
      </c>
    </row>
    <row r="2604" spans="1:1" x14ac:dyDescent="0.35">
      <c r="A2604" s="2"/>
    </row>
    <row r="2605" spans="1:1" x14ac:dyDescent="0.35">
      <c r="A2605" s="3" t="s">
        <v>7150</v>
      </c>
    </row>
    <row r="2606" spans="1:1" x14ac:dyDescent="0.35">
      <c r="A2606" s="3" t="s">
        <v>7151</v>
      </c>
    </row>
    <row r="2607" spans="1:1" x14ac:dyDescent="0.35">
      <c r="A2607" s="3" t="s">
        <v>7152</v>
      </c>
    </row>
    <row r="2608" spans="1:1" x14ac:dyDescent="0.35">
      <c r="A2608" s="3" t="s">
        <v>7153</v>
      </c>
    </row>
    <row r="2609" spans="1:1" x14ac:dyDescent="0.35">
      <c r="A2609"/>
    </row>
    <row r="2610" spans="1:1" x14ac:dyDescent="0.35">
      <c r="A2610" s="1" t="s">
        <v>7154</v>
      </c>
    </row>
    <row r="2611" spans="1:1" x14ac:dyDescent="0.35">
      <c r="A2611" s="2"/>
    </row>
    <row r="2612" spans="1:1" x14ac:dyDescent="0.35">
      <c r="A2612" s="2" t="s">
        <v>7155</v>
      </c>
    </row>
    <row r="2613" spans="1:1" x14ac:dyDescent="0.35">
      <c r="A2613" s="2" t="s">
        <v>7156</v>
      </c>
    </row>
    <row r="2614" spans="1:1" x14ac:dyDescent="0.35">
      <c r="A2614" s="2" t="s">
        <v>7157</v>
      </c>
    </row>
    <row r="2615" spans="1:1" x14ac:dyDescent="0.35">
      <c r="A2615" s="2" t="s">
        <v>7158</v>
      </c>
    </row>
    <row r="2616" spans="1:1" x14ac:dyDescent="0.35">
      <c r="A2616"/>
    </row>
    <row r="2617" spans="1:1" x14ac:dyDescent="0.35">
      <c r="A2617" t="s">
        <v>7159</v>
      </c>
    </row>
    <row r="2619" spans="1:1" ht="23.5" x14ac:dyDescent="0.35">
      <c r="A2619" s="19" t="s">
        <v>7183</v>
      </c>
    </row>
    <row r="2620" spans="1:1" x14ac:dyDescent="0.35">
      <c r="A2620"/>
    </row>
    <row r="2621" spans="1:1" ht="17.5" x14ac:dyDescent="0.35">
      <c r="A2621" s="21" t="s">
        <v>5040</v>
      </c>
    </row>
    <row r="2622" spans="1:1" x14ac:dyDescent="0.35">
      <c r="A2622" s="2"/>
    </row>
    <row r="2623" spans="1:1" x14ac:dyDescent="0.35">
      <c r="A2623" s="3" t="s">
        <v>7182</v>
      </c>
    </row>
    <row r="2624" spans="1:1" x14ac:dyDescent="0.35">
      <c r="A2624" s="3" t="s">
        <v>7181</v>
      </c>
    </row>
    <row r="2625" spans="1:1" x14ac:dyDescent="0.35">
      <c r="A2625" s="3" t="s">
        <v>7180</v>
      </c>
    </row>
    <row r="2626" spans="1:1" x14ac:dyDescent="0.35">
      <c r="A2626" s="3" t="s">
        <v>7179</v>
      </c>
    </row>
    <row r="2627" spans="1:1" x14ac:dyDescent="0.35">
      <c r="A2627" s="3" t="s">
        <v>7178</v>
      </c>
    </row>
    <row r="2628" spans="1:1" x14ac:dyDescent="0.35">
      <c r="A2628"/>
    </row>
    <row r="2629" spans="1:1" ht="17.5" x14ac:dyDescent="0.35">
      <c r="A2629" s="21" t="s">
        <v>5035</v>
      </c>
    </row>
    <row r="2630" spans="1:1" x14ac:dyDescent="0.35">
      <c r="A2630" s="2"/>
    </row>
    <row r="2631" spans="1:1" x14ac:dyDescent="0.35">
      <c r="A2631" s="3" t="s">
        <v>7177</v>
      </c>
    </row>
    <row r="2632" spans="1:1" x14ac:dyDescent="0.35">
      <c r="A2632" s="3" t="s">
        <v>7176</v>
      </c>
    </row>
    <row r="2633" spans="1:1" x14ac:dyDescent="0.35">
      <c r="A2633" s="3" t="s">
        <v>7175</v>
      </c>
    </row>
    <row r="2634" spans="1:1" x14ac:dyDescent="0.35">
      <c r="A2634" s="3" t="s">
        <v>7174</v>
      </c>
    </row>
    <row r="2635" spans="1:1" x14ac:dyDescent="0.35">
      <c r="A2635"/>
    </row>
    <row r="2636" spans="1:1" ht="17.5" x14ac:dyDescent="0.35">
      <c r="A2636" s="21" t="s">
        <v>5030</v>
      </c>
    </row>
    <row r="2637" spans="1:1" x14ac:dyDescent="0.35">
      <c r="A2637" s="2"/>
    </row>
    <row r="2638" spans="1:1" x14ac:dyDescent="0.35">
      <c r="A2638" s="3" t="s">
        <v>7173</v>
      </c>
    </row>
    <row r="2639" spans="1:1" x14ac:dyDescent="0.35">
      <c r="A2639" s="3" t="s">
        <v>7172</v>
      </c>
    </row>
    <row r="2640" spans="1:1" x14ac:dyDescent="0.35">
      <c r="A2640" s="3" t="s">
        <v>7171</v>
      </c>
    </row>
    <row r="2641" spans="1:1" x14ac:dyDescent="0.35">
      <c r="A2641" s="3" t="s">
        <v>7170</v>
      </c>
    </row>
    <row r="2642" spans="1:1" x14ac:dyDescent="0.35">
      <c r="A2642" s="3" t="s">
        <v>7169</v>
      </c>
    </row>
    <row r="2643" spans="1:1" x14ac:dyDescent="0.35">
      <c r="A2643"/>
    </row>
    <row r="2644" spans="1:1" ht="17.5" x14ac:dyDescent="0.35">
      <c r="A2644" s="21" t="s">
        <v>5025</v>
      </c>
    </row>
    <row r="2645" spans="1:1" x14ac:dyDescent="0.35">
      <c r="A2645" s="2"/>
    </row>
    <row r="2646" spans="1:1" x14ac:dyDescent="0.35">
      <c r="A2646" s="3" t="s">
        <v>7168</v>
      </c>
    </row>
    <row r="2647" spans="1:1" x14ac:dyDescent="0.35">
      <c r="A2647" s="3" t="s">
        <v>7167</v>
      </c>
    </row>
    <row r="2648" spans="1:1" x14ac:dyDescent="0.35">
      <c r="A2648" s="3" t="s">
        <v>7166</v>
      </c>
    </row>
    <row r="2649" spans="1:1" x14ac:dyDescent="0.35">
      <c r="A2649" s="3" t="s">
        <v>7165</v>
      </c>
    </row>
    <row r="2650" spans="1:1" x14ac:dyDescent="0.35">
      <c r="A2650"/>
    </row>
    <row r="2651" spans="1:1" ht="17.5" x14ac:dyDescent="0.35">
      <c r="A2651" s="21" t="s">
        <v>4280</v>
      </c>
    </row>
    <row r="2652" spans="1:1" x14ac:dyDescent="0.35">
      <c r="A2652" s="2"/>
    </row>
    <row r="2653" spans="1:1" x14ac:dyDescent="0.35">
      <c r="A2653" s="3" t="s">
        <v>7164</v>
      </c>
    </row>
    <row r="2654" spans="1:1" x14ac:dyDescent="0.35">
      <c r="A2654" s="3" t="s">
        <v>7163</v>
      </c>
    </row>
    <row r="2655" spans="1:1" x14ac:dyDescent="0.35">
      <c r="A2655" s="3" t="s">
        <v>7162</v>
      </c>
    </row>
    <row r="2656" spans="1:1" x14ac:dyDescent="0.35">
      <c r="A2656" s="3" t="s">
        <v>7161</v>
      </c>
    </row>
    <row r="2657" spans="1:1" x14ac:dyDescent="0.35">
      <c r="A2657"/>
    </row>
    <row r="2658" spans="1:1" x14ac:dyDescent="0.35">
      <c r="A2658" s="1" t="s">
        <v>7160</v>
      </c>
    </row>
    <row r="2661" spans="1:1" x14ac:dyDescent="0.35">
      <c r="A2661" s="5" t="s">
        <v>7184</v>
      </c>
    </row>
    <row r="2662" spans="1:1" x14ac:dyDescent="0.35">
      <c r="A2662" t="s">
        <v>7277</v>
      </c>
    </row>
    <row r="2663" spans="1:1" x14ac:dyDescent="0.35">
      <c r="A2663"/>
    </row>
    <row r="2664" spans="1:1" x14ac:dyDescent="0.35">
      <c r="A2664" s="1" t="s">
        <v>7278</v>
      </c>
    </row>
    <row r="2665" spans="1:1" x14ac:dyDescent="0.35">
      <c r="A2665"/>
    </row>
    <row r="2666" spans="1:1" x14ac:dyDescent="0.35">
      <c r="A2666" t="s">
        <v>7279</v>
      </c>
    </row>
    <row r="2667" spans="1:1" x14ac:dyDescent="0.35">
      <c r="A2667"/>
    </row>
    <row r="2668" spans="1:1" x14ac:dyDescent="0.35">
      <c r="A2668" s="1" t="s">
        <v>7280</v>
      </c>
    </row>
    <row r="2669" spans="1:1" x14ac:dyDescent="0.35">
      <c r="A2669" s="2"/>
    </row>
    <row r="2670" spans="1:1" x14ac:dyDescent="0.35">
      <c r="A2670" s="3" t="s">
        <v>7281</v>
      </c>
    </row>
    <row r="2671" spans="1:1" x14ac:dyDescent="0.35">
      <c r="A2671" s="3" t="s">
        <v>7282</v>
      </c>
    </row>
    <row r="2672" spans="1:1" x14ac:dyDescent="0.35">
      <c r="A2672" s="3" t="s">
        <v>7283</v>
      </c>
    </row>
    <row r="2673" spans="1:1" x14ac:dyDescent="0.35">
      <c r="A2673" s="3" t="s">
        <v>7284</v>
      </c>
    </row>
    <row r="2674" spans="1:1" x14ac:dyDescent="0.35">
      <c r="A2674" s="3" t="s">
        <v>7285</v>
      </c>
    </row>
    <row r="2675" spans="1:1" x14ac:dyDescent="0.35">
      <c r="A2675"/>
    </row>
    <row r="2676" spans="1:1" x14ac:dyDescent="0.35">
      <c r="A2676" s="1" t="s">
        <v>5012</v>
      </c>
    </row>
    <row r="2677" spans="1:1" x14ac:dyDescent="0.35">
      <c r="A2677" s="2"/>
    </row>
    <row r="2678" spans="1:1" x14ac:dyDescent="0.35">
      <c r="A2678" s="2" t="s">
        <v>7286</v>
      </c>
    </row>
    <row r="2679" spans="1:1" x14ac:dyDescent="0.35">
      <c r="A2679" s="2" t="s">
        <v>7287</v>
      </c>
    </row>
    <row r="2680" spans="1:1" x14ac:dyDescent="0.35">
      <c r="A2680" s="2" t="s">
        <v>7288</v>
      </c>
    </row>
    <row r="2681" spans="1:1" x14ac:dyDescent="0.35">
      <c r="A2681" s="2" t="s">
        <v>7289</v>
      </c>
    </row>
    <row r="2682" spans="1:1" x14ac:dyDescent="0.35">
      <c r="A2682"/>
    </row>
    <row r="2683" spans="1:1" x14ac:dyDescent="0.35">
      <c r="A2683" s="1" t="s">
        <v>7290</v>
      </c>
    </row>
    <row r="2684" spans="1:1" x14ac:dyDescent="0.35">
      <c r="A2684" s="2"/>
    </row>
    <row r="2685" spans="1:1" x14ac:dyDescent="0.35">
      <c r="A2685" s="2" t="s">
        <v>7291</v>
      </c>
    </row>
    <row r="2686" spans="1:1" x14ac:dyDescent="0.35">
      <c r="A2686" s="2" t="s">
        <v>7292</v>
      </c>
    </row>
    <row r="2687" spans="1:1" x14ac:dyDescent="0.35">
      <c r="A2687" s="2" t="s">
        <v>7293</v>
      </c>
    </row>
    <row r="2688" spans="1:1" x14ac:dyDescent="0.35">
      <c r="A2688" s="2" t="s">
        <v>7294</v>
      </c>
    </row>
    <row r="2689" spans="1:1" x14ac:dyDescent="0.35">
      <c r="A2689"/>
    </row>
    <row r="2690" spans="1:1" x14ac:dyDescent="0.35">
      <c r="A2690" t="s">
        <v>7295</v>
      </c>
    </row>
    <row r="2692" spans="1:1" ht="23.5" x14ac:dyDescent="0.35">
      <c r="A2692" s="19" t="s">
        <v>7318</v>
      </c>
    </row>
    <row r="2693" spans="1:1" x14ac:dyDescent="0.35">
      <c r="A2693"/>
    </row>
    <row r="2694" spans="1:1" ht="17.5" x14ac:dyDescent="0.35">
      <c r="A2694" s="21" t="s">
        <v>5040</v>
      </c>
    </row>
    <row r="2695" spans="1:1" x14ac:dyDescent="0.35">
      <c r="A2695" s="2"/>
    </row>
    <row r="2696" spans="1:1" x14ac:dyDescent="0.35">
      <c r="A2696" s="3" t="s">
        <v>7317</v>
      </c>
    </row>
    <row r="2697" spans="1:1" x14ac:dyDescent="0.35">
      <c r="A2697" s="3" t="s">
        <v>7316</v>
      </c>
    </row>
    <row r="2698" spans="1:1" x14ac:dyDescent="0.35">
      <c r="A2698" s="3" t="s">
        <v>7315</v>
      </c>
    </row>
    <row r="2699" spans="1:1" x14ac:dyDescent="0.35">
      <c r="A2699" s="3" t="s">
        <v>7314</v>
      </c>
    </row>
    <row r="2700" spans="1:1" x14ac:dyDescent="0.35">
      <c r="A2700"/>
    </row>
    <row r="2701" spans="1:1" ht="17.5" x14ac:dyDescent="0.35">
      <c r="A2701" s="21" t="s">
        <v>5035</v>
      </c>
    </row>
    <row r="2702" spans="1:1" x14ac:dyDescent="0.35">
      <c r="A2702" s="2"/>
    </row>
    <row r="2703" spans="1:1" x14ac:dyDescent="0.35">
      <c r="A2703" s="3" t="s">
        <v>7313</v>
      </c>
    </row>
    <row r="2704" spans="1:1" x14ac:dyDescent="0.35">
      <c r="A2704" s="3" t="s">
        <v>7312</v>
      </c>
    </row>
    <row r="2705" spans="1:1" x14ac:dyDescent="0.35">
      <c r="A2705" s="3" t="s">
        <v>7311</v>
      </c>
    </row>
    <row r="2706" spans="1:1" x14ac:dyDescent="0.35">
      <c r="A2706" s="3" t="s">
        <v>7310</v>
      </c>
    </row>
    <row r="2707" spans="1:1" x14ac:dyDescent="0.35">
      <c r="A2707"/>
    </row>
    <row r="2708" spans="1:1" ht="17.5" x14ac:dyDescent="0.35">
      <c r="A2708" s="21" t="s">
        <v>5030</v>
      </c>
    </row>
    <row r="2709" spans="1:1" x14ac:dyDescent="0.35">
      <c r="A2709" s="2"/>
    </row>
    <row r="2710" spans="1:1" x14ac:dyDescent="0.35">
      <c r="A2710" s="3" t="s">
        <v>7309</v>
      </c>
    </row>
    <row r="2711" spans="1:1" x14ac:dyDescent="0.35">
      <c r="A2711" s="3" t="s">
        <v>7308</v>
      </c>
    </row>
    <row r="2712" spans="1:1" x14ac:dyDescent="0.35">
      <c r="A2712" s="3" t="s">
        <v>7307</v>
      </c>
    </row>
    <row r="2713" spans="1:1" x14ac:dyDescent="0.35">
      <c r="A2713" s="3" t="s">
        <v>7306</v>
      </c>
    </row>
    <row r="2714" spans="1:1" x14ac:dyDescent="0.35">
      <c r="A2714" s="3" t="s">
        <v>7305</v>
      </c>
    </row>
    <row r="2715" spans="1:1" x14ac:dyDescent="0.35">
      <c r="A2715"/>
    </row>
    <row r="2716" spans="1:1" ht="17.5" x14ac:dyDescent="0.35">
      <c r="A2716" s="21" t="s">
        <v>5025</v>
      </c>
    </row>
    <row r="2717" spans="1:1" x14ac:dyDescent="0.35">
      <c r="A2717" s="2"/>
    </row>
    <row r="2718" spans="1:1" x14ac:dyDescent="0.35">
      <c r="A2718" s="3" t="s">
        <v>7304</v>
      </c>
    </row>
    <row r="2719" spans="1:1" x14ac:dyDescent="0.35">
      <c r="A2719" s="3" t="s">
        <v>7303</v>
      </c>
    </row>
    <row r="2720" spans="1:1" x14ac:dyDescent="0.35">
      <c r="A2720" s="3" t="s">
        <v>7302</v>
      </c>
    </row>
    <row r="2721" spans="1:1" x14ac:dyDescent="0.35">
      <c r="A2721" s="3" t="s">
        <v>7301</v>
      </c>
    </row>
    <row r="2722" spans="1:1" x14ac:dyDescent="0.35">
      <c r="A2722"/>
    </row>
    <row r="2723" spans="1:1" ht="17.5" x14ac:dyDescent="0.35">
      <c r="A2723" s="21" t="s">
        <v>4280</v>
      </c>
    </row>
    <row r="2724" spans="1:1" x14ac:dyDescent="0.35">
      <c r="A2724" s="2"/>
    </row>
    <row r="2725" spans="1:1" x14ac:dyDescent="0.35">
      <c r="A2725" s="3" t="s">
        <v>7300</v>
      </c>
    </row>
    <row r="2726" spans="1:1" x14ac:dyDescent="0.35">
      <c r="A2726" s="3" t="s">
        <v>7299</v>
      </c>
    </row>
    <row r="2727" spans="1:1" x14ac:dyDescent="0.35">
      <c r="A2727" s="3" t="s">
        <v>7298</v>
      </c>
    </row>
    <row r="2728" spans="1:1" x14ac:dyDescent="0.35">
      <c r="A2728" s="3" t="s">
        <v>7297</v>
      </c>
    </row>
    <row r="2729" spans="1:1" x14ac:dyDescent="0.35">
      <c r="A2729"/>
    </row>
    <row r="2730" spans="1:1" x14ac:dyDescent="0.35">
      <c r="A2730" s="1" t="s">
        <v>7296</v>
      </c>
    </row>
    <row r="2733" spans="1:1" x14ac:dyDescent="0.35">
      <c r="A2733" s="5" t="s">
        <v>7319</v>
      </c>
    </row>
    <row r="2734" spans="1:1" x14ac:dyDescent="0.35">
      <c r="A2734" t="s">
        <v>7399</v>
      </c>
    </row>
    <row r="2735" spans="1:1" x14ac:dyDescent="0.35">
      <c r="A2735"/>
    </row>
    <row r="2736" spans="1:1" x14ac:dyDescent="0.35">
      <c r="A2736" s="1" t="s">
        <v>7400</v>
      </c>
    </row>
    <row r="2737" spans="1:1" x14ac:dyDescent="0.35">
      <c r="A2737"/>
    </row>
    <row r="2738" spans="1:1" x14ac:dyDescent="0.35">
      <c r="A2738" t="s">
        <v>7401</v>
      </c>
    </row>
    <row r="2739" spans="1:1" x14ac:dyDescent="0.35">
      <c r="A2739"/>
    </row>
    <row r="2740" spans="1:1" x14ac:dyDescent="0.35">
      <c r="A2740" s="1" t="s">
        <v>7402</v>
      </c>
    </row>
    <row r="2741" spans="1:1" x14ac:dyDescent="0.35">
      <c r="A2741" s="2"/>
    </row>
    <row r="2742" spans="1:1" x14ac:dyDescent="0.35">
      <c r="A2742" s="3" t="s">
        <v>7403</v>
      </c>
    </row>
    <row r="2743" spans="1:1" x14ac:dyDescent="0.35">
      <c r="A2743" s="3" t="s">
        <v>7404</v>
      </c>
    </row>
    <row r="2744" spans="1:1" x14ac:dyDescent="0.35">
      <c r="A2744" s="3" t="s">
        <v>7405</v>
      </c>
    </row>
    <row r="2745" spans="1:1" x14ac:dyDescent="0.35">
      <c r="A2745" s="3" t="s">
        <v>7406</v>
      </c>
    </row>
    <row r="2746" spans="1:1" x14ac:dyDescent="0.35">
      <c r="A2746" s="3" t="s">
        <v>7407</v>
      </c>
    </row>
    <row r="2747" spans="1:1" x14ac:dyDescent="0.35">
      <c r="A2747"/>
    </row>
    <row r="2748" spans="1:1" x14ac:dyDescent="0.35">
      <c r="A2748" s="1" t="s">
        <v>7003</v>
      </c>
    </row>
    <row r="2749" spans="1:1" x14ac:dyDescent="0.35">
      <c r="A2749" s="2"/>
    </row>
    <row r="2750" spans="1:1" x14ac:dyDescent="0.35">
      <c r="A2750" s="2" t="s">
        <v>7408</v>
      </c>
    </row>
    <row r="2751" spans="1:1" x14ac:dyDescent="0.35">
      <c r="A2751" s="2" t="s">
        <v>7409</v>
      </c>
    </row>
    <row r="2752" spans="1:1" x14ac:dyDescent="0.35">
      <c r="A2752" s="2" t="s">
        <v>7410</v>
      </c>
    </row>
    <row r="2753" spans="1:1" x14ac:dyDescent="0.35">
      <c r="A2753" s="2" t="s">
        <v>7411</v>
      </c>
    </row>
    <row r="2754" spans="1:1" x14ac:dyDescent="0.35">
      <c r="A2754"/>
    </row>
    <row r="2755" spans="1:1" x14ac:dyDescent="0.35">
      <c r="A2755" s="1" t="s">
        <v>7412</v>
      </c>
    </row>
    <row r="2756" spans="1:1" x14ac:dyDescent="0.35">
      <c r="A2756" s="2"/>
    </row>
    <row r="2757" spans="1:1" x14ac:dyDescent="0.35">
      <c r="A2757" s="3" t="s">
        <v>7413</v>
      </c>
    </row>
    <row r="2758" spans="1:1" x14ac:dyDescent="0.35">
      <c r="A2758" s="3" t="s">
        <v>7414</v>
      </c>
    </row>
    <row r="2759" spans="1:1" x14ac:dyDescent="0.35">
      <c r="A2759" s="3" t="s">
        <v>7415</v>
      </c>
    </row>
    <row r="2760" spans="1:1" x14ac:dyDescent="0.35">
      <c r="A2760" s="3" t="s">
        <v>7416</v>
      </c>
    </row>
    <row r="2761" spans="1:1" x14ac:dyDescent="0.35">
      <c r="A2761"/>
    </row>
    <row r="2762" spans="1:1" x14ac:dyDescent="0.35">
      <c r="A2762" t="s">
        <v>7417</v>
      </c>
    </row>
    <row r="2764" spans="1:1" ht="23.5" x14ac:dyDescent="0.35">
      <c r="A2764" s="19" t="s">
        <v>7436</v>
      </c>
    </row>
    <row r="2765" spans="1:1" x14ac:dyDescent="0.35">
      <c r="A2765"/>
    </row>
    <row r="2766" spans="1:1" ht="17.5" x14ac:dyDescent="0.35">
      <c r="A2766" s="21" t="s">
        <v>5040</v>
      </c>
    </row>
    <row r="2767" spans="1:1" x14ac:dyDescent="0.35">
      <c r="A2767" s="2"/>
    </row>
    <row r="2768" spans="1:1" x14ac:dyDescent="0.35">
      <c r="A2768" s="3" t="s">
        <v>7314</v>
      </c>
    </row>
    <row r="2769" spans="1:1" x14ac:dyDescent="0.35">
      <c r="A2769" s="3" t="s">
        <v>7435</v>
      </c>
    </row>
    <row r="2770" spans="1:1" x14ac:dyDescent="0.35">
      <c r="A2770" s="3" t="s">
        <v>7434</v>
      </c>
    </row>
    <row r="2771" spans="1:1" x14ac:dyDescent="0.35">
      <c r="A2771" s="3" t="s">
        <v>7433</v>
      </c>
    </row>
    <row r="2772" spans="1:1" x14ac:dyDescent="0.35">
      <c r="A2772"/>
    </row>
    <row r="2773" spans="1:1" ht="17.5" x14ac:dyDescent="0.35">
      <c r="A2773" s="21" t="s">
        <v>5035</v>
      </c>
    </row>
    <row r="2774" spans="1:1" x14ac:dyDescent="0.35">
      <c r="A2774" s="2"/>
    </row>
    <row r="2775" spans="1:1" x14ac:dyDescent="0.35">
      <c r="A2775" s="3" t="s">
        <v>7432</v>
      </c>
    </row>
    <row r="2776" spans="1:1" x14ac:dyDescent="0.35">
      <c r="A2776" s="3" t="s">
        <v>7431</v>
      </c>
    </row>
    <row r="2777" spans="1:1" x14ac:dyDescent="0.35">
      <c r="A2777" s="3" t="s">
        <v>7430</v>
      </c>
    </row>
    <row r="2778" spans="1:1" x14ac:dyDescent="0.35">
      <c r="A2778" s="3" t="s">
        <v>7429</v>
      </c>
    </row>
    <row r="2779" spans="1:1" x14ac:dyDescent="0.35">
      <c r="A2779"/>
    </row>
    <row r="2780" spans="1:1" ht="17.5" x14ac:dyDescent="0.35">
      <c r="A2780" s="21" t="s">
        <v>5030</v>
      </c>
    </row>
    <row r="2781" spans="1:1" x14ac:dyDescent="0.35">
      <c r="A2781" s="2"/>
    </row>
    <row r="2782" spans="1:1" x14ac:dyDescent="0.35">
      <c r="A2782" s="3" t="s">
        <v>7428</v>
      </c>
    </row>
    <row r="2783" spans="1:1" x14ac:dyDescent="0.35">
      <c r="A2783" s="3" t="s">
        <v>7427</v>
      </c>
    </row>
    <row r="2784" spans="1:1" x14ac:dyDescent="0.35">
      <c r="A2784" s="3" t="s">
        <v>7426</v>
      </c>
    </row>
    <row r="2785" spans="1:1" x14ac:dyDescent="0.35">
      <c r="A2785" s="3" t="s">
        <v>7425</v>
      </c>
    </row>
    <row r="2786" spans="1:1" x14ac:dyDescent="0.35">
      <c r="A2786" s="3" t="s">
        <v>7424</v>
      </c>
    </row>
    <row r="2787" spans="1:1" x14ac:dyDescent="0.35">
      <c r="A2787" s="3" t="s">
        <v>7423</v>
      </c>
    </row>
    <row r="2788" spans="1:1" x14ac:dyDescent="0.35">
      <c r="A2788"/>
    </row>
    <row r="2789" spans="1:1" ht="17.5" x14ac:dyDescent="0.35">
      <c r="A2789" s="21" t="s">
        <v>5025</v>
      </c>
    </row>
    <row r="2790" spans="1:1" x14ac:dyDescent="0.35">
      <c r="A2790" s="2"/>
    </row>
    <row r="2791" spans="1:1" x14ac:dyDescent="0.35">
      <c r="A2791" s="3" t="s">
        <v>7422</v>
      </c>
    </row>
    <row r="2792" spans="1:1" x14ac:dyDescent="0.35">
      <c r="A2792" s="3" t="s">
        <v>7421</v>
      </c>
    </row>
    <row r="2793" spans="1:1" x14ac:dyDescent="0.35">
      <c r="A2793" s="3" t="s">
        <v>7420</v>
      </c>
    </row>
    <row r="2794" spans="1:1" x14ac:dyDescent="0.35">
      <c r="A2794" s="3" t="s">
        <v>7419</v>
      </c>
    </row>
    <row r="2795" spans="1:1" x14ac:dyDescent="0.35">
      <c r="A2795"/>
    </row>
    <row r="2796" spans="1:1" x14ac:dyDescent="0.35">
      <c r="A2796" s="1" t="s">
        <v>7418</v>
      </c>
    </row>
    <row r="2799" spans="1:1" x14ac:dyDescent="0.35">
      <c r="A2799" s="5" t="s">
        <v>7509</v>
      </c>
    </row>
    <row r="2800" spans="1:1" x14ac:dyDescent="0.35">
      <c r="A2800" t="s">
        <v>7510</v>
      </c>
    </row>
    <row r="2801" spans="1:1" x14ac:dyDescent="0.35">
      <c r="A2801"/>
    </row>
    <row r="2802" spans="1:1" x14ac:dyDescent="0.35">
      <c r="A2802" s="1" t="s">
        <v>7511</v>
      </c>
    </row>
    <row r="2803" spans="1:1" x14ac:dyDescent="0.35">
      <c r="A2803" s="2"/>
    </row>
    <row r="2804" spans="1:1" x14ac:dyDescent="0.35">
      <c r="A2804" s="3" t="s">
        <v>7512</v>
      </c>
    </row>
    <row r="2805" spans="1:1" x14ac:dyDescent="0.35">
      <c r="A2805" s="3" t="s">
        <v>7513</v>
      </c>
    </row>
    <row r="2806" spans="1:1" x14ac:dyDescent="0.35">
      <c r="A2806" s="3" t="s">
        <v>7514</v>
      </c>
    </row>
    <row r="2807" spans="1:1" x14ac:dyDescent="0.35">
      <c r="A2807"/>
    </row>
    <row r="2808" spans="1:1" x14ac:dyDescent="0.35">
      <c r="A2808" s="1" t="s">
        <v>7515</v>
      </c>
    </row>
    <row r="2809" spans="1:1" x14ac:dyDescent="0.35">
      <c r="A2809" s="2"/>
    </row>
    <row r="2810" spans="1:1" x14ac:dyDescent="0.35">
      <c r="A2810" s="3" t="s">
        <v>7516</v>
      </c>
    </row>
    <row r="2811" spans="1:1" x14ac:dyDescent="0.35">
      <c r="A2811" s="3" t="s">
        <v>7517</v>
      </c>
    </row>
    <row r="2812" spans="1:1" x14ac:dyDescent="0.35">
      <c r="A2812" s="3" t="s">
        <v>7518</v>
      </c>
    </row>
    <row r="2813" spans="1:1" x14ac:dyDescent="0.35">
      <c r="A2813" s="3" t="s">
        <v>7519</v>
      </c>
    </row>
    <row r="2814" spans="1:1" x14ac:dyDescent="0.35">
      <c r="A2814" s="3" t="s">
        <v>7520</v>
      </c>
    </row>
    <row r="2815" spans="1:1" x14ac:dyDescent="0.35">
      <c r="A2815"/>
    </row>
    <row r="2816" spans="1:1" x14ac:dyDescent="0.35">
      <c r="A2816" t="s">
        <v>7521</v>
      </c>
    </row>
    <row r="2818" spans="1:1" ht="23.5" x14ac:dyDescent="0.35">
      <c r="A2818" s="19" t="s">
        <v>7546</v>
      </c>
    </row>
    <row r="2819" spans="1:1" x14ac:dyDescent="0.35">
      <c r="A2819"/>
    </row>
    <row r="2820" spans="1:1" ht="17.5" x14ac:dyDescent="0.35">
      <c r="A2820" s="21" t="s">
        <v>5040</v>
      </c>
    </row>
    <row r="2821" spans="1:1" x14ac:dyDescent="0.35">
      <c r="A2821" s="2"/>
    </row>
    <row r="2822" spans="1:1" x14ac:dyDescent="0.35">
      <c r="A2822" s="3" t="s">
        <v>7545</v>
      </c>
    </row>
    <row r="2823" spans="1:1" x14ac:dyDescent="0.35">
      <c r="A2823" s="3" t="s">
        <v>7544</v>
      </c>
    </row>
    <row r="2824" spans="1:1" x14ac:dyDescent="0.35">
      <c r="A2824" s="3" t="s">
        <v>7543</v>
      </c>
    </row>
    <row r="2825" spans="1:1" x14ac:dyDescent="0.35">
      <c r="A2825" s="3" t="s">
        <v>7542</v>
      </c>
    </row>
    <row r="2826" spans="1:1" x14ac:dyDescent="0.35">
      <c r="A2826" s="3" t="s">
        <v>7541</v>
      </c>
    </row>
    <row r="2827" spans="1:1" x14ac:dyDescent="0.35">
      <c r="A2827"/>
    </row>
    <row r="2828" spans="1:1" ht="17.5" x14ac:dyDescent="0.35">
      <c r="A2828" s="21" t="s">
        <v>5035</v>
      </c>
    </row>
    <row r="2829" spans="1:1" x14ac:dyDescent="0.35">
      <c r="A2829" s="2"/>
    </row>
    <row r="2830" spans="1:1" x14ac:dyDescent="0.35">
      <c r="A2830" s="3" t="s">
        <v>7540</v>
      </c>
    </row>
    <row r="2831" spans="1:1" x14ac:dyDescent="0.35">
      <c r="A2831" s="3" t="s">
        <v>7539</v>
      </c>
    </row>
    <row r="2832" spans="1:1" x14ac:dyDescent="0.35">
      <c r="A2832" s="3" t="s">
        <v>7538</v>
      </c>
    </row>
    <row r="2833" spans="1:1" x14ac:dyDescent="0.35">
      <c r="A2833" s="3" t="s">
        <v>7537</v>
      </c>
    </row>
    <row r="2834" spans="1:1" x14ac:dyDescent="0.35">
      <c r="A2834"/>
    </row>
    <row r="2835" spans="1:1" ht="17.5" x14ac:dyDescent="0.35">
      <c r="A2835" s="21" t="s">
        <v>5030</v>
      </c>
    </row>
    <row r="2836" spans="1:1" x14ac:dyDescent="0.35">
      <c r="A2836" s="2"/>
    </row>
    <row r="2837" spans="1:1" x14ac:dyDescent="0.35">
      <c r="A2837" s="3" t="s">
        <v>7536</v>
      </c>
    </row>
    <row r="2838" spans="1:1" x14ac:dyDescent="0.35">
      <c r="A2838" s="3" t="s">
        <v>7535</v>
      </c>
    </row>
    <row r="2839" spans="1:1" x14ac:dyDescent="0.35">
      <c r="A2839" s="3" t="s">
        <v>7534</v>
      </c>
    </row>
    <row r="2840" spans="1:1" x14ac:dyDescent="0.35">
      <c r="A2840" s="3" t="s">
        <v>7533</v>
      </c>
    </row>
    <row r="2841" spans="1:1" x14ac:dyDescent="0.35">
      <c r="A2841" s="3" t="s">
        <v>7532</v>
      </c>
    </row>
    <row r="2842" spans="1:1" x14ac:dyDescent="0.35">
      <c r="A2842"/>
    </row>
    <row r="2843" spans="1:1" ht="17.5" x14ac:dyDescent="0.35">
      <c r="A2843" s="21" t="s">
        <v>5025</v>
      </c>
    </row>
    <row r="2844" spans="1:1" x14ac:dyDescent="0.35">
      <c r="A2844" s="2"/>
    </row>
    <row r="2845" spans="1:1" x14ac:dyDescent="0.35">
      <c r="A2845" s="3" t="s">
        <v>7531</v>
      </c>
    </row>
    <row r="2846" spans="1:1" x14ac:dyDescent="0.35">
      <c r="A2846" s="3" t="s">
        <v>7530</v>
      </c>
    </row>
    <row r="2847" spans="1:1" x14ac:dyDescent="0.35">
      <c r="A2847" s="3" t="s">
        <v>7529</v>
      </c>
    </row>
    <row r="2848" spans="1:1" x14ac:dyDescent="0.35">
      <c r="A2848" s="3" t="s">
        <v>7528</v>
      </c>
    </row>
    <row r="2849" spans="1:1" x14ac:dyDescent="0.35">
      <c r="A2849"/>
    </row>
    <row r="2850" spans="1:1" ht="17.5" x14ac:dyDescent="0.35">
      <c r="A2850" s="21" t="s">
        <v>7527</v>
      </c>
    </row>
    <row r="2851" spans="1:1" x14ac:dyDescent="0.35">
      <c r="A2851" s="2"/>
    </row>
    <row r="2852" spans="1:1" x14ac:dyDescent="0.35">
      <c r="A2852" s="3" t="s">
        <v>7526</v>
      </c>
    </row>
    <row r="2853" spans="1:1" x14ac:dyDescent="0.35">
      <c r="A2853" s="3" t="s">
        <v>7525</v>
      </c>
    </row>
    <row r="2854" spans="1:1" x14ac:dyDescent="0.35">
      <c r="A2854" s="3" t="s">
        <v>7524</v>
      </c>
    </row>
    <row r="2855" spans="1:1" x14ac:dyDescent="0.35">
      <c r="A2855" s="3" t="s">
        <v>7523</v>
      </c>
    </row>
    <row r="2856" spans="1:1" x14ac:dyDescent="0.35">
      <c r="A2856"/>
    </row>
    <row r="2857" spans="1:1" x14ac:dyDescent="0.35">
      <c r="A2857" s="1" t="s">
        <v>7522</v>
      </c>
    </row>
    <row r="2860" spans="1:1" x14ac:dyDescent="0.35">
      <c r="A2860" s="5" t="s">
        <v>7575</v>
      </c>
    </row>
    <row r="2861" spans="1:1" x14ac:dyDescent="0.35">
      <c r="A2861" t="s">
        <v>7576</v>
      </c>
    </row>
    <row r="2862" spans="1:1" x14ac:dyDescent="0.35">
      <c r="A2862"/>
    </row>
    <row r="2863" spans="1:1" x14ac:dyDescent="0.35">
      <c r="A2863" s="1" t="s">
        <v>7577</v>
      </c>
    </row>
    <row r="2864" spans="1:1" x14ac:dyDescent="0.35">
      <c r="A2864"/>
    </row>
    <row r="2865" spans="1:1" x14ac:dyDescent="0.35">
      <c r="A2865" t="s">
        <v>7578</v>
      </c>
    </row>
    <row r="2866" spans="1:1" x14ac:dyDescent="0.35">
      <c r="A2866"/>
    </row>
    <row r="2867" spans="1:1" x14ac:dyDescent="0.35">
      <c r="A2867" s="1" t="s">
        <v>400</v>
      </c>
    </row>
    <row r="2868" spans="1:1" x14ac:dyDescent="0.35">
      <c r="A2868" s="2"/>
    </row>
    <row r="2869" spans="1:1" x14ac:dyDescent="0.35">
      <c r="A2869" s="3" t="s">
        <v>7579</v>
      </c>
    </row>
    <row r="2870" spans="1:1" x14ac:dyDescent="0.35">
      <c r="A2870" s="3" t="s">
        <v>7580</v>
      </c>
    </row>
    <row r="2871" spans="1:1" x14ac:dyDescent="0.35">
      <c r="A2871" s="3" t="s">
        <v>7581</v>
      </c>
    </row>
    <row r="2872" spans="1:1" x14ac:dyDescent="0.35">
      <c r="A2872" s="3" t="s">
        <v>7582</v>
      </c>
    </row>
    <row r="2873" spans="1:1" x14ac:dyDescent="0.35">
      <c r="A2873" s="3" t="s">
        <v>7583</v>
      </c>
    </row>
    <row r="2874" spans="1:1" x14ac:dyDescent="0.35">
      <c r="A2874"/>
    </row>
    <row r="2875" spans="1:1" x14ac:dyDescent="0.35">
      <c r="A2875" s="1" t="s">
        <v>5663</v>
      </c>
    </row>
    <row r="2876" spans="1:1" x14ac:dyDescent="0.35">
      <c r="A2876" s="2"/>
    </row>
    <row r="2877" spans="1:1" x14ac:dyDescent="0.35">
      <c r="A2877" s="3" t="s">
        <v>7584</v>
      </c>
    </row>
    <row r="2878" spans="1:1" x14ac:dyDescent="0.35">
      <c r="A2878" s="3" t="s">
        <v>7585</v>
      </c>
    </row>
    <row r="2879" spans="1:1" x14ac:dyDescent="0.35">
      <c r="A2879" s="3" t="s">
        <v>7586</v>
      </c>
    </row>
    <row r="2880" spans="1:1" x14ac:dyDescent="0.35">
      <c r="A2880" s="3" t="s">
        <v>7587</v>
      </c>
    </row>
    <row r="2881" spans="1:1" x14ac:dyDescent="0.35">
      <c r="A2881"/>
    </row>
    <row r="2882" spans="1:1" x14ac:dyDescent="0.35">
      <c r="A2882" t="s">
        <v>7588</v>
      </c>
    </row>
    <row r="2884" spans="1:1" ht="23.5" x14ac:dyDescent="0.35">
      <c r="A2884" s="19" t="s">
        <v>7610</v>
      </c>
    </row>
    <row r="2885" spans="1:1" x14ac:dyDescent="0.35">
      <c r="A2885"/>
    </row>
    <row r="2886" spans="1:1" ht="17.5" x14ac:dyDescent="0.35">
      <c r="A2886" s="21" t="s">
        <v>5040</v>
      </c>
    </row>
    <row r="2887" spans="1:1" x14ac:dyDescent="0.35">
      <c r="A2887" s="2"/>
    </row>
    <row r="2888" spans="1:1" x14ac:dyDescent="0.35">
      <c r="A2888" s="3" t="s">
        <v>7609</v>
      </c>
    </row>
    <row r="2889" spans="1:1" x14ac:dyDescent="0.35">
      <c r="A2889" s="3" t="s">
        <v>7608</v>
      </c>
    </row>
    <row r="2890" spans="1:1" x14ac:dyDescent="0.35">
      <c r="A2890" s="3" t="s">
        <v>7607</v>
      </c>
    </row>
    <row r="2891" spans="1:1" x14ac:dyDescent="0.35">
      <c r="A2891" s="3" t="s">
        <v>7606</v>
      </c>
    </row>
    <row r="2892" spans="1:1" x14ac:dyDescent="0.35">
      <c r="A2892"/>
    </row>
    <row r="2893" spans="1:1" ht="17.5" x14ac:dyDescent="0.35">
      <c r="A2893" s="21" t="s">
        <v>5035</v>
      </c>
    </row>
    <row r="2894" spans="1:1" x14ac:dyDescent="0.35">
      <c r="A2894" s="2"/>
    </row>
    <row r="2895" spans="1:1" x14ac:dyDescent="0.35">
      <c r="A2895" s="3" t="s">
        <v>7605</v>
      </c>
    </row>
    <row r="2896" spans="1:1" x14ac:dyDescent="0.35">
      <c r="A2896" s="3" t="s">
        <v>7604</v>
      </c>
    </row>
    <row r="2897" spans="1:1" x14ac:dyDescent="0.35">
      <c r="A2897" s="3" t="s">
        <v>7603</v>
      </c>
    </row>
    <row r="2898" spans="1:1" x14ac:dyDescent="0.35">
      <c r="A2898" s="3" t="s">
        <v>7602</v>
      </c>
    </row>
    <row r="2899" spans="1:1" x14ac:dyDescent="0.35">
      <c r="A2899"/>
    </row>
    <row r="2900" spans="1:1" ht="17.5" x14ac:dyDescent="0.35">
      <c r="A2900" s="21" t="s">
        <v>5030</v>
      </c>
    </row>
    <row r="2901" spans="1:1" x14ac:dyDescent="0.35">
      <c r="A2901" s="2"/>
    </row>
    <row r="2902" spans="1:1" x14ac:dyDescent="0.35">
      <c r="A2902" s="3" t="s">
        <v>7601</v>
      </c>
    </row>
    <row r="2903" spans="1:1" x14ac:dyDescent="0.35">
      <c r="A2903" s="3" t="s">
        <v>7600</v>
      </c>
    </row>
    <row r="2904" spans="1:1" x14ac:dyDescent="0.35">
      <c r="A2904" s="3" t="s">
        <v>7599</v>
      </c>
    </row>
    <row r="2905" spans="1:1" x14ac:dyDescent="0.35">
      <c r="A2905" s="3" t="s">
        <v>7598</v>
      </c>
    </row>
    <row r="2906" spans="1:1" x14ac:dyDescent="0.35">
      <c r="A2906" s="3" t="s">
        <v>7597</v>
      </c>
    </row>
    <row r="2907" spans="1:1" x14ac:dyDescent="0.35">
      <c r="A2907"/>
    </row>
    <row r="2908" spans="1:1" ht="17.5" x14ac:dyDescent="0.35">
      <c r="A2908" s="21" t="s">
        <v>5025</v>
      </c>
    </row>
    <row r="2909" spans="1:1" x14ac:dyDescent="0.35">
      <c r="A2909" s="2"/>
    </row>
    <row r="2910" spans="1:1" x14ac:dyDescent="0.35">
      <c r="A2910" s="3" t="s">
        <v>7531</v>
      </c>
    </row>
    <row r="2911" spans="1:1" x14ac:dyDescent="0.35">
      <c r="A2911" s="3" t="s">
        <v>7596</v>
      </c>
    </row>
    <row r="2912" spans="1:1" x14ac:dyDescent="0.35">
      <c r="A2912" s="3" t="s">
        <v>7595</v>
      </c>
    </row>
    <row r="2913" spans="1:1" x14ac:dyDescent="0.35">
      <c r="A2913" s="3" t="s">
        <v>7594</v>
      </c>
    </row>
    <row r="2914" spans="1:1" x14ac:dyDescent="0.35">
      <c r="A2914"/>
    </row>
    <row r="2915" spans="1:1" ht="17.5" x14ac:dyDescent="0.35">
      <c r="A2915" s="21" t="s">
        <v>4280</v>
      </c>
    </row>
    <row r="2916" spans="1:1" x14ac:dyDescent="0.35">
      <c r="A2916" s="2"/>
    </row>
    <row r="2917" spans="1:1" x14ac:dyDescent="0.35">
      <c r="A2917" s="3" t="s">
        <v>7593</v>
      </c>
    </row>
    <row r="2918" spans="1:1" x14ac:dyDescent="0.35">
      <c r="A2918" s="3" t="s">
        <v>7592</v>
      </c>
    </row>
    <row r="2919" spans="1:1" x14ac:dyDescent="0.35">
      <c r="A2919" s="3" t="s">
        <v>7591</v>
      </c>
    </row>
    <row r="2920" spans="1:1" x14ac:dyDescent="0.35">
      <c r="A2920" s="3" t="s">
        <v>7590</v>
      </c>
    </row>
    <row r="2921" spans="1:1" x14ac:dyDescent="0.35">
      <c r="A2921"/>
    </row>
    <row r="2922" spans="1:1" x14ac:dyDescent="0.35">
      <c r="A2922" s="1" t="s">
        <v>7589</v>
      </c>
    </row>
    <row r="2925" spans="1:1" x14ac:dyDescent="0.35">
      <c r="A2925" s="5" t="s">
        <v>7686</v>
      </c>
    </row>
    <row r="2926" spans="1:1" x14ac:dyDescent="0.35">
      <c r="A2926" t="s">
        <v>7687</v>
      </c>
    </row>
    <row r="2927" spans="1:1" x14ac:dyDescent="0.35">
      <c r="A2927"/>
    </row>
    <row r="2928" spans="1:1" x14ac:dyDescent="0.35">
      <c r="A2928" s="1" t="s">
        <v>7688</v>
      </c>
    </row>
    <row r="2929" spans="1:1" x14ac:dyDescent="0.35">
      <c r="A2929"/>
    </row>
    <row r="2930" spans="1:1" x14ac:dyDescent="0.35">
      <c r="A2930" s="1" t="s">
        <v>7689</v>
      </c>
    </row>
    <row r="2931" spans="1:1" x14ac:dyDescent="0.35">
      <c r="A2931" s="2"/>
    </row>
    <row r="2932" spans="1:1" x14ac:dyDescent="0.35">
      <c r="A2932" s="3" t="s">
        <v>7690</v>
      </c>
    </row>
    <row r="2933" spans="1:1" x14ac:dyDescent="0.35">
      <c r="A2933" s="3" t="s">
        <v>7691</v>
      </c>
    </row>
    <row r="2934" spans="1:1" x14ac:dyDescent="0.35">
      <c r="A2934" s="3" t="s">
        <v>7692</v>
      </c>
    </row>
    <row r="2935" spans="1:1" x14ac:dyDescent="0.35">
      <c r="A2935" s="3" t="s">
        <v>7693</v>
      </c>
    </row>
    <row r="2936" spans="1:1" x14ac:dyDescent="0.35">
      <c r="A2936"/>
    </row>
    <row r="2937" spans="1:1" x14ac:dyDescent="0.35">
      <c r="A2937" s="1" t="s">
        <v>7694</v>
      </c>
    </row>
    <row r="2938" spans="1:1" x14ac:dyDescent="0.35">
      <c r="A2938" s="2"/>
    </row>
    <row r="2939" spans="1:1" x14ac:dyDescent="0.35">
      <c r="A2939" s="3" t="s">
        <v>7695</v>
      </c>
    </row>
    <row r="2940" spans="1:1" x14ac:dyDescent="0.35">
      <c r="A2940" s="3" t="s">
        <v>7696</v>
      </c>
    </row>
    <row r="2941" spans="1:1" x14ac:dyDescent="0.35">
      <c r="A2941" s="3" t="s">
        <v>7697</v>
      </c>
    </row>
    <row r="2942" spans="1:1" x14ac:dyDescent="0.35">
      <c r="A2942"/>
    </row>
    <row r="2943" spans="1:1" x14ac:dyDescent="0.35">
      <c r="A2943" s="1" t="s">
        <v>7698</v>
      </c>
    </row>
    <row r="2944" spans="1:1" x14ac:dyDescent="0.35">
      <c r="A2944"/>
    </row>
    <row r="2945" spans="1:1" x14ac:dyDescent="0.35">
      <c r="A2945" t="s">
        <v>7699</v>
      </c>
    </row>
    <row r="2947" spans="1:1" ht="23.5" x14ac:dyDescent="0.35">
      <c r="A2947" s="19" t="s">
        <v>7723</v>
      </c>
    </row>
    <row r="2948" spans="1:1" x14ac:dyDescent="0.35">
      <c r="A2948"/>
    </row>
    <row r="2949" spans="1:1" ht="17.5" x14ac:dyDescent="0.35">
      <c r="A2949" s="21" t="s">
        <v>5040</v>
      </c>
    </row>
    <row r="2950" spans="1:1" x14ac:dyDescent="0.35">
      <c r="A2950" s="2"/>
    </row>
    <row r="2951" spans="1:1" x14ac:dyDescent="0.35">
      <c r="A2951" s="3" t="s">
        <v>7722</v>
      </c>
    </row>
    <row r="2952" spans="1:1" x14ac:dyDescent="0.35">
      <c r="A2952" s="3" t="s">
        <v>7721</v>
      </c>
    </row>
    <row r="2953" spans="1:1" x14ac:dyDescent="0.35">
      <c r="A2953" s="3" t="s">
        <v>7720</v>
      </c>
    </row>
    <row r="2954" spans="1:1" x14ac:dyDescent="0.35">
      <c r="A2954" s="3" t="s">
        <v>7719</v>
      </c>
    </row>
    <row r="2955" spans="1:1" x14ac:dyDescent="0.35">
      <c r="A2955"/>
    </row>
    <row r="2956" spans="1:1" ht="17.5" x14ac:dyDescent="0.35">
      <c r="A2956" s="21" t="s">
        <v>5035</v>
      </c>
    </row>
    <row r="2957" spans="1:1" x14ac:dyDescent="0.35">
      <c r="A2957" s="2"/>
    </row>
    <row r="2958" spans="1:1" x14ac:dyDescent="0.35">
      <c r="A2958" s="3" t="s">
        <v>7718</v>
      </c>
    </row>
    <row r="2959" spans="1:1" x14ac:dyDescent="0.35">
      <c r="A2959" s="3" t="s">
        <v>7717</v>
      </c>
    </row>
    <row r="2960" spans="1:1" x14ac:dyDescent="0.35">
      <c r="A2960" s="3" t="s">
        <v>7716</v>
      </c>
    </row>
    <row r="2961" spans="1:1" x14ac:dyDescent="0.35">
      <c r="A2961" s="3" t="s">
        <v>7715</v>
      </c>
    </row>
    <row r="2962" spans="1:1" x14ac:dyDescent="0.35">
      <c r="A2962"/>
    </row>
    <row r="2963" spans="1:1" ht="17.5" x14ac:dyDescent="0.35">
      <c r="A2963" s="21" t="s">
        <v>5030</v>
      </c>
    </row>
    <row r="2964" spans="1:1" x14ac:dyDescent="0.35">
      <c r="A2964" s="2"/>
    </row>
    <row r="2965" spans="1:1" x14ac:dyDescent="0.35">
      <c r="A2965" s="3" t="s">
        <v>7714</v>
      </c>
    </row>
    <row r="2966" spans="1:1" x14ac:dyDescent="0.35">
      <c r="A2966" s="3" t="s">
        <v>7713</v>
      </c>
    </row>
    <row r="2967" spans="1:1" x14ac:dyDescent="0.35">
      <c r="A2967" s="3" t="s">
        <v>7712</v>
      </c>
    </row>
    <row r="2968" spans="1:1" x14ac:dyDescent="0.35">
      <c r="A2968" s="3" t="s">
        <v>7711</v>
      </c>
    </row>
    <row r="2969" spans="1:1" x14ac:dyDescent="0.35">
      <c r="A2969" s="3" t="s">
        <v>7710</v>
      </c>
    </row>
    <row r="2970" spans="1:1" x14ac:dyDescent="0.35">
      <c r="A2970"/>
    </row>
    <row r="2971" spans="1:1" ht="17.5" x14ac:dyDescent="0.35">
      <c r="A2971" s="21" t="s">
        <v>5025</v>
      </c>
    </row>
    <row r="2972" spans="1:1" x14ac:dyDescent="0.35">
      <c r="A2972" s="2"/>
    </row>
    <row r="2973" spans="1:1" x14ac:dyDescent="0.35">
      <c r="A2973" s="3" t="s">
        <v>7709</v>
      </c>
    </row>
    <row r="2974" spans="1:1" x14ac:dyDescent="0.35">
      <c r="A2974" s="3" t="s">
        <v>7708</v>
      </c>
    </row>
    <row r="2975" spans="1:1" x14ac:dyDescent="0.35">
      <c r="A2975" s="3" t="s">
        <v>7707</v>
      </c>
    </row>
    <row r="2976" spans="1:1" x14ac:dyDescent="0.35">
      <c r="A2976" s="3" t="s">
        <v>7706</v>
      </c>
    </row>
    <row r="2977" spans="1:1" x14ac:dyDescent="0.35">
      <c r="A2977"/>
    </row>
    <row r="2978" spans="1:1" ht="17.5" x14ac:dyDescent="0.35">
      <c r="A2978" s="21" t="s">
        <v>7705</v>
      </c>
    </row>
    <row r="2979" spans="1:1" x14ac:dyDescent="0.35">
      <c r="A2979" s="2"/>
    </row>
    <row r="2980" spans="1:1" x14ac:dyDescent="0.35">
      <c r="A2980" s="3" t="s">
        <v>7704</v>
      </c>
    </row>
    <row r="2981" spans="1:1" x14ac:dyDescent="0.35">
      <c r="A2981" s="3" t="s">
        <v>7703</v>
      </c>
    </row>
    <row r="2982" spans="1:1" x14ac:dyDescent="0.35">
      <c r="A2982" s="3" t="s">
        <v>7702</v>
      </c>
    </row>
    <row r="2983" spans="1:1" x14ac:dyDescent="0.35">
      <c r="A2983" s="3" t="s">
        <v>7701</v>
      </c>
    </row>
    <row r="2984" spans="1:1" x14ac:dyDescent="0.35">
      <c r="A2984"/>
    </row>
    <row r="2985" spans="1:1" x14ac:dyDescent="0.35">
      <c r="A2985" s="1" t="s">
        <v>7700</v>
      </c>
    </row>
    <row r="2988" spans="1:1" x14ac:dyDescent="0.35">
      <c r="A2988" s="5" t="s">
        <v>7790</v>
      </c>
    </row>
    <row r="2989" spans="1:1" x14ac:dyDescent="0.35">
      <c r="A2989" t="s">
        <v>7791</v>
      </c>
    </row>
    <row r="2990" spans="1:1" x14ac:dyDescent="0.35">
      <c r="A2990"/>
    </row>
    <row r="2991" spans="1:1" x14ac:dyDescent="0.35">
      <c r="A2991" s="1" t="s">
        <v>7792</v>
      </c>
    </row>
    <row r="2992" spans="1:1" x14ac:dyDescent="0.35">
      <c r="A2992" s="2"/>
    </row>
    <row r="2993" spans="1:1" x14ac:dyDescent="0.35">
      <c r="A2993" s="3" t="s">
        <v>7793</v>
      </c>
    </row>
    <row r="2994" spans="1:1" x14ac:dyDescent="0.35">
      <c r="A2994" s="3" t="s">
        <v>7794</v>
      </c>
    </row>
    <row r="2995" spans="1:1" x14ac:dyDescent="0.35">
      <c r="A2995" s="3" t="s">
        <v>7795</v>
      </c>
    </row>
    <row r="2996" spans="1:1" x14ac:dyDescent="0.35">
      <c r="A2996" s="3" t="s">
        <v>7796</v>
      </c>
    </row>
    <row r="2997" spans="1:1" x14ac:dyDescent="0.35">
      <c r="A2997" s="3" t="s">
        <v>7797</v>
      </c>
    </row>
    <row r="2998" spans="1:1" x14ac:dyDescent="0.35">
      <c r="A2998"/>
    </row>
    <row r="2999" spans="1:1" x14ac:dyDescent="0.35">
      <c r="A2999" s="1" t="s">
        <v>7798</v>
      </c>
    </row>
    <row r="3000" spans="1:1" x14ac:dyDescent="0.35">
      <c r="A3000" s="2"/>
    </row>
    <row r="3001" spans="1:1" x14ac:dyDescent="0.35">
      <c r="A3001" s="2" t="s">
        <v>7799</v>
      </c>
    </row>
    <row r="3002" spans="1:1" x14ac:dyDescent="0.35">
      <c r="A3002" s="2" t="s">
        <v>7800</v>
      </c>
    </row>
    <row r="3003" spans="1:1" x14ac:dyDescent="0.35">
      <c r="A3003" s="2" t="s">
        <v>7801</v>
      </c>
    </row>
    <row r="3004" spans="1:1" x14ac:dyDescent="0.35">
      <c r="A3004" s="2" t="s">
        <v>7802</v>
      </c>
    </row>
    <row r="3005" spans="1:1" x14ac:dyDescent="0.35">
      <c r="A3005"/>
    </row>
    <row r="3006" spans="1:1" x14ac:dyDescent="0.35">
      <c r="A3006" t="s">
        <v>7803</v>
      </c>
    </row>
    <row r="3008" spans="1:1" ht="23.5" x14ac:dyDescent="0.35">
      <c r="A3008" s="19" t="s">
        <v>7828</v>
      </c>
    </row>
    <row r="3009" spans="1:1" x14ac:dyDescent="0.35">
      <c r="A3009"/>
    </row>
    <row r="3010" spans="1:1" ht="17.5" x14ac:dyDescent="0.35">
      <c r="A3010" s="21" t="s">
        <v>5040</v>
      </c>
    </row>
    <row r="3011" spans="1:1" x14ac:dyDescent="0.35">
      <c r="A3011" s="2"/>
    </row>
    <row r="3012" spans="1:1" x14ac:dyDescent="0.35">
      <c r="A3012" s="3" t="s">
        <v>7827</v>
      </c>
    </row>
    <row r="3013" spans="1:1" x14ac:dyDescent="0.35">
      <c r="A3013" s="3" t="s">
        <v>7826</v>
      </c>
    </row>
    <row r="3014" spans="1:1" x14ac:dyDescent="0.35">
      <c r="A3014" s="3" t="s">
        <v>7825</v>
      </c>
    </row>
    <row r="3015" spans="1:1" x14ac:dyDescent="0.35">
      <c r="A3015" s="3" t="s">
        <v>7824</v>
      </c>
    </row>
    <row r="3016" spans="1:1" x14ac:dyDescent="0.35">
      <c r="A3016"/>
    </row>
    <row r="3017" spans="1:1" ht="17.5" x14ac:dyDescent="0.35">
      <c r="A3017" s="21" t="s">
        <v>5035</v>
      </c>
    </row>
    <row r="3018" spans="1:1" x14ac:dyDescent="0.35">
      <c r="A3018" s="2"/>
    </row>
    <row r="3019" spans="1:1" x14ac:dyDescent="0.35">
      <c r="A3019" s="3" t="s">
        <v>7823</v>
      </c>
    </row>
    <row r="3020" spans="1:1" x14ac:dyDescent="0.35">
      <c r="A3020" s="3" t="s">
        <v>7822</v>
      </c>
    </row>
    <row r="3021" spans="1:1" x14ac:dyDescent="0.35">
      <c r="A3021" s="3" t="s">
        <v>7821</v>
      </c>
    </row>
    <row r="3022" spans="1:1" x14ac:dyDescent="0.35">
      <c r="A3022" s="3" t="s">
        <v>7820</v>
      </c>
    </row>
    <row r="3023" spans="1:1" x14ac:dyDescent="0.35">
      <c r="A3023"/>
    </row>
    <row r="3024" spans="1:1" ht="17.5" x14ac:dyDescent="0.35">
      <c r="A3024" s="21" t="s">
        <v>5030</v>
      </c>
    </row>
    <row r="3025" spans="1:1" x14ac:dyDescent="0.35">
      <c r="A3025" s="2"/>
    </row>
    <row r="3026" spans="1:1" x14ac:dyDescent="0.35">
      <c r="A3026" s="3" t="s">
        <v>7819</v>
      </c>
    </row>
    <row r="3027" spans="1:1" x14ac:dyDescent="0.35">
      <c r="A3027" s="3" t="s">
        <v>7818</v>
      </c>
    </row>
    <row r="3028" spans="1:1" x14ac:dyDescent="0.35">
      <c r="A3028" s="3" t="s">
        <v>7817</v>
      </c>
    </row>
    <row r="3029" spans="1:1" x14ac:dyDescent="0.35">
      <c r="A3029" s="3" t="s">
        <v>7816</v>
      </c>
    </row>
    <row r="3030" spans="1:1" x14ac:dyDescent="0.35">
      <c r="A3030" s="3" t="s">
        <v>7815</v>
      </c>
    </row>
    <row r="3031" spans="1:1" x14ac:dyDescent="0.35">
      <c r="A3031" s="3" t="s">
        <v>7814</v>
      </c>
    </row>
    <row r="3032" spans="1:1" x14ac:dyDescent="0.35">
      <c r="A3032"/>
    </row>
    <row r="3033" spans="1:1" ht="17.5" x14ac:dyDescent="0.35">
      <c r="A3033" s="21" t="s">
        <v>5025</v>
      </c>
    </row>
    <row r="3034" spans="1:1" x14ac:dyDescent="0.35">
      <c r="A3034" s="2"/>
    </row>
    <row r="3035" spans="1:1" x14ac:dyDescent="0.35">
      <c r="A3035" s="3" t="s">
        <v>7813</v>
      </c>
    </row>
    <row r="3036" spans="1:1" x14ac:dyDescent="0.35">
      <c r="A3036" s="3" t="s">
        <v>7812</v>
      </c>
    </row>
    <row r="3037" spans="1:1" x14ac:dyDescent="0.35">
      <c r="A3037" s="3" t="s">
        <v>7811</v>
      </c>
    </row>
    <row r="3038" spans="1:1" x14ac:dyDescent="0.35">
      <c r="A3038" s="3" t="s">
        <v>7810</v>
      </c>
    </row>
    <row r="3039" spans="1:1" x14ac:dyDescent="0.35">
      <c r="A3039"/>
    </row>
    <row r="3040" spans="1:1" ht="17.5" x14ac:dyDescent="0.35">
      <c r="A3040" s="21" t="s">
        <v>7809</v>
      </c>
    </row>
    <row r="3041" spans="1:1" x14ac:dyDescent="0.35">
      <c r="A3041" s="2"/>
    </row>
    <row r="3042" spans="1:1" x14ac:dyDescent="0.35">
      <c r="A3042" s="3" t="s">
        <v>7808</v>
      </c>
    </row>
    <row r="3043" spans="1:1" x14ac:dyDescent="0.35">
      <c r="A3043" s="3" t="s">
        <v>7807</v>
      </c>
    </row>
    <row r="3044" spans="1:1" x14ac:dyDescent="0.35">
      <c r="A3044" s="3" t="s">
        <v>7806</v>
      </c>
    </row>
    <row r="3045" spans="1:1" x14ac:dyDescent="0.35">
      <c r="A3045" s="3" t="s">
        <v>7805</v>
      </c>
    </row>
    <row r="3046" spans="1:1" x14ac:dyDescent="0.35">
      <c r="A3046"/>
    </row>
    <row r="3047" spans="1:1" x14ac:dyDescent="0.35">
      <c r="A3047" s="1" t="s">
        <v>7804</v>
      </c>
    </row>
    <row r="3050" spans="1:1" x14ac:dyDescent="0.35">
      <c r="A3050" s="5" t="s">
        <v>7898</v>
      </c>
    </row>
    <row r="3051" spans="1:1" x14ac:dyDescent="0.35">
      <c r="A3051" t="s">
        <v>7899</v>
      </c>
    </row>
    <row r="3052" spans="1:1" x14ac:dyDescent="0.35">
      <c r="A3052"/>
    </row>
    <row r="3053" spans="1:1" x14ac:dyDescent="0.35">
      <c r="A3053" s="1" t="s">
        <v>7900</v>
      </c>
    </row>
    <row r="3054" spans="1:1" x14ac:dyDescent="0.35">
      <c r="A3054"/>
    </row>
    <row r="3055" spans="1:1" x14ac:dyDescent="0.35">
      <c r="A3055" s="1" t="s">
        <v>7901</v>
      </c>
    </row>
    <row r="3056" spans="1:1" x14ac:dyDescent="0.35">
      <c r="A3056" s="2"/>
    </row>
    <row r="3057" spans="1:1" x14ac:dyDescent="0.35">
      <c r="A3057" s="2" t="s">
        <v>7902</v>
      </c>
    </row>
    <row r="3058" spans="1:1" x14ac:dyDescent="0.35">
      <c r="A3058" s="2" t="s">
        <v>7903</v>
      </c>
    </row>
    <row r="3059" spans="1:1" x14ac:dyDescent="0.35">
      <c r="A3059" s="2" t="s">
        <v>7904</v>
      </c>
    </row>
    <row r="3060" spans="1:1" x14ac:dyDescent="0.35">
      <c r="A3060" s="2" t="s">
        <v>7905</v>
      </c>
    </row>
    <row r="3061" spans="1:1" x14ac:dyDescent="0.35">
      <c r="A3061" s="2" t="s">
        <v>7906</v>
      </c>
    </row>
    <row r="3062" spans="1:1" x14ac:dyDescent="0.35">
      <c r="A3062"/>
    </row>
    <row r="3063" spans="1:1" x14ac:dyDescent="0.35">
      <c r="A3063" s="1" t="s">
        <v>7907</v>
      </c>
    </row>
    <row r="3064" spans="1:1" x14ac:dyDescent="0.35">
      <c r="A3064" s="2"/>
    </row>
    <row r="3065" spans="1:1" x14ac:dyDescent="0.35">
      <c r="A3065" s="2" t="s">
        <v>7908</v>
      </c>
    </row>
    <row r="3066" spans="1:1" x14ac:dyDescent="0.35">
      <c r="A3066" s="2" t="s">
        <v>7909</v>
      </c>
    </row>
    <row r="3067" spans="1:1" x14ac:dyDescent="0.35">
      <c r="A3067" s="2" t="s">
        <v>7910</v>
      </c>
    </row>
    <row r="3068" spans="1:1" x14ac:dyDescent="0.35">
      <c r="A3068" s="2" t="s">
        <v>7911</v>
      </c>
    </row>
    <row r="3069" spans="1:1" x14ac:dyDescent="0.35">
      <c r="A3069"/>
    </row>
    <row r="3070" spans="1:1" x14ac:dyDescent="0.35">
      <c r="A3070" s="1" t="s">
        <v>7912</v>
      </c>
    </row>
    <row r="3071" spans="1:1" x14ac:dyDescent="0.35">
      <c r="A3071"/>
    </row>
    <row r="3072" spans="1:1" x14ac:dyDescent="0.35">
      <c r="A3072" t="s">
        <v>7913</v>
      </c>
    </row>
    <row r="3074" spans="1:1" ht="23.5" x14ac:dyDescent="0.35">
      <c r="A3074" s="19" t="s">
        <v>7932</v>
      </c>
    </row>
    <row r="3075" spans="1:1" x14ac:dyDescent="0.35">
      <c r="A3075"/>
    </row>
    <row r="3076" spans="1:1" ht="17.5" x14ac:dyDescent="0.35">
      <c r="A3076" s="21" t="s">
        <v>5040</v>
      </c>
    </row>
    <row r="3077" spans="1:1" x14ac:dyDescent="0.35">
      <c r="A3077" s="2"/>
    </row>
    <row r="3078" spans="1:1" x14ac:dyDescent="0.35">
      <c r="A3078" s="3" t="s">
        <v>7931</v>
      </c>
    </row>
    <row r="3079" spans="1:1" x14ac:dyDescent="0.35">
      <c r="A3079" s="3" t="s">
        <v>7930</v>
      </c>
    </row>
    <row r="3080" spans="1:1" x14ac:dyDescent="0.35">
      <c r="A3080" s="3" t="s">
        <v>7929</v>
      </c>
    </row>
    <row r="3081" spans="1:1" x14ac:dyDescent="0.35">
      <c r="A3081" s="3" t="s">
        <v>7928</v>
      </c>
    </row>
    <row r="3082" spans="1:1" x14ac:dyDescent="0.35">
      <c r="A3082"/>
    </row>
    <row r="3083" spans="1:1" ht="17.5" x14ac:dyDescent="0.35">
      <c r="A3083" s="21" t="s">
        <v>5035</v>
      </c>
    </row>
    <row r="3084" spans="1:1" x14ac:dyDescent="0.35">
      <c r="A3084" s="2"/>
    </row>
    <row r="3085" spans="1:1" x14ac:dyDescent="0.35">
      <c r="A3085" s="3" t="s">
        <v>7927</v>
      </c>
    </row>
    <row r="3086" spans="1:1" x14ac:dyDescent="0.35">
      <c r="A3086" s="3" t="s">
        <v>7926</v>
      </c>
    </row>
    <row r="3087" spans="1:1" x14ac:dyDescent="0.35">
      <c r="A3087" s="3" t="s">
        <v>7925</v>
      </c>
    </row>
    <row r="3088" spans="1:1" x14ac:dyDescent="0.35">
      <c r="A3088" s="3" t="s">
        <v>7924</v>
      </c>
    </row>
    <row r="3089" spans="1:1" x14ac:dyDescent="0.35">
      <c r="A3089"/>
    </row>
    <row r="3090" spans="1:1" ht="17.5" x14ac:dyDescent="0.35">
      <c r="A3090" s="21" t="s">
        <v>5030</v>
      </c>
    </row>
    <row r="3091" spans="1:1" x14ac:dyDescent="0.35">
      <c r="A3091" s="2"/>
    </row>
    <row r="3092" spans="1:1" x14ac:dyDescent="0.35">
      <c r="A3092" s="3" t="s">
        <v>7923</v>
      </c>
    </row>
    <row r="3093" spans="1:1" x14ac:dyDescent="0.35">
      <c r="A3093" s="3" t="s">
        <v>7922</v>
      </c>
    </row>
    <row r="3094" spans="1:1" x14ac:dyDescent="0.35">
      <c r="A3094" s="3" t="s">
        <v>7921</v>
      </c>
    </row>
    <row r="3095" spans="1:1" x14ac:dyDescent="0.35">
      <c r="A3095" s="3" t="s">
        <v>7920</v>
      </c>
    </row>
    <row r="3096" spans="1:1" x14ac:dyDescent="0.35">
      <c r="A3096" s="3" t="s">
        <v>7919</v>
      </c>
    </row>
    <row r="3097" spans="1:1" x14ac:dyDescent="0.35">
      <c r="A3097"/>
    </row>
    <row r="3098" spans="1:1" ht="17.5" x14ac:dyDescent="0.35">
      <c r="A3098" s="21" t="s">
        <v>5025</v>
      </c>
    </row>
    <row r="3099" spans="1:1" x14ac:dyDescent="0.35">
      <c r="A3099" s="2"/>
    </row>
    <row r="3100" spans="1:1" x14ac:dyDescent="0.35">
      <c r="A3100" s="3" t="s">
        <v>7918</v>
      </c>
    </row>
    <row r="3101" spans="1:1" x14ac:dyDescent="0.35">
      <c r="A3101" s="3" t="s">
        <v>7917</v>
      </c>
    </row>
    <row r="3102" spans="1:1" x14ac:dyDescent="0.35">
      <c r="A3102" s="3" t="s">
        <v>7916</v>
      </c>
    </row>
    <row r="3103" spans="1:1" x14ac:dyDescent="0.35">
      <c r="A3103" s="3" t="s">
        <v>7915</v>
      </c>
    </row>
    <row r="3104" spans="1:1" x14ac:dyDescent="0.35">
      <c r="A3104"/>
    </row>
    <row r="3105" spans="1:1" x14ac:dyDescent="0.35">
      <c r="A3105" s="1" t="s">
        <v>7914</v>
      </c>
    </row>
    <row r="3108" spans="1:1" x14ac:dyDescent="0.35">
      <c r="A3108" s="5" t="s">
        <v>7991</v>
      </c>
    </row>
    <row r="3109" spans="1:1" x14ac:dyDescent="0.35">
      <c r="A3109" t="s">
        <v>7992</v>
      </c>
    </row>
    <row r="3110" spans="1:1" x14ac:dyDescent="0.35">
      <c r="A3110"/>
    </row>
    <row r="3111" spans="1:1" x14ac:dyDescent="0.35">
      <c r="A3111" s="1" t="s">
        <v>7993</v>
      </c>
    </row>
    <row r="3112" spans="1:1" x14ac:dyDescent="0.35">
      <c r="A3112"/>
    </row>
    <row r="3113" spans="1:1" x14ac:dyDescent="0.35">
      <c r="A3113" t="s">
        <v>7994</v>
      </c>
    </row>
    <row r="3114" spans="1:1" x14ac:dyDescent="0.35">
      <c r="A3114"/>
    </row>
    <row r="3115" spans="1:1" x14ac:dyDescent="0.35">
      <c r="A3115" s="1" t="s">
        <v>7402</v>
      </c>
    </row>
    <row r="3116" spans="1:1" x14ac:dyDescent="0.35">
      <c r="A3116" s="2"/>
    </row>
    <row r="3117" spans="1:1" x14ac:dyDescent="0.35">
      <c r="A3117" s="3" t="s">
        <v>7995</v>
      </c>
    </row>
    <row r="3118" spans="1:1" x14ac:dyDescent="0.35">
      <c r="A3118" s="3" t="s">
        <v>7996</v>
      </c>
    </row>
    <row r="3119" spans="1:1" x14ac:dyDescent="0.35">
      <c r="A3119" s="3" t="s">
        <v>7997</v>
      </c>
    </row>
    <row r="3120" spans="1:1" x14ac:dyDescent="0.35">
      <c r="A3120" s="3" t="s">
        <v>7998</v>
      </c>
    </row>
    <row r="3121" spans="1:1" x14ac:dyDescent="0.35">
      <c r="A3121" s="3" t="s">
        <v>7999</v>
      </c>
    </row>
    <row r="3122" spans="1:1" x14ac:dyDescent="0.35">
      <c r="A3122"/>
    </row>
    <row r="3123" spans="1:1" x14ac:dyDescent="0.35">
      <c r="A3123" s="1" t="s">
        <v>7003</v>
      </c>
    </row>
    <row r="3124" spans="1:1" x14ac:dyDescent="0.35">
      <c r="A3124" s="2"/>
    </row>
    <row r="3125" spans="1:1" x14ac:dyDescent="0.35">
      <c r="A3125" s="2" t="s">
        <v>8000</v>
      </c>
    </row>
    <row r="3126" spans="1:1" x14ac:dyDescent="0.35">
      <c r="A3126" s="2" t="s">
        <v>8001</v>
      </c>
    </row>
    <row r="3127" spans="1:1" x14ac:dyDescent="0.35">
      <c r="A3127" s="2" t="s">
        <v>8002</v>
      </c>
    </row>
    <row r="3128" spans="1:1" x14ac:dyDescent="0.35">
      <c r="A3128" s="2" t="s">
        <v>8003</v>
      </c>
    </row>
    <row r="3129" spans="1:1" x14ac:dyDescent="0.35">
      <c r="A3129" s="2" t="s">
        <v>8004</v>
      </c>
    </row>
    <row r="3130" spans="1:1" x14ac:dyDescent="0.35">
      <c r="A3130"/>
    </row>
    <row r="3131" spans="1:1" x14ac:dyDescent="0.35">
      <c r="A3131" t="s">
        <v>8005</v>
      </c>
    </row>
    <row r="3133" spans="1:1" ht="23.5" x14ac:dyDescent="0.35">
      <c r="A3133" s="19" t="s">
        <v>8031</v>
      </c>
    </row>
    <row r="3134" spans="1:1" x14ac:dyDescent="0.35">
      <c r="A3134"/>
    </row>
    <row r="3135" spans="1:1" ht="17.5" x14ac:dyDescent="0.35">
      <c r="A3135" s="21" t="s">
        <v>5040</v>
      </c>
    </row>
    <row r="3136" spans="1:1" x14ac:dyDescent="0.35">
      <c r="A3136" s="2"/>
    </row>
    <row r="3137" spans="1:1" x14ac:dyDescent="0.35">
      <c r="A3137" s="3" t="s">
        <v>8030</v>
      </c>
    </row>
    <row r="3138" spans="1:1" x14ac:dyDescent="0.35">
      <c r="A3138" s="3" t="s">
        <v>8029</v>
      </c>
    </row>
    <row r="3139" spans="1:1" x14ac:dyDescent="0.35">
      <c r="A3139" s="3" t="s">
        <v>8028</v>
      </c>
    </row>
    <row r="3140" spans="1:1" x14ac:dyDescent="0.35">
      <c r="A3140" s="3" t="s">
        <v>8027</v>
      </c>
    </row>
    <row r="3141" spans="1:1" x14ac:dyDescent="0.35">
      <c r="A3141"/>
    </row>
    <row r="3142" spans="1:1" ht="17.5" x14ac:dyDescent="0.35">
      <c r="A3142" s="21" t="s">
        <v>5035</v>
      </c>
    </row>
    <row r="3143" spans="1:1" x14ac:dyDescent="0.35">
      <c r="A3143" s="2"/>
    </row>
    <row r="3144" spans="1:1" x14ac:dyDescent="0.35">
      <c r="A3144" s="3" t="s">
        <v>8026</v>
      </c>
    </row>
    <row r="3145" spans="1:1" x14ac:dyDescent="0.35">
      <c r="A3145" s="3" t="s">
        <v>8025</v>
      </c>
    </row>
    <row r="3146" spans="1:1" x14ac:dyDescent="0.35">
      <c r="A3146" s="3" t="s">
        <v>8024</v>
      </c>
    </row>
    <row r="3147" spans="1:1" x14ac:dyDescent="0.35">
      <c r="A3147" s="3" t="s">
        <v>8023</v>
      </c>
    </row>
    <row r="3148" spans="1:1" x14ac:dyDescent="0.35">
      <c r="A3148"/>
    </row>
    <row r="3149" spans="1:1" ht="17.5" x14ac:dyDescent="0.35">
      <c r="A3149" s="21" t="s">
        <v>5030</v>
      </c>
    </row>
    <row r="3150" spans="1:1" x14ac:dyDescent="0.35">
      <c r="A3150" s="2"/>
    </row>
    <row r="3151" spans="1:1" x14ac:dyDescent="0.35">
      <c r="A3151" s="3" t="s">
        <v>8022</v>
      </c>
    </row>
    <row r="3152" spans="1:1" x14ac:dyDescent="0.35">
      <c r="A3152" s="3" t="s">
        <v>8021</v>
      </c>
    </row>
    <row r="3153" spans="1:1" x14ac:dyDescent="0.35">
      <c r="A3153" s="3" t="s">
        <v>8020</v>
      </c>
    </row>
    <row r="3154" spans="1:1" x14ac:dyDescent="0.35">
      <c r="A3154" s="3" t="s">
        <v>8019</v>
      </c>
    </row>
    <row r="3155" spans="1:1" x14ac:dyDescent="0.35">
      <c r="A3155" s="3" t="s">
        <v>8018</v>
      </c>
    </row>
    <row r="3156" spans="1:1" x14ac:dyDescent="0.35">
      <c r="A3156"/>
    </row>
    <row r="3157" spans="1:1" ht="17.5" x14ac:dyDescent="0.35">
      <c r="A3157" s="21" t="s">
        <v>5025</v>
      </c>
    </row>
    <row r="3158" spans="1:1" x14ac:dyDescent="0.35">
      <c r="A3158" s="2"/>
    </row>
    <row r="3159" spans="1:1" x14ac:dyDescent="0.35">
      <c r="A3159" s="3" t="s">
        <v>8017</v>
      </c>
    </row>
    <row r="3160" spans="1:1" x14ac:dyDescent="0.35">
      <c r="A3160" s="3" t="s">
        <v>8016</v>
      </c>
    </row>
    <row r="3161" spans="1:1" x14ac:dyDescent="0.35">
      <c r="A3161" s="3" t="s">
        <v>8015</v>
      </c>
    </row>
    <row r="3162" spans="1:1" x14ac:dyDescent="0.35">
      <c r="A3162" s="3" t="s">
        <v>8014</v>
      </c>
    </row>
    <row r="3163" spans="1:1" x14ac:dyDescent="0.35">
      <c r="A3163"/>
    </row>
    <row r="3164" spans="1:1" ht="17.5" x14ac:dyDescent="0.35">
      <c r="A3164" s="21" t="s">
        <v>8013</v>
      </c>
    </row>
    <row r="3165" spans="1:1" x14ac:dyDescent="0.35">
      <c r="A3165"/>
    </row>
    <row r="3166" spans="1:1" x14ac:dyDescent="0.35">
      <c r="A3166" t="s">
        <v>8012</v>
      </c>
    </row>
    <row r="3167" spans="1:1" x14ac:dyDescent="0.35">
      <c r="A3167" s="2"/>
    </row>
    <row r="3168" spans="1:1" x14ac:dyDescent="0.35">
      <c r="A3168" s="3" t="s">
        <v>8011</v>
      </c>
    </row>
    <row r="3169" spans="1:1" x14ac:dyDescent="0.35">
      <c r="A3169" s="3" t="s">
        <v>8010</v>
      </c>
    </row>
    <row r="3170" spans="1:1" x14ac:dyDescent="0.35">
      <c r="A3170" s="3" t="s">
        <v>8009</v>
      </c>
    </row>
    <row r="3171" spans="1:1" x14ac:dyDescent="0.35">
      <c r="A3171" s="3" t="s">
        <v>8008</v>
      </c>
    </row>
    <row r="3172" spans="1:1" x14ac:dyDescent="0.35">
      <c r="A3172" s="3" t="s">
        <v>8007</v>
      </c>
    </row>
    <row r="3173" spans="1:1" x14ac:dyDescent="0.35">
      <c r="A3173"/>
    </row>
    <row r="3174" spans="1:1" x14ac:dyDescent="0.35">
      <c r="A3174" s="1" t="s">
        <v>8006</v>
      </c>
    </row>
    <row r="3177" spans="1:1" x14ac:dyDescent="0.35">
      <c r="A3177" s="5" t="s">
        <v>8090</v>
      </c>
    </row>
    <row r="3178" spans="1:1" x14ac:dyDescent="0.35">
      <c r="A3178" t="s">
        <v>8091</v>
      </c>
    </row>
    <row r="3179" spans="1:1" x14ac:dyDescent="0.35">
      <c r="A3179"/>
    </row>
    <row r="3180" spans="1:1" x14ac:dyDescent="0.35">
      <c r="A3180" s="1" t="s">
        <v>8092</v>
      </c>
    </row>
    <row r="3181" spans="1:1" x14ac:dyDescent="0.35">
      <c r="A3181"/>
    </row>
    <row r="3182" spans="1:1" x14ac:dyDescent="0.35">
      <c r="A3182" s="1" t="s">
        <v>8093</v>
      </c>
    </row>
    <row r="3183" spans="1:1" x14ac:dyDescent="0.35">
      <c r="A3183" s="2"/>
    </row>
    <row r="3184" spans="1:1" x14ac:dyDescent="0.35">
      <c r="A3184" s="3" t="s">
        <v>8094</v>
      </c>
    </row>
    <row r="3185" spans="1:1" x14ac:dyDescent="0.35">
      <c r="A3185" s="3" t="s">
        <v>8095</v>
      </c>
    </row>
    <row r="3186" spans="1:1" x14ac:dyDescent="0.35">
      <c r="A3186" s="3" t="s">
        <v>8096</v>
      </c>
    </row>
    <row r="3187" spans="1:1" x14ac:dyDescent="0.35">
      <c r="A3187" s="3" t="s">
        <v>8097</v>
      </c>
    </row>
    <row r="3188" spans="1:1" x14ac:dyDescent="0.35">
      <c r="A3188"/>
    </row>
    <row r="3189" spans="1:1" x14ac:dyDescent="0.35">
      <c r="A3189" s="1" t="s">
        <v>7003</v>
      </c>
    </row>
    <row r="3190" spans="1:1" x14ac:dyDescent="0.35">
      <c r="A3190" s="2"/>
    </row>
    <row r="3191" spans="1:1" x14ac:dyDescent="0.35">
      <c r="A3191" s="2" t="s">
        <v>8098</v>
      </c>
    </row>
    <row r="3192" spans="1:1" x14ac:dyDescent="0.35">
      <c r="A3192" s="2" t="s">
        <v>8099</v>
      </c>
    </row>
    <row r="3193" spans="1:1" x14ac:dyDescent="0.35">
      <c r="A3193" s="2" t="s">
        <v>8100</v>
      </c>
    </row>
    <row r="3194" spans="1:1" x14ac:dyDescent="0.35">
      <c r="A3194" s="2" t="s">
        <v>8101</v>
      </c>
    </row>
    <row r="3195" spans="1:1" x14ac:dyDescent="0.35">
      <c r="A3195"/>
    </row>
    <row r="3196" spans="1:1" x14ac:dyDescent="0.35">
      <c r="A3196" s="1" t="s">
        <v>8102</v>
      </c>
    </row>
    <row r="3197" spans="1:1" x14ac:dyDescent="0.35">
      <c r="A3197" s="2"/>
    </row>
    <row r="3198" spans="1:1" x14ac:dyDescent="0.35">
      <c r="A3198" s="2" t="s">
        <v>8103</v>
      </c>
    </row>
    <row r="3199" spans="1:1" x14ac:dyDescent="0.35">
      <c r="A3199" s="2" t="s">
        <v>8104</v>
      </c>
    </row>
    <row r="3200" spans="1:1" x14ac:dyDescent="0.35">
      <c r="A3200" s="2" t="s">
        <v>8105</v>
      </c>
    </row>
    <row r="3201" spans="1:1" x14ac:dyDescent="0.35">
      <c r="A3201" s="2" t="s">
        <v>8106</v>
      </c>
    </row>
    <row r="3202" spans="1:1" x14ac:dyDescent="0.35">
      <c r="A3202"/>
    </row>
    <row r="3203" spans="1:1" x14ac:dyDescent="0.35">
      <c r="A3203" t="s">
        <v>8107</v>
      </c>
    </row>
    <row r="3205" spans="1:1" ht="23.5" x14ac:dyDescent="0.35">
      <c r="A3205" s="19" t="s">
        <v>8130</v>
      </c>
    </row>
    <row r="3206" spans="1:1" x14ac:dyDescent="0.35">
      <c r="A3206"/>
    </row>
    <row r="3207" spans="1:1" ht="17.5" x14ac:dyDescent="0.35">
      <c r="A3207" s="21" t="s">
        <v>5040</v>
      </c>
    </row>
    <row r="3208" spans="1:1" x14ac:dyDescent="0.35">
      <c r="A3208" s="2"/>
    </row>
    <row r="3209" spans="1:1" x14ac:dyDescent="0.35">
      <c r="A3209" s="3" t="s">
        <v>8129</v>
      </c>
    </row>
    <row r="3210" spans="1:1" x14ac:dyDescent="0.35">
      <c r="A3210" s="3" t="s">
        <v>8128</v>
      </c>
    </row>
    <row r="3211" spans="1:1" x14ac:dyDescent="0.35">
      <c r="A3211" s="3" t="s">
        <v>8127</v>
      </c>
    </row>
    <row r="3212" spans="1:1" x14ac:dyDescent="0.35">
      <c r="A3212" s="3" t="s">
        <v>8126</v>
      </c>
    </row>
    <row r="3213" spans="1:1" x14ac:dyDescent="0.35">
      <c r="A3213"/>
    </row>
    <row r="3214" spans="1:1" ht="17.5" x14ac:dyDescent="0.35">
      <c r="A3214" s="21" t="s">
        <v>5035</v>
      </c>
    </row>
    <row r="3215" spans="1:1" x14ac:dyDescent="0.35">
      <c r="A3215" s="2"/>
    </row>
    <row r="3216" spans="1:1" x14ac:dyDescent="0.35">
      <c r="A3216" s="3" t="s">
        <v>8125</v>
      </c>
    </row>
    <row r="3217" spans="1:1" x14ac:dyDescent="0.35">
      <c r="A3217" s="3" t="s">
        <v>8124</v>
      </c>
    </row>
    <row r="3218" spans="1:1" x14ac:dyDescent="0.35">
      <c r="A3218" s="3" t="s">
        <v>8123</v>
      </c>
    </row>
    <row r="3219" spans="1:1" x14ac:dyDescent="0.35">
      <c r="A3219" s="3" t="s">
        <v>8122</v>
      </c>
    </row>
    <row r="3220" spans="1:1" x14ac:dyDescent="0.35">
      <c r="A3220"/>
    </row>
    <row r="3221" spans="1:1" ht="17.5" x14ac:dyDescent="0.35">
      <c r="A3221" s="21" t="s">
        <v>5030</v>
      </c>
    </row>
    <row r="3222" spans="1:1" x14ac:dyDescent="0.35">
      <c r="A3222" s="2"/>
    </row>
    <row r="3223" spans="1:1" x14ac:dyDescent="0.35">
      <c r="A3223" s="3" t="s">
        <v>8121</v>
      </c>
    </row>
    <row r="3224" spans="1:1" x14ac:dyDescent="0.35">
      <c r="A3224" s="3" t="s">
        <v>8120</v>
      </c>
    </row>
    <row r="3225" spans="1:1" x14ac:dyDescent="0.35">
      <c r="A3225" s="3" t="s">
        <v>8119</v>
      </c>
    </row>
    <row r="3226" spans="1:1" x14ac:dyDescent="0.35">
      <c r="A3226" s="3" t="s">
        <v>8118</v>
      </c>
    </row>
    <row r="3227" spans="1:1" x14ac:dyDescent="0.35">
      <c r="A3227" s="3" t="s">
        <v>8117</v>
      </c>
    </row>
    <row r="3228" spans="1:1" x14ac:dyDescent="0.35">
      <c r="A3228"/>
    </row>
    <row r="3229" spans="1:1" ht="17.5" x14ac:dyDescent="0.35">
      <c r="A3229" s="21" t="s">
        <v>5025</v>
      </c>
    </row>
    <row r="3230" spans="1:1" x14ac:dyDescent="0.35">
      <c r="A3230" s="2"/>
    </row>
    <row r="3231" spans="1:1" x14ac:dyDescent="0.35">
      <c r="A3231" s="3" t="s">
        <v>8116</v>
      </c>
    </row>
    <row r="3232" spans="1:1" x14ac:dyDescent="0.35">
      <c r="A3232" s="3" t="s">
        <v>8115</v>
      </c>
    </row>
    <row r="3233" spans="1:1" x14ac:dyDescent="0.35">
      <c r="A3233" s="3" t="s">
        <v>8114</v>
      </c>
    </row>
    <row r="3234" spans="1:1" x14ac:dyDescent="0.35">
      <c r="A3234" s="3" t="s">
        <v>8113</v>
      </c>
    </row>
    <row r="3235" spans="1:1" x14ac:dyDescent="0.35">
      <c r="A3235"/>
    </row>
    <row r="3236" spans="1:1" ht="17.5" x14ac:dyDescent="0.35">
      <c r="A3236" s="21" t="s">
        <v>4280</v>
      </c>
    </row>
    <row r="3237" spans="1:1" x14ac:dyDescent="0.35">
      <c r="A3237" s="2"/>
    </row>
    <row r="3238" spans="1:1" x14ac:dyDescent="0.35">
      <c r="A3238" s="3" t="s">
        <v>8112</v>
      </c>
    </row>
    <row r="3239" spans="1:1" x14ac:dyDescent="0.35">
      <c r="A3239" s="3" t="s">
        <v>8111</v>
      </c>
    </row>
    <row r="3240" spans="1:1" x14ac:dyDescent="0.35">
      <c r="A3240" s="3" t="s">
        <v>8110</v>
      </c>
    </row>
    <row r="3241" spans="1:1" x14ac:dyDescent="0.35">
      <c r="A3241" s="3" t="s">
        <v>8109</v>
      </c>
    </row>
    <row r="3242" spans="1:1" x14ac:dyDescent="0.35">
      <c r="A3242"/>
    </row>
    <row r="3243" spans="1:1" x14ac:dyDescent="0.35">
      <c r="A3243" s="1" t="s">
        <v>8108</v>
      </c>
    </row>
    <row r="3246" spans="1:1" x14ac:dyDescent="0.35">
      <c r="A3246" s="5" t="s">
        <v>8159</v>
      </c>
    </row>
    <row r="3247" spans="1:1" x14ac:dyDescent="0.35">
      <c r="A3247" t="s">
        <v>8205</v>
      </c>
    </row>
    <row r="3248" spans="1:1" x14ac:dyDescent="0.35">
      <c r="A3248"/>
    </row>
    <row r="3249" spans="1:1" x14ac:dyDescent="0.35">
      <c r="A3249" s="1" t="s">
        <v>8206</v>
      </c>
    </row>
    <row r="3250" spans="1:1" x14ac:dyDescent="0.35">
      <c r="A3250"/>
    </row>
    <row r="3251" spans="1:1" x14ac:dyDescent="0.35">
      <c r="A3251" t="s">
        <v>8207</v>
      </c>
    </row>
    <row r="3252" spans="1:1" x14ac:dyDescent="0.35">
      <c r="A3252"/>
    </row>
    <row r="3253" spans="1:1" x14ac:dyDescent="0.35">
      <c r="A3253" s="1" t="s">
        <v>7402</v>
      </c>
    </row>
    <row r="3254" spans="1:1" x14ac:dyDescent="0.35">
      <c r="A3254" s="2"/>
    </row>
    <row r="3255" spans="1:1" x14ac:dyDescent="0.35">
      <c r="A3255" s="3" t="s">
        <v>8208</v>
      </c>
    </row>
    <row r="3256" spans="1:1" x14ac:dyDescent="0.35">
      <c r="A3256" s="3" t="s">
        <v>8209</v>
      </c>
    </row>
    <row r="3257" spans="1:1" x14ac:dyDescent="0.35">
      <c r="A3257" s="3" t="s">
        <v>8210</v>
      </c>
    </row>
    <row r="3258" spans="1:1" x14ac:dyDescent="0.35">
      <c r="A3258" s="3" t="s">
        <v>8195</v>
      </c>
    </row>
    <row r="3259" spans="1:1" x14ac:dyDescent="0.35">
      <c r="A3259"/>
    </row>
    <row r="3260" spans="1:1" x14ac:dyDescent="0.35">
      <c r="A3260" s="1" t="s">
        <v>7003</v>
      </c>
    </row>
    <row r="3261" spans="1:1" x14ac:dyDescent="0.35">
      <c r="A3261" s="2"/>
    </row>
    <row r="3262" spans="1:1" x14ac:dyDescent="0.35">
      <c r="A3262" s="3" t="s">
        <v>8211</v>
      </c>
    </row>
    <row r="3263" spans="1:1" x14ac:dyDescent="0.35">
      <c r="A3263" s="3" t="s">
        <v>8212</v>
      </c>
    </row>
    <row r="3264" spans="1:1" x14ac:dyDescent="0.35">
      <c r="A3264" s="3" t="s">
        <v>8213</v>
      </c>
    </row>
    <row r="3265" spans="1:1" x14ac:dyDescent="0.35">
      <c r="A3265" s="3" t="s">
        <v>8214</v>
      </c>
    </row>
    <row r="3266" spans="1:1" x14ac:dyDescent="0.35">
      <c r="A3266"/>
    </row>
    <row r="3267" spans="1:1" x14ac:dyDescent="0.35">
      <c r="A3267" t="s">
        <v>8215</v>
      </c>
    </row>
    <row r="3269" spans="1:1" ht="23.5" x14ac:dyDescent="0.35">
      <c r="A3269" s="19" t="s">
        <v>8183</v>
      </c>
    </row>
    <row r="3270" spans="1:1" x14ac:dyDescent="0.35">
      <c r="A3270"/>
    </row>
    <row r="3271" spans="1:1" ht="17.5" x14ac:dyDescent="0.35">
      <c r="A3271" s="21" t="s">
        <v>5040</v>
      </c>
    </row>
    <row r="3272" spans="1:1" x14ac:dyDescent="0.35">
      <c r="A3272" s="2"/>
    </row>
    <row r="3273" spans="1:1" x14ac:dyDescent="0.35">
      <c r="A3273" s="3" t="s">
        <v>8184</v>
      </c>
    </row>
    <row r="3274" spans="1:1" x14ac:dyDescent="0.35">
      <c r="A3274" s="3" t="s">
        <v>8185</v>
      </c>
    </row>
    <row r="3275" spans="1:1" x14ac:dyDescent="0.35">
      <c r="A3275" s="3" t="s">
        <v>8186</v>
      </c>
    </row>
    <row r="3276" spans="1:1" x14ac:dyDescent="0.35">
      <c r="A3276" s="3" t="s">
        <v>8187</v>
      </c>
    </row>
    <row r="3277" spans="1:1" x14ac:dyDescent="0.35">
      <c r="A3277"/>
    </row>
    <row r="3278" spans="1:1" ht="17.5" x14ac:dyDescent="0.35">
      <c r="A3278" s="21" t="s">
        <v>5035</v>
      </c>
    </row>
    <row r="3279" spans="1:1" x14ac:dyDescent="0.35">
      <c r="A3279" s="2"/>
    </row>
    <row r="3280" spans="1:1" x14ac:dyDescent="0.35">
      <c r="A3280" s="3" t="s">
        <v>8188</v>
      </c>
    </row>
    <row r="3281" spans="1:1" x14ac:dyDescent="0.35">
      <c r="A3281" s="3" t="s">
        <v>8189</v>
      </c>
    </row>
    <row r="3282" spans="1:1" x14ac:dyDescent="0.35">
      <c r="A3282" s="3" t="s">
        <v>8190</v>
      </c>
    </row>
    <row r="3283" spans="1:1" x14ac:dyDescent="0.35">
      <c r="A3283" s="3" t="s">
        <v>8191</v>
      </c>
    </row>
    <row r="3284" spans="1:1" x14ac:dyDescent="0.35">
      <c r="A3284"/>
    </row>
    <row r="3285" spans="1:1" ht="17.5" x14ac:dyDescent="0.35">
      <c r="A3285" s="21" t="s">
        <v>5030</v>
      </c>
    </row>
    <row r="3286" spans="1:1" x14ac:dyDescent="0.35">
      <c r="A3286" s="2"/>
    </row>
    <row r="3287" spans="1:1" x14ac:dyDescent="0.35">
      <c r="A3287" s="3" t="s">
        <v>8192</v>
      </c>
    </row>
    <row r="3288" spans="1:1" x14ac:dyDescent="0.35">
      <c r="A3288" s="3" t="s">
        <v>8193</v>
      </c>
    </row>
    <row r="3289" spans="1:1" x14ac:dyDescent="0.35">
      <c r="A3289" s="3" t="s">
        <v>8194</v>
      </c>
    </row>
    <row r="3290" spans="1:1" x14ac:dyDescent="0.35">
      <c r="A3290" s="3" t="s">
        <v>8195</v>
      </c>
    </row>
    <row r="3291" spans="1:1" x14ac:dyDescent="0.35">
      <c r="A3291" s="3" t="s">
        <v>8196</v>
      </c>
    </row>
    <row r="3292" spans="1:1" x14ac:dyDescent="0.35">
      <c r="A3292"/>
    </row>
    <row r="3293" spans="1:1" ht="17.5" x14ac:dyDescent="0.35">
      <c r="A3293" s="21" t="s">
        <v>5025</v>
      </c>
    </row>
    <row r="3294" spans="1:1" x14ac:dyDescent="0.35">
      <c r="A3294" s="2"/>
    </row>
    <row r="3295" spans="1:1" x14ac:dyDescent="0.35">
      <c r="A3295" s="3" t="s">
        <v>7422</v>
      </c>
    </row>
    <row r="3296" spans="1:1" x14ac:dyDescent="0.35">
      <c r="A3296" s="3" t="s">
        <v>8197</v>
      </c>
    </row>
    <row r="3297" spans="1:1" x14ac:dyDescent="0.35">
      <c r="A3297" s="3" t="s">
        <v>8198</v>
      </c>
    </row>
    <row r="3298" spans="1:1" x14ac:dyDescent="0.35">
      <c r="A3298" s="3" t="s">
        <v>8199</v>
      </c>
    </row>
    <row r="3299" spans="1:1" x14ac:dyDescent="0.35">
      <c r="A3299"/>
    </row>
    <row r="3300" spans="1:1" ht="17.5" x14ac:dyDescent="0.35">
      <c r="A3300" s="21" t="s">
        <v>4280</v>
      </c>
    </row>
    <row r="3301" spans="1:1" x14ac:dyDescent="0.35">
      <c r="A3301" s="2"/>
    </row>
    <row r="3302" spans="1:1" x14ac:dyDescent="0.35">
      <c r="A3302" s="3" t="s">
        <v>8200</v>
      </c>
    </row>
    <row r="3303" spans="1:1" x14ac:dyDescent="0.35">
      <c r="A3303" s="3" t="s">
        <v>8201</v>
      </c>
    </row>
    <row r="3304" spans="1:1" x14ac:dyDescent="0.35">
      <c r="A3304" s="3" t="s">
        <v>8202</v>
      </c>
    </row>
    <row r="3305" spans="1:1" x14ac:dyDescent="0.35">
      <c r="A3305" s="3" t="s">
        <v>8203</v>
      </c>
    </row>
    <row r="3306" spans="1:1" x14ac:dyDescent="0.35">
      <c r="A3306"/>
    </row>
    <row r="3307" spans="1:1" x14ac:dyDescent="0.35">
      <c r="A3307" s="1" t="s">
        <v>8204</v>
      </c>
    </row>
    <row r="3310" spans="1:1" x14ac:dyDescent="0.35">
      <c r="A3310" s="5" t="s">
        <v>8216</v>
      </c>
    </row>
    <row r="3311" spans="1:1" x14ac:dyDescent="0.35">
      <c r="A3311" t="s">
        <v>8217</v>
      </c>
    </row>
    <row r="3312" spans="1:1" x14ac:dyDescent="0.35">
      <c r="A3312"/>
    </row>
    <row r="3313" spans="1:1" x14ac:dyDescent="0.35">
      <c r="A3313" s="1" t="s">
        <v>8218</v>
      </c>
    </row>
    <row r="3314" spans="1:1" x14ac:dyDescent="0.35">
      <c r="A3314"/>
    </row>
    <row r="3315" spans="1:1" x14ac:dyDescent="0.35">
      <c r="A3315" t="s">
        <v>8219</v>
      </c>
    </row>
    <row r="3316" spans="1:1" x14ac:dyDescent="0.35">
      <c r="A3316"/>
    </row>
    <row r="3317" spans="1:1" x14ac:dyDescent="0.35">
      <c r="A3317" s="1" t="s">
        <v>8220</v>
      </c>
    </row>
    <row r="3318" spans="1:1" x14ac:dyDescent="0.35">
      <c r="A3318" s="2"/>
    </row>
    <row r="3319" spans="1:1" x14ac:dyDescent="0.35">
      <c r="A3319" s="3" t="s">
        <v>8221</v>
      </c>
    </row>
    <row r="3320" spans="1:1" x14ac:dyDescent="0.35">
      <c r="A3320" s="3" t="s">
        <v>8222</v>
      </c>
    </row>
    <row r="3321" spans="1:1" x14ac:dyDescent="0.35">
      <c r="A3321" s="3" t="s">
        <v>8223</v>
      </c>
    </row>
    <row r="3322" spans="1:1" x14ac:dyDescent="0.35">
      <c r="A3322"/>
    </row>
    <row r="3323" spans="1:1" x14ac:dyDescent="0.35">
      <c r="A3323" s="1" t="s">
        <v>8224</v>
      </c>
    </row>
    <row r="3324" spans="1:1" x14ac:dyDescent="0.35">
      <c r="A3324" s="2"/>
    </row>
    <row r="3325" spans="1:1" x14ac:dyDescent="0.35">
      <c r="A3325" s="3" t="s">
        <v>8225</v>
      </c>
    </row>
    <row r="3326" spans="1:1" x14ac:dyDescent="0.35">
      <c r="A3326" s="3" t="s">
        <v>8226</v>
      </c>
    </row>
    <row r="3327" spans="1:1" x14ac:dyDescent="0.35">
      <c r="A3327"/>
    </row>
    <row r="3328" spans="1:1" x14ac:dyDescent="0.35">
      <c r="A3328" s="1" t="s">
        <v>8227</v>
      </c>
    </row>
    <row r="3329" spans="1:1" x14ac:dyDescent="0.35">
      <c r="A3329" s="2"/>
    </row>
    <row r="3330" spans="1:1" x14ac:dyDescent="0.35">
      <c r="A3330" s="3" t="s">
        <v>8228</v>
      </c>
    </row>
    <row r="3331" spans="1:1" x14ac:dyDescent="0.35">
      <c r="A3331" s="3" t="s">
        <v>8229</v>
      </c>
    </row>
    <row r="3332" spans="1:1" x14ac:dyDescent="0.35">
      <c r="A3332" s="3" t="s">
        <v>8230</v>
      </c>
    </row>
    <row r="3333" spans="1:1" x14ac:dyDescent="0.35">
      <c r="A3333"/>
    </row>
    <row r="3334" spans="1:1" x14ac:dyDescent="0.35">
      <c r="A3334" t="s">
        <v>8231</v>
      </c>
    </row>
    <row r="3335" spans="1:1" x14ac:dyDescent="0.35">
      <c r="A3335"/>
    </row>
    <row r="3336" spans="1:1" x14ac:dyDescent="0.35">
      <c r="A3336" t="s">
        <v>8232</v>
      </c>
    </row>
    <row r="3338" spans="1:1" ht="23.5" x14ac:dyDescent="0.35">
      <c r="A3338" s="19" t="s">
        <v>8251</v>
      </c>
    </row>
    <row r="3339" spans="1:1" x14ac:dyDescent="0.35">
      <c r="A3339"/>
    </row>
    <row r="3340" spans="1:1" ht="17.5" x14ac:dyDescent="0.35">
      <c r="A3340" s="21" t="s">
        <v>5040</v>
      </c>
    </row>
    <row r="3341" spans="1:1" x14ac:dyDescent="0.35">
      <c r="A3341" s="2"/>
    </row>
    <row r="3342" spans="1:1" x14ac:dyDescent="0.35">
      <c r="A3342" s="3" t="s">
        <v>8250</v>
      </c>
    </row>
    <row r="3343" spans="1:1" x14ac:dyDescent="0.35">
      <c r="A3343" s="3" t="s">
        <v>8249</v>
      </c>
    </row>
    <row r="3344" spans="1:1" x14ac:dyDescent="0.35">
      <c r="A3344" s="3" t="s">
        <v>8248</v>
      </c>
    </row>
    <row r="3345" spans="1:1" x14ac:dyDescent="0.35">
      <c r="A3345" s="3" t="s">
        <v>8247</v>
      </c>
    </row>
    <row r="3346" spans="1:1" x14ac:dyDescent="0.35">
      <c r="A3346"/>
    </row>
    <row r="3347" spans="1:1" ht="17.5" x14ac:dyDescent="0.35">
      <c r="A3347" s="21" t="s">
        <v>5035</v>
      </c>
    </row>
    <row r="3348" spans="1:1" x14ac:dyDescent="0.35">
      <c r="A3348" s="2"/>
    </row>
    <row r="3349" spans="1:1" x14ac:dyDescent="0.35">
      <c r="A3349" s="3" t="s">
        <v>8246</v>
      </c>
    </row>
    <row r="3350" spans="1:1" x14ac:dyDescent="0.35">
      <c r="A3350" s="3" t="s">
        <v>8245</v>
      </c>
    </row>
    <row r="3351" spans="1:1" x14ac:dyDescent="0.35">
      <c r="A3351" s="3" t="s">
        <v>8244</v>
      </c>
    </row>
    <row r="3352" spans="1:1" x14ac:dyDescent="0.35">
      <c r="A3352" s="3" t="s">
        <v>8243</v>
      </c>
    </row>
    <row r="3353" spans="1:1" x14ac:dyDescent="0.35">
      <c r="A3353"/>
    </row>
    <row r="3354" spans="1:1" ht="17.5" x14ac:dyDescent="0.35">
      <c r="A3354" s="21" t="s">
        <v>5030</v>
      </c>
    </row>
    <row r="3355" spans="1:1" x14ac:dyDescent="0.35">
      <c r="A3355" s="2"/>
    </row>
    <row r="3356" spans="1:1" x14ac:dyDescent="0.35">
      <c r="A3356" s="3" t="s">
        <v>8242</v>
      </c>
    </row>
    <row r="3357" spans="1:1" x14ac:dyDescent="0.35">
      <c r="A3357" s="3" t="s">
        <v>8241</v>
      </c>
    </row>
    <row r="3358" spans="1:1" x14ac:dyDescent="0.35">
      <c r="A3358" s="3" t="s">
        <v>8240</v>
      </c>
    </row>
    <row r="3359" spans="1:1" x14ac:dyDescent="0.35">
      <c r="A3359" s="3" t="s">
        <v>8239</v>
      </c>
    </row>
    <row r="3360" spans="1:1" x14ac:dyDescent="0.35">
      <c r="A3360" s="3" t="s">
        <v>8238</v>
      </c>
    </row>
    <row r="3361" spans="1:1" x14ac:dyDescent="0.35">
      <c r="A3361"/>
    </row>
    <row r="3362" spans="1:1" ht="17.5" x14ac:dyDescent="0.35">
      <c r="A3362" s="21" t="s">
        <v>5025</v>
      </c>
    </row>
    <row r="3363" spans="1:1" x14ac:dyDescent="0.35">
      <c r="A3363" s="2"/>
    </row>
    <row r="3364" spans="1:1" x14ac:dyDescent="0.35">
      <c r="A3364" s="3" t="s">
        <v>8237</v>
      </c>
    </row>
    <row r="3365" spans="1:1" x14ac:dyDescent="0.35">
      <c r="A3365" s="3" t="s">
        <v>8236</v>
      </c>
    </row>
    <row r="3366" spans="1:1" x14ac:dyDescent="0.35">
      <c r="A3366" s="3" t="s">
        <v>8235</v>
      </c>
    </row>
    <row r="3367" spans="1:1" x14ac:dyDescent="0.35">
      <c r="A3367" s="3" t="s">
        <v>8234</v>
      </c>
    </row>
    <row r="3368" spans="1:1" x14ac:dyDescent="0.35">
      <c r="A3368"/>
    </row>
    <row r="3369" spans="1:1" x14ac:dyDescent="0.35">
      <c r="A3369" s="1" t="s">
        <v>8233</v>
      </c>
    </row>
    <row r="3372" spans="1:1" x14ac:dyDescent="0.35">
      <c r="A3372" s="5" t="s">
        <v>8416</v>
      </c>
    </row>
    <row r="3373" spans="1:1" x14ac:dyDescent="0.35">
      <c r="A3373" t="s">
        <v>8417</v>
      </c>
    </row>
    <row r="3374" spans="1:1" x14ac:dyDescent="0.35">
      <c r="A3374"/>
    </row>
    <row r="3375" spans="1:1" x14ac:dyDescent="0.35">
      <c r="A3375" s="1" t="s">
        <v>8418</v>
      </c>
    </row>
    <row r="3376" spans="1:1" x14ac:dyDescent="0.35">
      <c r="A3376"/>
    </row>
    <row r="3377" spans="1:1" x14ac:dyDescent="0.35">
      <c r="A3377" s="1" t="s">
        <v>6998</v>
      </c>
    </row>
    <row r="3378" spans="1:1" x14ac:dyDescent="0.35">
      <c r="A3378" s="2"/>
    </row>
    <row r="3379" spans="1:1" x14ac:dyDescent="0.35">
      <c r="A3379" s="3" t="s">
        <v>8419</v>
      </c>
    </row>
    <row r="3380" spans="1:1" x14ac:dyDescent="0.35">
      <c r="A3380" s="3" t="s">
        <v>8420</v>
      </c>
    </row>
    <row r="3381" spans="1:1" x14ac:dyDescent="0.35">
      <c r="A3381" s="3" t="s">
        <v>8421</v>
      </c>
    </row>
    <row r="3382" spans="1:1" x14ac:dyDescent="0.35">
      <c r="A3382" s="3" t="s">
        <v>8422</v>
      </c>
    </row>
    <row r="3383" spans="1:1" x14ac:dyDescent="0.35">
      <c r="A3383"/>
    </row>
    <row r="3384" spans="1:1" x14ac:dyDescent="0.35">
      <c r="A3384" s="1" t="s">
        <v>7003</v>
      </c>
    </row>
    <row r="3385" spans="1:1" x14ac:dyDescent="0.35">
      <c r="A3385" s="2"/>
    </row>
    <row r="3386" spans="1:1" x14ac:dyDescent="0.35">
      <c r="A3386" s="2" t="s">
        <v>8423</v>
      </c>
    </row>
    <row r="3387" spans="1:1" x14ac:dyDescent="0.35">
      <c r="A3387" s="2" t="s">
        <v>8424</v>
      </c>
    </row>
    <row r="3388" spans="1:1" x14ac:dyDescent="0.35">
      <c r="A3388" s="3" t="s">
        <v>8425</v>
      </c>
    </row>
    <row r="3389" spans="1:1" x14ac:dyDescent="0.35">
      <c r="A3389" s="2" t="s">
        <v>8426</v>
      </c>
    </row>
    <row r="3390" spans="1:1" x14ac:dyDescent="0.35">
      <c r="A3390"/>
    </row>
    <row r="3391" spans="1:1" x14ac:dyDescent="0.35">
      <c r="A3391" s="1" t="s">
        <v>8427</v>
      </c>
    </row>
    <row r="3392" spans="1:1" x14ac:dyDescent="0.35">
      <c r="A3392" s="2"/>
    </row>
    <row r="3393" spans="1:1" x14ac:dyDescent="0.35">
      <c r="A3393" s="2" t="s">
        <v>8428</v>
      </c>
    </row>
    <row r="3394" spans="1:1" x14ac:dyDescent="0.35">
      <c r="A3394" s="2" t="s">
        <v>8429</v>
      </c>
    </row>
    <row r="3395" spans="1:1" x14ac:dyDescent="0.35">
      <c r="A3395" s="2" t="s">
        <v>8430</v>
      </c>
    </row>
    <row r="3396" spans="1:1" x14ac:dyDescent="0.35">
      <c r="A3396" s="2" t="s">
        <v>8431</v>
      </c>
    </row>
    <row r="3397" spans="1:1" x14ac:dyDescent="0.35">
      <c r="A3397"/>
    </row>
    <row r="3398" spans="1:1" x14ac:dyDescent="0.35">
      <c r="A3398" t="s">
        <v>8432</v>
      </c>
    </row>
    <row r="3400" spans="1:1" ht="23.5" x14ac:dyDescent="0.35">
      <c r="A3400" s="19" t="s">
        <v>8457</v>
      </c>
    </row>
    <row r="3401" spans="1:1" x14ac:dyDescent="0.35">
      <c r="A3401"/>
    </row>
    <row r="3402" spans="1:1" ht="17.5" x14ac:dyDescent="0.35">
      <c r="A3402" s="21" t="s">
        <v>5040</v>
      </c>
    </row>
    <row r="3403" spans="1:1" x14ac:dyDescent="0.35">
      <c r="A3403" s="2"/>
    </row>
    <row r="3404" spans="1:1" x14ac:dyDescent="0.35">
      <c r="A3404" s="3" t="s">
        <v>8456</v>
      </c>
    </row>
    <row r="3405" spans="1:1" x14ac:dyDescent="0.35">
      <c r="A3405" s="3" t="s">
        <v>8455</v>
      </c>
    </row>
    <row r="3406" spans="1:1" x14ac:dyDescent="0.35">
      <c r="A3406" s="3" t="s">
        <v>8454</v>
      </c>
    </row>
    <row r="3407" spans="1:1" x14ac:dyDescent="0.35">
      <c r="A3407" s="3" t="s">
        <v>8453</v>
      </c>
    </row>
    <row r="3408" spans="1:1" x14ac:dyDescent="0.35">
      <c r="A3408" s="3" t="s">
        <v>8452</v>
      </c>
    </row>
    <row r="3409" spans="1:1" x14ac:dyDescent="0.35">
      <c r="A3409"/>
    </row>
    <row r="3410" spans="1:1" ht="17.5" x14ac:dyDescent="0.35">
      <c r="A3410" s="21" t="s">
        <v>5035</v>
      </c>
    </row>
    <row r="3411" spans="1:1" x14ac:dyDescent="0.35">
      <c r="A3411" s="2"/>
    </row>
    <row r="3412" spans="1:1" x14ac:dyDescent="0.35">
      <c r="A3412" s="3" t="s">
        <v>8451</v>
      </c>
    </row>
    <row r="3413" spans="1:1" x14ac:dyDescent="0.35">
      <c r="A3413" s="3" t="s">
        <v>8450</v>
      </c>
    </row>
    <row r="3414" spans="1:1" x14ac:dyDescent="0.35">
      <c r="A3414" s="3" t="s">
        <v>8449</v>
      </c>
    </row>
    <row r="3415" spans="1:1" x14ac:dyDescent="0.35">
      <c r="A3415" s="3" t="s">
        <v>8448</v>
      </c>
    </row>
    <row r="3416" spans="1:1" x14ac:dyDescent="0.35">
      <c r="A3416"/>
    </row>
    <row r="3417" spans="1:1" ht="17.5" x14ac:dyDescent="0.35">
      <c r="A3417" s="21" t="s">
        <v>5030</v>
      </c>
    </row>
    <row r="3418" spans="1:1" x14ac:dyDescent="0.35">
      <c r="A3418" s="2"/>
    </row>
    <row r="3419" spans="1:1" x14ac:dyDescent="0.35">
      <c r="A3419" s="3" t="s">
        <v>8447</v>
      </c>
    </row>
    <row r="3420" spans="1:1" x14ac:dyDescent="0.35">
      <c r="A3420" s="3" t="s">
        <v>8446</v>
      </c>
    </row>
    <row r="3421" spans="1:1" x14ac:dyDescent="0.35">
      <c r="A3421" s="3" t="s">
        <v>8445</v>
      </c>
    </row>
    <row r="3422" spans="1:1" x14ac:dyDescent="0.35">
      <c r="A3422" s="3" t="s">
        <v>8444</v>
      </c>
    </row>
    <row r="3423" spans="1:1" x14ac:dyDescent="0.35">
      <c r="A3423" s="3" t="s">
        <v>8443</v>
      </c>
    </row>
    <row r="3424" spans="1:1" x14ac:dyDescent="0.35">
      <c r="A3424"/>
    </row>
    <row r="3425" spans="1:1" ht="17.5" x14ac:dyDescent="0.35">
      <c r="A3425" s="21" t="s">
        <v>5025</v>
      </c>
    </row>
    <row r="3426" spans="1:1" x14ac:dyDescent="0.35">
      <c r="A3426" s="2"/>
    </row>
    <row r="3427" spans="1:1" x14ac:dyDescent="0.35">
      <c r="A3427" s="3" t="s">
        <v>8442</v>
      </c>
    </row>
    <row r="3428" spans="1:1" x14ac:dyDescent="0.35">
      <c r="A3428" s="3" t="s">
        <v>8441</v>
      </c>
    </row>
    <row r="3429" spans="1:1" x14ac:dyDescent="0.35">
      <c r="A3429" s="3" t="s">
        <v>8440</v>
      </c>
    </row>
    <row r="3430" spans="1:1" x14ac:dyDescent="0.35">
      <c r="A3430" s="3" t="s">
        <v>8439</v>
      </c>
    </row>
    <row r="3431" spans="1:1" x14ac:dyDescent="0.35">
      <c r="A3431"/>
    </row>
    <row r="3432" spans="1:1" ht="17.5" x14ac:dyDescent="0.35">
      <c r="A3432" s="21" t="s">
        <v>8438</v>
      </c>
    </row>
    <row r="3433" spans="1:1" x14ac:dyDescent="0.35">
      <c r="A3433" s="2"/>
    </row>
    <row r="3434" spans="1:1" x14ac:dyDescent="0.35">
      <c r="A3434" s="3" t="s">
        <v>8437</v>
      </c>
    </row>
    <row r="3435" spans="1:1" x14ac:dyDescent="0.35">
      <c r="A3435" s="3" t="s">
        <v>8436</v>
      </c>
    </row>
    <row r="3436" spans="1:1" x14ac:dyDescent="0.35">
      <c r="A3436" s="3" t="s">
        <v>8435</v>
      </c>
    </row>
    <row r="3437" spans="1:1" x14ac:dyDescent="0.35">
      <c r="A3437" s="3" t="s">
        <v>8434</v>
      </c>
    </row>
    <row r="3438" spans="1:1" x14ac:dyDescent="0.35">
      <c r="A3438"/>
    </row>
    <row r="3439" spans="1:1" x14ac:dyDescent="0.35">
      <c r="A3439" s="1" t="s">
        <v>8433</v>
      </c>
    </row>
    <row r="3442" spans="1:1" x14ac:dyDescent="0.35">
      <c r="A3442" s="5" t="s">
        <v>8505</v>
      </c>
    </row>
    <row r="3443" spans="1:1" x14ac:dyDescent="0.35">
      <c r="A3443" t="s">
        <v>8506</v>
      </c>
    </row>
    <row r="3444" spans="1:1" x14ac:dyDescent="0.35">
      <c r="A3444"/>
    </row>
    <row r="3445" spans="1:1" x14ac:dyDescent="0.35">
      <c r="A3445" s="1" t="s">
        <v>8507</v>
      </c>
    </row>
    <row r="3446" spans="1:1" x14ac:dyDescent="0.35">
      <c r="A3446"/>
    </row>
    <row r="3447" spans="1:1" x14ac:dyDescent="0.35">
      <c r="A3447" s="1" t="s">
        <v>8508</v>
      </c>
    </row>
    <row r="3448" spans="1:1" x14ac:dyDescent="0.35">
      <c r="A3448" s="2"/>
    </row>
    <row r="3449" spans="1:1" x14ac:dyDescent="0.35">
      <c r="A3449" s="3" t="s">
        <v>8509</v>
      </c>
    </row>
    <row r="3450" spans="1:1" x14ac:dyDescent="0.35">
      <c r="A3450" s="3" t="s">
        <v>8510</v>
      </c>
    </row>
    <row r="3451" spans="1:1" x14ac:dyDescent="0.35">
      <c r="A3451" s="3" t="s">
        <v>8511</v>
      </c>
    </row>
    <row r="3452" spans="1:1" x14ac:dyDescent="0.35">
      <c r="A3452"/>
    </row>
    <row r="3453" spans="1:1" x14ac:dyDescent="0.35">
      <c r="A3453" s="1" t="s">
        <v>8512</v>
      </c>
    </row>
    <row r="3454" spans="1:1" x14ac:dyDescent="0.35">
      <c r="A3454" s="2"/>
    </row>
    <row r="3455" spans="1:1" x14ac:dyDescent="0.35">
      <c r="A3455" s="2" t="s">
        <v>8513</v>
      </c>
    </row>
    <row r="3456" spans="1:1" x14ac:dyDescent="0.35">
      <c r="A3456" s="2" t="s">
        <v>8514</v>
      </c>
    </row>
    <row r="3457" spans="1:1" x14ac:dyDescent="0.35">
      <c r="A3457" s="2" t="s">
        <v>8515</v>
      </c>
    </row>
    <row r="3458" spans="1:1" x14ac:dyDescent="0.35">
      <c r="A3458" s="2" t="s">
        <v>8516</v>
      </c>
    </row>
    <row r="3459" spans="1:1" x14ac:dyDescent="0.35">
      <c r="A3459"/>
    </row>
    <row r="3460" spans="1:1" x14ac:dyDescent="0.35">
      <c r="A3460" s="1" t="s">
        <v>8517</v>
      </c>
    </row>
    <row r="3461" spans="1:1" x14ac:dyDescent="0.35">
      <c r="A3461" s="2"/>
    </row>
    <row r="3462" spans="1:1" x14ac:dyDescent="0.35">
      <c r="A3462" s="2" t="s">
        <v>8518</v>
      </c>
    </row>
    <row r="3463" spans="1:1" x14ac:dyDescent="0.35">
      <c r="A3463" s="2" t="s">
        <v>8519</v>
      </c>
    </row>
    <row r="3464" spans="1:1" x14ac:dyDescent="0.35">
      <c r="A3464" s="2" t="s">
        <v>8520</v>
      </c>
    </row>
    <row r="3465" spans="1:1" x14ac:dyDescent="0.35">
      <c r="A3465"/>
    </row>
    <row r="3466" spans="1:1" x14ac:dyDescent="0.35">
      <c r="A3466" s="1" t="s">
        <v>8521</v>
      </c>
    </row>
    <row r="3467" spans="1:1" x14ac:dyDescent="0.35">
      <c r="A3467"/>
    </row>
    <row r="3468" spans="1:1" x14ac:dyDescent="0.35">
      <c r="A3468" t="s">
        <v>8522</v>
      </c>
    </row>
    <row r="3470" spans="1:1" ht="23.5" x14ac:dyDescent="0.35">
      <c r="A3470" s="19" t="s">
        <v>8547</v>
      </c>
    </row>
    <row r="3471" spans="1:1" x14ac:dyDescent="0.35">
      <c r="A3471"/>
    </row>
    <row r="3472" spans="1:1" ht="17.5" x14ac:dyDescent="0.35">
      <c r="A3472" s="21" t="s">
        <v>5040</v>
      </c>
    </row>
    <row r="3473" spans="1:1" x14ac:dyDescent="0.35">
      <c r="A3473" s="2"/>
    </row>
    <row r="3474" spans="1:1" x14ac:dyDescent="0.35">
      <c r="A3474" s="3" t="s">
        <v>8546</v>
      </c>
    </row>
    <row r="3475" spans="1:1" x14ac:dyDescent="0.35">
      <c r="A3475" s="3" t="s">
        <v>8545</v>
      </c>
    </row>
    <row r="3476" spans="1:1" x14ac:dyDescent="0.35">
      <c r="A3476" s="3" t="s">
        <v>8544</v>
      </c>
    </row>
    <row r="3477" spans="1:1" x14ac:dyDescent="0.35">
      <c r="A3477" s="3" t="s">
        <v>8543</v>
      </c>
    </row>
    <row r="3478" spans="1:1" x14ac:dyDescent="0.35">
      <c r="A3478"/>
    </row>
    <row r="3479" spans="1:1" ht="17.5" x14ac:dyDescent="0.35">
      <c r="A3479" s="21" t="s">
        <v>5035</v>
      </c>
    </row>
    <row r="3480" spans="1:1" x14ac:dyDescent="0.35">
      <c r="A3480" s="2"/>
    </row>
    <row r="3481" spans="1:1" x14ac:dyDescent="0.35">
      <c r="A3481" s="3" t="s">
        <v>8542</v>
      </c>
    </row>
    <row r="3482" spans="1:1" x14ac:dyDescent="0.35">
      <c r="A3482" s="3" t="s">
        <v>8541</v>
      </c>
    </row>
    <row r="3483" spans="1:1" x14ac:dyDescent="0.35">
      <c r="A3483" s="3" t="s">
        <v>8540</v>
      </c>
    </row>
    <row r="3484" spans="1:1" x14ac:dyDescent="0.35">
      <c r="A3484" s="3" t="s">
        <v>8539</v>
      </c>
    </row>
    <row r="3485" spans="1:1" x14ac:dyDescent="0.35">
      <c r="A3485"/>
    </row>
    <row r="3486" spans="1:1" ht="17.5" x14ac:dyDescent="0.35">
      <c r="A3486" s="21" t="s">
        <v>5030</v>
      </c>
    </row>
    <row r="3487" spans="1:1" x14ac:dyDescent="0.35">
      <c r="A3487" s="2"/>
    </row>
    <row r="3488" spans="1:1" x14ac:dyDescent="0.35">
      <c r="A3488" s="3" t="s">
        <v>8538</v>
      </c>
    </row>
    <row r="3489" spans="1:1" x14ac:dyDescent="0.35">
      <c r="A3489" s="3" t="s">
        <v>8537</v>
      </c>
    </row>
    <row r="3490" spans="1:1" x14ac:dyDescent="0.35">
      <c r="A3490" s="3" t="s">
        <v>8536</v>
      </c>
    </row>
    <row r="3491" spans="1:1" x14ac:dyDescent="0.35">
      <c r="A3491" s="3" t="s">
        <v>8535</v>
      </c>
    </row>
    <row r="3492" spans="1:1" x14ac:dyDescent="0.35">
      <c r="A3492" s="3" t="s">
        <v>8534</v>
      </c>
    </row>
    <row r="3493" spans="1:1" x14ac:dyDescent="0.35">
      <c r="A3493" s="3" t="s">
        <v>8533</v>
      </c>
    </row>
    <row r="3494" spans="1:1" x14ac:dyDescent="0.35">
      <c r="A3494"/>
    </row>
    <row r="3495" spans="1:1" ht="17.5" x14ac:dyDescent="0.35">
      <c r="A3495" s="21" t="s">
        <v>5025</v>
      </c>
    </row>
    <row r="3496" spans="1:1" x14ac:dyDescent="0.35">
      <c r="A3496" s="2"/>
    </row>
    <row r="3497" spans="1:1" x14ac:dyDescent="0.35">
      <c r="A3497" s="3" t="s">
        <v>8532</v>
      </c>
    </row>
    <row r="3498" spans="1:1" x14ac:dyDescent="0.35">
      <c r="A3498" s="3" t="s">
        <v>8531</v>
      </c>
    </row>
    <row r="3499" spans="1:1" x14ac:dyDescent="0.35">
      <c r="A3499" s="3" t="s">
        <v>8530</v>
      </c>
    </row>
    <row r="3500" spans="1:1" x14ac:dyDescent="0.35">
      <c r="A3500" s="3" t="s">
        <v>8529</v>
      </c>
    </row>
    <row r="3501" spans="1:1" x14ac:dyDescent="0.35">
      <c r="A3501"/>
    </row>
    <row r="3502" spans="1:1" ht="17.5" x14ac:dyDescent="0.35">
      <c r="A3502" s="21" t="s">
        <v>8528</v>
      </c>
    </row>
    <row r="3503" spans="1:1" x14ac:dyDescent="0.35">
      <c r="A3503" s="2"/>
    </row>
    <row r="3504" spans="1:1" x14ac:dyDescent="0.35">
      <c r="A3504" s="3" t="s">
        <v>8527</v>
      </c>
    </row>
    <row r="3505" spans="1:1" x14ac:dyDescent="0.35">
      <c r="A3505" s="3" t="s">
        <v>8526</v>
      </c>
    </row>
    <row r="3506" spans="1:1" x14ac:dyDescent="0.35">
      <c r="A3506" s="3" t="s">
        <v>8525</v>
      </c>
    </row>
    <row r="3507" spans="1:1" x14ac:dyDescent="0.35">
      <c r="A3507" s="3" t="s">
        <v>8524</v>
      </c>
    </row>
    <row r="3508" spans="1:1" x14ac:dyDescent="0.35">
      <c r="A3508"/>
    </row>
    <row r="3509" spans="1:1" x14ac:dyDescent="0.35">
      <c r="A3509" s="1" t="s">
        <v>8523</v>
      </c>
    </row>
    <row r="3512" spans="1:1" x14ac:dyDescent="0.35">
      <c r="A3512" s="5" t="s">
        <v>8625</v>
      </c>
    </row>
    <row r="3513" spans="1:1" x14ac:dyDescent="0.35">
      <c r="A3513" t="s">
        <v>8626</v>
      </c>
    </row>
    <row r="3514" spans="1:1" x14ac:dyDescent="0.35">
      <c r="A3514"/>
    </row>
    <row r="3515" spans="1:1" x14ac:dyDescent="0.35">
      <c r="A3515" s="1" t="s">
        <v>8627</v>
      </c>
    </row>
    <row r="3516" spans="1:1" x14ac:dyDescent="0.35">
      <c r="A3516"/>
    </row>
    <row r="3517" spans="1:1" x14ac:dyDescent="0.35">
      <c r="A3517" s="1" t="s">
        <v>8628</v>
      </c>
    </row>
    <row r="3518" spans="1:1" x14ac:dyDescent="0.35">
      <c r="A3518" s="2"/>
    </row>
    <row r="3519" spans="1:1" x14ac:dyDescent="0.35">
      <c r="A3519" s="2" t="s">
        <v>8629</v>
      </c>
    </row>
    <row r="3520" spans="1:1" x14ac:dyDescent="0.35">
      <c r="A3520" s="2" t="s">
        <v>8630</v>
      </c>
    </row>
    <row r="3521" spans="1:1" x14ac:dyDescent="0.35">
      <c r="A3521" s="2" t="s">
        <v>8631</v>
      </c>
    </row>
    <row r="3522" spans="1:1" x14ac:dyDescent="0.35">
      <c r="A3522"/>
    </row>
    <row r="3523" spans="1:1" x14ac:dyDescent="0.35">
      <c r="A3523" s="1" t="s">
        <v>8632</v>
      </c>
    </row>
    <row r="3524" spans="1:1" x14ac:dyDescent="0.35">
      <c r="A3524" s="2"/>
    </row>
    <row r="3525" spans="1:1" x14ac:dyDescent="0.35">
      <c r="A3525" s="3" t="s">
        <v>8633</v>
      </c>
    </row>
    <row r="3526" spans="1:1" x14ac:dyDescent="0.35">
      <c r="A3526" s="3" t="s">
        <v>8634</v>
      </c>
    </row>
    <row r="3527" spans="1:1" x14ac:dyDescent="0.35">
      <c r="A3527" s="3" t="s">
        <v>8635</v>
      </c>
    </row>
    <row r="3528" spans="1:1" x14ac:dyDescent="0.35">
      <c r="A3528" s="3" t="s">
        <v>8636</v>
      </c>
    </row>
    <row r="3529" spans="1:1" x14ac:dyDescent="0.35">
      <c r="A3529"/>
    </row>
    <row r="3530" spans="1:1" x14ac:dyDescent="0.35">
      <c r="A3530" s="1" t="s">
        <v>8637</v>
      </c>
    </row>
    <row r="3531" spans="1:1" x14ac:dyDescent="0.35">
      <c r="A3531" s="2"/>
    </row>
    <row r="3532" spans="1:1" x14ac:dyDescent="0.35">
      <c r="A3532" s="3" t="s">
        <v>8638</v>
      </c>
    </row>
    <row r="3533" spans="1:1" x14ac:dyDescent="0.35">
      <c r="A3533" s="3" t="s">
        <v>8639</v>
      </c>
    </row>
    <row r="3534" spans="1:1" x14ac:dyDescent="0.35">
      <c r="A3534" s="3" t="s">
        <v>8640</v>
      </c>
    </row>
    <row r="3535" spans="1:1" x14ac:dyDescent="0.35">
      <c r="A3535"/>
    </row>
    <row r="3536" spans="1:1" x14ac:dyDescent="0.35">
      <c r="A3536" s="1" t="s">
        <v>2501</v>
      </c>
    </row>
    <row r="3537" spans="1:1" x14ac:dyDescent="0.35">
      <c r="A3537" s="2"/>
    </row>
    <row r="3538" spans="1:1" x14ac:dyDescent="0.35">
      <c r="A3538" s="3" t="s">
        <v>8641</v>
      </c>
    </row>
    <row r="3539" spans="1:1" x14ac:dyDescent="0.35">
      <c r="A3539" s="3" t="s">
        <v>8642</v>
      </c>
    </row>
    <row r="3540" spans="1:1" x14ac:dyDescent="0.35">
      <c r="A3540" s="3" t="s">
        <v>8643</v>
      </c>
    </row>
    <row r="3541" spans="1:1" x14ac:dyDescent="0.35">
      <c r="A3541"/>
    </row>
    <row r="3542" spans="1:1" x14ac:dyDescent="0.35">
      <c r="A3542" t="s">
        <v>8644</v>
      </c>
    </row>
    <row r="3544" spans="1:1" ht="23.5" x14ac:dyDescent="0.35">
      <c r="A3544" s="19" t="s">
        <v>8670</v>
      </c>
    </row>
    <row r="3545" spans="1:1" x14ac:dyDescent="0.35">
      <c r="A3545"/>
    </row>
    <row r="3546" spans="1:1" ht="17.5" x14ac:dyDescent="0.35">
      <c r="A3546" s="21" t="s">
        <v>5040</v>
      </c>
    </row>
    <row r="3547" spans="1:1" x14ac:dyDescent="0.35">
      <c r="A3547" s="2"/>
    </row>
    <row r="3548" spans="1:1" x14ac:dyDescent="0.35">
      <c r="A3548" s="3" t="s">
        <v>8669</v>
      </c>
    </row>
    <row r="3549" spans="1:1" x14ac:dyDescent="0.35">
      <c r="A3549" s="3" t="s">
        <v>8668</v>
      </c>
    </row>
    <row r="3550" spans="1:1" x14ac:dyDescent="0.35">
      <c r="A3550" s="3" t="s">
        <v>8667</v>
      </c>
    </row>
    <row r="3551" spans="1:1" x14ac:dyDescent="0.35">
      <c r="A3551" s="3" t="s">
        <v>8666</v>
      </c>
    </row>
    <row r="3552" spans="1:1" x14ac:dyDescent="0.35">
      <c r="A3552"/>
    </row>
    <row r="3553" spans="1:1" ht="17.5" x14ac:dyDescent="0.35">
      <c r="A3553" s="21" t="s">
        <v>5035</v>
      </c>
    </row>
    <row r="3554" spans="1:1" x14ac:dyDescent="0.35">
      <c r="A3554" s="2"/>
    </row>
    <row r="3555" spans="1:1" x14ac:dyDescent="0.35">
      <c r="A3555" s="3" t="s">
        <v>8665</v>
      </c>
    </row>
    <row r="3556" spans="1:1" x14ac:dyDescent="0.35">
      <c r="A3556" s="3" t="s">
        <v>8664</v>
      </c>
    </row>
    <row r="3557" spans="1:1" x14ac:dyDescent="0.35">
      <c r="A3557" s="3" t="s">
        <v>8663</v>
      </c>
    </row>
    <row r="3558" spans="1:1" x14ac:dyDescent="0.35">
      <c r="A3558" s="3" t="s">
        <v>8662</v>
      </c>
    </row>
    <row r="3559" spans="1:1" x14ac:dyDescent="0.35">
      <c r="A3559"/>
    </row>
    <row r="3560" spans="1:1" ht="17.5" x14ac:dyDescent="0.35">
      <c r="A3560" s="21" t="s">
        <v>5030</v>
      </c>
    </row>
    <row r="3561" spans="1:1" x14ac:dyDescent="0.35">
      <c r="A3561" s="2"/>
    </row>
    <row r="3562" spans="1:1" x14ac:dyDescent="0.35">
      <c r="A3562" s="3" t="s">
        <v>8661</v>
      </c>
    </row>
    <row r="3563" spans="1:1" x14ac:dyDescent="0.35">
      <c r="A3563" s="3" t="s">
        <v>8660</v>
      </c>
    </row>
    <row r="3564" spans="1:1" x14ac:dyDescent="0.35">
      <c r="A3564" s="3" t="s">
        <v>8659</v>
      </c>
    </row>
    <row r="3565" spans="1:1" x14ac:dyDescent="0.35">
      <c r="A3565" s="3" t="s">
        <v>8658</v>
      </c>
    </row>
    <row r="3566" spans="1:1" x14ac:dyDescent="0.35">
      <c r="A3566" s="3" t="s">
        <v>8657</v>
      </c>
    </row>
    <row r="3567" spans="1:1" x14ac:dyDescent="0.35">
      <c r="A3567" s="3" t="s">
        <v>8656</v>
      </c>
    </row>
    <row r="3568" spans="1:1" x14ac:dyDescent="0.35">
      <c r="A3568"/>
    </row>
    <row r="3569" spans="1:1" ht="17.5" x14ac:dyDescent="0.35">
      <c r="A3569" s="21" t="s">
        <v>5025</v>
      </c>
    </row>
    <row r="3570" spans="1:1" x14ac:dyDescent="0.35">
      <c r="A3570" s="2"/>
    </row>
    <row r="3571" spans="1:1" x14ac:dyDescent="0.35">
      <c r="A3571" s="3" t="s">
        <v>8655</v>
      </c>
    </row>
    <row r="3572" spans="1:1" x14ac:dyDescent="0.35">
      <c r="A3572" s="3" t="s">
        <v>8654</v>
      </c>
    </row>
    <row r="3573" spans="1:1" x14ac:dyDescent="0.35">
      <c r="A3573" s="3" t="s">
        <v>8653</v>
      </c>
    </row>
    <row r="3574" spans="1:1" x14ac:dyDescent="0.35">
      <c r="A3574" s="3" t="s">
        <v>8652</v>
      </c>
    </row>
    <row r="3575" spans="1:1" x14ac:dyDescent="0.35">
      <c r="A3575"/>
    </row>
    <row r="3576" spans="1:1" ht="17.5" x14ac:dyDescent="0.35">
      <c r="A3576" s="21" t="s">
        <v>8651</v>
      </c>
    </row>
    <row r="3577" spans="1:1" x14ac:dyDescent="0.35">
      <c r="A3577"/>
    </row>
    <row r="3578" spans="1:1" x14ac:dyDescent="0.35">
      <c r="A3578" t="s">
        <v>8650</v>
      </c>
    </row>
    <row r="3579" spans="1:1" x14ac:dyDescent="0.35">
      <c r="A3579" s="2"/>
    </row>
    <row r="3580" spans="1:1" x14ac:dyDescent="0.35">
      <c r="A3580" s="3" t="s">
        <v>8649</v>
      </c>
    </row>
    <row r="3581" spans="1:1" x14ac:dyDescent="0.35">
      <c r="A3581" s="3" t="s">
        <v>8648</v>
      </c>
    </row>
    <row r="3582" spans="1:1" x14ac:dyDescent="0.35">
      <c r="A3582" s="3" t="s">
        <v>8647</v>
      </c>
    </row>
    <row r="3583" spans="1:1" x14ac:dyDescent="0.35">
      <c r="A3583" s="3" t="s">
        <v>8646</v>
      </c>
    </row>
    <row r="3584" spans="1:1" x14ac:dyDescent="0.35">
      <c r="A3584"/>
    </row>
    <row r="3585" spans="1:1" x14ac:dyDescent="0.35">
      <c r="A3585" s="1" t="s">
        <v>8645</v>
      </c>
    </row>
    <row r="3588" spans="1:1" x14ac:dyDescent="0.35">
      <c r="A3588" s="5" t="s">
        <v>8733</v>
      </c>
    </row>
    <row r="3589" spans="1:1" x14ac:dyDescent="0.35">
      <c r="A3589" t="s">
        <v>8734</v>
      </c>
    </row>
    <row r="3590" spans="1:1" x14ac:dyDescent="0.35">
      <c r="A3590"/>
    </row>
    <row r="3591" spans="1:1" x14ac:dyDescent="0.35">
      <c r="A3591" s="1" t="s">
        <v>8735</v>
      </c>
    </row>
    <row r="3592" spans="1:1" x14ac:dyDescent="0.35">
      <c r="A3592"/>
    </row>
    <row r="3593" spans="1:1" x14ac:dyDescent="0.35">
      <c r="A3593" s="1" t="s">
        <v>8736</v>
      </c>
    </row>
    <row r="3594" spans="1:1" x14ac:dyDescent="0.35">
      <c r="A3594" s="2"/>
    </row>
    <row r="3595" spans="1:1" x14ac:dyDescent="0.35">
      <c r="A3595" s="3" t="s">
        <v>8737</v>
      </c>
    </row>
    <row r="3596" spans="1:1" x14ac:dyDescent="0.35">
      <c r="A3596" s="3" t="s">
        <v>8738</v>
      </c>
    </row>
    <row r="3597" spans="1:1" x14ac:dyDescent="0.35">
      <c r="A3597" s="3" t="s">
        <v>8739</v>
      </c>
    </row>
    <row r="3598" spans="1:1" x14ac:dyDescent="0.35">
      <c r="A3598" s="3" t="s">
        <v>8740</v>
      </c>
    </row>
    <row r="3599" spans="1:1" x14ac:dyDescent="0.35">
      <c r="A3599"/>
    </row>
    <row r="3600" spans="1:1" x14ac:dyDescent="0.35">
      <c r="A3600" s="1" t="s">
        <v>7402</v>
      </c>
    </row>
    <row r="3601" spans="1:1" x14ac:dyDescent="0.35">
      <c r="A3601" s="2"/>
    </row>
    <row r="3602" spans="1:1" x14ac:dyDescent="0.35">
      <c r="A3602" s="3" t="s">
        <v>8741</v>
      </c>
    </row>
    <row r="3603" spans="1:1" x14ac:dyDescent="0.35">
      <c r="A3603" s="3" t="s">
        <v>8742</v>
      </c>
    </row>
    <row r="3604" spans="1:1" x14ac:dyDescent="0.35">
      <c r="A3604" s="3" t="s">
        <v>8743</v>
      </c>
    </row>
    <row r="3605" spans="1:1" x14ac:dyDescent="0.35">
      <c r="A3605" s="3" t="s">
        <v>8744</v>
      </c>
    </row>
    <row r="3606" spans="1:1" x14ac:dyDescent="0.35">
      <c r="A3606" s="3" t="s">
        <v>8745</v>
      </c>
    </row>
    <row r="3607" spans="1:1" x14ac:dyDescent="0.35">
      <c r="A3607"/>
    </row>
    <row r="3608" spans="1:1" x14ac:dyDescent="0.35">
      <c r="A3608" s="1" t="s">
        <v>8746</v>
      </c>
    </row>
    <row r="3609" spans="1:1" x14ac:dyDescent="0.35">
      <c r="A3609"/>
    </row>
    <row r="3610" spans="1:1" x14ac:dyDescent="0.35">
      <c r="A3610" t="s">
        <v>8747</v>
      </c>
    </row>
    <row r="3612" spans="1:1" ht="23.5" x14ac:dyDescent="0.35">
      <c r="A3612" s="19" t="s">
        <v>8775</v>
      </c>
    </row>
    <row r="3613" spans="1:1" x14ac:dyDescent="0.35">
      <c r="A3613"/>
    </row>
    <row r="3614" spans="1:1" ht="17.5" x14ac:dyDescent="0.35">
      <c r="A3614" s="21" t="s">
        <v>5040</v>
      </c>
    </row>
    <row r="3615" spans="1:1" x14ac:dyDescent="0.35">
      <c r="A3615" s="2"/>
    </row>
    <row r="3616" spans="1:1" x14ac:dyDescent="0.35">
      <c r="A3616" s="3" t="s">
        <v>8774</v>
      </c>
    </row>
    <row r="3617" spans="1:1" x14ac:dyDescent="0.35">
      <c r="A3617" s="3" t="s">
        <v>8773</v>
      </c>
    </row>
    <row r="3618" spans="1:1" x14ac:dyDescent="0.35">
      <c r="A3618" s="3" t="s">
        <v>8772</v>
      </c>
    </row>
    <row r="3619" spans="1:1" x14ac:dyDescent="0.35">
      <c r="A3619" s="3" t="s">
        <v>8771</v>
      </c>
    </row>
    <row r="3620" spans="1:1" x14ac:dyDescent="0.35">
      <c r="A3620" s="3" t="s">
        <v>8770</v>
      </c>
    </row>
    <row r="3621" spans="1:1" x14ac:dyDescent="0.35">
      <c r="A3621"/>
    </row>
    <row r="3622" spans="1:1" ht="17.5" x14ac:dyDescent="0.35">
      <c r="A3622" s="21" t="s">
        <v>5035</v>
      </c>
    </row>
    <row r="3623" spans="1:1" x14ac:dyDescent="0.35">
      <c r="A3623" s="2"/>
    </row>
    <row r="3624" spans="1:1" x14ac:dyDescent="0.35">
      <c r="A3624" s="3" t="s">
        <v>8769</v>
      </c>
    </row>
    <row r="3625" spans="1:1" x14ac:dyDescent="0.35">
      <c r="A3625" s="3" t="s">
        <v>8768</v>
      </c>
    </row>
    <row r="3626" spans="1:1" x14ac:dyDescent="0.35">
      <c r="A3626" s="3" t="s">
        <v>8767</v>
      </c>
    </row>
    <row r="3627" spans="1:1" x14ac:dyDescent="0.35">
      <c r="A3627" s="3" t="s">
        <v>8766</v>
      </c>
    </row>
    <row r="3628" spans="1:1" x14ac:dyDescent="0.35">
      <c r="A3628" s="3" t="s">
        <v>8765</v>
      </c>
    </row>
    <row r="3629" spans="1:1" x14ac:dyDescent="0.35">
      <c r="A3629"/>
    </row>
    <row r="3630" spans="1:1" ht="17.5" x14ac:dyDescent="0.35">
      <c r="A3630" s="21" t="s">
        <v>5030</v>
      </c>
    </row>
    <row r="3631" spans="1:1" x14ac:dyDescent="0.35">
      <c r="A3631" s="2"/>
    </row>
    <row r="3632" spans="1:1" x14ac:dyDescent="0.35">
      <c r="A3632" s="3" t="s">
        <v>8764</v>
      </c>
    </row>
    <row r="3633" spans="1:1" x14ac:dyDescent="0.35">
      <c r="A3633" s="3" t="s">
        <v>8763</v>
      </c>
    </row>
    <row r="3634" spans="1:1" x14ac:dyDescent="0.35">
      <c r="A3634" s="3" t="s">
        <v>8762</v>
      </c>
    </row>
    <row r="3635" spans="1:1" x14ac:dyDescent="0.35">
      <c r="A3635" s="3" t="s">
        <v>8761</v>
      </c>
    </row>
    <row r="3636" spans="1:1" x14ac:dyDescent="0.35">
      <c r="A3636" s="3" t="s">
        <v>8760</v>
      </c>
    </row>
    <row r="3637" spans="1:1" x14ac:dyDescent="0.35">
      <c r="A3637" s="3" t="s">
        <v>8759</v>
      </c>
    </row>
    <row r="3638" spans="1:1" x14ac:dyDescent="0.35">
      <c r="A3638"/>
    </row>
    <row r="3639" spans="1:1" ht="17.5" x14ac:dyDescent="0.35">
      <c r="A3639" s="21" t="s">
        <v>5025</v>
      </c>
    </row>
    <row r="3640" spans="1:1" x14ac:dyDescent="0.35">
      <c r="A3640" s="2"/>
    </row>
    <row r="3641" spans="1:1" x14ac:dyDescent="0.35">
      <c r="A3641" s="3" t="s">
        <v>8758</v>
      </c>
    </row>
    <row r="3642" spans="1:1" x14ac:dyDescent="0.35">
      <c r="A3642" s="3" t="s">
        <v>8757</v>
      </c>
    </row>
    <row r="3643" spans="1:1" x14ac:dyDescent="0.35">
      <c r="A3643" s="3" t="s">
        <v>8756</v>
      </c>
    </row>
    <row r="3644" spans="1:1" x14ac:dyDescent="0.35">
      <c r="A3644" s="3" t="s">
        <v>8755</v>
      </c>
    </row>
    <row r="3645" spans="1:1" x14ac:dyDescent="0.35">
      <c r="A3645" s="3" t="s">
        <v>8754</v>
      </c>
    </row>
    <row r="3646" spans="1:1" x14ac:dyDescent="0.35">
      <c r="A3646"/>
    </row>
    <row r="3647" spans="1:1" ht="17.5" x14ac:dyDescent="0.35">
      <c r="A3647" s="21" t="s">
        <v>8528</v>
      </c>
    </row>
    <row r="3648" spans="1:1" x14ac:dyDescent="0.35">
      <c r="A3648" s="2"/>
    </row>
    <row r="3649" spans="1:1" x14ac:dyDescent="0.35">
      <c r="A3649" s="3" t="s">
        <v>8753</v>
      </c>
    </row>
    <row r="3650" spans="1:1" x14ac:dyDescent="0.35">
      <c r="A3650" s="3" t="s">
        <v>8752</v>
      </c>
    </row>
    <row r="3651" spans="1:1" x14ac:dyDescent="0.35">
      <c r="A3651" s="3" t="s">
        <v>8751</v>
      </c>
    </row>
    <row r="3652" spans="1:1" x14ac:dyDescent="0.35">
      <c r="A3652" s="3" t="s">
        <v>8750</v>
      </c>
    </row>
    <row r="3653" spans="1:1" x14ac:dyDescent="0.35">
      <c r="A3653" s="3" t="s">
        <v>8749</v>
      </c>
    </row>
    <row r="3654" spans="1:1" x14ac:dyDescent="0.35">
      <c r="A3654"/>
    </row>
    <row r="3655" spans="1:1" x14ac:dyDescent="0.35">
      <c r="A3655" s="1" t="s">
        <v>8748</v>
      </c>
    </row>
    <row r="3658" spans="1:1" x14ac:dyDescent="0.35">
      <c r="A3658" s="5" t="s">
        <v>8841</v>
      </c>
    </row>
    <row r="3659" spans="1:1" x14ac:dyDescent="0.35">
      <c r="A3659" t="s">
        <v>8842</v>
      </c>
    </row>
    <row r="3660" spans="1:1" x14ac:dyDescent="0.35">
      <c r="A3660"/>
    </row>
    <row r="3661" spans="1:1" x14ac:dyDescent="0.35">
      <c r="A3661" s="1" t="s">
        <v>8843</v>
      </c>
    </row>
    <row r="3662" spans="1:1" x14ac:dyDescent="0.35">
      <c r="A3662"/>
    </row>
    <row r="3663" spans="1:1" x14ac:dyDescent="0.35">
      <c r="A3663" s="1" t="s">
        <v>8844</v>
      </c>
    </row>
    <row r="3664" spans="1:1" x14ac:dyDescent="0.35">
      <c r="A3664" s="2"/>
    </row>
    <row r="3665" spans="1:1" x14ac:dyDescent="0.35">
      <c r="A3665" s="3" t="s">
        <v>8845</v>
      </c>
    </row>
    <row r="3666" spans="1:1" x14ac:dyDescent="0.35">
      <c r="A3666" s="3" t="s">
        <v>8846</v>
      </c>
    </row>
    <row r="3667" spans="1:1" x14ac:dyDescent="0.35">
      <c r="A3667" s="3" t="s">
        <v>8847</v>
      </c>
    </row>
    <row r="3668" spans="1:1" x14ac:dyDescent="0.35">
      <c r="A3668" s="3" t="s">
        <v>8848</v>
      </c>
    </row>
    <row r="3669" spans="1:1" x14ac:dyDescent="0.35">
      <c r="A3669"/>
    </row>
    <row r="3670" spans="1:1" x14ac:dyDescent="0.35">
      <c r="A3670" s="1" t="s">
        <v>8849</v>
      </c>
    </row>
    <row r="3671" spans="1:1" x14ac:dyDescent="0.35">
      <c r="A3671" s="2"/>
    </row>
    <row r="3672" spans="1:1" x14ac:dyDescent="0.35">
      <c r="A3672" s="2" t="s">
        <v>8850</v>
      </c>
    </row>
    <row r="3673" spans="1:1" x14ac:dyDescent="0.35">
      <c r="A3673" s="2" t="s">
        <v>8851</v>
      </c>
    </row>
    <row r="3674" spans="1:1" x14ac:dyDescent="0.35">
      <c r="A3674" s="2" t="s">
        <v>8852</v>
      </c>
    </row>
    <row r="3675" spans="1:1" x14ac:dyDescent="0.35">
      <c r="A3675" s="2" t="s">
        <v>8853</v>
      </c>
    </row>
    <row r="3676" spans="1:1" x14ac:dyDescent="0.35">
      <c r="A3676"/>
    </row>
    <row r="3677" spans="1:1" x14ac:dyDescent="0.35">
      <c r="A3677" s="1" t="s">
        <v>8854</v>
      </c>
    </row>
    <row r="3678" spans="1:1" x14ac:dyDescent="0.35">
      <c r="A3678"/>
    </row>
    <row r="3679" spans="1:1" x14ac:dyDescent="0.35">
      <c r="A3679" t="s">
        <v>8855</v>
      </c>
    </row>
    <row r="3681" spans="1:1" ht="23.5" x14ac:dyDescent="0.35">
      <c r="A3681" s="19" t="s">
        <v>8877</v>
      </c>
    </row>
    <row r="3682" spans="1:1" x14ac:dyDescent="0.35">
      <c r="A3682"/>
    </row>
    <row r="3683" spans="1:1" ht="17.5" x14ac:dyDescent="0.35">
      <c r="A3683" s="21" t="s">
        <v>5040</v>
      </c>
    </row>
    <row r="3684" spans="1:1" x14ac:dyDescent="0.35">
      <c r="A3684" s="2"/>
    </row>
    <row r="3685" spans="1:1" x14ac:dyDescent="0.35">
      <c r="A3685" s="3" t="s">
        <v>8876</v>
      </c>
    </row>
    <row r="3686" spans="1:1" x14ac:dyDescent="0.35">
      <c r="A3686" s="3" t="s">
        <v>8875</v>
      </c>
    </row>
    <row r="3687" spans="1:1" x14ac:dyDescent="0.35">
      <c r="A3687" s="3" t="s">
        <v>8874</v>
      </c>
    </row>
    <row r="3688" spans="1:1" x14ac:dyDescent="0.35">
      <c r="A3688" s="3" t="s">
        <v>8873</v>
      </c>
    </row>
    <row r="3689" spans="1:1" x14ac:dyDescent="0.35">
      <c r="A3689"/>
    </row>
    <row r="3690" spans="1:1" ht="17.5" x14ac:dyDescent="0.35">
      <c r="A3690" s="21" t="s">
        <v>5035</v>
      </c>
    </row>
    <row r="3691" spans="1:1" x14ac:dyDescent="0.35">
      <c r="A3691" s="2"/>
    </row>
    <row r="3692" spans="1:1" x14ac:dyDescent="0.35">
      <c r="A3692" s="3" t="s">
        <v>8872</v>
      </c>
    </row>
    <row r="3693" spans="1:1" x14ac:dyDescent="0.35">
      <c r="A3693" s="3" t="s">
        <v>8871</v>
      </c>
    </row>
    <row r="3694" spans="1:1" x14ac:dyDescent="0.35">
      <c r="A3694" s="3" t="s">
        <v>8870</v>
      </c>
    </row>
    <row r="3695" spans="1:1" x14ac:dyDescent="0.35">
      <c r="A3695" s="3" t="s">
        <v>8869</v>
      </c>
    </row>
    <row r="3696" spans="1:1" x14ac:dyDescent="0.35">
      <c r="A3696"/>
    </row>
    <row r="3697" spans="1:1" ht="17.5" x14ac:dyDescent="0.35">
      <c r="A3697" s="21" t="s">
        <v>5030</v>
      </c>
    </row>
    <row r="3698" spans="1:1" x14ac:dyDescent="0.35">
      <c r="A3698" s="2"/>
    </row>
    <row r="3699" spans="1:1" x14ac:dyDescent="0.35">
      <c r="A3699" s="3" t="s">
        <v>8868</v>
      </c>
    </row>
    <row r="3700" spans="1:1" x14ac:dyDescent="0.35">
      <c r="A3700" s="3" t="s">
        <v>8867</v>
      </c>
    </row>
    <row r="3701" spans="1:1" x14ac:dyDescent="0.35">
      <c r="A3701" s="3" t="s">
        <v>8866</v>
      </c>
    </row>
    <row r="3702" spans="1:1" x14ac:dyDescent="0.35">
      <c r="A3702" s="3" t="s">
        <v>8865</v>
      </c>
    </row>
    <row r="3703" spans="1:1" x14ac:dyDescent="0.35">
      <c r="A3703"/>
    </row>
    <row r="3704" spans="1:1" ht="17.5" x14ac:dyDescent="0.35">
      <c r="A3704" s="21" t="s">
        <v>5025</v>
      </c>
    </row>
    <row r="3705" spans="1:1" x14ac:dyDescent="0.35">
      <c r="A3705" s="2"/>
    </row>
    <row r="3706" spans="1:1" x14ac:dyDescent="0.35">
      <c r="A3706" s="3" t="s">
        <v>8864</v>
      </c>
    </row>
    <row r="3707" spans="1:1" x14ac:dyDescent="0.35">
      <c r="A3707" s="3" t="s">
        <v>8863</v>
      </c>
    </row>
    <row r="3708" spans="1:1" x14ac:dyDescent="0.35">
      <c r="A3708" s="3" t="s">
        <v>8862</v>
      </c>
    </row>
    <row r="3709" spans="1:1" x14ac:dyDescent="0.35">
      <c r="A3709" s="3" t="s">
        <v>8861</v>
      </c>
    </row>
    <row r="3710" spans="1:1" x14ac:dyDescent="0.35">
      <c r="A3710"/>
    </row>
    <row r="3711" spans="1:1" ht="17.5" x14ac:dyDescent="0.35">
      <c r="A3711" s="21" t="s">
        <v>8528</v>
      </c>
    </row>
    <row r="3712" spans="1:1" x14ac:dyDescent="0.35">
      <c r="A3712" s="2"/>
    </row>
    <row r="3713" spans="1:1" x14ac:dyDescent="0.35">
      <c r="A3713" s="3" t="s">
        <v>8860</v>
      </c>
    </row>
    <row r="3714" spans="1:1" x14ac:dyDescent="0.35">
      <c r="A3714" s="3" t="s">
        <v>8859</v>
      </c>
    </row>
    <row r="3715" spans="1:1" x14ac:dyDescent="0.35">
      <c r="A3715" s="3" t="s">
        <v>8858</v>
      </c>
    </row>
    <row r="3716" spans="1:1" x14ac:dyDescent="0.35">
      <c r="A3716" s="3" t="s">
        <v>8857</v>
      </c>
    </row>
    <row r="3717" spans="1:1" x14ac:dyDescent="0.35">
      <c r="A3717"/>
    </row>
    <row r="3718" spans="1:1" x14ac:dyDescent="0.35">
      <c r="A3718" s="1" t="s">
        <v>8856</v>
      </c>
    </row>
    <row r="3721" spans="1:1" x14ac:dyDescent="0.35">
      <c r="A3721" s="5" t="s">
        <v>8878</v>
      </c>
    </row>
    <row r="3722" spans="1:1" x14ac:dyDescent="0.35">
      <c r="A3722" t="s">
        <v>8879</v>
      </c>
    </row>
    <row r="3723" spans="1:1" x14ac:dyDescent="0.35">
      <c r="A3723"/>
    </row>
    <row r="3724" spans="1:1" x14ac:dyDescent="0.35">
      <c r="A3724" s="1" t="s">
        <v>8880</v>
      </c>
    </row>
    <row r="3725" spans="1:1" x14ac:dyDescent="0.35">
      <c r="A3725"/>
    </row>
    <row r="3726" spans="1:1" x14ac:dyDescent="0.35">
      <c r="A3726" s="1" t="s">
        <v>8881</v>
      </c>
    </row>
    <row r="3727" spans="1:1" x14ac:dyDescent="0.35">
      <c r="A3727" s="2"/>
    </row>
    <row r="3728" spans="1:1" x14ac:dyDescent="0.35">
      <c r="A3728" s="2" t="s">
        <v>8882</v>
      </c>
    </row>
    <row r="3729" spans="1:1" x14ac:dyDescent="0.35">
      <c r="A3729" s="2" t="s">
        <v>8883</v>
      </c>
    </row>
    <row r="3730" spans="1:1" x14ac:dyDescent="0.35">
      <c r="A3730" s="2" t="s">
        <v>8884</v>
      </c>
    </row>
    <row r="3731" spans="1:1" x14ac:dyDescent="0.35">
      <c r="A3731"/>
    </row>
    <row r="3732" spans="1:1" x14ac:dyDescent="0.35">
      <c r="A3732" s="1" t="s">
        <v>8885</v>
      </c>
    </row>
    <row r="3733" spans="1:1" x14ac:dyDescent="0.35">
      <c r="A3733" s="2"/>
    </row>
    <row r="3734" spans="1:1" x14ac:dyDescent="0.35">
      <c r="A3734" s="3" t="s">
        <v>8886</v>
      </c>
    </row>
    <row r="3735" spans="1:1" x14ac:dyDescent="0.35">
      <c r="A3735" s="3" t="s">
        <v>8887</v>
      </c>
    </row>
    <row r="3736" spans="1:1" x14ac:dyDescent="0.35">
      <c r="A3736" s="3" t="s">
        <v>8888</v>
      </c>
    </row>
    <row r="3737" spans="1:1" x14ac:dyDescent="0.35">
      <c r="A3737" s="3" t="s">
        <v>8889</v>
      </c>
    </row>
    <row r="3738" spans="1:1" x14ac:dyDescent="0.35">
      <c r="A3738"/>
    </row>
    <row r="3739" spans="1:1" x14ac:dyDescent="0.35">
      <c r="A3739" s="1" t="s">
        <v>8890</v>
      </c>
    </row>
    <row r="3740" spans="1:1" x14ac:dyDescent="0.35">
      <c r="A3740" s="2"/>
    </row>
    <row r="3741" spans="1:1" x14ac:dyDescent="0.35">
      <c r="A3741" s="2" t="s">
        <v>8891</v>
      </c>
    </row>
    <row r="3742" spans="1:1" x14ac:dyDescent="0.35">
      <c r="A3742" s="2" t="s">
        <v>8892</v>
      </c>
    </row>
    <row r="3743" spans="1:1" x14ac:dyDescent="0.35">
      <c r="A3743" s="2" t="s">
        <v>8893</v>
      </c>
    </row>
    <row r="3744" spans="1:1" x14ac:dyDescent="0.35">
      <c r="A3744" s="2" t="s">
        <v>8894</v>
      </c>
    </row>
    <row r="3745" spans="1:1" x14ac:dyDescent="0.35">
      <c r="A3745"/>
    </row>
    <row r="3746" spans="1:1" x14ac:dyDescent="0.35">
      <c r="A3746" t="s">
        <v>8895</v>
      </c>
    </row>
    <row r="3748" spans="1:1" ht="23.5" x14ac:dyDescent="0.35">
      <c r="A3748" s="19" t="s">
        <v>8917</v>
      </c>
    </row>
    <row r="3749" spans="1:1" x14ac:dyDescent="0.35">
      <c r="A3749"/>
    </row>
    <row r="3750" spans="1:1" ht="17.5" x14ac:dyDescent="0.35">
      <c r="A3750" s="21" t="s">
        <v>5040</v>
      </c>
    </row>
    <row r="3751" spans="1:1" x14ac:dyDescent="0.35">
      <c r="A3751" s="2"/>
    </row>
    <row r="3752" spans="1:1" x14ac:dyDescent="0.35">
      <c r="A3752" s="3" t="s">
        <v>8916</v>
      </c>
    </row>
    <row r="3753" spans="1:1" x14ac:dyDescent="0.35">
      <c r="A3753" s="3" t="s">
        <v>8915</v>
      </c>
    </row>
    <row r="3754" spans="1:1" x14ac:dyDescent="0.35">
      <c r="A3754" s="3" t="s">
        <v>8914</v>
      </c>
    </row>
    <row r="3755" spans="1:1" x14ac:dyDescent="0.35">
      <c r="A3755" s="3" t="s">
        <v>8913</v>
      </c>
    </row>
    <row r="3756" spans="1:1" x14ac:dyDescent="0.35">
      <c r="A3756"/>
    </row>
    <row r="3757" spans="1:1" ht="17.5" x14ac:dyDescent="0.35">
      <c r="A3757" s="21" t="s">
        <v>5035</v>
      </c>
    </row>
    <row r="3758" spans="1:1" x14ac:dyDescent="0.35">
      <c r="A3758" s="2"/>
    </row>
    <row r="3759" spans="1:1" x14ac:dyDescent="0.35">
      <c r="A3759" s="3" t="s">
        <v>8912</v>
      </c>
    </row>
    <row r="3760" spans="1:1" x14ac:dyDescent="0.35">
      <c r="A3760" s="3" t="s">
        <v>8911</v>
      </c>
    </row>
    <row r="3761" spans="1:1" x14ac:dyDescent="0.35">
      <c r="A3761" s="3" t="s">
        <v>8910</v>
      </c>
    </row>
    <row r="3762" spans="1:1" x14ac:dyDescent="0.35">
      <c r="A3762" s="3" t="s">
        <v>8909</v>
      </c>
    </row>
    <row r="3763" spans="1:1" x14ac:dyDescent="0.35">
      <c r="A3763"/>
    </row>
    <row r="3764" spans="1:1" ht="17.5" x14ac:dyDescent="0.35">
      <c r="A3764" s="21" t="s">
        <v>5030</v>
      </c>
    </row>
    <row r="3765" spans="1:1" x14ac:dyDescent="0.35">
      <c r="A3765" s="2"/>
    </row>
    <row r="3766" spans="1:1" x14ac:dyDescent="0.35">
      <c r="A3766" s="3" t="s">
        <v>8908</v>
      </c>
    </row>
    <row r="3767" spans="1:1" x14ac:dyDescent="0.35">
      <c r="A3767" s="3" t="s">
        <v>8907</v>
      </c>
    </row>
    <row r="3768" spans="1:1" x14ac:dyDescent="0.35">
      <c r="A3768" s="3" t="s">
        <v>8906</v>
      </c>
    </row>
    <row r="3769" spans="1:1" x14ac:dyDescent="0.35">
      <c r="A3769" s="3" t="s">
        <v>8905</v>
      </c>
    </row>
    <row r="3770" spans="1:1" x14ac:dyDescent="0.35">
      <c r="A3770"/>
    </row>
    <row r="3771" spans="1:1" ht="17.5" x14ac:dyDescent="0.35">
      <c r="A3771" s="21" t="s">
        <v>5025</v>
      </c>
    </row>
    <row r="3772" spans="1:1" x14ac:dyDescent="0.35">
      <c r="A3772" s="2"/>
    </row>
    <row r="3773" spans="1:1" x14ac:dyDescent="0.35">
      <c r="A3773" s="3" t="s">
        <v>8864</v>
      </c>
    </row>
    <row r="3774" spans="1:1" x14ac:dyDescent="0.35">
      <c r="A3774" s="3" t="s">
        <v>8904</v>
      </c>
    </row>
    <row r="3775" spans="1:1" x14ac:dyDescent="0.35">
      <c r="A3775" s="3" t="s">
        <v>8903</v>
      </c>
    </row>
    <row r="3776" spans="1:1" x14ac:dyDescent="0.35">
      <c r="A3776" s="3" t="s">
        <v>8902</v>
      </c>
    </row>
    <row r="3777" spans="1:1" x14ac:dyDescent="0.35">
      <c r="A3777"/>
    </row>
    <row r="3778" spans="1:1" ht="17.5" x14ac:dyDescent="0.35">
      <c r="A3778" s="21" t="s">
        <v>8901</v>
      </c>
    </row>
    <row r="3779" spans="1:1" x14ac:dyDescent="0.35">
      <c r="A3779" s="2"/>
    </row>
    <row r="3780" spans="1:1" x14ac:dyDescent="0.35">
      <c r="A3780" s="3" t="s">
        <v>8900</v>
      </c>
    </row>
    <row r="3781" spans="1:1" x14ac:dyDescent="0.35">
      <c r="A3781" s="3" t="s">
        <v>8899</v>
      </c>
    </row>
    <row r="3782" spans="1:1" x14ac:dyDescent="0.35">
      <c r="A3782" s="3" t="s">
        <v>8898</v>
      </c>
    </row>
    <row r="3783" spans="1:1" x14ac:dyDescent="0.35">
      <c r="A3783" s="3" t="s">
        <v>8897</v>
      </c>
    </row>
    <row r="3784" spans="1:1" x14ac:dyDescent="0.35">
      <c r="A3784"/>
    </row>
    <row r="3785" spans="1:1" x14ac:dyDescent="0.35">
      <c r="A3785" s="1" t="s">
        <v>8896</v>
      </c>
    </row>
    <row r="3788" spans="1:1" x14ac:dyDescent="0.35">
      <c r="A3788" s="5" t="s">
        <v>8939</v>
      </c>
    </row>
    <row r="3789" spans="1:1" x14ac:dyDescent="0.35">
      <c r="A3789" t="s">
        <v>8940</v>
      </c>
    </row>
    <row r="3790" spans="1:1" x14ac:dyDescent="0.35">
      <c r="A3790"/>
    </row>
    <row r="3791" spans="1:1" x14ac:dyDescent="0.35">
      <c r="A3791" s="1" t="s">
        <v>8941</v>
      </c>
    </row>
    <row r="3792" spans="1:1" x14ac:dyDescent="0.35">
      <c r="A3792"/>
    </row>
    <row r="3793" spans="1:1" x14ac:dyDescent="0.35">
      <c r="A3793" s="1" t="s">
        <v>8632</v>
      </c>
    </row>
    <row r="3794" spans="1:1" x14ac:dyDescent="0.35">
      <c r="A3794" s="2"/>
    </row>
    <row r="3795" spans="1:1" x14ac:dyDescent="0.35">
      <c r="A3795" s="2" t="s">
        <v>8942</v>
      </c>
    </row>
    <row r="3796" spans="1:1" x14ac:dyDescent="0.35">
      <c r="A3796" s="2" t="s">
        <v>8943</v>
      </c>
    </row>
    <row r="3797" spans="1:1" x14ac:dyDescent="0.35">
      <c r="A3797" s="2" t="s">
        <v>8944</v>
      </c>
    </row>
    <row r="3798" spans="1:1" x14ac:dyDescent="0.35">
      <c r="A3798"/>
    </row>
    <row r="3799" spans="1:1" x14ac:dyDescent="0.35">
      <c r="A3799" s="1" t="s">
        <v>8517</v>
      </c>
    </row>
    <row r="3800" spans="1:1" x14ac:dyDescent="0.35">
      <c r="A3800" s="2"/>
    </row>
    <row r="3801" spans="1:1" x14ac:dyDescent="0.35">
      <c r="A3801" s="2" t="s">
        <v>8945</v>
      </c>
    </row>
    <row r="3802" spans="1:1" x14ac:dyDescent="0.35">
      <c r="A3802" s="2" t="s">
        <v>8946</v>
      </c>
    </row>
    <row r="3803" spans="1:1" x14ac:dyDescent="0.35">
      <c r="A3803" s="2" t="s">
        <v>8947</v>
      </c>
    </row>
    <row r="3804" spans="1:1" x14ac:dyDescent="0.35">
      <c r="A3804"/>
    </row>
    <row r="3805" spans="1:1" x14ac:dyDescent="0.35">
      <c r="A3805" s="1" t="s">
        <v>8948</v>
      </c>
    </row>
    <row r="3806" spans="1:1" x14ac:dyDescent="0.35">
      <c r="A3806" s="2"/>
    </row>
    <row r="3807" spans="1:1" x14ac:dyDescent="0.35">
      <c r="A3807" s="2" t="s">
        <v>8949</v>
      </c>
    </row>
    <row r="3808" spans="1:1" x14ac:dyDescent="0.35">
      <c r="A3808" s="2" t="s">
        <v>8950</v>
      </c>
    </row>
    <row r="3809" spans="1:1" x14ac:dyDescent="0.35">
      <c r="A3809" s="2" t="s">
        <v>8951</v>
      </c>
    </row>
    <row r="3810" spans="1:1" x14ac:dyDescent="0.35">
      <c r="A3810"/>
    </row>
    <row r="3811" spans="1:1" x14ac:dyDescent="0.35">
      <c r="A3811" s="1" t="s">
        <v>8952</v>
      </c>
    </row>
    <row r="3812" spans="1:1" ht="23.5" x14ac:dyDescent="0.35">
      <c r="A3812" s="19" t="s">
        <v>8976</v>
      </c>
    </row>
    <row r="3813" spans="1:1" x14ac:dyDescent="0.35">
      <c r="A3813"/>
    </row>
    <row r="3814" spans="1:1" ht="17.5" x14ac:dyDescent="0.35">
      <c r="A3814" s="21" t="s">
        <v>5040</v>
      </c>
    </row>
    <row r="3815" spans="1:1" x14ac:dyDescent="0.35">
      <c r="A3815" s="2"/>
    </row>
    <row r="3816" spans="1:1" x14ac:dyDescent="0.35">
      <c r="A3816" s="3" t="s">
        <v>8975</v>
      </c>
    </row>
    <row r="3817" spans="1:1" x14ac:dyDescent="0.35">
      <c r="A3817" s="3" t="s">
        <v>8974</v>
      </c>
    </row>
    <row r="3818" spans="1:1" x14ac:dyDescent="0.35">
      <c r="A3818" s="3" t="s">
        <v>8973</v>
      </c>
    </row>
    <row r="3819" spans="1:1" x14ac:dyDescent="0.35">
      <c r="A3819" s="3" t="s">
        <v>8972</v>
      </c>
    </row>
    <row r="3820" spans="1:1" x14ac:dyDescent="0.35">
      <c r="A3820"/>
    </row>
    <row r="3821" spans="1:1" ht="17.5" x14ac:dyDescent="0.35">
      <c r="A3821" s="21" t="s">
        <v>5035</v>
      </c>
    </row>
    <row r="3822" spans="1:1" x14ac:dyDescent="0.35">
      <c r="A3822" s="2"/>
    </row>
    <row r="3823" spans="1:1" x14ac:dyDescent="0.35">
      <c r="A3823" s="3" t="s">
        <v>8971</v>
      </c>
    </row>
    <row r="3824" spans="1:1" x14ac:dyDescent="0.35">
      <c r="A3824" s="3" t="s">
        <v>8970</v>
      </c>
    </row>
    <row r="3825" spans="1:1" x14ac:dyDescent="0.35">
      <c r="A3825" s="3" t="s">
        <v>8969</v>
      </c>
    </row>
    <row r="3826" spans="1:1" x14ac:dyDescent="0.35">
      <c r="A3826" s="3" t="s">
        <v>8968</v>
      </c>
    </row>
    <row r="3827" spans="1:1" x14ac:dyDescent="0.35">
      <c r="A3827"/>
    </row>
    <row r="3828" spans="1:1" ht="17.5" x14ac:dyDescent="0.35">
      <c r="A3828" s="21" t="s">
        <v>5030</v>
      </c>
    </row>
    <row r="3829" spans="1:1" x14ac:dyDescent="0.35">
      <c r="A3829" s="2"/>
    </row>
    <row r="3830" spans="1:1" x14ac:dyDescent="0.35">
      <c r="A3830" s="3" t="s">
        <v>8967</v>
      </c>
    </row>
    <row r="3831" spans="1:1" x14ac:dyDescent="0.35">
      <c r="A3831" s="3" t="s">
        <v>8966</v>
      </c>
    </row>
    <row r="3832" spans="1:1" x14ac:dyDescent="0.35">
      <c r="A3832" s="3" t="s">
        <v>8965</v>
      </c>
    </row>
    <row r="3833" spans="1:1" x14ac:dyDescent="0.35">
      <c r="A3833" s="3" t="s">
        <v>8964</v>
      </c>
    </row>
    <row r="3834" spans="1:1" x14ac:dyDescent="0.35">
      <c r="A3834" s="3" t="s">
        <v>8963</v>
      </c>
    </row>
    <row r="3835" spans="1:1" x14ac:dyDescent="0.35">
      <c r="A3835"/>
    </row>
    <row r="3836" spans="1:1" ht="17.5" x14ac:dyDescent="0.35">
      <c r="A3836" s="21" t="s">
        <v>5025</v>
      </c>
    </row>
    <row r="3837" spans="1:1" x14ac:dyDescent="0.35">
      <c r="A3837" s="2"/>
    </row>
    <row r="3838" spans="1:1" x14ac:dyDescent="0.35">
      <c r="A3838" s="3" t="s">
        <v>8962</v>
      </c>
    </row>
    <row r="3839" spans="1:1" x14ac:dyDescent="0.35">
      <c r="A3839" s="3" t="s">
        <v>8961</v>
      </c>
    </row>
    <row r="3840" spans="1:1" x14ac:dyDescent="0.35">
      <c r="A3840" s="3" t="s">
        <v>8960</v>
      </c>
    </row>
    <row r="3841" spans="1:1" x14ac:dyDescent="0.35">
      <c r="A3841" s="3" t="s">
        <v>8959</v>
      </c>
    </row>
    <row r="3842" spans="1:1" x14ac:dyDescent="0.35">
      <c r="A3842"/>
    </row>
    <row r="3843" spans="1:1" ht="17.5" x14ac:dyDescent="0.35">
      <c r="A3843" s="21" t="s">
        <v>8958</v>
      </c>
    </row>
    <row r="3844" spans="1:1" x14ac:dyDescent="0.35">
      <c r="A3844" s="2"/>
    </row>
    <row r="3845" spans="1:1" x14ac:dyDescent="0.35">
      <c r="A3845" s="3" t="s">
        <v>8957</v>
      </c>
    </row>
    <row r="3846" spans="1:1" x14ac:dyDescent="0.35">
      <c r="A3846" s="3" t="s">
        <v>8956</v>
      </c>
    </row>
    <row r="3847" spans="1:1" x14ac:dyDescent="0.35">
      <c r="A3847" s="3" t="s">
        <v>8955</v>
      </c>
    </row>
    <row r="3848" spans="1:1" x14ac:dyDescent="0.35">
      <c r="A3848" s="3" t="s">
        <v>8954</v>
      </c>
    </row>
    <row r="3849" spans="1:1" x14ac:dyDescent="0.35">
      <c r="A3849"/>
    </row>
    <row r="3850" spans="1:1" x14ac:dyDescent="0.35">
      <c r="A3850" s="1" t="s">
        <v>8953</v>
      </c>
    </row>
    <row r="3852" spans="1:1" x14ac:dyDescent="0.35">
      <c r="A3852" s="5" t="s">
        <v>9019</v>
      </c>
    </row>
    <row r="3853" spans="1:1" x14ac:dyDescent="0.35">
      <c r="A3853" t="s">
        <v>9021</v>
      </c>
    </row>
    <row r="3854" spans="1:1" x14ac:dyDescent="0.35">
      <c r="A3854"/>
    </row>
    <row r="3855" spans="1:1" x14ac:dyDescent="0.35">
      <c r="A3855" t="s">
        <v>9022</v>
      </c>
    </row>
    <row r="3856" spans="1:1" x14ac:dyDescent="0.35">
      <c r="A3856"/>
    </row>
    <row r="3857" spans="1:1" x14ac:dyDescent="0.35">
      <c r="A3857" s="1" t="s">
        <v>9023</v>
      </c>
    </row>
    <row r="3858" spans="1:1" x14ac:dyDescent="0.35">
      <c r="A3858" s="2"/>
    </row>
    <row r="3859" spans="1:1" x14ac:dyDescent="0.35">
      <c r="A3859" s="3" t="s">
        <v>9024</v>
      </c>
    </row>
    <row r="3860" spans="1:1" x14ac:dyDescent="0.35">
      <c r="A3860" s="3" t="s">
        <v>9025</v>
      </c>
    </row>
    <row r="3861" spans="1:1" x14ac:dyDescent="0.35">
      <c r="A3861" s="3" t="s">
        <v>9026</v>
      </c>
    </row>
    <row r="3862" spans="1:1" x14ac:dyDescent="0.35">
      <c r="A3862" s="3" t="s">
        <v>9027</v>
      </c>
    </row>
    <row r="3863" spans="1:1" x14ac:dyDescent="0.35">
      <c r="A3863" s="3" t="s">
        <v>9028</v>
      </c>
    </row>
    <row r="3864" spans="1:1" x14ac:dyDescent="0.35">
      <c r="A3864" s="3" t="s">
        <v>9029</v>
      </c>
    </row>
    <row r="3865" spans="1:1" x14ac:dyDescent="0.35">
      <c r="A3865" s="3" t="s">
        <v>9030</v>
      </c>
    </row>
    <row r="3866" spans="1:1" x14ac:dyDescent="0.35">
      <c r="A3866"/>
    </row>
    <row r="3867" spans="1:1" x14ac:dyDescent="0.35">
      <c r="A3867" s="1" t="s">
        <v>5012</v>
      </c>
    </row>
    <row r="3868" spans="1:1" x14ac:dyDescent="0.35">
      <c r="A3868" s="2"/>
    </row>
    <row r="3869" spans="1:1" x14ac:dyDescent="0.35">
      <c r="A3869" s="3" t="s">
        <v>9031</v>
      </c>
    </row>
    <row r="3870" spans="1:1" x14ac:dyDescent="0.35">
      <c r="A3870" s="3" t="s">
        <v>9032</v>
      </c>
    </row>
    <row r="3871" spans="1:1" x14ac:dyDescent="0.35">
      <c r="A3871" s="3" t="s">
        <v>9033</v>
      </c>
    </row>
    <row r="3872" spans="1:1" x14ac:dyDescent="0.35">
      <c r="A3872" s="3" t="s">
        <v>9034</v>
      </c>
    </row>
    <row r="3873" spans="1:1" x14ac:dyDescent="0.35">
      <c r="A3873"/>
    </row>
    <row r="3874" spans="1:1" x14ac:dyDescent="0.35">
      <c r="A3874" t="s">
        <v>9035</v>
      </c>
    </row>
    <row r="3876" spans="1:1" ht="23.5" x14ac:dyDescent="0.35">
      <c r="A3876" s="19" t="s">
        <v>9325</v>
      </c>
    </row>
    <row r="3877" spans="1:1" x14ac:dyDescent="0.35">
      <c r="A3877"/>
    </row>
    <row r="3878" spans="1:1" ht="17.5" x14ac:dyDescent="0.35">
      <c r="A3878" s="21" t="s">
        <v>5040</v>
      </c>
    </row>
    <row r="3879" spans="1:1" x14ac:dyDescent="0.35">
      <c r="A3879" s="2"/>
    </row>
    <row r="3880" spans="1:1" x14ac:dyDescent="0.35">
      <c r="A3880" s="3" t="s">
        <v>9326</v>
      </c>
    </row>
    <row r="3881" spans="1:1" x14ac:dyDescent="0.35">
      <c r="A3881" s="3" t="s">
        <v>9327</v>
      </c>
    </row>
    <row r="3882" spans="1:1" x14ac:dyDescent="0.35">
      <c r="A3882" s="3" t="s">
        <v>9328</v>
      </c>
    </row>
    <row r="3883" spans="1:1" x14ac:dyDescent="0.35">
      <c r="A3883" s="3" t="s">
        <v>9329</v>
      </c>
    </row>
    <row r="3884" spans="1:1" x14ac:dyDescent="0.35">
      <c r="A3884"/>
    </row>
    <row r="3885" spans="1:1" ht="17.5" x14ac:dyDescent="0.35">
      <c r="A3885" s="21" t="s">
        <v>5035</v>
      </c>
    </row>
    <row r="3886" spans="1:1" x14ac:dyDescent="0.35">
      <c r="A3886" s="2"/>
    </row>
    <row r="3887" spans="1:1" x14ac:dyDescent="0.35">
      <c r="A3887" s="3" t="s">
        <v>9330</v>
      </c>
    </row>
    <row r="3888" spans="1:1" x14ac:dyDescent="0.35">
      <c r="A3888" s="3" t="s">
        <v>9331</v>
      </c>
    </row>
    <row r="3889" spans="1:1" x14ac:dyDescent="0.35">
      <c r="A3889" s="3" t="s">
        <v>9332</v>
      </c>
    </row>
    <row r="3890" spans="1:1" x14ac:dyDescent="0.35">
      <c r="A3890" s="3" t="s">
        <v>9333</v>
      </c>
    </row>
    <row r="3891" spans="1:1" x14ac:dyDescent="0.35">
      <c r="A3891"/>
    </row>
    <row r="3892" spans="1:1" ht="17.5" x14ac:dyDescent="0.35">
      <c r="A3892" s="21" t="s">
        <v>5030</v>
      </c>
    </row>
    <row r="3893" spans="1:1" x14ac:dyDescent="0.35">
      <c r="A3893" s="2"/>
    </row>
    <row r="3894" spans="1:1" x14ac:dyDescent="0.35">
      <c r="A3894" s="3" t="s">
        <v>9024</v>
      </c>
    </row>
    <row r="3895" spans="1:1" x14ac:dyDescent="0.35">
      <c r="A3895" s="3" t="s">
        <v>9334</v>
      </c>
    </row>
    <row r="3896" spans="1:1" x14ac:dyDescent="0.35">
      <c r="A3896" s="3" t="s">
        <v>9335</v>
      </c>
    </row>
    <row r="3897" spans="1:1" x14ac:dyDescent="0.35">
      <c r="A3897" s="3" t="s">
        <v>9336</v>
      </c>
    </row>
    <row r="3898" spans="1:1" x14ac:dyDescent="0.35">
      <c r="A3898" s="3" t="s">
        <v>9337</v>
      </c>
    </row>
    <row r="3899" spans="1:1" x14ac:dyDescent="0.35">
      <c r="A3899" s="3" t="s">
        <v>9338</v>
      </c>
    </row>
    <row r="3900" spans="1:1" x14ac:dyDescent="0.35">
      <c r="A3900"/>
    </row>
    <row r="3901" spans="1:1" ht="17.5" x14ac:dyDescent="0.35">
      <c r="A3901" s="21" t="s">
        <v>5025</v>
      </c>
    </row>
    <row r="3902" spans="1:1" x14ac:dyDescent="0.35">
      <c r="A3902" s="2"/>
    </row>
    <row r="3903" spans="1:1" x14ac:dyDescent="0.35">
      <c r="A3903" s="3" t="s">
        <v>9339</v>
      </c>
    </row>
    <row r="3904" spans="1:1" x14ac:dyDescent="0.35">
      <c r="A3904" s="3" t="s">
        <v>9340</v>
      </c>
    </row>
    <row r="3905" spans="1:1" x14ac:dyDescent="0.35">
      <c r="A3905" s="3" t="s">
        <v>9341</v>
      </c>
    </row>
    <row r="3906" spans="1:1" x14ac:dyDescent="0.35">
      <c r="A3906" s="3" t="s">
        <v>9342</v>
      </c>
    </row>
    <row r="3907" spans="1:1" x14ac:dyDescent="0.35">
      <c r="A3907"/>
    </row>
    <row r="3908" spans="1:1" ht="17.5" x14ac:dyDescent="0.35">
      <c r="A3908" s="21" t="s">
        <v>4280</v>
      </c>
    </row>
    <row r="3909" spans="1:1" x14ac:dyDescent="0.35">
      <c r="A3909" s="2"/>
    </row>
    <row r="3910" spans="1:1" x14ac:dyDescent="0.35">
      <c r="A3910" s="3" t="s">
        <v>9343</v>
      </c>
    </row>
    <row r="3911" spans="1:1" x14ac:dyDescent="0.35">
      <c r="A3911" s="3" t="s">
        <v>9344</v>
      </c>
    </row>
    <row r="3912" spans="1:1" x14ac:dyDescent="0.35">
      <c r="A3912" s="3" t="s">
        <v>9345</v>
      </c>
    </row>
    <row r="3913" spans="1:1" x14ac:dyDescent="0.35">
      <c r="A3913" s="3" t="s">
        <v>9346</v>
      </c>
    </row>
    <row r="3914" spans="1:1" x14ac:dyDescent="0.35">
      <c r="A3914"/>
    </row>
    <row r="3915" spans="1:1" x14ac:dyDescent="0.35">
      <c r="A3915" s="1" t="s">
        <v>9347</v>
      </c>
    </row>
    <row r="3916" spans="1:1" x14ac:dyDescent="0.35">
      <c r="A391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0F6AA-4291-4409-B19A-690B0585A742}">
  <sheetPr codeName="Sheet5"/>
  <dimension ref="A1:B23"/>
  <sheetViews>
    <sheetView topLeftCell="A8" workbookViewId="0">
      <selection activeCell="A23" sqref="A23"/>
    </sheetView>
  </sheetViews>
  <sheetFormatPr defaultRowHeight="14.5" x14ac:dyDescent="0.35"/>
  <cols>
    <col min="1" max="1" width="78.36328125" customWidth="1"/>
    <col min="2" max="2" width="67.453125" customWidth="1"/>
  </cols>
  <sheetData>
    <row r="1" spans="1:2" ht="100.75" customHeight="1" x14ac:dyDescent="0.35">
      <c r="A1" s="14" t="s">
        <v>9020</v>
      </c>
      <c r="B1" s="12" t="s">
        <v>275</v>
      </c>
    </row>
    <row r="3" spans="1:2" ht="29" x14ac:dyDescent="0.35">
      <c r="A3" s="5" t="s">
        <v>3782</v>
      </c>
      <c r="B3" s="5"/>
    </row>
    <row r="5" spans="1:2" x14ac:dyDescent="0.35">
      <c r="A5" s="13" t="s">
        <v>1145</v>
      </c>
    </row>
    <row r="8" spans="1:2" ht="145" x14ac:dyDescent="0.35">
      <c r="A8" s="5" t="s">
        <v>9348</v>
      </c>
    </row>
    <row r="11" spans="1:2" x14ac:dyDescent="0.35">
      <c r="A11" t="s">
        <v>12188</v>
      </c>
    </row>
    <row r="13" spans="1:2" x14ac:dyDescent="0.35">
      <c r="A13" t="s">
        <v>11101</v>
      </c>
    </row>
    <row r="14" spans="1:2" x14ac:dyDescent="0.35">
      <c r="A14" t="s">
        <v>11102</v>
      </c>
    </row>
    <row r="17" spans="1:1" x14ac:dyDescent="0.35">
      <c r="A17" t="s">
        <v>12371</v>
      </c>
    </row>
    <row r="18" spans="1:1" x14ac:dyDescent="0.35">
      <c r="A18" t="s">
        <v>12372</v>
      </c>
    </row>
    <row r="22" spans="1:1" x14ac:dyDescent="0.35">
      <c r="A22" t="s">
        <v>12703</v>
      </c>
    </row>
    <row r="23" spans="1:1" x14ac:dyDescent="0.35">
      <c r="A23" t="s">
        <v>12704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49F0B-3619-4F7C-AA62-4B1C3C343E29}">
  <sheetPr codeName="Sheet6"/>
  <dimension ref="A1:C17"/>
  <sheetViews>
    <sheetView workbookViewId="0">
      <selection activeCell="A10" sqref="A10"/>
    </sheetView>
  </sheetViews>
  <sheetFormatPr defaultRowHeight="14.5" x14ac:dyDescent="0.35"/>
  <cols>
    <col min="1" max="1" width="56.90625" customWidth="1"/>
    <col min="2" max="2" width="35.6328125" bestFit="1" customWidth="1"/>
  </cols>
  <sheetData>
    <row r="1" spans="1:3" x14ac:dyDescent="0.35">
      <c r="A1" t="s">
        <v>10800</v>
      </c>
      <c r="B1" t="s">
        <v>10801</v>
      </c>
    </row>
    <row r="2" spans="1:3" x14ac:dyDescent="0.35">
      <c r="A2" s="23" t="s">
        <v>1146</v>
      </c>
      <c r="B2" s="22" t="s">
        <v>10802</v>
      </c>
    </row>
    <row r="3" spans="1:3" x14ac:dyDescent="0.35">
      <c r="A3" s="23" t="s">
        <v>6869</v>
      </c>
      <c r="B3" s="22" t="s">
        <v>10802</v>
      </c>
    </row>
    <row r="4" spans="1:3" x14ac:dyDescent="0.35">
      <c r="A4" s="23" t="s">
        <v>10799</v>
      </c>
      <c r="B4" s="22" t="s">
        <v>10802</v>
      </c>
    </row>
    <row r="5" spans="1:3" x14ac:dyDescent="0.35">
      <c r="A5" s="23" t="s">
        <v>12187</v>
      </c>
      <c r="B5" s="22" t="s">
        <v>10802</v>
      </c>
    </row>
    <row r="6" spans="1:3" x14ac:dyDescent="0.35">
      <c r="A6" s="23" t="s">
        <v>853</v>
      </c>
      <c r="B6" s="24" t="s">
        <v>12338</v>
      </c>
    </row>
    <row r="7" spans="1:3" x14ac:dyDescent="0.35">
      <c r="A7" s="23" t="s">
        <v>852</v>
      </c>
      <c r="B7" s="24" t="s">
        <v>12338</v>
      </c>
    </row>
    <row r="8" spans="1:3" x14ac:dyDescent="0.35">
      <c r="A8" s="23" t="s">
        <v>851</v>
      </c>
      <c r="B8" s="24" t="s">
        <v>12338</v>
      </c>
    </row>
    <row r="9" spans="1:3" x14ac:dyDescent="0.35">
      <c r="A9" s="23" t="s">
        <v>850</v>
      </c>
      <c r="B9" s="24" t="s">
        <v>12338</v>
      </c>
    </row>
    <row r="10" spans="1:3" x14ac:dyDescent="0.35">
      <c r="A10" s="23" t="s">
        <v>12543</v>
      </c>
      <c r="B10" s="24" t="s">
        <v>12455</v>
      </c>
      <c r="C10" t="s">
        <v>12456</v>
      </c>
    </row>
    <row r="11" spans="1:3" x14ac:dyDescent="0.35">
      <c r="A11" s="23"/>
      <c r="B11" s="24"/>
    </row>
    <row r="12" spans="1:3" x14ac:dyDescent="0.35">
      <c r="A12" s="23"/>
      <c r="B12" s="24"/>
    </row>
    <row r="13" spans="1:3" x14ac:dyDescent="0.35">
      <c r="A13" s="23" t="s">
        <v>12347</v>
      </c>
      <c r="B13" s="24"/>
    </row>
    <row r="14" spans="1:3" x14ac:dyDescent="0.35">
      <c r="A14" t="s">
        <v>12219</v>
      </c>
    </row>
    <row r="15" spans="1:3" x14ac:dyDescent="0.35">
      <c r="A15" t="s">
        <v>11017</v>
      </c>
    </row>
    <row r="16" spans="1:3" x14ac:dyDescent="0.35">
      <c r="A16" s="23" t="s">
        <v>11018</v>
      </c>
    </row>
    <row r="17" spans="1:2" x14ac:dyDescent="0.35">
      <c r="A17" s="23" t="s">
        <v>11897</v>
      </c>
      <c r="B1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acts_and_miracles</vt:lpstr>
      <vt:lpstr>essene_calendar</vt:lpstr>
      <vt:lpstr>messenger fixes</vt:lpstr>
      <vt:lpstr>category_breakdown</vt:lpstr>
      <vt:lpstr>transpose_categories</vt:lpstr>
      <vt:lpstr>distinct_categories</vt:lpstr>
      <vt:lpstr>category_consolidation</vt:lpstr>
      <vt:lpstr>category_consolidation_result</vt:lpstr>
      <vt:lpstr>Sheet1</vt:lpstr>
      <vt:lpstr>Sheet2</vt:lpstr>
      <vt:lpstr>locations</vt:lpstr>
      <vt:lpstr>locations_prompt</vt:lpstr>
      <vt:lpstr>nt_acts_and_miracles</vt:lpstr>
      <vt:lpstr>book_notes</vt:lpstr>
      <vt:lpstr>claude_prompt</vt:lpstr>
      <vt:lpstr>next_steps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Kocheran</dc:creator>
  <cp:lastModifiedBy>Rachel Kocheran</cp:lastModifiedBy>
  <dcterms:created xsi:type="dcterms:W3CDTF">2015-06-05T18:17:20Z</dcterms:created>
  <dcterms:modified xsi:type="dcterms:W3CDTF">2025-09-03T22:21:00Z</dcterms:modified>
</cp:coreProperties>
</file>